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ndro Mina Valdivia\Desktop\ITJ\Traspaso Visor ITJ\"/>
    </mc:Choice>
  </mc:AlternateContent>
  <xr:revisionPtr revIDLastSave="0" documentId="13_ncr:1_{CD5C030F-C747-4103-AC74-ED6F25375046}" xr6:coauthVersionLast="47" xr6:coauthVersionMax="47" xr10:uidLastSave="{00000000-0000-0000-0000-000000000000}"/>
  <bookViews>
    <workbookView xWindow="-28920" yWindow="-4125" windowWidth="29040" windowHeight="15720" xr2:uid="{9B49B1C7-3937-4DBF-A11F-84FBC305627D}"/>
  </bookViews>
  <sheets>
    <sheet name="Tabla VISOR" sheetId="1" r:id="rId1"/>
    <sheet name="Tabla VISOR (2)" sheetId="3" r:id="rId2"/>
  </sheets>
  <externalReferences>
    <externalReference r:id="rId3"/>
    <externalReference r:id="rId4"/>
    <externalReference r:id="rId5"/>
    <externalReference r:id="rId6"/>
    <externalReference r:id="rId7"/>
  </externalReferences>
  <definedNames>
    <definedName name="_xlnm.Database">[1]CON_INE_2024!$D$4:$H$3969</definedName>
    <definedName name="biogas">#REF!</definedName>
    <definedName name="biomasa">#REF!</definedName>
    <definedName name="EOLICA">#REF!</definedName>
    <definedName name="ERELE">#REF!</definedName>
    <definedName name="EST_TRAMIT_CONV">'[2]Hoja para desplegables'!#REF!</definedName>
    <definedName name="FOTOVOLTAICA">#REF!</definedName>
    <definedName name="GD">#REF!</definedName>
    <definedName name="HIDROELECTRICA">#REF!</definedName>
    <definedName name="InicioTablaMaxPresupuesto">'[3]Selec Lim Max Presupuesto'!$A$14</definedName>
    <definedName name="InicioTablaMaxPresupuesto_dos">'[3]Selec Lim Max Presupuesto_2'!$A$14</definedName>
    <definedName name="InicioTablaResultadoFINAL">[3]Resultado_FINAL!$A$14</definedName>
    <definedName name="Proyectos_2006">#REF!</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300" i="3" l="1"/>
  <c r="AI1300" i="3"/>
  <c r="AA1300" i="3"/>
  <c r="I1300" i="3"/>
  <c r="AI674" i="3"/>
  <c r="AI673" i="3"/>
  <c r="AI671" i="3"/>
  <c r="T629" i="3"/>
  <c r="T628" i="3"/>
  <c r="T627" i="3"/>
  <c r="AI551" i="3"/>
  <c r="V443" i="3"/>
  <c r="V442" i="3"/>
  <c r="V439" i="3"/>
  <c r="V434" i="3"/>
  <c r="V430" i="3"/>
  <c r="V428" i="3"/>
  <c r="R423" i="3"/>
  <c r="R422" i="3"/>
  <c r="R421" i="3"/>
  <c r="R420" i="3"/>
  <c r="R419" i="3"/>
  <c r="R418" i="3"/>
  <c r="R417" i="3"/>
  <c r="R416" i="3"/>
  <c r="V411" i="3"/>
  <c r="V408" i="3"/>
  <c r="V406" i="3"/>
  <c r="V404" i="3"/>
  <c r="V402" i="3"/>
  <c r="V401" i="3"/>
  <c r="V400" i="3"/>
  <c r="V396" i="3"/>
  <c r="V393" i="3"/>
  <c r="V391" i="3"/>
  <c r="V389" i="3"/>
  <c r="V385" i="3"/>
  <c r="V384" i="3"/>
  <c r="V383" i="3"/>
  <c r="V382" i="3"/>
  <c r="V381" i="3"/>
  <c r="V379" i="3"/>
  <c r="R377" i="3"/>
  <c r="R376" i="3"/>
  <c r="R375" i="3"/>
  <c r="R374" i="3"/>
  <c r="R373" i="3"/>
  <c r="R372" i="3"/>
  <c r="R371" i="3"/>
  <c r="R370" i="3"/>
  <c r="R369" i="3"/>
  <c r="R368" i="3"/>
  <c r="R367" i="3"/>
  <c r="R366" i="3"/>
  <c r="R365" i="3"/>
  <c r="R364" i="3"/>
  <c r="R363" i="3"/>
  <c r="R362" i="3"/>
  <c r="R361" i="3"/>
  <c r="R360" i="3"/>
  <c r="R359" i="3"/>
  <c r="R358" i="3"/>
  <c r="R357" i="3"/>
  <c r="AI356" i="3"/>
  <c r="AI322" i="3"/>
  <c r="V320" i="3"/>
  <c r="V316" i="3"/>
  <c r="AI282" i="3"/>
  <c r="V258" i="3"/>
  <c r="V257" i="3"/>
  <c r="V256" i="3"/>
  <c r="V255" i="3"/>
  <c r="V254" i="3"/>
  <c r="V253" i="3"/>
  <c r="V251" i="3"/>
  <c r="AC8" i="3"/>
  <c r="AI674" i="1"/>
  <c r="AI673" i="1"/>
  <c r="AI671" i="1"/>
  <c r="AI551" i="1"/>
  <c r="V443" i="1"/>
  <c r="V442" i="1"/>
  <c r="V439" i="1"/>
  <c r="V434" i="1"/>
  <c r="V430" i="1"/>
  <c r="V428" i="1"/>
  <c r="R423" i="1"/>
  <c r="R422" i="1"/>
  <c r="R421" i="1"/>
  <c r="R420" i="1"/>
  <c r="R419" i="1"/>
  <c r="R418" i="1"/>
  <c r="R417" i="1"/>
  <c r="R416" i="1"/>
  <c r="V411" i="1"/>
  <c r="V408" i="1"/>
  <c r="V406" i="1"/>
  <c r="V404" i="1"/>
  <c r="V402" i="1"/>
  <c r="V401" i="1"/>
  <c r="V400" i="1"/>
  <c r="V396" i="1"/>
  <c r="V393" i="1"/>
  <c r="V391" i="1"/>
  <c r="V389" i="1"/>
  <c r="V385" i="1"/>
  <c r="V384" i="1"/>
  <c r="V383" i="1"/>
  <c r="V382" i="1"/>
  <c r="V381" i="1"/>
  <c r="V379" i="1"/>
  <c r="R377" i="1"/>
  <c r="R376" i="1"/>
  <c r="R375" i="1"/>
  <c r="R374" i="1"/>
  <c r="R373" i="1"/>
  <c r="R372" i="1"/>
  <c r="R371" i="1"/>
  <c r="R370" i="1"/>
  <c r="R369" i="1"/>
  <c r="R368" i="1"/>
  <c r="R367" i="1"/>
  <c r="R366" i="1"/>
  <c r="R365" i="1"/>
  <c r="R364" i="1"/>
  <c r="R363" i="1"/>
  <c r="R362" i="1"/>
  <c r="R361" i="1"/>
  <c r="R360" i="1"/>
  <c r="R359" i="1"/>
  <c r="R358" i="1"/>
  <c r="R357" i="1"/>
  <c r="AI356" i="1"/>
  <c r="AI322" i="1"/>
  <c r="V320" i="1"/>
  <c r="V316" i="1"/>
  <c r="AI282" i="1"/>
  <c r="V258" i="1"/>
  <c r="V257" i="1"/>
  <c r="V256" i="1"/>
  <c r="V255" i="1"/>
  <c r="V254" i="1"/>
  <c r="V253" i="1"/>
  <c r="V251" i="1"/>
  <c r="AC8" i="1"/>
  <c r="T628" i="1" l="1"/>
  <c r="T627" i="1"/>
  <c r="T629" i="1"/>
</calcChain>
</file>

<file path=xl/sharedStrings.xml><?xml version="1.0" encoding="utf-8"?>
<sst xmlns="http://schemas.openxmlformats.org/spreadsheetml/2006/main" count="48698" uniqueCount="5235">
  <si>
    <t xml:space="preserve">VISOR </t>
  </si>
  <si>
    <t>Ficha</t>
  </si>
  <si>
    <t>ORG</t>
  </si>
  <si>
    <t>Tipo</t>
  </si>
  <si>
    <t>Priorización TJ</t>
  </si>
  <si>
    <t>PLAN</t>
  </si>
  <si>
    <t>Línea de Ayuda</t>
  </si>
  <si>
    <t>Procedencia de las ayudas</t>
  </si>
  <si>
    <t>Ref. Proyecto</t>
  </si>
  <si>
    <t>Año Conv.</t>
  </si>
  <si>
    <t>TÍTULO PROYECTO</t>
  </si>
  <si>
    <t>DESCRIPCIÓN</t>
  </si>
  <si>
    <t>LINKS</t>
  </si>
  <si>
    <t>FOTOGRAFÍAS</t>
  </si>
  <si>
    <t>Descripción fotografía</t>
  </si>
  <si>
    <t>Beneficiario</t>
  </si>
  <si>
    <t>CCAA</t>
  </si>
  <si>
    <t>Provincia</t>
  </si>
  <si>
    <t>Municipio</t>
  </si>
  <si>
    <t>COD_INE</t>
  </si>
  <si>
    <t>Grupo</t>
  </si>
  <si>
    <t>Zona</t>
  </si>
  <si>
    <t>Síntesis</t>
  </si>
  <si>
    <t>Sector</t>
  </si>
  <si>
    <t>Fecha RD</t>
  </si>
  <si>
    <t>Año RD</t>
  </si>
  <si>
    <t>Inversión subvencionable</t>
  </si>
  <si>
    <t>Prestamo concedido</t>
  </si>
  <si>
    <t>Subvención aprobada</t>
  </si>
  <si>
    <t>Empleo a crear (operación)</t>
  </si>
  <si>
    <t xml:space="preserve">Empleo femenino </t>
  </si>
  <si>
    <t>Empleo en ejecución (construción)</t>
  </si>
  <si>
    <t>Situación del Proyecto</t>
  </si>
  <si>
    <t xml:space="preserve">Motivo </t>
  </si>
  <si>
    <t>Ayuda actual</t>
  </si>
  <si>
    <t>Superficie (Ha) restaurada</t>
  </si>
  <si>
    <t>Objetivo del proyecto</t>
  </si>
  <si>
    <t>Observaciones</t>
  </si>
  <si>
    <t>si</t>
  </si>
  <si>
    <t>No</t>
  </si>
  <si>
    <t>IDAE</t>
  </si>
  <si>
    <t>Energéticos</t>
  </si>
  <si>
    <t>sí</t>
  </si>
  <si>
    <t>Programa de incentivos para la concesión de ayudas a Oficinas de Transformación Comunitaria para la promoción y dinamización de comunidades energéticas</t>
  </si>
  <si>
    <t>OTC</t>
  </si>
  <si>
    <t>PRTR - PERTE ERHA</t>
  </si>
  <si>
    <t>PR-OTC-2023-000527</t>
  </si>
  <si>
    <t>OTC Ceder Merindades</t>
  </si>
  <si>
    <t>Se proyecta un espacio físico y virtual, dotado de los recursos y personal necesarios para llevar a cabo, públicamente, tanto labores de difusión sobre el concepto y los aspectos relacionados con comunidades energéticas, como labores de asesoramiento y acompañamiento, para fortalecer el sistema de apoyo a los actores interesados, principalmente ciudadanos, pymes y entidades locales, con el fin de fomentar la creación y desarrollo de comunidades energéticas.</t>
  </si>
  <si>
    <t>CEDER Merindades</t>
  </si>
  <si>
    <t>Castilla y León</t>
  </si>
  <si>
    <t>Burgos</t>
  </si>
  <si>
    <t>Medina de Pomar</t>
  </si>
  <si>
    <t>09209</t>
  </si>
  <si>
    <t>Garoña</t>
  </si>
  <si>
    <t>Energético</t>
  </si>
  <si>
    <t>Vigente</t>
  </si>
  <si>
    <t>Si</t>
  </si>
  <si>
    <t>ITJ</t>
  </si>
  <si>
    <t>Empresariales</t>
  </si>
  <si>
    <t>EMPRESARIALES ZM</t>
  </si>
  <si>
    <t>F. Nacionales</t>
  </si>
  <si>
    <t>2016-0001</t>
  </si>
  <si>
    <t>Ampliación y mejora de industria cárnica.</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</si>
  <si>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</si>
  <si>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https://www.gourmets.net/salon-gourmets/2017/catalogo-expositores/frigorificos-industriales-del-bierzo-sa</t>
  </si>
  <si>
    <t>2016-0001.jpg</t>
  </si>
  <si>
    <t>FRIGORÍFICOS INDUSTRIALES DEL  BIERZO, S.A.</t>
  </si>
  <si>
    <t>León</t>
  </si>
  <si>
    <t>Bembibre</t>
  </si>
  <si>
    <t>24014</t>
  </si>
  <si>
    <t>Bierzo-Laciana</t>
  </si>
  <si>
    <t>2016-0018</t>
  </si>
  <si>
    <t>Implantación de líneas innovadoras de elaboración de productos de repostería industrial</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</si>
  <si>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</si>
  <si>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https://radioaguilar.com/ultimas-noticias/la-tercera-fabrica-de-gullon-en-aguilar-comenzara-a-producir-durante-el-primer-trimestre-del-proximo-ano/</t>
  </si>
  <si>
    <t>VERTICE DE INNOVACIÓN Y DESARROLLO DE ALIMENTOS, S.A.U.</t>
  </si>
  <si>
    <t>Palencia</t>
  </si>
  <si>
    <t>Aguilar de Campoo</t>
  </si>
  <si>
    <t>34004</t>
  </si>
  <si>
    <t>Mineros</t>
  </si>
  <si>
    <t>2018-0001</t>
  </si>
  <si>
    <t>2018</t>
  </si>
  <si>
    <t>Línea de pretratamiento y pintura mixta en polvo y líquida para el pintado de puertas industriales y rampas niveladoras</t>
  </si>
  <si>
    <t>Incorporación de la mejor tecnología disponible para poder llevar a cabo la instalación y puesta en marcha de una línea de pretratamiento y pintura mixta en polvo y líquida para el pintado de puertas industriales y rampas niveladoras</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</si>
  <si>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</si>
  <si>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</si>
  <si>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Industria manufacturera</t>
  </si>
  <si>
    <t>MINIMIS ZM</t>
  </si>
  <si>
    <t>2018-M046</t>
  </si>
  <si>
    <t>Rehabilitación viñas familiares para crear nueva bodega de vinos</t>
  </si>
  <si>
    <t>https://debodegaenbodega.es/producto/bodega-cepall-sancedo-del-bierzo-leon/</t>
  </si>
  <si>
    <t>BODEGAS CEPALL, CB</t>
  </si>
  <si>
    <t>Sancedo</t>
  </si>
  <si>
    <t>24143</t>
  </si>
  <si>
    <t>2017-0037</t>
  </si>
  <si>
    <t>Construcción de una planta de fertilizantes organo-minerales</t>
  </si>
  <si>
    <t>Se trata de un complejo industrial ubicado a los pies de la mina Santa María, en la localidad de Ariño (Teruel), donde transforman recursos naturales como la leonardita a través de su centro I+D+i y su línea de producción de fertilizante sólido y líquido.</t>
  </si>
  <si>
    <t>https://forgasa.com/</t>
  </si>
  <si>
    <t>2017-0037.jpg</t>
  </si>
  <si>
    <t>FERTILIZANTES ORGANOMINERALES DE ARAGÓN, S.A.</t>
  </si>
  <si>
    <t>Aragón</t>
  </si>
  <si>
    <t>Teruel</t>
  </si>
  <si>
    <t>Ariño</t>
  </si>
  <si>
    <t>44029</t>
  </si>
  <si>
    <t>EMPRESARIALES TJ</t>
  </si>
  <si>
    <t>2023-G045</t>
  </si>
  <si>
    <t>Ampliación de las líneas de negocio</t>
  </si>
  <si>
    <t>Instalación de un secadero vertical por atomización para producción de huevo en polvo</t>
  </si>
  <si>
    <t>AVICOLA MONDEJANA SL</t>
  </si>
  <si>
    <t>Castilla-La Mancha</t>
  </si>
  <si>
    <t>Guadalajara</t>
  </si>
  <si>
    <t>Mondéjar</t>
  </si>
  <si>
    <t>19192</t>
  </si>
  <si>
    <t>Zorita</t>
  </si>
  <si>
    <t>En fecha 29/10/2024 se emite una segunda resolución otorgando una ayuda de 611.632,36€</t>
  </si>
  <si>
    <t>2023-G114</t>
  </si>
  <si>
    <t>Construcción de  un complejo turístico rural de 4 estrellas con instalaciones modernas y sostenibles</t>
  </si>
  <si>
    <t>El proyecto pretende ser un referente turístico en la zona y permitir la celebración de eventos y formaciones de mayor tamaño.</t>
  </si>
  <si>
    <t>HOSTELERIA BALDOMINOS, S.L</t>
  </si>
  <si>
    <t>Zorita de los Canes</t>
  </si>
  <si>
    <t>19335</t>
  </si>
  <si>
    <t>MINIMIS TJ</t>
  </si>
  <si>
    <t>2023-P041</t>
  </si>
  <si>
    <t>Adquisición de nueva maquinaria para realizar operaciones de moldeado y corte de piezas metálicas.</t>
  </si>
  <si>
    <t>https://www.muvelasa.com/</t>
  </si>
  <si>
    <t>MUVELASA S.L.</t>
  </si>
  <si>
    <t>2023-P093</t>
  </si>
  <si>
    <t>Ampliación de nave de empresa dedicada a las instalaciones electricas</t>
  </si>
  <si>
    <t>El proyecto busca mejorar las instalaciones y permitir una especialización en la iluminación navieña, la reutilización de materiales y la creación de nuevos productos.</t>
  </si>
  <si>
    <t>ILUMINACIONES LUVISAZ S.L.</t>
  </si>
  <si>
    <t>2021-0008</t>
  </si>
  <si>
    <t xml:space="preserve">Puesta en marcha de centro residencial para personas mayores </t>
  </si>
  <si>
    <t>Puesta en marcha de centro residencial para personas mayores en la localidad de camponaraya.</t>
  </si>
  <si>
    <t>https://www.diariodeleon.es/bierzo/100724/511038/paramo-adjudica-obras-geriatrico-inversion-tres-millones.html</t>
  </si>
  <si>
    <t>VALLE DE OZA, S.L.</t>
  </si>
  <si>
    <t>Camponaraya</t>
  </si>
  <si>
    <t>24034</t>
  </si>
  <si>
    <t>A.sanitarias y de S. sociales</t>
  </si>
  <si>
    <t>2021-M009</t>
  </si>
  <si>
    <t xml:space="preserve">Apertura de hotel rural </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</si>
  <si>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</si>
  <si>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ZAIRA FERNÁNDEZ MORÁN</t>
  </si>
  <si>
    <t>Borrenes</t>
  </si>
  <si>
    <t>24022</t>
  </si>
  <si>
    <t>Turismo</t>
  </si>
  <si>
    <t>Municipales</t>
  </si>
  <si>
    <t>INFRA</t>
  </si>
  <si>
    <t>F. Nacionales (75 % ITJ / 25% CCAA)</t>
  </si>
  <si>
    <t>CYL-2020-0007</t>
  </si>
  <si>
    <t xml:space="preserve">Mejora energética de centros y edificaciones municipales </t>
  </si>
  <si>
    <t>Ayuntamiento de Aguilár de Campoo</t>
  </si>
  <si>
    <t xml:space="preserve">Consiste en nuevo equipamiento de mejora energética para centros y edificaciones municipales para 5 centros de día y una Escuela de Educación Infantil </t>
  </si>
  <si>
    <t>Construcción e Ingeniería civil</t>
  </si>
  <si>
    <t>Liquidado</t>
  </si>
  <si>
    <t>INFRA-PRTR</t>
  </si>
  <si>
    <t>PRTR - C10</t>
  </si>
  <si>
    <t>2022-C061</t>
  </si>
  <si>
    <t>Reforma de un edificio público para viviendas sociales en Garcinarro – El Valle de Altomira.</t>
  </si>
  <si>
    <t>Viviendas sociales para nuevos pobladores con rehabilitación energética y un sistema de recuperación de las aguas pluviales.</t>
  </si>
  <si>
    <t>AYUNTAMIENTO DE EL VALLE DE ALTOMIRA</t>
  </si>
  <si>
    <t>Cuenca</t>
  </si>
  <si>
    <t>Valle de Altomira, El</t>
  </si>
  <si>
    <t>16173</t>
  </si>
  <si>
    <t>REFORMA DE EDIFICIO PÚBLICO PARA VIVIENDAS SOCIALES EN GARCINARRO - EL
VALLE DE ALTOMIRA. Viviendas sociales para nuevos pobladores con rehabilitación energética y un sistema de recuperación de las aguas pluviales.</t>
  </si>
  <si>
    <t>Pequeños proyectos de inversión en zonas Mineras</t>
  </si>
  <si>
    <t>Fondos Nacionales</t>
  </si>
  <si>
    <t>2023-M017</t>
  </si>
  <si>
    <t>Albergue turístico</t>
  </si>
  <si>
    <t>Construcción de albergue turístico en Villafranca del Bierzo</t>
  </si>
  <si>
    <t>https://www.transicionjusta.gob.es/content/dam/itj/files-1/Documents/reactivacion_comarcas/common/MINERIA/MINIMIS_Mineria/Resoluci%C3%B3n%20concesi%C3%B3n%20definitiva%20MINIMIS%202023_firmada.pdf</t>
  </si>
  <si>
    <t>GERGELY TICHY-RACS</t>
  </si>
  <si>
    <t>Villafranca del Bierzo</t>
  </si>
  <si>
    <t>24209</t>
  </si>
  <si>
    <t>ALBERGUE TURÍSTICO</t>
  </si>
  <si>
    <t>2022-C117</t>
  </si>
  <si>
    <t>Rehabilitación y acondicionamiento de centro de día en edificio de titularidad municipal</t>
  </si>
  <si>
    <t>Centro de día para mayores con 50 plazas que ayude a fijar población, dinamizar la economía local y promover el empleo femenino</t>
  </si>
  <si>
    <t>AYUNTAMIENTO DE MAZUECOS</t>
  </si>
  <si>
    <t>Mazuecos</t>
  </si>
  <si>
    <t>19176</t>
  </si>
  <si>
    <t xml:space="preserve">REHABILITACIÓN Y ACONDICIONAMIENTO DE CENTRO DE DÍA EN EDIFICIO DE TITULARIDAD MUNICIPAL. Centro de día para mayores con 50 plazas que ayude a fijar población, dinamizar la economía local y promover el empleo femenino </t>
  </si>
  <si>
    <t>Mejora de la envolvente térmica del edificio en el centro de día para personas mayores en Barruelo de Santullán</t>
  </si>
  <si>
    <t>AYUNTAMIENTO DE BARRUELO DE SANTULLÁN</t>
  </si>
  <si>
    <t>Barruelo de Santullán</t>
  </si>
  <si>
    <t>34027</t>
  </si>
  <si>
    <t>Guardo-Velilla</t>
  </si>
  <si>
    <t>Optimización energética del centro de día para personas mayores de Villablino (León)</t>
  </si>
  <si>
    <t>Ayuntamiento de Villablino</t>
  </si>
  <si>
    <t>Villablino</t>
  </si>
  <si>
    <t>24202</t>
  </si>
  <si>
    <t>Optimización energética del centro de día para personas mayores de Cistierna (León)</t>
  </si>
  <si>
    <t>Ayuntamiento de Cistierna</t>
  </si>
  <si>
    <t>Cistierna</t>
  </si>
  <si>
    <t>24056</t>
  </si>
  <si>
    <t>La Robla</t>
  </si>
  <si>
    <t>Mejora de la envolvente térmica del edificio en el centro de día para personas mayores</t>
  </si>
  <si>
    <t>Ayuntamientod e Guardo</t>
  </si>
  <si>
    <t>Guardo</t>
  </si>
  <si>
    <t>34080</t>
  </si>
  <si>
    <t>Sí</t>
  </si>
  <si>
    <t>Programas de incentivos para la concesión de ayudas a proyectos singulares de instalaciones de biogás</t>
  </si>
  <si>
    <t>BIOGÁS</t>
  </si>
  <si>
    <t>PR-BIOGAS-2022-000380</t>
  </si>
  <si>
    <t>Planta de biogás en guardo</t>
  </si>
  <si>
    <t>Planta de biogás en el municipio de guardo. potencia de entre 3 y 4 mwt. la planta prevé producir 56 gwh/año (200.000 t de biogás aproximadamente). se abastecerá principalmente de los purines que generan las granjas de cerdos cercanas a guardo</t>
  </si>
  <si>
    <t>https://www.diariopalentino.es/noticia/zf04acdca-bc2c-34cf-bc5b4126c25b6dad/202307/guardo-proyecta-una-planta-de-biogas-con-30-empleados</t>
  </si>
  <si>
    <t>Guardo Green Gass SL (VERDALIA)</t>
  </si>
  <si>
    <t>Planta de biogás en Guardo</t>
  </si>
  <si>
    <t>Proyectos piloto singulares de comunidades energéticas (Programa CE IMPLEMENTA) 2ª convocatoria</t>
  </si>
  <si>
    <t>CE IMPLEMENTA 2</t>
  </si>
  <si>
    <t>PR-PILOTO-02-2022-000108</t>
  </si>
  <si>
    <t>Medina Genera</t>
  </si>
  <si>
    <t xml:space="preserve">Comunidad energética impulsada desde el Ayuntamiento de Medina, cuenta con 5 CIF implicados y proppone una descarbonización profunda de las principales instalaciones municipales. Especialmente de los colegios, piscinas y edificios públicos. </t>
  </si>
  <si>
    <t>Ayuntamiento de Medina de Pomar</t>
  </si>
  <si>
    <t>Ayudas a proyectos a cadena valor</t>
  </si>
  <si>
    <t>H2CVAL1</t>
  </si>
  <si>
    <t>PR-H2CVAL2-C1-2022-0064</t>
  </si>
  <si>
    <t>Desarrollo de un sistema de propulsión alimentado por hidrógeno renovable líquido para movilidad aérea</t>
  </si>
  <si>
    <t>https://ciuden.es/archivo-noticias/ciuden-da-el-primer-paso-para-convertirse-en-oficina-de-transformacion-comunitaria/</t>
  </si>
  <si>
    <t>DESTINUS SPAIN SL</t>
  </si>
  <si>
    <t>Cuadros</t>
  </si>
  <si>
    <t>24061</t>
  </si>
  <si>
    <t>Nuevos modelos de negocio para la transición energética</t>
  </si>
  <si>
    <t>NMN</t>
  </si>
  <si>
    <t>PR-NMN-01-2023-000309</t>
  </si>
  <si>
    <t xml:space="preserve">Hub Interurbano de recarga ultra rápida </t>
  </si>
  <si>
    <t>Hub Interurbano de recarga ultra rápida integrando renovables, almacenamiento y zona de descanso en Camponaraya</t>
  </si>
  <si>
    <t>GRUPO EASYCHARGER, SA</t>
  </si>
  <si>
    <t>HUB INTERURBANO DE RECARGA ULTRA RAPIDA INTEGRANDO RENOVABLES, ALMACENAMIENTO Y ZONA DE DESCANSO EN Camponaraya</t>
  </si>
  <si>
    <t>Programas de Repotenciación Circular</t>
  </si>
  <si>
    <t>REPOTEN</t>
  </si>
  <si>
    <t>PR-REPOTEN-2023-000189</t>
  </si>
  <si>
    <t>Actuaciones de renovación ch cordiñanes</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</si>
  <si>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</si>
  <si>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https://www.diariodevalderrueda.es/texto-diario/mostrar/4328873/central-hidroelectrica-cordinanes-estabilizara-taludes-rio-cares-escollera#google_vignette</t>
  </si>
  <si>
    <t>ALTANO HIDRO SA</t>
  </si>
  <si>
    <t>Posada de Valdeón</t>
  </si>
  <si>
    <t>24116</t>
  </si>
  <si>
    <t>Actuaciones de renovación CH Cordiñanes</t>
  </si>
  <si>
    <t>ENERGÉTICO</t>
  </si>
  <si>
    <t>Proyectos piloto singulares de comunidades energéticas (Programa CE IMPLEMENTA) 6ª convocatoria</t>
  </si>
  <si>
    <t>CE IMPLEMENTA 6</t>
  </si>
  <si>
    <t>PR-PILOTO-06-2024-000023</t>
  </si>
  <si>
    <t>CEL TODA BURGOS</t>
  </si>
  <si>
    <t>Comunidad Energética desarrollada desde la Cámara de Comercio de Burgos, su implantación es de carácter provincial. Implica a 3 ayuntamientos de la ZTJ: Frías, Trespaderne y Medina de Pomar; y busca la creación de grupos locales en colaboración con las entidades municipales para potenciar la figura de las CEL.</t>
  </si>
  <si>
    <t>ASOCIACIÓN COMUNIDAD  ENERGETICA LOCAL TODA BURGOS – CEL TODA BURGOS</t>
  </si>
  <si>
    <t>Alfoz de Quintanadueñas;Aranda de Duero;Arija;Atapuerca;Belorado;Castil de Peones;Castrillo del Val;Cerezo de Río Tirón;Ciruelos de Cervera;Frandovínez;Fresnillo de las Dueñas;Frías;Merindad de Valdeporres;Modúbar de la Emparedada;Montorio;Pampliega;Rabé de las Calzadas;Roa;Santa Olalla de Bureba;Sargentes de la Lora;Tardajos;Trespaderne;Valle de Valdelaguna;Vid de Bureba, La;Villanueva de Argaño;Villarcayo de Merindad de Castilla la Vieja</t>
  </si>
  <si>
    <t>09907;09018;09025;09029;09048;09083;09086;09098;09105;09128;09131;09134;09216;09221;09227;09250;09304;09321;09354;09361;09377;09394;09414;09422;09449;09903</t>
  </si>
  <si>
    <t>Proyectos piloto singulares de comunidades energéticas (Programa CE IMPLEMENTA) 5ª Convocatoria</t>
  </si>
  <si>
    <t>CE IMPLEMENTA 5</t>
  </si>
  <si>
    <t>PR PILOTO-05 2024 000219</t>
  </si>
  <si>
    <t>Instalación solar fotovoltaica de generación en Diseminado Camino Hondo, Alcorisa, Teruel</t>
  </si>
  <si>
    <t>Proyecto para Comunidad Ciudadana de Energía situado en terreno industrial y con potencia nominal 100kW. Almacenamiento de 50kWh</t>
  </si>
  <si>
    <t>Ayuntamiento de Alcorisa</t>
  </si>
  <si>
    <t>Alcorisa</t>
  </si>
  <si>
    <t>44014</t>
  </si>
  <si>
    <t>Proyecto para Comunidad Ciudadana de Energía situado en terreno industrial y con potencia nominal 100kW. Almacenamiento de 50kWh.</t>
  </si>
  <si>
    <t>Energías renovables</t>
  </si>
  <si>
    <t>2018-0003</t>
  </si>
  <si>
    <t>Planta de Descontaminación, Desmantelamiento y Reciclaje de Buques</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</si>
  <si>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</si>
  <si>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https://ddr-vessels.com/</t>
  </si>
  <si>
    <t>DDR VESSELS XXI, S.L.</t>
  </si>
  <si>
    <t>Asturias, Principado de</t>
  </si>
  <si>
    <t>Asturias</t>
  </si>
  <si>
    <t>Gijón</t>
  </si>
  <si>
    <t>33024</t>
  </si>
  <si>
    <t>Caudal-Aboño</t>
  </si>
  <si>
    <t>Construcción de una planta de reciclaje naval</t>
  </si>
  <si>
    <t>Es un tipo de reciclaje innovador y que puede beneficiarse del sector naval de Gijón. Se desconoce el tipo de empleo a crear.</t>
  </si>
  <si>
    <t>2018-0005</t>
  </si>
  <si>
    <t>Fabricación de espumogenos</t>
  </si>
  <si>
    <t>Fabricación de espumogenos con un menor daño medioambiental</t>
  </si>
  <si>
    <t>VS FOCUM, S.L.</t>
  </si>
  <si>
    <t>Oviedo</t>
  </si>
  <si>
    <t>33044</t>
  </si>
  <si>
    <t>Empleo Comprometido: 3, creado: 2,99</t>
  </si>
  <si>
    <t>2018-0055</t>
  </si>
  <si>
    <t>Nueva línea de produccion de galletas y pastas</t>
  </si>
  <si>
    <t>Incorporación de una nueva línea de produccion de galletas y pastas</t>
  </si>
  <si>
    <t>Productos La Luarquesa, S.L.</t>
  </si>
  <si>
    <t>Valdés</t>
  </si>
  <si>
    <t>33034</t>
  </si>
  <si>
    <t>La nueva línea de producción no es particularmente innovadora.</t>
  </si>
  <si>
    <t>2018-0056</t>
  </si>
  <si>
    <t>Ampliación de industria agroalimentaria en Morcín</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</si>
  <si>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</si>
  <si>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https://yatecomere.es/               https://yatecomere.es/subvenciones/</t>
  </si>
  <si>
    <t>Yatecomere S.L.</t>
  </si>
  <si>
    <t>Morcín</t>
  </si>
  <si>
    <t>33038</t>
  </si>
  <si>
    <t>Ampliación fábrica de productos gastronómicos de alta calidad</t>
  </si>
  <si>
    <t>No se aportan datos sobre el tipo de empleo</t>
  </si>
  <si>
    <t>2018-0062</t>
  </si>
  <si>
    <t>Tratamiento y valorización de catalizadores agotados</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</si>
  <si>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</si>
  <si>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https://agrcatalysts.com/en/</t>
  </si>
  <si>
    <t>AGR Catalysts Recovery S.A.</t>
  </si>
  <si>
    <t>Carreño</t>
  </si>
  <si>
    <t>33014</t>
  </si>
  <si>
    <t>Servicios públicos básicos (fijación de la población)</t>
  </si>
  <si>
    <t>2018-M001</t>
  </si>
  <si>
    <t>Ampliación de taller electromecánico de automoviles y compras de maquinaría</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</si>
  <si>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</si>
  <si>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Fernando García Gómez</t>
  </si>
  <si>
    <t>Cangas del Narcea</t>
  </si>
  <si>
    <t>33011</t>
  </si>
  <si>
    <t>Suroccidente</t>
  </si>
  <si>
    <t>Otros Servicios</t>
  </si>
  <si>
    <t>Contratos indefinidos y uno para nayores de 45 años</t>
  </si>
  <si>
    <t>2018-M003</t>
  </si>
  <si>
    <t>Tratamientos médicos y odontológicos</t>
  </si>
  <si>
    <t>El proyecto consistió en la adecuación de un local para la actividad de gabinete odontológico y podología, incluyendo la instalación completa de electricidad, fontanería, calefacción, tabiques y suelos, así como la adquisición de maquinaria y mobiliario</t>
  </si>
  <si>
    <t>Alicia Sanchez Varela</t>
  </si>
  <si>
    <t>Lena</t>
  </si>
  <si>
    <t>33033</t>
  </si>
  <si>
    <t>Adecuación de local y compra de material para gabinete odontológico y podología</t>
  </si>
  <si>
    <t>2018-M004</t>
  </si>
  <si>
    <t>Mejora de la productividad para desarrollo contenidos para museos de alta complejidad técnica</t>
  </si>
  <si>
    <t>Proa Sur, S.L.</t>
  </si>
  <si>
    <t>Servicios. Turismo. Cultura. Ocios</t>
  </si>
  <si>
    <t>2016-0025</t>
  </si>
  <si>
    <t>Central Hortofrutícola</t>
  </si>
  <si>
    <t>Construcción de una nave almacén para central hortofrutícola</t>
  </si>
  <si>
    <t>ASOFRUBE, SL</t>
  </si>
  <si>
    <t>Huesca</t>
  </si>
  <si>
    <t>Fraga</t>
  </si>
  <si>
    <t>22112</t>
  </si>
  <si>
    <t>construcción de una nave almacén para central hortofrutícola</t>
  </si>
  <si>
    <t>2018-M006</t>
  </si>
  <si>
    <t>Clínica odontologia</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</si>
  <si>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</si>
  <si>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Cristina García Sánchez</t>
  </si>
  <si>
    <t>Implantación de clínica odontologia</t>
  </si>
  <si>
    <t>2016-0027</t>
  </si>
  <si>
    <t>Mejora instalaciones de fruta</t>
  </si>
  <si>
    <t>instalación de central hortofrutícola mediante la adquisición de parcela, construcción de nave almacén y adquisición de material</t>
  </si>
  <si>
    <t>LLAMFRUIT CHERRY, SL</t>
  </si>
  <si>
    <t>Zaragoza</t>
  </si>
  <si>
    <t>Mequinenza</t>
  </si>
  <si>
    <t>50165</t>
  </si>
  <si>
    <t>2016-0028</t>
  </si>
  <si>
    <t>Ampliacion y mejora de central hortofrutícola</t>
  </si>
  <si>
    <t>IFRUMI, S.L.</t>
  </si>
  <si>
    <t>ampliación y mejora de central hortofruticola</t>
  </si>
  <si>
    <t>2018-M007</t>
  </si>
  <si>
    <t>Ampliación  residencia geriatrica</t>
  </si>
  <si>
    <t>Ampliación y reforma de residencia geriatrica</t>
  </si>
  <si>
    <t>RESIDENCIA SANTA ISABEL, S.L.</t>
  </si>
  <si>
    <t>Siero</t>
  </si>
  <si>
    <t>33066</t>
  </si>
  <si>
    <t>2018-M014</t>
  </si>
  <si>
    <t>Implantación de laboratorio protésico dental</t>
  </si>
  <si>
    <t>Implantación de laboratorio protésico dental; Adecuación mediante la adquisición de bienes de equipos y materiales</t>
  </si>
  <si>
    <t>Canteli y Romo CB</t>
  </si>
  <si>
    <t>1 empleo fijo y 2 autónomos</t>
  </si>
  <si>
    <t>2016-0029</t>
  </si>
  <si>
    <t xml:space="preserve">Nueva nave y  nuevas líneas de calibrado </t>
  </si>
  <si>
    <t xml:space="preserve">mejora de los procesos de producción con la construcción de nave y al instalación de nuevas líneas de calibrado </t>
  </si>
  <si>
    <t>SAT Nº 4301 RIO CINCA</t>
  </si>
  <si>
    <t>Torrente de Cinca</t>
  </si>
  <si>
    <t>22234</t>
  </si>
  <si>
    <t>2016-0031</t>
  </si>
  <si>
    <t>Implantación de instalaciones de recepción, enfriamiento y almacenamiento refrigerado de fruta</t>
  </si>
  <si>
    <t>ALBICE, S.L.</t>
  </si>
  <si>
    <t>2018-0006</t>
  </si>
  <si>
    <t>Ampliación y modernización de empresa de mantenimiento industrial</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</si>
  <si>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</si>
  <si>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https://genepol.com/</t>
  </si>
  <si>
    <t>2018-0006.jpg</t>
  </si>
  <si>
    <t>GENERAL DE POLIMEROS S.L.</t>
  </si>
  <si>
    <t>Escucha</t>
  </si>
  <si>
    <t>44099</t>
  </si>
  <si>
    <t>2018-M015</t>
  </si>
  <si>
    <t>Adquisición de nave industrial para el desarrollo de actividad en el sector de artes gráficas.</t>
  </si>
  <si>
    <t xml:space="preserve">Adquisicion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</si>
  <si>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https://www.avirsa.com/quienes-somos/</t>
  </si>
  <si>
    <t>Avirsa Norte SLU</t>
  </si>
  <si>
    <t>Llanera</t>
  </si>
  <si>
    <t>33035</t>
  </si>
  <si>
    <t>Adecuación de nave industrial para comercio al por mayor de artes gráficas</t>
  </si>
  <si>
    <t>2018-0036</t>
  </si>
  <si>
    <t>Mejora fábrica de pienso para rumiantes que disminuye la demanda energetica de la misma</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</si>
  <si>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</si>
  <si>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2018-0036.jpg</t>
  </si>
  <si>
    <t>TRANSPORTES LOS GRANJEROS, S.L.</t>
  </si>
  <si>
    <t>Urrea de Gaén</t>
  </si>
  <si>
    <t>44237</t>
  </si>
  <si>
    <t>2018-M022</t>
  </si>
  <si>
    <t>Planta de Transferencia de Residuos</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</si>
  <si>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</si>
  <si>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https://www.contemcontenedores.com/</t>
  </si>
  <si>
    <t>Contem Gestion Verde, S.L.</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</si>
  <si>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</si>
  <si>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Reutilización de residuos y materiales contaminantes</t>
  </si>
  <si>
    <t>2018-0010</t>
  </si>
  <si>
    <t>Modernización de central hortofrutícola</t>
  </si>
  <si>
    <t>Modernización de central hortofrutícola con la aplicación de nuevos procesos de clasificación y envasado</t>
  </si>
  <si>
    <t>MODERNIZACIÓN DE CENTRAL HORTOFRUTÍCOLA CON LA APLICACIÓN DE NUEVOS PROCESOS DE CLASIFICACIÓN Y ENVASADO</t>
  </si>
  <si>
    <t>Agricultura, ganadería</t>
  </si>
  <si>
    <t>2018-0046</t>
  </si>
  <si>
    <t xml:space="preserve">Re-apertura e introducción de mejoras tecnológicas en planta de envasado de agua mineral natural </t>
  </si>
  <si>
    <t>Ampliación e introducción de mejoras tecnológicas en una planta de envasado de agua mineral natural. se pretende envasar en varios formatos (0,33 l; 0,5 l; 1 l; 1,5 l). el agua procederá de manantiales de la montaña palentina.</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</si>
  <si>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</si>
  <si>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2018-0046.jpg</t>
  </si>
  <si>
    <t>SANDORA IBERIA, S.L.</t>
  </si>
  <si>
    <t>Pernía, La</t>
  </si>
  <si>
    <t>34904</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</si>
  <si>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</si>
  <si>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2018-0011</t>
  </si>
  <si>
    <t>AMPLIACIÓN Y MEJORA DE CENTRAL HORTOFRUTICOLA</t>
  </si>
  <si>
    <t>2018-M002</t>
  </si>
  <si>
    <t>Creación de laboratorio de prótesis dentales.</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</si>
  <si>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</si>
  <si>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https://www.facebook.com/Rosanalaboratorioartedental/</t>
  </si>
  <si>
    <t>2018-M002.jpg</t>
  </si>
  <si>
    <t>LABORATORIO ARTE DENTAL CB</t>
  </si>
  <si>
    <t>Desarrollo económico alternativo</t>
  </si>
  <si>
    <t>2018-M023</t>
  </si>
  <si>
    <t>Creación servicio de reparación, venta y alquiler de bicicletas y bicicletas eléctricas.</t>
  </si>
  <si>
    <t xml:space="preserve">Proyecto basado en la creación de un servicio especializado en el alquiler de bicis eléctricas gama media alta y accesorios: cascos, gps, alforjas, etc. los clientes a quienes va dirigido son: </t>
  </si>
  <si>
    <t>chrome-extension://efaidnbmnnnibpcajpcglclefindmkaj/https://www.transicionjusta.gob.es/Documents/el_instituto/Convenios_transicion_justa/common/Castilla%20y%20Le%C3%B3n/CTJ%20Monta%C3%B1a%20Central%20Leonesa%20-%20La%20Robla_abril2023.pdf</t>
  </si>
  <si>
    <t>2018-M023.jpeg</t>
  </si>
  <si>
    <t>MARIA CARMEN NOSTI DEL POZO</t>
  </si>
  <si>
    <t>Pola de Gordón, La</t>
  </si>
  <si>
    <t>24114</t>
  </si>
  <si>
    <t>2018-0008</t>
  </si>
  <si>
    <t>Diseño y fabricación equipos y plantas para la valorización de residuos</t>
  </si>
  <si>
    <t>TECHNOCYL EQUIPMENT S.L.</t>
  </si>
  <si>
    <t>Torre del Bierzo</t>
  </si>
  <si>
    <t>24170</t>
  </si>
  <si>
    <t>Anulado</t>
  </si>
  <si>
    <t>Inicio</t>
  </si>
  <si>
    <t>2018-M077</t>
  </si>
  <si>
    <t>Ampliación de instalaciones para la gestión de grandes transformadores eléctricos de potencia.</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</si>
  <si>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</si>
  <si>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https://a-g-r.es/servicios/valorizacion-de-catalizadores/</t>
  </si>
  <si>
    <t>Aprochim Getesarp Rymoil S.A.</t>
  </si>
  <si>
    <t>Ampliación de instalaciones de una empresa de tratamiento, descontaminación y valorización de residuos. Edificación de una nueva nave con puente grua para la gestión de grandes transformadores eléctricos.</t>
  </si>
  <si>
    <t>mejora de la eficiencia energética</t>
  </si>
  <si>
    <t>2018-M094</t>
  </si>
  <si>
    <t xml:space="preserve">Mejora instalaciones productos farmacéuticos </t>
  </si>
  <si>
    <t>Inversión en instalaciones de una empresa de venta al por mayor de productos farmacéuticos para su expansión nacional e Internacional (mejora de los procesos logísticos, plataforma e-comercio)</t>
  </si>
  <si>
    <t>Dental Iberica 2008 S.L.</t>
  </si>
  <si>
    <t>Inversión en instalaciones de una empresa de venta al por mayor de productos farmacéuticos para su expansión nacional e Internacional (ñejora de los procesos logísticos, plataforma e-comercio)</t>
  </si>
  <si>
    <t>2018-M103</t>
  </si>
  <si>
    <t>Fabricación de envases y embalajes de plástico</t>
  </si>
  <si>
    <t>Adquisición de impresora flexográfica para una empresa de fabricación de envases y embalajes de plástico</t>
  </si>
  <si>
    <t>Tecnoenvases Alvarez S.L.</t>
  </si>
  <si>
    <t>Noreña</t>
  </si>
  <si>
    <t>33042</t>
  </si>
  <si>
    <t>2018-M105</t>
  </si>
  <si>
    <t>Hospital Veterinario Menes</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</si>
  <si>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</si>
  <si>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https://hvmenes.com/</t>
  </si>
  <si>
    <t>Hospital Veterinario Menes S.L.</t>
  </si>
  <si>
    <t>Ampliación y modernización de centro veterinario</t>
  </si>
  <si>
    <t>2018-M106</t>
  </si>
  <si>
    <t>CIMADEVILLA GREEN: Apartamentos turísticos de dos llaves en Cimadevilla (Gijón)</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</si>
  <si>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</si>
  <si>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Cimadevilla Green S.L.</t>
  </si>
  <si>
    <t>Rehabilitación de un edificio para su explotación como apartamentos turísticos. Se implementarán medidas de ahorro energético y sostenibilidad.</t>
  </si>
  <si>
    <t>2018-M108</t>
  </si>
  <si>
    <t xml:space="preserve">Creación de empresa de hidrodemolicion del hormigón </t>
  </si>
  <si>
    <t>Creación de empresa de hidrodemolicion del hormigón con equipos de alta presion</t>
  </si>
  <si>
    <t>Soluciones Ultra Alta Presión, S.L.</t>
  </si>
  <si>
    <t>2018-0014</t>
  </si>
  <si>
    <t>Fábrica de envases de cartón</t>
  </si>
  <si>
    <t>Instalación de una fábrica de envases de cartón</t>
  </si>
  <si>
    <t>BOX JOVE, S.L.</t>
  </si>
  <si>
    <t>INSTALACIÓN DE UNA FÁBRICA DE ENVASES DE CARTÓN</t>
  </si>
  <si>
    <t>El proyecto implica la mecanización de un proceso realizado manualmente hasta la fecha</t>
  </si>
  <si>
    <t>2018-0015</t>
  </si>
  <si>
    <t>Panificadora sin gluten</t>
  </si>
  <si>
    <t>Modernización industria panificadora para sacar nueva línea "sin gluten"</t>
  </si>
  <si>
    <t>BRIOIXPAN, SL</t>
  </si>
  <si>
    <t>Comprometido: 10, creado 9,88</t>
  </si>
  <si>
    <t>2018-M109</t>
  </si>
  <si>
    <t>Incorporación de nueva línea de fabricación de estructuras dentales a medida por sinterizado láser.</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</si>
  <si>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</si>
  <si>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Luckler Medical S.L.</t>
  </si>
  <si>
    <t>Nueva línea de fabricación de protesis dentales</t>
  </si>
  <si>
    <t>contratos indefinidos</t>
  </si>
  <si>
    <t>2018-M110</t>
  </si>
  <si>
    <t>Proyecto de creación de unidades clínicas y mejora productiva</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</si>
  <si>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</si>
  <si>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Termosalud S.L.</t>
  </si>
  <si>
    <t>Reforzar la capacidad científico-técnica y de fabricación de la empresa, especializada en la fabircación de instrumentos y suministros médicos y odontológicos</t>
  </si>
  <si>
    <t>2018-0009</t>
  </si>
  <si>
    <t xml:space="preserve">Nueva planta de producción de pellets de madera </t>
  </si>
  <si>
    <t>PELLETS GUARDO, S.L.</t>
  </si>
  <si>
    <t>Renuncia</t>
  </si>
  <si>
    <t>2018-M112</t>
  </si>
  <si>
    <t>Mejora comercial de accesorios del vino</t>
  </si>
  <si>
    <t>Mejorar la eficacia de la empresa con un nuevo programa de gestion para desarrollar sus actividades comerciales de accesorios del vino</t>
  </si>
  <si>
    <t>Find It Import&amp;Export S.L.</t>
  </si>
  <si>
    <t>Mejorar la eficacia de la empresa con un nuevo programa de gestionm para desarrollar sus actividades comerciales de accesorios del vino</t>
  </si>
  <si>
    <t>2018-M114</t>
  </si>
  <si>
    <t>Detección y extinción de incendios. Economizador Caldera. Aerotermos.Turbocompresor</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</si>
  <si>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</si>
  <si>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Industrias Roko, S.A.</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</si>
  <si>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</si>
  <si>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Eficiencia energética/Ahorro de energía</t>
  </si>
  <si>
    <t>2018-0030</t>
  </si>
  <si>
    <t>Rehabilitación y explotación de un Hotel de 5 Estrellas</t>
  </si>
  <si>
    <t>Rehabilitación y explotación de un Hotel de 5 Estrellas usando principios de arquitectura ecológica</t>
  </si>
  <si>
    <t>PROYECTOS E INVERSIONES DEL MATARRAÑA, S.L.</t>
  </si>
  <si>
    <t>Monroyo</t>
  </si>
  <si>
    <t>44154</t>
  </si>
  <si>
    <t>El hotel será construido usando principios de la arquitectura sostenible e implementando una caldera de biomasa</t>
  </si>
  <si>
    <t>2018-0034</t>
  </si>
  <si>
    <t>Fábrica de piensos</t>
  </si>
  <si>
    <t>Modernización de una fábrica de piensos</t>
  </si>
  <si>
    <t>SOCIEDAD COOPERATIVA GANADERA DE CASPE, S.R.L.</t>
  </si>
  <si>
    <t>Caspe</t>
  </si>
  <si>
    <t>50074</t>
  </si>
  <si>
    <t>El proyecto sería llevado por una cooperativa, una empresa parte de la economía social que puede dinamizar el tejido socio-económico local.</t>
  </si>
  <si>
    <t>2018-M040</t>
  </si>
  <si>
    <t>Ampliación del proceso productivo de re-valorización de baterías</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</si>
  <si>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</si>
  <si>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2018-M040.jpg</t>
  </si>
  <si>
    <t>RECUPERACIÓN ECOLÓGICA DE BATERÍAS, S.L.</t>
  </si>
  <si>
    <t>Albalate del Arzobispo</t>
  </si>
  <si>
    <t>44008</t>
  </si>
  <si>
    <t>2018-M017</t>
  </si>
  <si>
    <t>Modernización empresa envasadora de aceitunas</t>
  </si>
  <si>
    <t>Modernización de las instalaciones de una empresa envasadora de aceitunas</t>
  </si>
  <si>
    <t>ACEITUNAS Y ENCURTIDOS MAR DE ARAGÓN, S.L.</t>
  </si>
  <si>
    <t>2018-M115</t>
  </si>
  <si>
    <t xml:space="preserve"> Adquisición y adecuación de una nave industrial para la realización de actividades de artes gráficas</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</si>
  <si>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</si>
  <si>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La Fueya Artes Grafiques, S.L.</t>
  </si>
  <si>
    <t>Langreo</t>
  </si>
  <si>
    <t>33031</t>
  </si>
  <si>
    <t>Nalón</t>
  </si>
  <si>
    <t xml:space="preserve"> Adquisición de nave y maquinaria tecnológicamente más avanzada, que les permita ofertar otros productos/trabajos de impresión digital, y de mayor calidad.</t>
  </si>
  <si>
    <t>Se prevé la contratación de un trabajador mayor 45 años y parado de larga duración</t>
  </si>
  <si>
    <t>2018-M117</t>
  </si>
  <si>
    <t>Modernización de la actividad productiva y mejora de los procesos de industrialización de cevisa</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</si>
  <si>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</si>
  <si>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Cevisa Viviendas Eficientes en Madera, S.L.</t>
  </si>
  <si>
    <t>Mieres</t>
  </si>
  <si>
    <t>33037</t>
  </si>
  <si>
    <t>Modernización de las infraestructuras de una empresa de estructuras de madera sostenible</t>
  </si>
  <si>
    <t>2018-M030</t>
  </si>
  <si>
    <t>Taller de reparación y lavado de vehículos</t>
  </si>
  <si>
    <t>Modernización de un taller de reparación y lavado de vehículos</t>
  </si>
  <si>
    <t>AUTOMOTO CENTER, S.L.</t>
  </si>
  <si>
    <t>2018-M031</t>
  </si>
  <si>
    <t>Empresa de mantenimiento industrial</t>
  </si>
  <si>
    <t>MEQUITEC MANTENIMIENTO, S.L.</t>
  </si>
  <si>
    <t>2018-M047</t>
  </si>
  <si>
    <t xml:space="preserve">Modernización y mejora del proceso productivo de recuperación de metales </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</si>
  <si>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</si>
  <si>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2018-M047.jpg</t>
  </si>
  <si>
    <t>METALES FRAGMENTADOS S.A.</t>
  </si>
  <si>
    <t>MODERNIZACIÓN Y MEJORA DEL PROCESO PRODUCTIVO DE EMPRESA DE RECUPERACION DE METALES</t>
  </si>
  <si>
    <t>2018-M041</t>
  </si>
  <si>
    <t>Modernización de empresa agroalimentaria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</si>
  <si>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</si>
  <si>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LA CALANDINA S.C.L.</t>
  </si>
  <si>
    <t>Calanda</t>
  </si>
  <si>
    <t>44051</t>
  </si>
  <si>
    <t>Modernización de empresa cooperativa que pasaría a reutilizar residuos de la aceituna para generar su propia biomasa</t>
  </si>
  <si>
    <t>El proyecto, al quemar biomasa como sistema de calefacción, implica la reducción del gasto electrico de la cooperativa.</t>
  </si>
  <si>
    <t>2018-M042</t>
  </si>
  <si>
    <t>Ampliación y modernización de central hotofrutícola</t>
  </si>
  <si>
    <t>EL ORUJO, CON UN SEPARADOR EL HUESO DE LA ACEITUNA PARA UTILIZARLO EN</t>
  </si>
  <si>
    <t>La instalación de los filtros asociados al nuevo horno se realiza sobre la explanada donde se desenvuelve la maquinaria de gestión de escorias. La limitación del espacio de maniobra junto con un incremento de las escorias a procesar, fuerza la reubicación de este elemento de la planta. El emplazamiento seleccionado para la recolocación del sistema de tratamiento de escorias, se encuentra en el límite occidental del perímetro de la planta. Este sistema se dota de mayor capacidad en todas sus fases y, especialmente, en la fase de inertización, dotada ahora con dos silos, que es en la que mayor tiempo permanecen las escorias. La superficie en planta de los sistemas de tratamiento de escorias pasa de unos 400 m2 a casi 1.000 m2.</t>
  </si>
  <si>
    <t>FRUTAS GUIRAL, SL</t>
  </si>
  <si>
    <t>Otras industrias alimentarias</t>
  </si>
  <si>
    <t>2018-M120</t>
  </si>
  <si>
    <t>Incorporación de tecnología avanzada en sistemas de filtración</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</si>
  <si>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</si>
  <si>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Funeraria Gijonesa S.A.</t>
  </si>
  <si>
    <t>Incorporación de un sistema de tratamiento de gases de combustion para una empresas de pompas fúnebres</t>
  </si>
  <si>
    <t>2018-M122</t>
  </si>
  <si>
    <t>Espacio Educativo 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</si>
  <si>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</si>
  <si>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https://espacioescoborola.es/trabaja-en-escoborola/</t>
  </si>
  <si>
    <t>Laura Miguel Hermoso</t>
  </si>
  <si>
    <t>Guardería infantil</t>
  </si>
  <si>
    <t>Comprometido: 3, creado 1,73</t>
  </si>
  <si>
    <t>2018-M123</t>
  </si>
  <si>
    <t>Creación de línea de negocio carsharing con plataforma de gestión para flota de vehículos 100% eléctricos y fuente de energía renovable</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</si>
  <si>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</si>
  <si>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https://www.guppy.es/asturias/</t>
  </si>
  <si>
    <t>Astur Sercomar, S.L.U.</t>
  </si>
  <si>
    <t>Servicio de gestión de una flota de vehículos 100% eléctricos mediante alquiler por uso. Servicio de coche compartido (CARSHARING), con fuente de energía renovable.</t>
  </si>
  <si>
    <t>2018-M128</t>
  </si>
  <si>
    <t>Empresa de carrozado integral de autobuses y microbuses.</t>
  </si>
  <si>
    <t>Instalación de un equipo de aspiración y filtración para mejorar las condiciones de seguridad y salud en
el trabajo y de un sistema de calefacción más eficiente, para una empresa de carrozado integral de autobuses y microbuses.</t>
  </si>
  <si>
    <t>Carroceria Ferqui, S.L.</t>
  </si>
  <si>
    <t>2018-M131</t>
  </si>
  <si>
    <t>Planta de recuperación de material refractario.</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</si>
  <si>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</si>
  <si>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Chamota S.L.</t>
  </si>
  <si>
    <t>Instalación de una nueva planta de recuperación de refractario para una empresas reconocida como Gestor de Residuos No Peligrosos</t>
  </si>
  <si>
    <t>construcción e Ingeniería civil</t>
  </si>
  <si>
    <t>Mejora de la empleabilidad (desarrollo económico alternativo)</t>
  </si>
  <si>
    <t>2021-0001</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</si>
  <si>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</si>
  <si>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Tratamiento de subproductos animales, con un presupuesto que asciende a la cantidad de 4,8 millones de euros y con un plazo de ejecución de cinco meses. La empresa deberá abonar un canon del 2% del importe total de la inversión a realizar  para la ejecución de las obras, construcciones e instalaciones, en concepto de participación municipal en el aprovechamiento urbanístico atribuido por la calificación urbanística. Asimismo, deberá depositar fianza del 3% del presupuesto de la obra a realizar.   La nueva empresa ocupará el espacio de la antigua nave de talleres de Encasur en Puertollano.</t>
  </si>
  <si>
    <t>ANIMAL BY-PRODUCTS SOLUTIONS SL</t>
  </si>
  <si>
    <t>Ciudad Real</t>
  </si>
  <si>
    <t>Puertollano</t>
  </si>
  <si>
    <t>13071</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</si>
  <si>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</si>
  <si>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Otros sectores</t>
  </si>
  <si>
    <t>2018-M132</t>
  </si>
  <si>
    <t>Adquisición y puesta en funcionamiento de maquinaria.</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</si>
  <si>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</si>
  <si>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 xml:space="preserve"> https://cotecasturias.com/corte-a-laser/</t>
  </si>
  <si>
    <t>Proyectos Metal Laser, S.L.</t>
  </si>
  <si>
    <t>Adquisición de diversa maquinaria de segunda mano para la actividad, junto con la instalación eléctrica necesaria para ello.</t>
  </si>
  <si>
    <t>2018-M133</t>
  </si>
  <si>
    <t xml:space="preserve"> Inversión para la mejora de la planificación de recursos empresariales a través de un sistema ERP/CRM.</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</si>
  <si>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</si>
  <si>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https://previnsa.com/inversion-para-la-mejora-de-la-planificacion-de-los-recursos-empresariales/</t>
  </si>
  <si>
    <t>Prevencion de Incendios Seguridad Aplicada, S.L.</t>
  </si>
  <si>
    <t>Implantación de un sistema ERP/CRM de gestión empresarial para una empresas de servicios de prevención de incendios</t>
  </si>
  <si>
    <t>2018-0013</t>
  </si>
  <si>
    <t>Creación fábrica células fotovoltaicas e implementación de mejoras tecnológicas</t>
  </si>
  <si>
    <t>BASHMOR ENGINEERING SL</t>
  </si>
  <si>
    <t>2018-M134</t>
  </si>
  <si>
    <t xml:space="preserve">Ampliación de instalaciones en una nave industrial para la fabricación vidrio </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</si>
  <si>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</si>
  <si>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Montajes y Tecnologias para Fachadas, S.L.</t>
  </si>
  <si>
    <t>2018-M045</t>
  </si>
  <si>
    <t>Caldera de biomasa para los sistemas de calefación</t>
  </si>
  <si>
    <t>AMPLIACION Y MEJORA DE CENTRAL HORTOFRUTÍCOLA</t>
  </si>
  <si>
    <t>2018-M061</t>
  </si>
  <si>
    <t>Implantación de empresa de tratamiento de pistachos</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</si>
  <si>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</si>
  <si>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2018-M061.jpg</t>
  </si>
  <si>
    <t>AGROALIMENTARIA ANDOVAL S.L.</t>
  </si>
  <si>
    <t>Andorra</t>
  </si>
  <si>
    <t>44025</t>
  </si>
  <si>
    <t>Implantación de empresa procesadora de pistachos</t>
  </si>
  <si>
    <t>2018-M137</t>
  </si>
  <si>
    <t>Adecuación y habilitación de un espacio para Realidad virtual</t>
  </si>
  <si>
    <t>Laura Tarrazo Tarrazo</t>
  </si>
  <si>
    <t>2018-M057</t>
  </si>
  <si>
    <t>2R FRUITS, SL</t>
  </si>
  <si>
    <t>2018-M141</t>
  </si>
  <si>
    <t xml:space="preserve"> Ampliación de las instalaciones de Cizero Digital con compra de un terreno y la construcción de nave.</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</si>
  <si>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</si>
  <si>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https://cizerodigital.com/subvenciones-concedidas/</t>
  </si>
  <si>
    <t>Cicero Digital, S.L.</t>
  </si>
  <si>
    <t>Adquisición de un terreno para ampliar las instalaciones de una empresa de preimpresión y reparación de soporte; Se creará una nave destinada a almacén de materias primas y nuevos departamentos de producción.</t>
  </si>
  <si>
    <t>2018-M143</t>
  </si>
  <si>
    <t>Construcción de una eco-aula dentro de una granja ecológica</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</si>
  <si>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</si>
  <si>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No he encontrado nada de la eco-aula … tienen visitas a grupos escolares, de campamentos y asociaciones pero…</t>
  </si>
  <si>
    <t>SAT Los Caserinos</t>
  </si>
  <si>
    <t>Villaviciosa</t>
  </si>
  <si>
    <t>33076</t>
  </si>
  <si>
    <t>2018-M147</t>
  </si>
  <si>
    <t>Ampliación de la actividad de las reparaciones de material quirúrgico.</t>
  </si>
  <si>
    <t xml:space="preserve">Adquisición de local y maquinaria para ampliación de la actividad de las reparaciones de material quirúrgico de la empresa </t>
  </si>
  <si>
    <t>4-ICE Medical S.L.</t>
  </si>
  <si>
    <t>2018-0018</t>
  </si>
  <si>
    <t>Construcción y puesta en marcha de una planta industrial a gran escala para el reciclaje y valorización ecológica de bpa.</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</si>
  <si>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</si>
  <si>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CLEANTECH LAB, S.L.</t>
  </si>
  <si>
    <t>Construcción y puesta en marcha de una planta industrial a gran escala para el reciclaje y valorización ecológica de BPA.</t>
  </si>
  <si>
    <t>El tipo de tecnología utilizada en este proyecto requiere una demanda de electricida un 89% menor que la media del sector. Un punto importante dado que el reciclaje de baterías tiende a ser electrointensivo</t>
  </si>
  <si>
    <t>2018-M158</t>
  </si>
  <si>
    <t>Centro asistencial para personas mayores en Trasona</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</si>
  <si>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</si>
  <si>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 xml:space="preserve"> https://mejoraresidencial.com/</t>
  </si>
  <si>
    <t>Mejora Residencial S.L.</t>
  </si>
  <si>
    <t>Corvera de Asturias</t>
  </si>
  <si>
    <t>33020</t>
  </si>
  <si>
    <t>Adaptación de hotel para centro asistencial sanitario de personas de terceras edad, especializado en daño cerebral (Alzheimer)</t>
  </si>
  <si>
    <t>2018-M058</t>
  </si>
  <si>
    <t xml:space="preserve">Ampliación de planta de instalación de máquinas y equipos industriales </t>
  </si>
  <si>
    <t>3.- INSTALACIÓN PARA EL USO BOMBONAS GAS PARA ENVASADO ACEITUNA</t>
  </si>
  <si>
    <t>SALLERAS HERMANOS, SL</t>
  </si>
  <si>
    <t xml:space="preserve">El proyecto conlleva un incremento importante en su demanda de electricidad, sin embargo, también plantea realizar un estudio y posible instalación de paneles fotovoltaicos. </t>
  </si>
  <si>
    <t>2021-0007</t>
  </si>
  <si>
    <t>Producción de aleaciones de aluminio de segunda fusión</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</si>
  <si>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</si>
  <si>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ALUSIGMA, S.A.</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</si>
  <si>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</si>
  <si>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2018-M066</t>
  </si>
  <si>
    <t>Creación escuela infantil y ludoteca</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</si>
  <si>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</si>
  <si>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chrome-extension://efaidnbmnnnibpcajpcglclefindmkaj/https://www.transicionjusta.gob.es/Documents/el_instituto/Convenios_transicion_justa/common/Castilla%20y%20Le%C3%B3n/CTJ%20Bierzo-Laciana_abril2023.pdf</t>
  </si>
  <si>
    <t>2018-M066.jpg</t>
  </si>
  <si>
    <t>REBECA PEREZ PEREIRA</t>
  </si>
  <si>
    <t>Ponferrada</t>
  </si>
  <si>
    <t>24115</t>
  </si>
  <si>
    <t xml:space="preserve">La propuesta es crear una ludoteca-escuela que siga principios de la educación Montessori. No lo consideramos innovador porque ya existen 6 ludotecas públicas en la zona. </t>
  </si>
  <si>
    <t>2018-M062</t>
  </si>
  <si>
    <t>EXCELSIORFRUIT, SL</t>
  </si>
  <si>
    <t>AMPLIACION Y MEJORA DE CENTRAL HORTOFRUTICOLA</t>
  </si>
  <si>
    <t>2021-0083</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</si>
  <si>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</si>
  <si>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Construccion de una nave con la que se pueda incrementar la produccion de vigas y placas y adquisición de nuevos moldes de mesas y un molde universal. Nuevos puntos de estocaje y carga de camiones y una zona cubierta de pre stock para pintura y repasos de las piezas.</t>
  </si>
  <si>
    <t>HORMIPRESA CENTRO SUR S.L.U</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</si>
  <si>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</si>
  <si>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2021-0004</t>
  </si>
  <si>
    <t xml:space="preserve">Ampliación y mejora de central hortofrutícola </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</si>
  <si>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</si>
  <si>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2021-0010</t>
  </si>
  <si>
    <t>Creación de una plataforma logística para el servicio auxiliar a la industria.</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</si>
  <si>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</si>
  <si>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https://grupopico.es/</t>
  </si>
  <si>
    <t>TRANSPORTES FAMILIA PICO, S.L.</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</si>
  <si>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</si>
  <si>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2021-0012</t>
  </si>
  <si>
    <t>Nueva línea de productos Logic, Flat y Basic</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</si>
  <si>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</si>
  <si>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en patrocinadores se mecnciona al ministerio de hacienda al IDEPA, los fondos FEDER…pero no al ITJ.</t>
  </si>
  <si>
    <t>NAECO, S.L.</t>
  </si>
  <si>
    <t>San Martín del Rey Aurelio</t>
  </si>
  <si>
    <t>33060</t>
  </si>
  <si>
    <t>Desarrollo de nuevas gamas de producto de palets logic, flay y basic.</t>
  </si>
  <si>
    <t>2021-0019</t>
  </si>
  <si>
    <t>Nuevo hotel en Oviedo</t>
  </si>
  <si>
    <t>Promociones y Construcciones Alvarez S.L.</t>
  </si>
  <si>
    <t>2021-0021</t>
  </si>
  <si>
    <t>Centro de atención a mayores en la modalidad de alojamiento en Sama de Langreo.</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</si>
  <si>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</si>
  <si>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 xml:space="preserve"> https://www.elcomercio.es/area-metropolitana-asturias/cuencas/aramo-crea-hogares-nueva-residencia-mayores-sama-20240620224518-nt.html</t>
  </si>
  <si>
    <t>ARAMO NALON S.L.</t>
  </si>
  <si>
    <t>Centro de atencion a mayores con una capacidad para 118 plazas, aula de formacion y centro de rehabilitacion.</t>
  </si>
  <si>
    <t>2018-M073</t>
  </si>
  <si>
    <t>Rehabilitación de 4 viviendas para convertir en apartamentos turísticos</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</si>
  <si>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</si>
  <si>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2018-M073.jpg</t>
  </si>
  <si>
    <t>Manuel Meana Canal, S.L.</t>
  </si>
  <si>
    <t>Reforma de viviendas para transformar en apartamentos turísticos</t>
  </si>
  <si>
    <t>2021-0064</t>
  </si>
  <si>
    <t xml:space="preserve">Hotel Palacio de Rubianes </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</si>
  <si>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</si>
  <si>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 https://www.turismoasturias.es/organiza-tu-viaje/donde-dormir/alojamiento/hoteles/palacio-de-rubianes</t>
  </si>
  <si>
    <t>LA FORNELLONA, S.L.</t>
  </si>
  <si>
    <t>Piloña</t>
  </si>
  <si>
    <t>33049</t>
  </si>
  <si>
    <t>Proyecto de adaptación y adecuación del hotel “Palacio de Rubianes” en el concejo de Piloña. Rehabilitación y mejora de las instalaciones del hotel empleando criterios de sostenibilidad, eficiencia energética y promoción de la economía autóctona.</t>
  </si>
  <si>
    <t>2021-0092</t>
  </si>
  <si>
    <t>Creación de un nuevo centro de trabajo para la fabricación de isométricos para los sectores naval e industrial.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</si>
  <si>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</si>
  <si>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https://www.hunosaempresas.es/2021/12/22/hunosa-empresas-apoya-un-proyecto-de-fabricacion-de-tuberias-metalicas-para-el-sector-naval/</t>
  </si>
  <si>
    <t>TRABAJOS Y SERVICIOS NORTE S.L (SERTRA)</t>
  </si>
  <si>
    <t>Nueva actividad: la fabricación de tuberías metálicas para los sectores naval e industrial.</t>
  </si>
  <si>
    <t>2021-M004</t>
  </si>
  <si>
    <t>Clínica podológica con posibilidad de incorporar otros profesionales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</si>
  <si>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</si>
  <si>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https://www.clinicaacerete.es/</t>
  </si>
  <si>
    <t>ADRIAN ACERETE PACHECO</t>
  </si>
  <si>
    <t>Clínica de podología</t>
  </si>
  <si>
    <t>2021-M016</t>
  </si>
  <si>
    <t xml:space="preserve">Modernización y diversificación  del departamento de impresión en gran formato. </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</si>
  <si>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</si>
  <si>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Incorporacion de una maquina puntera de impresion industrial, la EFI VUTEK 32 H, y la incorporacion de dos maquinas accesorias para el termosellado perimetral de lonas y para la colocacion de ojales perimetrales.</t>
  </si>
  <si>
    <t>2018-0020</t>
  </si>
  <si>
    <t>Instalación y puesta en marcha de línea de deshidratación de alimentos</t>
  </si>
  <si>
    <t>DRYMOONTECHNOLOGY INGREDIENTS, S. L.</t>
  </si>
  <si>
    <t>Cacabelos</t>
  </si>
  <si>
    <t>24030</t>
  </si>
  <si>
    <t>La empresa plantea usar productos locales y ecológicos. Esto podría dinamizar el tejido socio-económico local</t>
  </si>
  <si>
    <t>2021-M018</t>
  </si>
  <si>
    <t>Subvención por inversión en una maquina enlatadora y fermentadores</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</si>
  <si>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</si>
  <si>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CERVEZA CALEYA SL</t>
  </si>
  <si>
    <t>Adquisición de maquina enlatadora de cerveza y dos tanques de fermentación y su instalacion</t>
  </si>
  <si>
    <t>2021-M020</t>
  </si>
  <si>
    <t>Integral Thermal Shield</t>
  </si>
  <si>
    <t>Integral Thermal Shield, S.L., destinada a combatir situaciones de calor extremo, acomete una ampliación de su capacidad productiva al objeto de proceder al lanzamiento a nivel nacional de su marca deportiva Veskin, ropa deportiva personalizada de altas prestaciones.</t>
  </si>
  <si>
    <t>INTEGRAL THERMAL SHIELD,S.L.</t>
  </si>
  <si>
    <t>2021-M022</t>
  </si>
  <si>
    <t>Mejora y ampliación de las instalaciones.</t>
  </si>
  <si>
    <t>Compra de inmueble actual y mejora y ampliación de las instalaciones.</t>
  </si>
  <si>
    <t>CARLOS MEANA PEREZ</t>
  </si>
  <si>
    <t>Castrillón</t>
  </si>
  <si>
    <t>33016</t>
  </si>
  <si>
    <t>2021-M023</t>
  </si>
  <si>
    <t>Clínica de fisioterapia</t>
  </si>
  <si>
    <t>Creación de nueva clínica de fisioterapia, así como adquisición de material y maquinaria para la misma</t>
  </si>
  <si>
    <t>IFV FISIOTERAPIA</t>
  </si>
  <si>
    <t>Avilés</t>
  </si>
  <si>
    <t>33004</t>
  </si>
  <si>
    <t>2021-0013</t>
  </si>
  <si>
    <t>Construcción y equipamiento de una planta de fabricación de potasa caustica</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</si>
  <si>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</si>
  <si>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2021-0013.jpg</t>
  </si>
  <si>
    <t>DERIVADOS ELECTROQUIMICOS DE TERUEL, SL</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</si>
  <si>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</si>
  <si>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2021-0016</t>
  </si>
  <si>
    <t xml:space="preserve">Modernización de una de las lineas de producción </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</si>
  <si>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</si>
  <si>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https://gilescoin.com/</t>
  </si>
  <si>
    <t>2021-0016.jpg</t>
  </si>
  <si>
    <t>JESUS GIL ESCOIN, S.A.</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</si>
  <si>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</si>
  <si>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2021-M024</t>
  </si>
  <si>
    <t>Nueva clinica dental en Oviedo</t>
  </si>
  <si>
    <t>Adecuación de local y dotación del mismo con bienes y aparatologia e instrumental necesaria para la apertura de nueva clinica dental en Oviedo</t>
  </si>
  <si>
    <t>LAURA MARTINEZ YAGÜE</t>
  </si>
  <si>
    <t>2021-M025</t>
  </si>
  <si>
    <t>Instalación de una plataforma barapodométrica</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</si>
  <si>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</si>
  <si>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 xml:space="preserve"> https://clinicajlmartinez.com/aparatologia-eficiente/</t>
  </si>
  <si>
    <t>JOSE LUIS MARTINEZ GARCIA</t>
  </si>
  <si>
    <t>2021-0029</t>
  </si>
  <si>
    <t>Nueva residencia de 3ª edad en cubillos del sil</t>
  </si>
  <si>
    <t xml:space="preserve">Apertura de residencia de la 3ª edad de 162 plazas en cubillos del sil. esta residencia se construyó en el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
</t>
  </si>
  <si>
    <t>https://www.infobierzo.com/videos/el-grupo-las-encinas-inaugura-la-residencia-rio-sil-en-cubillos-con-138-plazas-multiples-servicios-y-mas-de-13-000m-c2-b2-entre-edificio-y-jardines_770898_102.html</t>
  </si>
  <si>
    <t>2021-0029.jpg</t>
  </si>
  <si>
    <t>ARISOLIS AMBIENTAL, S. L.</t>
  </si>
  <si>
    <t>Cubillos del Sil</t>
  </si>
  <si>
    <t>24064</t>
  </si>
  <si>
    <t>Nueva residencia de 3ª edad en Cubillos del Sil</t>
  </si>
  <si>
    <t>2021-M030</t>
  </si>
  <si>
    <t xml:space="preserve">Nueva clínica de fisioterapia y osteopatía. </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</si>
  <si>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</si>
  <si>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LAURA ARGÜELLES MOVILLO</t>
  </si>
  <si>
    <t>Se corrige el empleo comprometido que es 1. El empleo creado también es 1</t>
  </si>
  <si>
    <t>2021-M031</t>
  </si>
  <si>
    <t xml:space="preserve">Comercio al por mayor destinado al sector de flores y plantas </t>
  </si>
  <si>
    <t>Comercio al por mayor destinado al sector de flores y plantas y la implementación de un entorno de comercio electronico para acceder a nuestro catálogo de productos on-line.</t>
  </si>
  <si>
    <t>ACCESORIOS MORENTE S.L.</t>
  </si>
  <si>
    <t>Se corrige el empleo comprometido que es 2 (1 de plantilla y 1 autónomo). El empleo creado es 2</t>
  </si>
  <si>
    <t>2021-0031</t>
  </si>
  <si>
    <t xml:space="preserve">Ampliación de la capacidad productiva </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</si>
  <si>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</si>
  <si>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2021-0031.jpg</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</si>
  <si>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</si>
  <si>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2021-M041</t>
  </si>
  <si>
    <t>Nueva planta de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</si>
  <si>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</si>
  <si>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RECUPLAS ECONOMIA CIRCULAR, SL</t>
  </si>
  <si>
    <t>Puesta en marcha de una planta para el reciclaje de plásticos</t>
  </si>
  <si>
    <t>2023-G054</t>
  </si>
  <si>
    <t>Rehabilitación de edificio como centro de día para personas con discapacidad intelectual</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</si>
  <si>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</si>
  <si>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https://www.europasur.es/campo-de-gibraltar/asansull-jockey-ayudas-gobierno-proyectos_0_2001265103.html
https://www.europasur.es/lalinea/asansull-centro-personas-discapacidad-transicion-justa_0_1884412853.html</t>
  </si>
  <si>
    <t>ASOC PRO-PERSONAS CON NECESIDADES SOCIO-EDUCATIVAS ESPECIALES (ASANSULL)</t>
  </si>
  <si>
    <t>Andalucía</t>
  </si>
  <si>
    <t>Cádiz</t>
  </si>
  <si>
    <t>Línea de la Concepción, La</t>
  </si>
  <si>
    <t>11022</t>
  </si>
  <si>
    <t>Los Barrios</t>
  </si>
  <si>
    <t>2021-M052</t>
  </si>
  <si>
    <t>Sistema de escaneado portátil de alta precisión</t>
  </si>
  <si>
    <t xml:space="preserve">Adquisición de un sistema de escaneado portátil de alta precisión incluido el software necesario para la captación de datos, para la ingeniería inversa y metrología. </t>
  </si>
  <si>
    <t xml:space="preserve">RADOSLAW POLCHLOPEK </t>
  </si>
  <si>
    <t>2021-M054</t>
  </si>
  <si>
    <t>Nueva creación de alojamiento turístico (albergue/pensión) especializado en Camino de Santiago, situado en Plaza Veiga del Rey, s/n, en Salas.</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</si>
  <si>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</si>
  <si>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MANUEL ANGEL MEDINA RODRIGUEZ</t>
  </si>
  <si>
    <t>Salas</t>
  </si>
  <si>
    <t>33059</t>
  </si>
  <si>
    <t>Creación de albergue/pensión en Salas situado en pleno camino primitivo de Santiago.</t>
  </si>
  <si>
    <t>2021-M055</t>
  </si>
  <si>
    <t>Clínica dental y de cirugía implantoógica, prótesis y periimplantología de nueva creación en la localidad de Infiesto (Piloña, Asturias).</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</si>
  <si>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</si>
  <si>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FERNANDO VILLANUEVA FRESNO</t>
  </si>
  <si>
    <t>Creación de la clínica de odontología.</t>
  </si>
  <si>
    <t>2021-0085</t>
  </si>
  <si>
    <t>Creación de unas instalaciones para la fabricación de reactores para el tratamiento de residuos.</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</si>
  <si>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</si>
  <si>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2021-0085.jpg</t>
  </si>
  <si>
    <t>THERMOWASTE S.L.</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</si>
  <si>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</si>
  <si>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2021-M059</t>
  </si>
  <si>
    <t>Apartamentos turísticos en Melarde</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</si>
  <si>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</si>
  <si>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https://elbalcondelsueve.com/apartamentos/</t>
  </si>
  <si>
    <t>ESPACIOS PASSIVHAUS DE ASTURIAS S.L.</t>
  </si>
  <si>
    <t>Construcción de 3 apartamentos turísticos bajo el estándar Passivhaus para su posterior explotación turística</t>
  </si>
  <si>
    <t>2021-M061</t>
  </si>
  <si>
    <t>Centro de alta tecnología diagnóstica</t>
  </si>
  <si>
    <t>Puesta en marcha de un nuevo centro de alta tecnología diagnóstica y asistencia clínica. Adquisición de un escaner para tomografía axial computerizada, un equipo para radiografía digital de altas prestaciones y un ecógrafo doppler.</t>
  </si>
  <si>
    <t>SALUD Y TECNOLOGIA ASTURIANA, S.L.</t>
  </si>
  <si>
    <t>2023-G092</t>
  </si>
  <si>
    <t xml:space="preserve">Ampliación de la planta productiva </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</si>
  <si>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</si>
  <si>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https://www.eldiadecordoba.es/provincia/siete-proyectos-empresariales-invertiran-36_0_2001119704.html</t>
  </si>
  <si>
    <t>RECAM LASER, SL</t>
  </si>
  <si>
    <t>Córdoba</t>
  </si>
  <si>
    <t>Espiel</t>
  </si>
  <si>
    <t>14026</t>
  </si>
  <si>
    <t>Guadiato</t>
  </si>
  <si>
    <t>2021-M063</t>
  </si>
  <si>
    <t>Implantación curvadora CNC para perfiles complejos</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</si>
  <si>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</si>
  <si>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https://tecurmetal.com/</t>
  </si>
  <si>
    <t>TECUR METAL S.L.</t>
  </si>
  <si>
    <t xml:space="preserve">Puesta en marcha de Tecur Metal S.L. con la implementación de inversiones tecnológicas que permitan destacar a la empresa de entre otras enmarcadas en el sector metal. Se contempla el curvado de precisión como una tecnología diferenciadora. </t>
  </si>
  <si>
    <t>2021-M073</t>
  </si>
  <si>
    <t>Clínica odontológica.</t>
  </si>
  <si>
    <t>SONIA GONZÁLEZ FEITO</t>
  </si>
  <si>
    <t>2021-M097</t>
  </si>
  <si>
    <t xml:space="preserve">Hotel en Lugones </t>
  </si>
  <si>
    <t>Hosteleria Nor S.L. gestiona un hotel en Lugones de 35 habitaciones y se pretende la adaptacion del mismo a centro de mayores en la modalidad de alojamiento, con 8 habitaciones dobles y 21 individuales para una capcacidad total de 37 plazas</t>
  </si>
  <si>
    <t>HOSTELERIA NOR SL</t>
  </si>
  <si>
    <t>2021-M100</t>
  </si>
  <si>
    <t>Adquisición de bienes de equipo para el 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</si>
  <si>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</si>
  <si>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Adquisición de bienes de equipo, software y utillaje para dotar un nuevo hospital que inauguraremos en Gijón en los próximos meses</t>
  </si>
  <si>
    <t>2021-M105</t>
  </si>
  <si>
    <t xml:space="preserve"> Nueva planta industrial para la fabricación de bobinas </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</si>
  <si>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</si>
  <si>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https://www.talleresmonge.com/</t>
  </si>
  <si>
    <t>TALLERES ELECTROMECANICOS MONGE, S.L.</t>
  </si>
  <si>
    <t>Nueva planta industrial para la fabricación de bobinados de motores electricos y mantenimiento de transformadores industriales.</t>
  </si>
  <si>
    <t>2021-M107</t>
  </si>
  <si>
    <t>Ampliación de la oferta asistencial en una clínica.</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</si>
  <si>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</si>
  <si>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https://fisioterapiatorielli.com/</t>
  </si>
  <si>
    <t>DOCTA AREA SANITARIA, S.L.</t>
  </si>
  <si>
    <t>Ampliación de la oferta asistencial incorporando el área de fisioterapia y ampliación del área de odontología.</t>
  </si>
  <si>
    <t>a.sanitarias y de S. sociales</t>
  </si>
  <si>
    <t>2021-M116</t>
  </si>
  <si>
    <t>Reforma de edificación y urbanización para empresa de trabajos medioambientales y forestales</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</si>
  <si>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</si>
  <si>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https://www.nemorastur.com/</t>
  </si>
  <si>
    <t>NEMORASTUR, S.L.</t>
  </si>
  <si>
    <t>Aller</t>
  </si>
  <si>
    <t>33002</t>
  </si>
  <si>
    <t>Reforma de las instalaciones  y dotación de un espacio para deposito de la maquinaria y aparcamiento de vehiculos necesario para la ejecucion de los servicios que ofrece la empresa.</t>
  </si>
  <si>
    <t>2021-M120</t>
  </si>
  <si>
    <t>Nueva policlínica podológica.</t>
  </si>
  <si>
    <t>Ampliación de actividad mediante nueva policlínica podológica.</t>
  </si>
  <si>
    <t>DE YÑIGO &amp; NICOLAS C.B.</t>
  </si>
  <si>
    <t>2021-M132</t>
  </si>
  <si>
    <t>Instalación de una planta para el secado y tratamiento térmico de la madera con fuente de calor renovable.</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</si>
  <si>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</si>
  <si>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 xml:space="preserve"> https://www.tinastur.com/</t>
  </si>
  <si>
    <t>TINASTUR SCL ASTUR</t>
  </si>
  <si>
    <t>Tineo</t>
  </si>
  <si>
    <t>33073</t>
  </si>
  <si>
    <t>Instalacion de un secadero de madera con una caldera de biomasa como fuente de calor elegida.</t>
  </si>
  <si>
    <t>2021-M134</t>
  </si>
  <si>
    <t>Ampliación Residencia geriátrica.</t>
  </si>
  <si>
    <t>Ampliación de una edificación destinada a residencia geriátrica.</t>
  </si>
  <si>
    <t>RESIDENCIALES ASSOR, S.L.</t>
  </si>
  <si>
    <t>2021-M141</t>
  </si>
  <si>
    <t>Nueva clinica de fisioterapia</t>
  </si>
  <si>
    <t>Nueva clinica especializada en fisioterapia y recuperacion funcional mediante pilates</t>
  </si>
  <si>
    <t>LABRUM - MARCOS GARCÍA ALONSO</t>
  </si>
  <si>
    <t>2021-M147</t>
  </si>
  <si>
    <t>Ampliación de capacidad del Tanatorio "La Florida" mediante la incorporación de tecnología avanzada para el proceso de incineración.</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</si>
  <si>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</si>
  <si>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FUNERARIAS DEL NALÓN, S.A.</t>
  </si>
  <si>
    <t>Ampliación de la capacidad de las instalaciones del tanatorio La Florida, ubicado en Sotrondio y adquisición de un nuevo horno de cremación.</t>
  </si>
  <si>
    <t>2021-M150</t>
  </si>
  <si>
    <t>Ampliación Tanatorio Los Arenales y nuevo horno crematorio.</t>
  </si>
  <si>
    <t>Ampliación de la capacidad operativa de las instalaciones del Tanatorio Los Arenales y adquisición de un nuevo horno crematorio.</t>
  </si>
  <si>
    <t>FUNERARIAS REUNIDAS S.A.</t>
  </si>
  <si>
    <t>2021-M152</t>
  </si>
  <si>
    <t>Instalación de un centro de día.</t>
  </si>
  <si>
    <t>CENTRO DE DIA SIERO</t>
  </si>
  <si>
    <t>2021-M169</t>
  </si>
  <si>
    <t>CLINICA GARCIA DE CASTRO DENTAL</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</si>
  <si>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</si>
  <si>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https://clinicagarciadecastro.com/</t>
  </si>
  <si>
    <t>GARCIA DE CASTRO DENTAL SLP</t>
  </si>
  <si>
    <t>Apertura de clinica dental en bajo comercial</t>
  </si>
  <si>
    <t>2021-M171</t>
  </si>
  <si>
    <t xml:space="preserve">Maquinaria de corte de madera </t>
  </si>
  <si>
    <t>Adquisicion de una nueva maquina de corte de madera y toda la instalacion necesaria para su funcionamiento</t>
  </si>
  <si>
    <t>TANO FERNANDEZ, S.L.</t>
  </si>
  <si>
    <t>2021-M178</t>
  </si>
  <si>
    <t>Apartamentos turísticos en Avilés</t>
  </si>
  <si>
    <t>Construcción de apartamentos turisticos</t>
  </si>
  <si>
    <t>HOTEL VILLALEGRE CB</t>
  </si>
  <si>
    <t>2021-M179</t>
  </si>
  <si>
    <t>"Polin" instalación de exposiciones y compra de inmovilizado material.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</si>
  <si>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</si>
  <si>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LA LLERA POLIN S.L</t>
  </si>
  <si>
    <t>Instalacion de envasadora automatica para big-bag y de exposiciones de venta de productos al mayor</t>
  </si>
  <si>
    <t>2021-M181</t>
  </si>
  <si>
    <t>Fabricación por mecanizado de piezas metálicas</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</si>
  <si>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</si>
  <si>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CONSTRUCCIONES MECANICAS ELGO, S.L.</t>
  </si>
  <si>
    <t>Ampliación y modernización de la actividad de la empresa realizando nuevos trabajos y mayor fabricación en serie para terceros, de piezas metálicas mediante torneado, fresado , pulido etc</t>
  </si>
  <si>
    <t>2021-0048</t>
  </si>
  <si>
    <t>Mejora planta de procesado de fruta</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</si>
  <si>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</si>
  <si>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SAT 4301 RIO CINCA</t>
  </si>
  <si>
    <t>2021-0069</t>
  </si>
  <si>
    <t>Nueva planta de obtención, selección y envasado de semillas.</t>
  </si>
  <si>
    <t>Instalación de una nueva planta de obtención, selección y envasado de semillas, constituido por dos áreas bien diferenciadas, destinadas a gran cultivo y cultivo hobby</t>
  </si>
  <si>
    <t>SEMILLAS BATLLE, S.A.</t>
  </si>
  <si>
    <t>Empleo comprometido: 11, Empleo creado: 7</t>
  </si>
  <si>
    <t>2021-0108</t>
  </si>
  <si>
    <t>Proyecto de economía circular para planta de valorización de nfvu</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</si>
  <si>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</si>
  <si>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https://www.diariopalentino.es/noticia/z75657bb1-0000-2792-4bbe15f356bd3567/202106/proyectan-en-guardo-una-planta-de-valorizacion-de-neumaticos</t>
  </si>
  <si>
    <t>2021-0108.jpg</t>
  </si>
  <si>
    <t>MINA URBANA NORTE S.L.</t>
  </si>
  <si>
    <t>Proyecto de economía circular para planta de valorización de NFVU</t>
  </si>
  <si>
    <t>2021-M001</t>
  </si>
  <si>
    <t>Mejoras tecnológicas en central hortofrutícola</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</si>
  <si>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</si>
  <si>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2021-M007</t>
  </si>
  <si>
    <t>Alojamiento turístico adaptado a personas con movilidad reducida</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</si>
  <si>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</si>
  <si>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2021-M007.jpg</t>
  </si>
  <si>
    <t>GANADOS JULIANS.L.</t>
  </si>
  <si>
    <t>Hostal 4 habitaciones dobles para personas con discapacidad habilitado todas las estancias.</t>
  </si>
  <si>
    <t>2023-P029</t>
  </si>
  <si>
    <t>Nueva línea industrial de tostado y envasado de pistacho ecológico</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</si>
  <si>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</si>
  <si>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ISIDRO CASTILLEJO MONTERO</t>
  </si>
  <si>
    <t>Fuente Obejuna</t>
  </si>
  <si>
    <t>14029</t>
  </si>
  <si>
    <t>2023-P033</t>
  </si>
  <si>
    <t>Adquisición de maquinaria para mejora de la calidad y aumentar el período de caducidad de los productos</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</si>
  <si>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</si>
  <si>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PRODUCTOS DE LA CAZA Y EL CERDO IBERICO EL CANITO SL</t>
  </si>
  <si>
    <t>Villaviciosa de Córdoba</t>
  </si>
  <si>
    <t>14073</t>
  </si>
  <si>
    <t>2023-P046</t>
  </si>
  <si>
    <t>Aumento de la capacidad productiva de fábrica de componentes para refrigeración, climatización y aire acondicionado</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</si>
  <si>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</si>
  <si>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SOLAR ELEMENT, SL</t>
  </si>
  <si>
    <t>2021-M038</t>
  </si>
  <si>
    <t xml:space="preserve">Ampliación y mejora de una central hortofrutícola. </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</si>
  <si>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</si>
  <si>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2023-G007</t>
  </si>
  <si>
    <t>EXIOM Solar Ibérica: Fábrica de módulos fotovoltaicos.</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</si>
  <si>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</si>
  <si>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https://www.exiomsolution.com/iberdrola-se-alia-con-la-exiom-para-liderar-la-fabricacion-de-paneles-solares-fotovoltaicos-en-espana/</t>
  </si>
  <si>
    <t>EXIOM SOLAR IBERICA S.L.</t>
  </si>
  <si>
    <t xml:space="preserve">Nueva planta de fabricación de módulos fotovoltáicos de última generación </t>
  </si>
  <si>
    <t>2021-M039</t>
  </si>
  <si>
    <t>Adquisición de un robot de soldadura</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</si>
  <si>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</si>
  <si>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RIGUAL, S.A.</t>
  </si>
  <si>
    <t>2023-G011</t>
  </si>
  <si>
    <t>Línea de pintura en polvo y horno de decapado por pirólisis</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</si>
  <si>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</si>
  <si>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 xml:space="preserve"> https://www.dimensionpinturas.com/#tecnologia-aplicada</t>
  </si>
  <si>
    <t>DIMENSION, APLICACION DE PINTURAS, SA</t>
  </si>
  <si>
    <t>Nueva línea de pinturas en polvo y horno de decapado por pirólisis</t>
  </si>
  <si>
    <t>2023-G028</t>
  </si>
  <si>
    <t>Embotelladora : Captación, envasado y comercialización de agua mineral natural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</si>
  <si>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</si>
  <si>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MANANTIAL DE COMILLERA, S.L.</t>
  </si>
  <si>
    <t>Sobrescobio</t>
  </si>
  <si>
    <t>33067</t>
  </si>
  <si>
    <t>Instalación de una planta envasadora de agua mineral natural</t>
  </si>
  <si>
    <t>2021-M019</t>
  </si>
  <si>
    <t>Gimnasio de elite</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</si>
  <si>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</si>
  <si>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2021-M019.jpg</t>
  </si>
  <si>
    <t>ANABEL RODRÍGUEZ BARBEITO</t>
  </si>
  <si>
    <t>2023-G061</t>
  </si>
  <si>
    <t>Centro de atención residencial para personas mayores Palacio de Tiroco La Felguera</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</si>
  <si>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</si>
  <si>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RESIDENCIAL PALACIO DE TIROCO SL</t>
  </si>
  <si>
    <t xml:space="preserve">Construcción de un nuevo centro geriátrico </t>
  </si>
  <si>
    <t>2023-G067</t>
  </si>
  <si>
    <t>Centro de atención a mayores en la modalidad de alojamiento.</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</si>
  <si>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</si>
  <si>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PROMOTORA DE VIVIENDAS DE ASTURIAS SL</t>
  </si>
  <si>
    <t xml:space="preserve">Construcción de un edificio para centro de mayores en la modalidad de alojamiento </t>
  </si>
  <si>
    <t>2023-G071</t>
  </si>
  <si>
    <t>Nueva planta industrial de fabricación de queso mozzarella.</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</si>
  <si>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</si>
  <si>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https://www.royal-aware.com/es/royal-a-ware-adquiere-la-empresa-l%C3%A1ctea-espa%C3%B1ola-danone.html</t>
  </si>
  <si>
    <t>A-WARE ASTURIAS, S.L.U.</t>
  </si>
  <si>
    <t>Nueva planta industrial de fabricación de queso mozzarella</t>
  </si>
  <si>
    <t>2023-P040</t>
  </si>
  <si>
    <t>Ampliación y modernización de clínica veterinaria.</t>
  </si>
  <si>
    <t>Ampliación y modernización de clínica veterinaria con la adquisición de aparatos de diagnóstico de última generación</t>
  </si>
  <si>
    <t>MR. VET MERINDADES S.L.</t>
  </si>
  <si>
    <t>2023-P051</t>
  </si>
  <si>
    <t>Ampliación de la capacidad productiva</t>
  </si>
  <si>
    <t>PRECISE CNC, S.L.</t>
  </si>
  <si>
    <t>Miranda de Ebro</t>
  </si>
  <si>
    <t>09219</t>
  </si>
  <si>
    <t>2021-M043</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</si>
  <si>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</si>
  <si>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FRUTAS PONS, SL</t>
  </si>
  <si>
    <t>2021-M049</t>
  </si>
  <si>
    <t>Modernización de instalaciones</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</si>
  <si>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</si>
  <si>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COMUNIDAD DE REGANTES DEL GUADALOPE</t>
  </si>
  <si>
    <t>Cerramiento zona de almacenaje de bobinas de papel. Modificacion en instalaciones electricas, de refrigeracion y climatizacion. Adecuacion zona de direccion y sala de reunion. Adecuacion zona de baños y cambio de puerta de almacén</t>
  </si>
  <si>
    <t>2021-M064</t>
  </si>
  <si>
    <t>Centro de fisioterapia y rehabilitación</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</si>
  <si>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</si>
  <si>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SANDRA GODIA</t>
  </si>
  <si>
    <t>2021-M033</t>
  </si>
  <si>
    <t>Modernizacion de maquina bañadora de chocolate con tunel de frio.</t>
  </si>
  <si>
    <t xml:space="preserve">Se requiere modernizacion de maquina bañadora de chocolate con tunel de frio.
el actual se encuentra al final de su vida util ademas de empezar a crearnos un cuello de botella en nuestra produccion. es decir, con el tunel actual no damos abasto en periodos de alta produccion,
por ultimo, el equipo actual nos esta empezando a dar problemas en piezas que son caras y dificiles de conseguir, por lo que la adquisicion de una nueva maquina es de vital importancia para nuestra pequeña empresa
</t>
  </si>
  <si>
    <t>2021-M033.jpg</t>
  </si>
  <si>
    <t>PASTAS Y HOJALDRES UKO S.L.</t>
  </si>
  <si>
    <t>Cervera de Pisuerga</t>
  </si>
  <si>
    <t>34056</t>
  </si>
  <si>
    <t>2023-P076</t>
  </si>
  <si>
    <t>Adquisición de equipos para aumentar la capacidad productiva</t>
  </si>
  <si>
    <t>DESARROLLOS MECÁNICOS INDUSTRIALES MIRANDESES SL</t>
  </si>
  <si>
    <t>2023-P136</t>
  </si>
  <si>
    <t>Creación de un aula formativa agraria comarcal</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</si>
  <si>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</si>
  <si>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SOLUCIONES Y GESTIONES AGROGANADERAS GUADIATO SL</t>
  </si>
  <si>
    <t>2023-P089</t>
  </si>
  <si>
    <t>Rehabilitación de vivienda como casa rural</t>
  </si>
  <si>
    <t>Se trata de la creación de una nueva casa rural en uno de los municipios con mayor poder de atracción de la Cuadrilla de Añana, muy próxima al Valle Salado.</t>
  </si>
  <si>
    <t>MENDIKO OSTATU ETXEA S.L.</t>
  </si>
  <si>
    <t>País Vasco</t>
  </si>
  <si>
    <t>Araba/Álava</t>
  </si>
  <si>
    <t>Valdegovía/Gaubea</t>
  </si>
  <si>
    <t>01055</t>
  </si>
  <si>
    <t>2021-M068</t>
  </si>
  <si>
    <t>Adquisicion Laser de fibra para corte de chapa</t>
  </si>
  <si>
    <t>Adquisicion e instalación de un laser de fibra para corte de chapa. Adecuación de una zona de solar como zona de accesos y maniobra. Adquisición de una carretilla elevadora electrónica.</t>
  </si>
  <si>
    <t>2021-M084</t>
  </si>
  <si>
    <t>Adecuación y equipamiento de unas nuevas instalaciones</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</si>
  <si>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</si>
  <si>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2021-M084.jpg</t>
  </si>
  <si>
    <t>CARNICAS ORTIN SL</t>
  </si>
  <si>
    <t>Adecuación y equipamiento de unas nuevas instalaciones adquiridas por las empresa a los efectos de mejorar e incrementar su producción y calidad del producto.</t>
  </si>
  <si>
    <t>2023-P116</t>
  </si>
  <si>
    <t>Construcción de una nueva fábrica de elaboración de quesos artesanos de
 leche de oveja.</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</si>
  <si>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</si>
  <si>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https://www.diariodeburgos.es/noticia/zf629a963-f1b6-0ebb-916cd62276fe3ad9/202312/9-empresas-recibiran-15-millones-en-ayudas-para-inversiones</t>
  </si>
  <si>
    <t>LAFUENTE CARRERAS JOSÉ LORENZO Y CARLOS SC</t>
  </si>
  <si>
    <t>Busto de Bureba</t>
  </si>
  <si>
    <t>09060</t>
  </si>
  <si>
    <t>Construcción de una nueva fábrica de elaboración de quesos artesanos de_x000D_ leche de oveja.</t>
  </si>
  <si>
    <t>2021-M087</t>
  </si>
  <si>
    <t>Fabricación de pienso compuesto para alimentación del sector porcino.</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</si>
  <si>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</si>
  <si>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CINCAPORC, SAU</t>
  </si>
  <si>
    <t>2021-M088</t>
  </si>
  <si>
    <t>Fabrica procesado de frutas y hortalizas</t>
  </si>
  <si>
    <t>Adecuación de nueva fabrica para ampliación de la actividad de procesado de frutas y hortalizas peladas, troceadas y envasadas listas para su consumo.</t>
  </si>
  <si>
    <t>PIPS NATURE, S.L.</t>
  </si>
  <si>
    <t>2021-M089</t>
  </si>
  <si>
    <t>Diseño, desarrollo e industrialización de nuevos materiales, derivados de elementos naturales</t>
  </si>
  <si>
    <t>Diseño, desarrollo e industrialización de nuevos materiales, derivados de elementos naturales, con elevadas prestaciones mecánicas, con el fin de sustituir materiales derivados del petróleo.</t>
  </si>
  <si>
    <t>SILVESTRINA SOCIEDAD COOPERATIVA MADRILEÑA</t>
  </si>
  <si>
    <t>Aguaviva</t>
  </si>
  <si>
    <t>44004</t>
  </si>
  <si>
    <t>2023-P082</t>
  </si>
  <si>
    <t>Creación de una albergue juvenil para celebración de campamentos estivales, cursos de formación y proyectos de movilidad internacional</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</si>
  <si>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</si>
  <si>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https://xeracion.org/nosotros/</t>
  </si>
  <si>
    <t>ASOCIACION XERACION</t>
  </si>
  <si>
    <t>Galicia</t>
  </si>
  <si>
    <t>Coruña, A</t>
  </si>
  <si>
    <t>Ferrol</t>
  </si>
  <si>
    <t>15036</t>
  </si>
  <si>
    <t>As Pontes</t>
  </si>
  <si>
    <t>2021-M086</t>
  </si>
  <si>
    <t>Apertura de un centro audiológico "mg audiología"</t>
  </si>
  <si>
    <t xml:space="preserve">Acondicionamiento de local comercial para su uso como centro audiológico. el local consta de 2 plantas sobre rasante, la planta baja está destinada a uso público y la entre planta a almacén y vestuarios del personal.
</t>
  </si>
  <si>
    <t>chrome-extension://efaidnbmnnnibpcajpcglclefindmkaj/https://www.transicionjusta.gob.es/Documents/Quienes_somos/Tablon_anuncios/common/MINIMIS_2021/PRP_Minimis_2021.pdf</t>
  </si>
  <si>
    <t>2021-M086.jpg</t>
  </si>
  <si>
    <t>CECILIA GONZALEZ LOPEZ</t>
  </si>
  <si>
    <t>Apertura de un centro audiológico "MG Audiología"</t>
  </si>
  <si>
    <t>2021-M127</t>
  </si>
  <si>
    <t>Centro de gestión de residuos no peligrosos</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</si>
  <si>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</si>
  <si>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GESTION MEDIOAMBIENTAL ANDORRA S.L.</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</si>
  <si>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</si>
  <si>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2023-P118</t>
  </si>
  <si>
    <t>Adquisición de maquinaria  para poder personalizar el producto según las necesidades del cliente</t>
  </si>
  <si>
    <t>https://sede.transicionjusta.gob.es/es-es/Documents/PPEE_TJ/20231222%20Propuesta%20provisional%20MINIMIS%202023%20TJ.pdf</t>
  </si>
  <si>
    <t>MADERAS ALONSO LLORENTE S.L.</t>
  </si>
  <si>
    <t>Merindad de Cuesta-Urria</t>
  </si>
  <si>
    <t>09213</t>
  </si>
  <si>
    <t>CIUDEN</t>
  </si>
  <si>
    <t>ELCT-2020-00050-E</t>
  </si>
  <si>
    <t>Recuperación y restauración ambiental de 400 hectáreas</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</si>
  <si>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</si>
  <si>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Ayuntamiento de Carboneras</t>
  </si>
  <si>
    <t>Almería</t>
  </si>
  <si>
    <t>Carboneras</t>
  </si>
  <si>
    <t>04032</t>
  </si>
  <si>
    <t>12 empleos asociados a la ayuda</t>
  </si>
  <si>
    <t>2021-M126</t>
  </si>
  <si>
    <t>Proceso de fabricación de yeso artesano para bioconstrucción</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</si>
  <si>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</si>
  <si>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2021-M126.jpg</t>
  </si>
  <si>
    <t>NOHUKI YESO ARTESANO DE TERUEL S.L.</t>
  </si>
  <si>
    <t>Puesta en marcha un proceso de fabricación de yeso artesano con técnicas tradicionales para su uso en la construcción, utilizando como materias prima el material de rechazo de la extracción de alabastro.</t>
  </si>
  <si>
    <t>2021-M145</t>
  </si>
  <si>
    <t>Puesta en marcha de un hospital clínico veterinario</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</si>
  <si>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</si>
  <si>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2021-M145.jpg</t>
  </si>
  <si>
    <t>BIERZOOVET, S. L.</t>
  </si>
  <si>
    <t>2023-P181</t>
  </si>
  <si>
    <t>Adquisición de maquinaria para nuevas líneas de producción y modernización de la fábrica.</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</si>
  <si>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</si>
  <si>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https://www.transicionjusta.gob.es/Documents/el_instituto/Convenios_transicion_justa/common/MINMIS_TJ/Resolucion_concesion%20def_MINIMIS%202023%20TJ__con%20anexos%20Fda.pdf</t>
  </si>
  <si>
    <t>GALLETAS CORAL, S.A</t>
  </si>
  <si>
    <t>2021-M154</t>
  </si>
  <si>
    <t>Dirty moustache bikes</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</si>
  <si>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</si>
  <si>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https://dirtymoustachebikes.com/</t>
  </si>
  <si>
    <t>2021-M154.jpg</t>
  </si>
  <si>
    <t>VICTOR JAVIER GARCIA GONZALEZ</t>
  </si>
  <si>
    <t>Robla, La</t>
  </si>
  <si>
    <t>24134</t>
  </si>
  <si>
    <t>Dirty Moustache Bikes</t>
  </si>
  <si>
    <t>El empleo comprometido es 1,5, y el creado 1,38</t>
  </si>
  <si>
    <t>2021-M164</t>
  </si>
  <si>
    <t>Adquisición de bañadora de chocolate y tunel de frio para desarrollo de nuevos productos con chocolate blanco</t>
  </si>
  <si>
    <t>Bañadora de chocolate y tunel  de frio para desarrollo de nuevos productos con chocolate blanco</t>
  </si>
  <si>
    <t>2021-M164.jpg</t>
  </si>
  <si>
    <t>PRODUCTOS VIRGEN DEL BREZO SAU</t>
  </si>
  <si>
    <t>Santibáñez de la Peña</t>
  </si>
  <si>
    <t>34171</t>
  </si>
  <si>
    <t>2023-P063</t>
  </si>
  <si>
    <t>Ampliación de la capacidad productiva de la empresa</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</si>
  <si>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</si>
  <si>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HORMIGONES BERGANTIÑOS S.A.</t>
  </si>
  <si>
    <t>Pontes de García Rodríguez, As</t>
  </si>
  <si>
    <t>15070</t>
  </si>
  <si>
    <t>2023-P113</t>
  </si>
  <si>
    <t xml:space="preserve">Modernización de centro de embalaje de huevos </t>
  </si>
  <si>
    <t>Mejora en uno de los procesos que crea mayores pérdidas a las empresas dedicadas a la ovoproducción, permitiendo una mayor ratio de éxito y evitando la rotura del stock</t>
  </si>
  <si>
    <t>GRANJAS SEGURA S.A.</t>
  </si>
  <si>
    <t>Almoguera</t>
  </si>
  <si>
    <t>19021</t>
  </si>
  <si>
    <t>2023-P023</t>
  </si>
  <si>
    <t>Nuevo Centro de Almacenamiento</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</si>
  <si>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</si>
  <si>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PROPHAREX S.L.</t>
  </si>
  <si>
    <t>Ampliación de la capacidad operativa mediante un nuevo centro de almacenamiento</t>
  </si>
  <si>
    <t>2023-P043</t>
  </si>
  <si>
    <t>Reforma Centro Los Sauces</t>
  </si>
  <si>
    <t xml:space="preserve">Reforma y ampliación de residencia de 3ª edad. </t>
  </si>
  <si>
    <t>ALEJANDRO DE LA FUENTE CAÑAL</t>
  </si>
  <si>
    <t>Reforma y ampliación de residencia de 3ª edad</t>
  </si>
  <si>
    <t>Infra PRTR I _ Remanente de gasto</t>
  </si>
  <si>
    <t>2022-C001</t>
  </si>
  <si>
    <t>Adecuación de espacios públicos para el fomento de la movilidad sostenible</t>
  </si>
  <si>
    <t>Adecuación de Espacios públicos para el fomento de la movilidad sostenible: Itinerarios, circuitos peatonales y carril bici</t>
  </si>
  <si>
    <t> </t>
  </si>
  <si>
    <t>Ayuntamiento de Corvera</t>
  </si>
  <si>
    <t>2023-P067</t>
  </si>
  <si>
    <t>Nueva línea poductiva</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</si>
  <si>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</si>
  <si>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KPS EUMAN, S.L.</t>
  </si>
  <si>
    <t xml:space="preserve">Adquisición de maquinaria y equipamiento para implantar una nueva línea productiva </t>
  </si>
  <si>
    <t>2022-C002</t>
  </si>
  <si>
    <t>Rehabilitación energética “pósito de pescadores en bañugues”</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</si>
  <si>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</si>
  <si>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AYUNTAMIENTO DE GOZÓN</t>
  </si>
  <si>
    <t>Gozón</t>
  </si>
  <si>
    <t>33025</t>
  </si>
  <si>
    <t>REHABILITACIÓN ENERGÉTICA “PÓSITO DE PESCADORES EN BAÑUGUES”</t>
  </si>
  <si>
    <t>2023-P120</t>
  </si>
  <si>
    <t>Aprovechamiento maderero</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</si>
  <si>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</si>
  <si>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PELLETS ASTURIAS S.L.</t>
  </si>
  <si>
    <t>Adquisición de  maquinaria para labores de aprovechamiento de biomasa en monte</t>
  </si>
  <si>
    <t>2023-P133</t>
  </si>
  <si>
    <t>Aprovechamiento de biomasa en el monte</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</si>
  <si>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</si>
  <si>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GESTION DE LA BIOMASA FORESTAL, S.L.</t>
  </si>
  <si>
    <t>Adquisición de maquinaria para incrementar la actividad de recogida de biomasa en el monte y su suministro para el empleo en calderas de biomasa</t>
  </si>
  <si>
    <t>2023-P179</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</si>
  <si>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</si>
  <si>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PEÑA MADERAS S.A.</t>
  </si>
  <si>
    <t xml:space="preserve">Ampliación de capacidad de producción y almacén automatizado </t>
  </si>
  <si>
    <t>2023-G012</t>
  </si>
  <si>
    <t>Explotación a cielo abierto de un yacimiento de arcilla</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</si>
  <si>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</si>
  <si>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VESCO CLAYS SPAIN SL</t>
  </si>
  <si>
    <t>Berge</t>
  </si>
  <si>
    <t>44040</t>
  </si>
  <si>
    <t>2022-C007</t>
  </si>
  <si>
    <t>Rehabilitación del horno comunal</t>
  </si>
  <si>
    <t>Rehabilitación del horno para la elaboración y la venta de pan y otros productos básicos. se trata de un servicio inexistente en la zona</t>
  </si>
  <si>
    <t>2022-C007.jpg</t>
  </si>
  <si>
    <t>AYUNTAMIENTO DE CASCAJARES DE BUREBA</t>
  </si>
  <si>
    <t>Cascajares de Bureba</t>
  </si>
  <si>
    <t>09077</t>
  </si>
  <si>
    <t>Rehabilitación del horno para la elaboración y la venta de pan y otros productos básicos. Se trata de un servicio inexistente en la zona</t>
  </si>
  <si>
    <t>2022-C008</t>
  </si>
  <si>
    <t>Centro de actividades de fomento del autoempleo y del emprendimiento.</t>
  </si>
  <si>
    <t xml:space="preserve"> Espacio multifuncional destinado a fomentar el autoempleo y centro de apoyo para la integración de la mujer rural como un activo económico, social y cultural </t>
  </si>
  <si>
    <t>2022-C008.jpg</t>
  </si>
  <si>
    <t>AYUNTAMIENTO DE YEBRA</t>
  </si>
  <si>
    <t>Yebra</t>
  </si>
  <si>
    <t>19327</t>
  </si>
  <si>
    <t xml:space="preserve">CENTRO DE ACTIVIDADES DE FOMENTO DEL AUTOEMPLEO Y DEL EMPRENDIMIENTO. Espacio multifuncional destinado a fomentar el autoempleo y centro de apoyo para la integración de la mujer rural como un activo económico, social y cultural </t>
  </si>
  <si>
    <t>2018-0021</t>
  </si>
  <si>
    <t>Ampliación del proceso productivo de fabricación de estructuras metálicas</t>
  </si>
  <si>
    <t>ESTRUCTURAS Y MONTAJES DEL BIERZO, S.L.</t>
  </si>
  <si>
    <t>2021-M140</t>
  </si>
  <si>
    <t>Creación de un centro para la educación canina y formadores de adiestramiento y peluquería canina.</t>
  </si>
  <si>
    <t>Creación de un centro para la educación canina y para la formación en  adiestramiento. El mismo contará con servicios de peluquería canina.</t>
  </si>
  <si>
    <t>CAMILO GÓMEZ GUZMÁN</t>
  </si>
  <si>
    <t>2022-C009</t>
  </si>
  <si>
    <t xml:space="preserve">Reforma y acondicionamiento de edificio municipal para vivienda destinada a nuevos pobladores. </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</si>
  <si>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</si>
  <si>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2022-C009.jpg</t>
  </si>
  <si>
    <t>AYUNTAMIENTO DE PALOMAR  DE ARROYOS</t>
  </si>
  <si>
    <t>Palomar de Arroyos</t>
  </si>
  <si>
    <t>44176</t>
  </si>
  <si>
    <t xml:space="preserve">REFORMA Y ACONDICIONAMIENTO DE EDIFICIO MUNICIPAL PARA VIVIENDA DESTINADA A NUEVOS POBLADORES. Viviendas en régimen de alquiler social para nuevos pobladores o como alojamiento turístico  </t>
  </si>
  <si>
    <t>2022-C012</t>
  </si>
  <si>
    <t>Rehabilitación del edificio del Ayuntamiento</t>
  </si>
  <si>
    <t>Rehabilitación de las fachadas de la casa consistorial, que alberga las instalaciones del ayuntamiento, consultorio médico y centro social, para mejorar sus condiciones térmicas</t>
  </si>
  <si>
    <t>https://contrataciondelestado.es/FileSystem/servlet/GetDocumentByIdServlet?DocumentIdParam=DWJ/B0yJaL8kPcnZFKXJPVSbMC8fFTt33472kEf/1BkHFGrWC1sI/SUC82UEmAlraO9gQF8xEtTwJluYFQ3ViUuH8d7Edzq8KdPsV24wC64%3D&amp;cifrado=QUC1GjXXSiLkydRHJBmbpw%3D%3D</t>
  </si>
  <si>
    <t>2022-C012.jpg</t>
  </si>
  <si>
    <t>AYUNTAMIENTO DE QUINTANAELEZ</t>
  </si>
  <si>
    <t>Quintanaélez</t>
  </si>
  <si>
    <t>09283</t>
  </si>
  <si>
    <t>REHABILITACION DE FACHADA DE LA CASA CONSISTORIAL DE QUINTANAELEZ. Alberga servicios municipales, sanitarios y centro social. Permitirá el acceso internet universal</t>
  </si>
  <si>
    <t>2021-M173</t>
  </si>
  <si>
    <t>Hospital veterinario.</t>
  </si>
  <si>
    <t xml:space="preserve">Proyecto para dar servicio veterinario 24h, tanto para animales domésticos co-mo para animales grandes, además de servicio de hotel canino y felino. el hos-pital cubrirá las zonas leonesas de villablino-laciana, las zonas asturianas de cangas del narcea y somiedo y las zonas leonesas de babia, omaña, luna y el bierzo en último lugar. </t>
  </si>
  <si>
    <t>CANIS ET FELIS SM, S.L</t>
  </si>
  <si>
    <t>2021-M138</t>
  </si>
  <si>
    <t>Fabricacion de productos de molineria a partir de insectos</t>
  </si>
  <si>
    <t>ECO-PROTEÍNA DE InSECTO, S.L.</t>
  </si>
  <si>
    <t>2018-M036</t>
  </si>
  <si>
    <t>Ampliación instalaciones de empresa productora de adblue</t>
  </si>
  <si>
    <t>Esta empresa comenzó hace tres años su actividad en Puertollano con la fabricación de aditivos «Adblue» destinados a reducir las emisiones de motores diesel y ahora incrementará sus instalaciones industriales.</t>
  </si>
  <si>
    <t>FINISH METAL PLATING, SL</t>
  </si>
  <si>
    <t>Ampliación instalaciones de empresa productora de Adblue</t>
  </si>
  <si>
    <t>Adblue es un aditivo químico que, cuando se añade a un combustible, disminuye las emisiones de NOX creadas en la combustión.</t>
  </si>
  <si>
    <t>2021-M195</t>
  </si>
  <si>
    <t xml:space="preserve">Proyecto para puesta en marcha de una clínica de podología dirigida por personal cualificado. medicina especializada en prevenir, diagnosticar y tratar por medios conservadores y quirúrgicos enfermedades del pie.
</t>
  </si>
  <si>
    <t>REBECA ANDRES VILLAGRA</t>
  </si>
  <si>
    <t>ELCT-2020-00080-E</t>
  </si>
  <si>
    <t>Adaptación de La Casa Palacio de Bueño en Casa de las Artes, para fomento de actividades sociales y culturales</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</si>
  <si>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</si>
  <si>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Ayuntamiento de Ribera de Arriba</t>
  </si>
  <si>
    <t>Ribera de Arriba</t>
  </si>
  <si>
    <t>33057</t>
  </si>
  <si>
    <t>1 empleos asociados a la ayuda</t>
  </si>
  <si>
    <t>2021-M199</t>
  </si>
  <si>
    <t>Creación de un centro de tratamiento de los trastornos de la conducta alimentaria</t>
  </si>
  <si>
    <t xml:space="preserve">Proyecto para la asistencia en centros residenciales para personas con enfermedad mental ofreciendo alojamiento, comida, soporte protector, supervisión y asesoramiento, así como atención sanitaria. 
</t>
  </si>
  <si>
    <t>CENTRO TCA ALTO BERNESGA, SL.</t>
  </si>
  <si>
    <t>2022-C011</t>
  </si>
  <si>
    <t xml:space="preserve">Rehabilitación integral del edificio tolvas del monsacro. </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</si>
  <si>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</si>
  <si>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https://contrataciondelestado.es/FileSystem/servlet/GetDocumentByIdServlet?DocumentIdParam=UNkVuVa4JZwnMxegRt2EgHYUdp%2Bp3hgfKeuGh5fUaRJ3lSUrQjEpUgg97upTtNIG1jWzeKEmCZ/1beI4c%2BpOnGAut6S9ZWGwKpw8/np3VSffdyQgZAdTm3EfcUAC7CJ6&amp;cifrado=QUC1GjXXSiLkydRHJBmbpw%3D%3D</t>
  </si>
  <si>
    <t>Ayuntamiento de Morcín</t>
  </si>
  <si>
    <t>REHABILITACIÓN INTEGRAL DEL EDIFICIO TOLVAS DEL MONSACRO. Coworking para la innovación digital, promoción del emprendimiento y desarrollo económico a través de la recuperación del patrimonio industrial minero</t>
  </si>
  <si>
    <t>2022-C014</t>
  </si>
  <si>
    <t>Rehabilitación integral y energética de un edificio municipal de Sayatón.</t>
  </si>
  <si>
    <t>Rehabilitación energética innovadora para el edificio que alberga el centro de salud y dos viviendas sociales. El objetivo es obtener el certificado EnerPHit</t>
  </si>
  <si>
    <t>2022-C014.jpg</t>
  </si>
  <si>
    <t>AYUNTAMIENTO DE SAYATON</t>
  </si>
  <si>
    <t>Sayatón</t>
  </si>
  <si>
    <t>19252</t>
  </si>
  <si>
    <t>REHABILITACION INTEGRAL Y ENERGETICA DE EDIFICIO MUNICIPAL DE SAYATON. Rehabilitación energética innovadora para el edificio que alberga el centro de salud y dos viviendas sociales. El objetivo es obtener el certificado EnerPHit</t>
  </si>
  <si>
    <t>2022-C013</t>
  </si>
  <si>
    <t>Centro logístico de biomasa forestal. Centro de economía circular para una gestión forestal ambiental y económicamente sostenible</t>
  </si>
  <si>
    <t>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</si>
  <si>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https://www.infobierzo.com/bierzo-noticias/fabero-estudia-crear-una-planta-de-gestion-de-residuos-de-biomasa-y-produccion-de-pellets_684577_102.html</t>
  </si>
  <si>
    <t>AYUNTAMIENTO DE FABERO</t>
  </si>
  <si>
    <t>Fabero</t>
  </si>
  <si>
    <t>24070</t>
  </si>
  <si>
    <t>CENTRO LOGÍSTICO DE BIOMASA FORESTAL. Centro de economía circular para una gestión forestal ambiental y económicamente sostenible</t>
  </si>
  <si>
    <t>2021-M083</t>
  </si>
  <si>
    <t>Construcción y equipamiento de laboratorio i+d y fabricación de productos dermatológicos sanitarios y veterinarios</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</si>
  <si>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</si>
  <si>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https://www.leonoticias.com/comarcas/gobierno-impulsa-sendos-20211228192816-nt.html</t>
  </si>
  <si>
    <t>OZOLABS I MAS D</t>
  </si>
  <si>
    <t>Matallana de Torío</t>
  </si>
  <si>
    <t>24098</t>
  </si>
  <si>
    <t>Construcción y equipamiento de laboratorio I+D y fabricación de productos dermatológicos sanitarios y veterinarios</t>
  </si>
  <si>
    <t>2022-C019</t>
  </si>
  <si>
    <t>Rehabilitación integral y energética de posada en Zorita de los Canes.</t>
  </si>
  <si>
    <t>Mejora del equipamiento turístico a partir de La Posada de Zorita de los Canes. Se realizarán adaptaciones para que sea más sostenible y se mejorará la instalación existente.</t>
  </si>
  <si>
    <t>2022-C019.jpg</t>
  </si>
  <si>
    <t>AYUNTAMIENTO DE ZORITA DE LOS CANES</t>
  </si>
  <si>
    <t>REHABILITACION INTEGRAL Y ENERGETICA DE POSADA EN ZORITA DE LOS CANES. Alojamiento turístico con instalaciones renovables. Foco de desarrollo turístico para el municipio</t>
  </si>
  <si>
    <t>2022-C015</t>
  </si>
  <si>
    <t>Rehab. integ. parc. 5 mód. antig. esc. mazas centro "conect" de consumo energ. casi nulo.</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</si>
  <si>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</si>
  <si>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REHAB. INTEG. PARC. 5 MÓD. ANTIG. ESC. MAZAS CENTRO "CONECT" DE CONSUMO
ENERG. CASI NULO.  Centro de coworking que acogerá empresas de investigación, PYMES de la zona y a trabajadores nómadas dotado de nuevas instalaciones de eficiencia energética</t>
  </si>
  <si>
    <t>2022-C020</t>
  </si>
  <si>
    <t xml:space="preserve">Parque urbano en Villanueva de teba (burgos). </t>
  </si>
  <si>
    <t>Parque urbano en Villanueva de teba (burgos). urbanización y ajardinamiento del centro del pueblo</t>
  </si>
  <si>
    <t>https://planderecuperacion.gob.es/como-acceder-a-los-fondos/convocatorias/PLC/14450976/acondicionamiento-parque-urbano-villanueva-de-teba</t>
  </si>
  <si>
    <t>2022-C020.jpg</t>
  </si>
  <si>
    <t>AYUNTAMIENTO DE VILLANUEVA DE TEBA</t>
  </si>
  <si>
    <t>Villanueva de Teba</t>
  </si>
  <si>
    <t>09454</t>
  </si>
  <si>
    <t>PARQUE URBANO EN VILLANUEVA DE TEBA (BURGOS). Urbanización y ajardinamiento del centro del pueblo</t>
  </si>
  <si>
    <t>2022-C024</t>
  </si>
  <si>
    <t> Edificio para uso de dependencias municipales, coworking y usos múltiples</t>
  </si>
  <si>
    <t>Se habilitará el botiquín de la localidad en la planta baja, y se aprovecharán las plantas superiores para contar con un espacio de usos múltiples y un coworking en la localidad</t>
  </si>
  <si>
    <t>2022-C024.jpg</t>
  </si>
  <si>
    <t>Ayuntamiento de Busto de Bureba</t>
  </si>
  <si>
    <t>Reforma y rehabilitación del inmueble para uso de dependencias municipales, coworking y usos múltiples</t>
  </si>
  <si>
    <t>Servicios</t>
  </si>
  <si>
    <t>2022-C028</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</si>
  <si>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</si>
  <si>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Recuperación del tren histórico denominado “Ponfeblino”, una infraestructura minera de transporte ferroviario que sirva de eje potenciador en el entorno para un modelo de turismo ecológico y sostenible. La recuperación se lleva a cabo por el denominado Consorcio Ponfeblino, compuesto por el Consejo Comarcal del Bierzo y los ayuntamientos de Ponferrada, Cubillos del Sil, Toreno, Páramo del Sil, Palacios del Sil y Villablino, y siendo sus funciones promover iniciativas, públicas y privadas, para la rehabilitación de la vía férrea conocida como Ponfeblino (línea entre Ponferrada y Villablino en su trazado original).</t>
  </si>
  <si>
    <t>https://www.coacyle.com/informacion/concursos-y-premios/proyecto-de-recuperacion-de-ferrocarril-cubillos-del-sil-villablino</t>
  </si>
  <si>
    <t>2022-C028.jpg</t>
  </si>
  <si>
    <t>CONSORCIO DEL TREN TURISTICO PONFEBLINO</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</si>
  <si>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</si>
  <si>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2023-P160</t>
  </si>
  <si>
    <t>Instalación solar fotovoltaica de autoconsumo en la planta de transformación de áridos y hormigones</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</si>
  <si>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</si>
  <si>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ARIDOS SEVA, S.L.</t>
  </si>
  <si>
    <t>Adquisición de una instalación solar fotovoltaica de autoconsumo en la planta de transformación de áridos y hormigones</t>
  </si>
  <si>
    <t>Restauración</t>
  </si>
  <si>
    <t>COSTES EXCEPCIONALES</t>
  </si>
  <si>
    <t>474-2019</t>
  </si>
  <si>
    <t xml:space="preserve">Restauración de las cortas Carmen y Pura y Santa María </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</si>
  <si>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</si>
  <si>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SAMCA</t>
  </si>
  <si>
    <t>Ariño;Foz-Calanda</t>
  </si>
  <si>
    <t>44029;44107</t>
  </si>
  <si>
    <t>Restauración de dos cortas (Carmen y Pura y Santa María): relleno y remodelado, canales perimetrales y recogida de aguas. Restauración de escombreras. Desmantelamiento y rehabilitación de zona de instalaciones</t>
  </si>
  <si>
    <t>474-20200000</t>
  </si>
  <si>
    <t>Restauración de Mi viña</t>
  </si>
  <si>
    <t>Remodelado zona afectada, acondicionado de la tierra vegetal, creación de drenajes, reconstrucción de infraestructuras, restauración del bosque afectado y revegetación de la zona.</t>
  </si>
  <si>
    <t>CGMT</t>
  </si>
  <si>
    <t>Cañizar del Olivar;Estercuel</t>
  </si>
  <si>
    <t>44063;44100</t>
  </si>
  <si>
    <t>Remodelado zona afectada, Acondicionado de la tierra vegetal, Creación de drenajes, Reconstrucción de infraestructuras, Restauración del bosque afectado y Revegetación de la zona.</t>
  </si>
  <si>
    <t>Los presupuestos iniciales y las ayudas concedidas originalmente fueron modificados por Resolución de la SEE de 5/7/24</t>
  </si>
  <si>
    <t>2022-C034</t>
  </si>
  <si>
    <t>Reforma edificio municipal para centro social .</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</si>
  <si>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</si>
  <si>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</si>
  <si>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2022-C034.jpg</t>
  </si>
  <si>
    <t>AYUNTAMIENTO DE PANCORBO</t>
  </si>
  <si>
    <t>Pancorbo</t>
  </si>
  <si>
    <t>09251</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</si>
  <si>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</si>
  <si>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2022-C044</t>
  </si>
  <si>
    <t xml:space="preserve">Mejora de la eficiencia energética y acondicionamiento casa de la cultura para uso coworking. Adecuación de diferentes estancias para la innovación digital, creando espacios de coworking y fomentando el acceso a las nuevas tecnologías </t>
  </si>
  <si>
    <t>Rehabilitación Casa de la Cultura con el objetivo de un coworking para las pequeñas empresas de la zona que no tienen oficinas y trabajan desde casa. Además se pretenden trasladar las oficinas del Ayuntamiento para la atención a los ciudadanos.</t>
  </si>
  <si>
    <t>2022-C044.jpg</t>
  </si>
  <si>
    <t>AYUNTAMIENTO DE NOCEDA DEL BIERZO</t>
  </si>
  <si>
    <t>Noceda del Bierzo</t>
  </si>
  <si>
    <t>24102</t>
  </si>
  <si>
    <t xml:space="preserve">MEJORA DE LA EFICIENCIA ENERGETICA Y ACONDICIONAMIENTO CASA DE LA
CULTURA PARA USO COWORKING. Adecuación de diferentes estancias para la innovación digital, creando espacios de coworking y fomentando el acceso a las nuevas
tecnologías </t>
  </si>
  <si>
    <t>2022-C054</t>
  </si>
  <si>
    <t>A Reitoral (CIT): Rehabilitación de casa rectoral para centro internacional de la Tornería</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</si>
  <si>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</si>
  <si>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https://www.lavozdegalicia.es/noticia/lugo/xermade/2023/03/23/viej-casa-cura-sera-xermade-centro-interpretacion-torneria/00031679571538639634701.htm</t>
  </si>
  <si>
    <t>2022-C054.png</t>
  </si>
  <si>
    <t>AYUNTAMIENTO DE XERMADE</t>
  </si>
  <si>
    <t>Lugo</t>
  </si>
  <si>
    <t>Xermade</t>
  </si>
  <si>
    <t>27021</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</si>
  <si>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</si>
  <si>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CLM-2020-0001</t>
  </si>
  <si>
    <t>tiene por objeto urbanizar la fase 2 del polígono, contempla una serie de actuaciones: establecimiento de una red de abastecimiento de aguas, red de alumbrado público, gestión de residuos, señalización, etc.</t>
  </si>
  <si>
    <t>Contempla una serie de actuaciones: establecimiento de una red de abastecimiento de aguas, red de alumbrado público, gestión de residuos, señalización, etc.</t>
  </si>
  <si>
    <t>Ayuntamiento de Puertollano</t>
  </si>
  <si>
    <t>Tiene por objeto urbanizar la fase 2 del polígono, contempla una serie de actuaciones: establecimiento de una red de abastecimiento de aguas, red de alumbrado público, gestión de residuos, señalización, etc.</t>
  </si>
  <si>
    <t>EN EJECUCIÓN</t>
  </si>
  <si>
    <t>Ampliación de vigencia + Cambio de título y objeto</t>
  </si>
  <si>
    <t>CLM-2020-0003</t>
  </si>
  <si>
    <t>Mantenimiento, renovación y adecuación del polígono industrial (calzadas, vados de peatones señalización)</t>
  </si>
  <si>
    <t>Mejora de la empleabilidad</t>
  </si>
  <si>
    <t>CLM-2020-0004</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</si>
  <si>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</si>
  <si>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2022-C057</t>
  </si>
  <si>
    <t>Mejora ambiental y digital del pinar de la Playa de la Magdalena y su entorno</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</si>
  <si>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</si>
  <si>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https://galiciaartabra.es/archivos/294303</t>
  </si>
  <si>
    <t>2022-C057.jpeg</t>
  </si>
  <si>
    <t>Ayuntamiento DE CABANAS</t>
  </si>
  <si>
    <t>Cabanas</t>
  </si>
  <si>
    <t>15015</t>
  </si>
  <si>
    <t>MEJORA AMBIENTAL Y DIGITAL DEL PINAR DE LA MAGDALENA Y SU ENTORNO. Recuperación medioambiental de la playa, integración paisajística, mejora de la accesibilidad y uso de paneles informativos digitales</t>
  </si>
  <si>
    <t>2022-C021</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</si>
  <si>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</si>
  <si>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Denominacion: rehabilitación de edificio de antiguas vivienda mineras para destinarlo a vi-viendas sociales para pacientes y familias con enfermedades oncológicas.
El proyecto tiene como objetivo la rehabilitación de un edificio, de titularidad municipal, situado en c/escobalón 2 en la localidad de tremor de arriba, municipio de igüeña, para des-tinarlos a viviendas sociales para pacientes y familias con enfermedades oncológicas.</t>
  </si>
  <si>
    <t>https://www.elbierzonoticias.com/bierzo/viviendas-mineras-lugar-descanso-pacientes-oncologicos-20231001092854-nt.html</t>
  </si>
  <si>
    <t>AYUNTAMIENTO DE IGÜEÑA</t>
  </si>
  <si>
    <t>Igüeña</t>
  </si>
  <si>
    <t>24083</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</si>
  <si>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</si>
  <si>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2022-C022</t>
  </si>
  <si>
    <t>Rehabilitación de edificio municipal para tres viviendas</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</si>
  <si>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</si>
  <si>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AYUNTAMIENTO DE ESTERCUEL</t>
  </si>
  <si>
    <t>Estercuel</t>
  </si>
  <si>
    <t>44100</t>
  </si>
  <si>
    <t xml:space="preserve">REHABILITACION EDIFICIO MUNICIPAL PARA 3 VIVIENDAS EN ESTERCUEL. Viviendas de alquiler para a trabajadores de la zona, especialmente del nuevo hotel- restaurante de Estercuel. </t>
  </si>
  <si>
    <t>2022-C059</t>
  </si>
  <si>
    <t xml:space="preserve">Restauración de Batería Alta del Castillo de San Felipe, del S.XVI con servicios de restauración para visitantes </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</si>
  <si>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</si>
  <si>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https://www.diariodeferrol.com/articulo/ferrol/gobierno-invierte-millon-euros-rehabilitacion-castillo-san-felipe-4174671</t>
  </si>
  <si>
    <t>2022-C059.jpg</t>
  </si>
  <si>
    <t>AYUNTAMIENTO DE FERROL</t>
  </si>
  <si>
    <t xml:space="preserve">PROYECTO. BÁSICO Y DE EJECUCIÓN REFUNDIDO DE ACTUACIONES EN EL CASTILLO DE SAN FELIPE. Nuevo foco turístico con la restauracón de Batería Alta del Castillo de San Felipe, del S.XVI con servicios de restauración para visitantes </t>
  </si>
  <si>
    <t>2022-C025</t>
  </si>
  <si>
    <t>Rehabilitación de refugio rural</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</si>
  <si>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</si>
  <si>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AYUNTAMIENTO DE ANDORRA</t>
  </si>
  <si>
    <t>REHABILITACION DE CENTRO INTERADMINISTRATIVO DE SERVICIOS AL CIUDADANO EN ANDORRA. Centralización de servicios de atención al ciudadano facilitando sus gestiones</t>
  </si>
  <si>
    <t>2022-C027</t>
  </si>
  <si>
    <t>Taller de carpintería para la producción de colmenas de abejas. Taller de producción de colmenas de abejas, elaboradas con madera de pino y materiales ecológicos</t>
  </si>
  <si>
    <t>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 el antiguo cine de Tremor de Arriba. Las colmenas se confeccionarán con madera de pino y mediante el uso de matereales ecológicos para crear productos sostenibles: confección de alzas, núcleos, fondos sanitarios...</t>
  </si>
  <si>
    <t>https://www.latiendadelapicultor.com/comprar-colmenas-dadant</t>
  </si>
  <si>
    <t>TALLER DE CARPINTERIA PARA LA PRODUCCION DE COLMENAS DE ABEJAS.8 Taller de producción de colmenas de abejas, elaboradas con madera de pino y materiales ecológicos</t>
  </si>
  <si>
    <t>2022-C060</t>
  </si>
  <si>
    <t>Rehabilitación de un edificio municipal en  viviendas sociales</t>
  </si>
  <si>
    <t xml:space="preserve">Viviendas sociales para nuevos pobladores con sistemas de eficiencia energetica y aerotermia, y rehabilitación de una dependencia dependencia municipal </t>
  </si>
  <si>
    <t>2022-C060.jpg</t>
  </si>
  <si>
    <t>AYUNTAMIENTO DE ALMONACID DE ZORITA</t>
  </si>
  <si>
    <t>Almonacid de Zorita</t>
  </si>
  <si>
    <t>19022</t>
  </si>
  <si>
    <t xml:space="preserve">REHABILITACIÓN DE EDIFICIO MUNICIPAL. Viviendas sociales para nuevos pobladores (3) con sistemas de eficiencia energetica y aerotermia, y rehabilitación de una dependencia dependencia municipal </t>
  </si>
  <si>
    <t>2022-C029</t>
  </si>
  <si>
    <t xml:space="preserve">Rehabilitación de edificio para centro municipal asociativo. </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</si>
  <si>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</si>
  <si>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</si>
  <si>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2022-C032</t>
  </si>
  <si>
    <t>Rehabilitación de sendero en Seno</t>
  </si>
  <si>
    <t xml:space="preserve">Acondicionamiento del camino a la antigua romería de Seno con el fin de crear un recorrido que fomente el encuentro social, con la naturaleza y el fomento de la vida saludable. </t>
  </si>
  <si>
    <t>Ayuntamiento de Seno</t>
  </si>
  <si>
    <t>Seno</t>
  </si>
  <si>
    <t>44212</t>
  </si>
  <si>
    <t>2022-C033</t>
  </si>
  <si>
    <t xml:space="preserve">Rehabilitación y reforma del CEPER Valle del Guadiato para residencia de mayores. </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</si>
  <si>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</si>
  <si>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https://www.diariocordoba.com/cordoba/2023/04/05/vivero-empresarial-villaviciosa-1-7-85616349.html
https://www.eldiadecordoba.es/provincia/proyectos-pueblos-alto-guadiato-transicion-justa_0_1765024295.html</t>
  </si>
  <si>
    <t>AYUNTAMIENTO DE FUENTE OBEJUNA</t>
  </si>
  <si>
    <t xml:space="preserve">REHABILITACIÓN Y REFORMA DEL CEPER VALLE DEL GUADIATO PARA RESIDENCIA DE MAYORES. La nueva residencia contará con un área verde alrededor con huertos urbanos y jardines para actividades </t>
  </si>
  <si>
    <t>2022-C076</t>
  </si>
  <si>
    <t>Mejora de la eficiencia energética. Instalación solar térmica en el Aquapark</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</si>
  <si>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</si>
  <si>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2022-C076.jpg</t>
  </si>
  <si>
    <t>AYUNTAMIENTO DE CERCEDA</t>
  </si>
  <si>
    <t>Cerceda</t>
  </si>
  <si>
    <t>15024</t>
  </si>
  <si>
    <t>Meirama</t>
  </si>
  <si>
    <t xml:space="preserve">MEJORA DE LA EFICIENCIA ENER. MEDIANTE UNHA INSTALACIÓN SOLAR TÉRMICA Y
FOTOVOLTAICA EN EL AQUAPARK. Parque acuático con agua climatizada que permitirá aumentar los días de apertura y la offerta de actividades </t>
  </si>
  <si>
    <t>2022-C035</t>
  </si>
  <si>
    <t xml:space="preserve">Rehabilitación de edificio para centro de asociaciones, pymes y escuela infantil 0-3. </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</si>
  <si>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</si>
  <si>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AYUNTAMIENTO DE SALAS</t>
  </si>
  <si>
    <t xml:space="preserve">REHABILITACIÓN DE EDIFICIO PARA CENTRO DE ASOCIACIONES, PYMES Y ESCUELA INFANTIL 0-3. Espacio multiusos para escuela infantil, centro para asociaciones y nueva zona de coworking para la cohesión y la innovación social  </t>
  </si>
  <si>
    <t>2022-C097</t>
  </si>
  <si>
    <t>Centro de turismo y emprendimiento Casa Salazar.</t>
  </si>
  <si>
    <t>Centro de turismo y emprendimiento casa salazar. zona para visitantes que ofrecerá una experiencia virtual de la vida del municipio en la edad media. espacio de coworking y formación para la recualificación profesional de mujeres y jóvenes.</t>
  </si>
  <si>
    <t>https://cronicadelasmerindades.com/frias-recibira-mas-de-800-000-euros-para-la-creacion-de-un-espacio-coworking-y-la-rehabilitacion-del-monasterio-de-santa-maria-de-vadillo/</t>
  </si>
  <si>
    <t>2022-C097.jpg</t>
  </si>
  <si>
    <t>AYUNTAMIENTO DE FRIAS</t>
  </si>
  <si>
    <t>Frías</t>
  </si>
  <si>
    <t>09134</t>
  </si>
  <si>
    <t>CENTRO DE TURISMO Y EMPRENDIMIENTO CASA SALAZAR. Zona para visitantes que ofrecerá una experiencia virtual de la vida del municipio en la Edad Media. Espacio de coworking y formación para la recualificación profesional de mujeres y jóvenes.</t>
  </si>
  <si>
    <t>2022-C046</t>
  </si>
  <si>
    <t xml:space="preserve">Peatonalización y mejora de la sostenibilidad de la plaza del mercado.   </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</si>
  <si>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</si>
  <si>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Ayuntamiento de Quirós</t>
  </si>
  <si>
    <t>Quirós</t>
  </si>
  <si>
    <t>33053</t>
  </si>
  <si>
    <t xml:space="preserve">PEATONALIZACIÓN Y MEJORA DE LA SOSTENIBILIDAD DE LA PLAZA DEL MERCADO. Peatonalización de la plaza del mercado y nuevo espacio cubierto para favorecer la compra-venta. Instalción de un cargador para coche eléctrico  </t>
  </si>
  <si>
    <t>2023-M011</t>
  </si>
  <si>
    <t>Ampliación fábrica de productos cosméticos</t>
  </si>
  <si>
    <t>Adquisicion de nave y bienes de equipo para aumentar la capacidad productiva</t>
  </si>
  <si>
    <t>AUTHEX SA</t>
  </si>
  <si>
    <t>ADQUISICION DE NAVE Y BIENES DE EQUIPO PARA AUMENTAR LA CAPACIDAD PRODUCTIVA</t>
  </si>
  <si>
    <t>2022-C053</t>
  </si>
  <si>
    <t xml:space="preserve">Centro logístico de Biomasa . </t>
  </si>
  <si>
    <t>Centro logístico de biomasa.
Presentado a la línea de INFRA 2022 como: Construcción de una nave para tratamiento y clasificación de restos de biomasa forestal, que procesará restos vegetales para producir calor y electricidad</t>
  </si>
  <si>
    <t>https://ileon.eldiario.es/laciana/avanza-proyecto-centro-acopio-biomasa-laciana-peticion-suelo_1_11426708.html</t>
  </si>
  <si>
    <t xml:space="preserve">CENTRO LOGÍSTICO DE BIOMASA. Ni una línea que nos permita describirlo </t>
  </si>
  <si>
    <t>2023-M029</t>
  </si>
  <si>
    <t>Obrador de panadería</t>
  </si>
  <si>
    <t>Puesta en marcha de un obrador de panadería en Villablino</t>
  </si>
  <si>
    <t>LUIS DOMINGO FERNANDEZ SILVA</t>
  </si>
  <si>
    <t>PUESTA EN MARCHA DE UN OBRADOR DE PANADERÍA</t>
  </si>
  <si>
    <t>2023-M032</t>
  </si>
  <si>
    <t>Posada rural</t>
  </si>
  <si>
    <t>Rehabilitación, equipamiento y puesta en marcha de posada rural en Cubillos del Sil</t>
  </si>
  <si>
    <t>COLORAUTO BIERZO, SL</t>
  </si>
  <si>
    <t>REHABILITACIÓN, EQUIPAMIENTO Y PUESTA EN MARCHA DE POSADA RURAL</t>
  </si>
  <si>
    <t>2023-M034</t>
  </si>
  <si>
    <t>Clínica podológica</t>
  </si>
  <si>
    <t>Construcción de clínica de podología en Fabero</t>
  </si>
  <si>
    <t>SILVIA MARTINEZ LINHARES</t>
  </si>
  <si>
    <t>CLÍNICA PODOLOGICA SM PODOLOGÍA</t>
  </si>
  <si>
    <t>2023-M042</t>
  </si>
  <si>
    <t>Centro odontológico</t>
  </si>
  <si>
    <t>Adecuación y equipamiento de centro de odontología en Ponferrada</t>
  </si>
  <si>
    <t>https://www.odontologuia.com/dentistas/dentista-20467.html
https://www.transicionjusta.gob.es/content/dam/itj/files-1/Documents/reactivacion_comarcas/common/MINERIA/MINIMIS_Mineria/Resoluci%C3%B3n%20concesi%C3%B3n%20definitiva%20MINIMIS%202023_firmada.pdf</t>
  </si>
  <si>
    <t>MARIA ESTELA VENCE BECERRA</t>
  </si>
  <si>
    <t>ADECUACION Y EQUIPAMIENTO DE CENTRO ODONTOLOGICO</t>
  </si>
  <si>
    <t>2023-M045</t>
  </si>
  <si>
    <t>Centro de estética</t>
  </si>
  <si>
    <t>Construcción y puesta en marcha de un centro de estética en Vega de Espinareda</t>
  </si>
  <si>
    <t>https://albacestetica.com/
https://www.transicionjusta.gob.es/content/dam/itj/files-1/Documents/reactivacion_comarcas/common/MINERIA/MINIMIS_Mineria/Resoluci%C3%B3n%20concesi%C3%B3n%20definitiva%20MINIMIS%202023_firmada.pdf</t>
  </si>
  <si>
    <t>ALBA CAÑAS CAMPELO</t>
  </si>
  <si>
    <t>Vega de Espinareda</t>
  </si>
  <si>
    <t>24196</t>
  </si>
  <si>
    <t>CENTRO DE ESTÉTICA</t>
  </si>
  <si>
    <t>2023-M065</t>
  </si>
  <si>
    <t>Hotel y peluquería canina</t>
  </si>
  <si>
    <t>Construcción y puesta en marcha de un hotel y peluquería canina</t>
  </si>
  <si>
    <t>TARA FERNANDEZ LOBON</t>
  </si>
  <si>
    <t>HOTEL Y PELUQUERÍA CANINA</t>
  </si>
  <si>
    <t>2022-C108</t>
  </si>
  <si>
    <t xml:space="preserve">Rehabilitacion estación ferroviaria de la pola de gordon para albergue de los caminos a santiago. </t>
  </si>
  <si>
    <t>Adecuar 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</si>
  <si>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https://planderecuperacion.gob.es/como-acceder-a-los-fondos/convocatorias/PLC/14601573/rehabilitacion-de-la-estacion-de-ferrocarril-de-la-pola-de-gordon-para-uso-de-albergue-de-peregrinos-de-los-caminos-a-santiago-en-la-pola-de-gordon-leon</t>
  </si>
  <si>
    <t>2022-C108.jpg</t>
  </si>
  <si>
    <t>AYUNTAMIENTO DE LA POLA DE GORDON</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</si>
  <si>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</si>
  <si>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2022-C055</t>
  </si>
  <si>
    <t xml:space="preserve">Rehabilitación de áreas recreativas </t>
  </si>
  <si>
    <t>El proyecto rehabilita una zona natural en la parte alta del municipio con una antigua edificación, que pasará a ser un espacio en conjunto de ocio y esparcimiento para familias y vecinos del municipio.</t>
  </si>
  <si>
    <t>ENCONTRO 2024 - Encontro Internacional de Torneiros da Madeira - Xermade</t>
  </si>
  <si>
    <t>AYUNTAMIENTO DE JATIEL</t>
  </si>
  <si>
    <t>Jatiel</t>
  </si>
  <si>
    <t>44129</t>
  </si>
  <si>
    <t xml:space="preserve">REHABILITACIÓN ÁREAS RECREATIVA JATIEL. Centro para la realización de actividades sociales, lúdicas y de esparcimiento. Complementa las opciones que ofrece el albergue municipal y supone la puesta en valor del entorno natural.  </t>
  </si>
  <si>
    <t>2022-C056</t>
  </si>
  <si>
    <t xml:space="preserve"> Espacio de coworking en Vilar do Colo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</si>
  <si>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</si>
  <si>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 xml:space="preserve">REHABILITACIÓN DE LA NAVE MUNICIPAL DEL POLÍGONO "VILLAR DO COLO" Y CREACIÓN DE COWORKING. Espacio de coworking para de conciliación, crecimiento y consolidación de actividades profesionales </t>
  </si>
  <si>
    <t>2022-C115</t>
  </si>
  <si>
    <t xml:space="preserve"> Recuperación de las instalaciones deportivas con rocódromo y  área de acampada.</t>
  </si>
  <si>
    <t>Proyecto para la 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</si>
  <si>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https://www.diariodeleon.es/leon/provincia/231109/75419/pola-recuperara-patrimonio-cultural-deportivo-abandonado-hullera.html</t>
  </si>
  <si>
    <t>2022-C115.jpg</t>
  </si>
  <si>
    <t>RECUPERACIÓN SOCIAL Y AMBIENTAL DE EQUIPAMIENTOS DEPORTIVOS Y SOCIOCULTURALES EN CIÑERA. Recuperación de las instalaciones deportivas que incorporarán rocódromo y  área de acampada. El antiguo cine albergará  un museo geológico y centro sociocultural</t>
  </si>
  <si>
    <t>2022-C124</t>
  </si>
  <si>
    <t>Rehabilitación de la antigua escuela de Freitido como Hogar del Mayor</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</si>
  <si>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</si>
  <si>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https://galiciaartabra.es/archivos/308454</t>
  </si>
  <si>
    <t>2022-C124.jpg</t>
  </si>
  <si>
    <t>AYUNTAMIENTO DE MAÑÓN</t>
  </si>
  <si>
    <t>Mañón</t>
  </si>
  <si>
    <t>15044</t>
  </si>
  <si>
    <t xml:space="preserve">REHABILITACIÓN DO ANTIGO ESCOLAR DE FREITIDO COMA FOGAR DO MAIOR. Centro de mayores en la antigua escuela para ofrecer un servicio social inexistente hasta ahora </t>
  </si>
  <si>
    <t>2022-C133</t>
  </si>
  <si>
    <t xml:space="preserve">Edificio para centro polifuncional </t>
  </si>
  <si>
    <t>Edificio para centro polifuncional sito en la plaza de la fuente nº 3 de santa gadea del cid, burgos. centro multiusos con área para  personas mayores con actividades orientadas a crear relaciones intergeneracionales</t>
  </si>
  <si>
    <t>2022-C133.jpg</t>
  </si>
  <si>
    <t>AYUNTAMIENTO DE SANTA GADEA DEL CID</t>
  </si>
  <si>
    <t>Santa Gadea del Cid</t>
  </si>
  <si>
    <t>09347</t>
  </si>
  <si>
    <t>EDIFICIO PARA CENTRO POLIFUNCIONAL SITO EN LA PLAZA DE LA FUENTE Nº 3 DE SANTA GADEA DEL CID, BURGOS. Centro multiusos con área para  personas mayores con actividades orientadas a crear relaciones intergeneracionales</t>
  </si>
  <si>
    <t>2022-C062</t>
  </si>
  <si>
    <t>Rehabilitación de edificación de las antiguas escuelas municipales para viviendas nuevos pobladores</t>
  </si>
  <si>
    <t>Dos viviendas para nuevos pobladores contarán con sistemas de eficiencia energética y aerotermia</t>
  </si>
  <si>
    <t>AYUNTAMIENTO DE VALDECONCHA</t>
  </si>
  <si>
    <t>Valdeconcha</t>
  </si>
  <si>
    <t>19301</t>
  </si>
  <si>
    <t xml:space="preserve">REHABILITACION DE EDIFICACION DE LAS ANTIGUAS ESCUELAS MUNICIPALES
PARA VIVIENDAS NUEVOS POBLADORES. Viviendas para nuevos pobladores (2) con sistemas de eficiencia energética y aerotermia. </t>
  </si>
  <si>
    <t>2022-C069</t>
  </si>
  <si>
    <t xml:space="preserve">Parque intergeneracional y sendero </t>
  </si>
  <si>
    <t>Actuación integral para el reverdecimiento urbano:  Espacio recreativo con itinerarios de ejercicios y pistas multideporte adecuados para las diferentes edades, anfiteatro para espectáculos y zona de juegos infantiles</t>
  </si>
  <si>
    <t>ACTUACIÓN INTEGRAL PARA EL REVERDECIMIENTO URBANO: PARQUE INTERGENERACIONAL Y SENDERO. Espacio recreativo con itinerarios de ejercicios y pistas multideporte adecuados para las diferentes edades, anfiteatro para espectáculos y zona de juegos infantiles</t>
  </si>
  <si>
    <t>2022-C073</t>
  </si>
  <si>
    <t>Rehabilitación de la antigua molina como centro de innovación e investigación agroalimentaria.</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</si>
  <si>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</si>
  <si>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</si>
  <si>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AYUNTAMIENTO DE LOS BLÁZQUEZ</t>
  </si>
  <si>
    <t>Blázquez, Los</t>
  </si>
  <si>
    <t>14011</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</si>
  <si>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</si>
  <si>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2022-C074</t>
  </si>
  <si>
    <t xml:space="preserve">Rehabilitacion y mejora de la eficiencia energetica en los edificios publicos de la plaza del ayuntamiento. </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</si>
  <si>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</si>
  <si>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https://planderecuperacion.gob.es/como-acceder-a-los-fondos/convocatorias/PLC/15217188/rehabilitacion-y-mejora-de-la-eficiencia-energetica-en-los-edificios-publicos-de-la-plaza-del-ayuntamiento-de-folgoso-de-la-ribera</t>
  </si>
  <si>
    <t>AYUNTAMIENTO DE FOLGOSO DE LA RIBERA</t>
  </si>
  <si>
    <t>Folgoso de la Ribera</t>
  </si>
  <si>
    <t>24071</t>
  </si>
  <si>
    <t xml:space="preserve">REHABILITACION Y MEJORA DE LA EFICIENCIA ENERGETICA EN LOS EDIFICIOS PUBLICOS DE LA PLAZA DEL AYUNTAMIENTO. Consultorio médico, escuela, gimnasio y espacio coworking </t>
  </si>
  <si>
    <t>INFRA-PRTR II</t>
  </si>
  <si>
    <t>2024-C109</t>
  </si>
  <si>
    <t>Planta de reciclaje de paneles fotovoltaicos</t>
  </si>
  <si>
    <t>Planta de procesado, reciclaje y segunda vida de módulos fotovoltaicos</t>
  </si>
  <si>
    <t>https://www.bierzodiario.es/?p=169526</t>
  </si>
  <si>
    <t>Ayuntamiento de Bembibre</t>
  </si>
  <si>
    <t>2023-G065</t>
  </si>
  <si>
    <t>Nueva planta de reutilización y reciclaje de baterías de litio</t>
  </si>
  <si>
    <t>Reutilización y reciclado de baterias de litio, para construit y explotar una planta  de reciclaje en cubillos del sil para su tratamiento, reutilización y reciclaje de las baterias de litio. novolitio forma parte del grupo urbaser</t>
  </si>
  <si>
    <t>https://www.urbaser.com/2024/07/01/novolitio-comienza-recogida-bateria-para-reciclaje/</t>
  </si>
  <si>
    <t>NOVOLITIO RECUPERACION DE BATERIAS S.L.</t>
  </si>
  <si>
    <t>2022-C075</t>
  </si>
  <si>
    <t>Rehabilitación y reforma del centro de empresas de La Robla</t>
  </si>
  <si>
    <t>Mejora de las instalciones y de los espacios de espacios para este edificio que sirve de lugar de trabajo para distintas entidades, empresas y asociaciones.</t>
  </si>
  <si>
    <t>https://www.diariodeleon.es/leon/provincia/montana-central/240307/1514020/robla-saca-licitacion-nuevo-coworking-500-000.html</t>
  </si>
  <si>
    <t>AYUNTAMIENTO DE LA ROBLA</t>
  </si>
  <si>
    <t>REHABILITACIÓN Y REFORMA DEL CENTRO DE EMPRESAS DE LA ROBLA (BLOQUE B). Mejora de las instalciones y de los espacios de espacios para este edificio que sirve de lugar de trabajo para distintas entidades, empresas y asociaciones.</t>
  </si>
  <si>
    <t>2022-C146</t>
  </si>
  <si>
    <t xml:space="preserve">Rehabilitación integral de edificio de antigua escuela de artes y oficios. </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</si>
  <si>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</si>
  <si>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https://planderecuperacion.gob.es/como-acceder-a-los-fondos/convocatorias/PLC/15878931/obra-de-rehabilitacion-integral-de-edificio-de-antigua-escuela-de-artes-y-oficios</t>
  </si>
  <si>
    <t>2022-C146.jpg</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</si>
  <si>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</si>
  <si>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474-2020000</t>
  </si>
  <si>
    <t>Restauración de la explotación minera de Hijos de Baldomero García en Caboalles de Abajo.</t>
  </si>
  <si>
    <t xml:space="preserve">Retirada de materiales y equipos. Sellado de bocaminas. Desmantelamiento y demolición de estructuras y edificaciones. Restauración de  plazas y escombreras. Caboalles de Abajo. </t>
  </si>
  <si>
    <t>HBG</t>
  </si>
  <si>
    <t>2022-C155</t>
  </si>
  <si>
    <t>Regeneración medioambiental de un humedal y su entorno en el polígono industrial La Coba.</t>
  </si>
  <si>
    <t xml:space="preserve">Adecuación de este nuevo hábitat para preservar la flora, la fauna y prepararlo para su uso social </t>
  </si>
  <si>
    <t>2022-C155.jpg</t>
  </si>
  <si>
    <t>Ayuntamiento de Ribera Baja/ Erriberabeitia</t>
  </si>
  <si>
    <t>Ribera Baja/Erriberabeitia</t>
  </si>
  <si>
    <t>01047</t>
  </si>
  <si>
    <t xml:space="preserve">EJECUCIÓN PARA REGENERACIÓN MEDIOAMBIENTAL DEL HUMEDAL Y SU ENTORNO EN POLÍGONO INDUSTRIAL LA COBA. Adecuación de este nuevo hábitat para preservar la flora, la fauna y prepararlo para su uso social </t>
  </si>
  <si>
    <t>AST-2020-0003</t>
  </si>
  <si>
    <t>Mejora de Polígonos Industriales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</si>
  <si>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Mejora de polígonos industriales en las cuencas mineras en Lena</t>
  </si>
  <si>
    <t>Ayuntamiento de Lena</t>
  </si>
  <si>
    <t>MEJORA DE POLÍGONO INDUSTRIAL</t>
  </si>
  <si>
    <t>Ampliación de vigencia + Ejecución IDEPA Mejora de la empleabilidad
La suma de la ayuda de los 4 proyectos debería sumar 2.175.000 y la inversión 2.900.000</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</si>
  <si>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 de mejora de la instalación de abastecimiento de agua e instalación contra incendios en el polígono industrial fábrica de Mieres y Lote 3 Mieres: Gonzalín y Vega de Arriba</t>
  </si>
  <si>
    <t>Ayuntamiento de Mieres</t>
  </si>
  <si>
    <t>PROYECTO DE MEJORA DE LA INSTALACIÓN DE ABASTECIMIENTO DE AGUA E INSTALACIÓN CONTRA INCENDIOS EN EL POLÍGONO INDUSTRIAL FÁBRICA DE MIERES
PROYECTOS DE OBRAS PARA LA MEJORA DE POLIGONOS INDUSTRIALES EN LAS CUENCAS MINERAS. LOTE 3-MIERES: GONZALÍN Y VEGA DE ARRIBA</t>
  </si>
  <si>
    <t xml:space="preserve">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4-San Martín del Rey Qurelio: La Central y la Florida </t>
  </si>
  <si>
    <t>Ayuntamiento de San Martín del Rey Aurelio</t>
  </si>
  <si>
    <t>PROYECTOS DE OBRAS PARA LA MEJORA DE POLIGONOS INDUSTRIALES EN LAS CUENCAS MINERAS. LOTE 4-SAN MARTÍN DEL REY AURELIO: LA CENTRAL Y LA FLORIDA</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</si>
  <si>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mineras.Lote 1 Langreo: Valnalón, La Moral y Lada-Meriñan situacion T.M de Langreo</t>
  </si>
  <si>
    <t>Ayuntamiento de Langreo</t>
  </si>
  <si>
    <t>2022-C163</t>
  </si>
  <si>
    <t>Vivero de microempresas en un antiguo edificio del Senpa.</t>
  </si>
  <si>
    <t xml:space="preserve">Vivero de microempresas a precios reducidos para favorecer la innovación y el emprendimiento enfocado a empresas agrarias de la zona, entre otros  </t>
  </si>
  <si>
    <t>2022-C163.jpg</t>
  </si>
  <si>
    <t>AYUNTAMIENTO DE MONDÉJAR</t>
  </si>
  <si>
    <t xml:space="preserve">VIVERO DE MICROEMPRESAS (REHABILITACIÓN SENPA). Vivero de microempresas a precios reducidos para favorecer la innovación y el emprendimiento enfocado a empresas agrarias de la zona, entre otros  </t>
  </si>
  <si>
    <t>2022-C167</t>
  </si>
  <si>
    <t>CEDES Centro de Desarrollo Económico y Social</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</si>
  <si>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</si>
  <si>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https://www.diariodeferrol.com/articulo/comarcas/proyecto-cedes-rural-tic-moeche-podria-estar-finalizado-primer-trimestre-2024-4198847</t>
  </si>
  <si>
    <t>2022-C167.jpg</t>
  </si>
  <si>
    <t>Ayuntamiento de  MOECHE</t>
  </si>
  <si>
    <t>Moeche</t>
  </si>
  <si>
    <t>15049</t>
  </si>
  <si>
    <t xml:space="preserve">CEDES CENTRO DE DESARROLLO ECONÓMICO Y SOCIAL. Espacio para la dinamización de PYMES y asociaciones que contribuya a la transformación digital de la economía y a la disminución de la brecha digital </t>
  </si>
  <si>
    <t>AST-2020-0007</t>
  </si>
  <si>
    <t>Mejora EDAR de Villapérez</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</si>
  <si>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</si>
  <si>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Ayuntamiento de Siero</t>
  </si>
  <si>
    <t>AST-2020-0008</t>
  </si>
  <si>
    <t>Mejorar y ampliación de las redes de saneamiento y de aguas</t>
  </si>
  <si>
    <t>Mejorar y ampliar la capacidad de bombeo para mejorar las redes de saneamiento y de aguas</t>
  </si>
  <si>
    <t>Ampliación de vigencia</t>
  </si>
  <si>
    <t>2022-C168</t>
  </si>
  <si>
    <t>Centro cultural Vadillo</t>
  </si>
  <si>
    <t xml:space="preserve">Centro cultural vadillo. espacio cultural con auditorio y sala de conciertos que se replicará en versión metaverso como atractivo añadido </t>
  </si>
  <si>
    <t>2022-C168.jpg</t>
  </si>
  <si>
    <t xml:space="preserve">CENTRO CULTURAL VADILLO. Espacio cultural con auditorio y sala de conciertos que se replicará en versión metaverso como atractivo añadido </t>
  </si>
  <si>
    <t>AST-2020-0011</t>
  </si>
  <si>
    <t>Renovación del abastecimiento a Mieres desde la cuenca de Aller (Captación de Ronderos)</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</si>
  <si>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</si>
  <si>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</si>
  <si>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AST-2020-0012</t>
  </si>
  <si>
    <t>Descontaminación de suelo en antiguas minas de cobre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</si>
  <si>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</si>
  <si>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</si>
  <si>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Ayuntamiento de Riosa</t>
  </si>
  <si>
    <t>Riosa</t>
  </si>
  <si>
    <t>33058</t>
  </si>
  <si>
    <t>Remediación (descontaminación) de terrenos degradados por la actividad minera</t>
  </si>
  <si>
    <t>Ampliación de vigencia + cambio de objeto</t>
  </si>
  <si>
    <t>AST-2020-0013</t>
  </si>
  <si>
    <t>Saneamiento de las Agüeras y la Fábrica (Quirós)</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</si>
  <si>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</si>
  <si>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</si>
  <si>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Mejora del saneamiento de cada uno de los núcleos, ya sea por la inexistencia de infraestructuras o por la mejora de las existentes; Tiene como objetivo de solucionar el problema de residuos y contaminación de aguas que impacta los rios y el turismo</t>
  </si>
  <si>
    <t>?</t>
  </si>
  <si>
    <t xml:space="preserve"> Entre los 2 proyectos de saneamiento, tendrán 2 depuradoras más y se estima que necesitarán 1 persona más en el mantenimiento,  Empleo en construcción: Desconocen el empleo porque lo ejecutó la Junta de Saneamiento del Princicpado</t>
  </si>
  <si>
    <t>2022-C178</t>
  </si>
  <si>
    <t xml:space="preserve">Nuevo parque urbano. </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</si>
  <si>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</si>
  <si>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2022-C178.jpg</t>
  </si>
  <si>
    <t>Ayuntamiento de Castrejón de la Peña</t>
  </si>
  <si>
    <t>Castrejón de la Peña</t>
  </si>
  <si>
    <t>34049</t>
  </si>
  <si>
    <t>NUEVO PARQUE URBANO. Nuevo parque urbano con instalaciones para el ocio. Sistema de recuperación de aguas pluviales, de optimización del riego e iluminación 100% renovable</t>
  </si>
  <si>
    <t>AST-2020-0017</t>
  </si>
  <si>
    <t>Proyecto para la recuperación y revalorización del Monte Carrio</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</si>
  <si>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</si>
  <si>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</si>
  <si>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Ayuntamiento de LAVIANA</t>
  </si>
  <si>
    <t>Laviana</t>
  </si>
  <si>
    <t>33032</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</si>
  <si>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</si>
  <si>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Ampliación de vigencia Se creará empleo indirecto asociado al uso turístico</t>
  </si>
  <si>
    <t>2022-C193</t>
  </si>
  <si>
    <t xml:space="preserve">Rehabilitación y reforma del hotel municipal para centro social-sanitario. </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</si>
  <si>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</si>
  <si>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https://www.diariocordoba.com/cordoba/2023/04/05/vivero-empresarial-villaviciosa-1-7-85616349.html
https://www.eldiadecordoba.es/provincia/hotel-penarroya-pueblonuevo-centro-mayores-piscina_0_1765024610.html</t>
  </si>
  <si>
    <t>2022-C193.jpg</t>
  </si>
  <si>
    <t>AYUNTAMIENTO DE PEÑARROYA-PUEBLONUEVO</t>
  </si>
  <si>
    <t>Peñarroya-Pueblonuevo</t>
  </si>
  <si>
    <t>14052</t>
  </si>
  <si>
    <t>REHABILITACIÓN Y REFORMA DEL HOTEL MUNICIPAL PARA CENTRO SOCIAL-SANITARIO. Centro socio-sanitario y nueva sede de las oficinas de la seguridad social local. Cuenta con piscina climatizada, zona de huertos, salas de rehabilitación y fisioterapia.</t>
  </si>
  <si>
    <t>2022-C202</t>
  </si>
  <si>
    <t>Atrapasueños</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</si>
  <si>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</si>
  <si>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2022-C202.jpg</t>
  </si>
  <si>
    <t>AYUNTAMIENTO DE ESCATRÓN</t>
  </si>
  <si>
    <t>Escatrón</t>
  </si>
  <si>
    <t>50101</t>
  </si>
  <si>
    <t>REHABILITACIÓN DE EDIFICIO ATRAPASUEÑOS PARA ESPACIO JOVEN CALLE SAN FRANCISCO Nº 1. Espacio en entorno natural destinado a la formación informal de los jóvenes sobre protección del medioambiente y la lucha contra el cambio climático</t>
  </si>
  <si>
    <t>AST-2020-0021</t>
  </si>
  <si>
    <t>Creación de vivero empresarial en Lieres</t>
  </si>
  <si>
    <t>Proyecto de creación de vivero empresarial en Lieres</t>
  </si>
  <si>
    <t>Ficha pendiente</t>
  </si>
  <si>
    <t>2022-C219</t>
  </si>
  <si>
    <t xml:space="preserve">Consolidación del torreón islámico y musealización del castillo arzobispal. </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</si>
  <si>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</si>
  <si>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2022-C219.jpg</t>
  </si>
  <si>
    <t>Ayuntamiento de Albalate del Arzobispo</t>
  </si>
  <si>
    <t xml:space="preserve">CONSOLIDACION DEL TORREON ISLAMICO Y MUSEALIZACION DIGITAL DEL CASTILLO ARZOBISPAL. Restauración de la fortificación islámica y de musealizacion del castillo arzobispal para fomento del turismo </t>
  </si>
  <si>
    <t>AST-2020-0030</t>
  </si>
  <si>
    <t>Restauración de suelos contaminados Talleres del Conde (Langreo)</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</si>
  <si>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</si>
  <si>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</si>
  <si>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</si>
  <si>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 xml:space="preserve"> 9 trabajadores y en casos puntuales alcanzan los 20.</t>
  </si>
  <si>
    <t>2022-C225</t>
  </si>
  <si>
    <t>Reforma y rehabilitacion residencia Valle de Tobalina.</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</si>
  <si>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</si>
  <si>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2022-C225.jpg</t>
  </si>
  <si>
    <t>AYUNTAMIENTO VALLE DE TOBALINA</t>
  </si>
  <si>
    <t>Valle de Tobalina</t>
  </si>
  <si>
    <t>09412</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</si>
  <si>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</si>
  <si>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2022-C235</t>
  </si>
  <si>
    <t xml:space="preserve">La línea defensiva del litoral de levante. </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</si>
  <si>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</si>
  <si>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https://www.europasur.es/lalinea/rehabilitacion-fuerte-santa-barbara-torre-nueva_0_1845716751.html
https://www.portaldecadiz.com/provinciacadiz/91301-el-ayuntamiento-de-la-linea-anuncia-la-revitalizacion-del-fuerte-de-santa-barbara-y-torre-nueva</t>
  </si>
  <si>
    <t>2022-C235.png</t>
  </si>
  <si>
    <t>Fuente: Promotor</t>
  </si>
  <si>
    <t>AYUNTAMIENTO DE LA LÍNEA DE LA CONCEPCION</t>
  </si>
  <si>
    <t xml:space="preserve">LA LÍNEA DEFENSIVA DEL LITORAL DE LEVANTE. Nuevo foco turístico: Fuerte de Santa Bárbara y la Torre Nueva con recorridos peatonales y ciclistas y equipamiento urbano sostenible </t>
  </si>
  <si>
    <t>2022-C240</t>
  </si>
  <si>
    <t xml:space="preserve">Reinterpretando el parque princesa sofia. </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</si>
  <si>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</si>
  <si>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https://www.europasur.es/lalinea/proyecto-rehabilitacion-parque-princesa-sofia_0_1846316776.html</t>
  </si>
  <si>
    <t>2022-C240.jpeg</t>
  </si>
  <si>
    <t xml:space="preserve">REINTERPRETANDO EL PARQUE PRINCESA SOFIA. El parque recuperará su valor ambiental alojando la flora y fauna autóctona. Inporará novedades como la Isla Bioclimática. Será lugar de celebracón de  actividades sociales y culturales. </t>
  </si>
  <si>
    <t>AST-2020-0034</t>
  </si>
  <si>
    <t>Instalación de sistema de telegestión eficiencia energética en equipos LED. Ampliación y renovación para eficiencia energética de alumbrado público en diversas zonas del concejo (Ribera de Arriba)</t>
  </si>
  <si>
    <t xml:space="preserve">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 </t>
  </si>
  <si>
    <t>Ayuntamiento de RIBERA DE ARRIBA</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</si>
  <si>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</si>
  <si>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AST-2020-0035</t>
  </si>
  <si>
    <t>Puente sobre el río Nalón en el Polígono de Olloniego-Tudela</t>
  </si>
  <si>
    <t>Ayuntamiento de Oviedo</t>
  </si>
  <si>
    <t>AST-2020-0036</t>
  </si>
  <si>
    <t>Acondicionamiento de la carretera de acceso de Hedrada a Entrago ( Acceso Polígono Industrial)</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</si>
  <si>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</si>
  <si>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</si>
  <si>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Ayuntamiento de TEVERGA</t>
  </si>
  <si>
    <t>Teverga</t>
  </si>
  <si>
    <t>33072</t>
  </si>
  <si>
    <t>Obras de construcción e adaptación de infraestructuras que tiene como objeto mejorar la viabilidad en el acceso al Polígono Industrial de Entrago</t>
  </si>
  <si>
    <t>Mejora de la empleabilidad Mejora de la empleabilidad / Empleo en cosntrucción: Personal medio 5 personas. 16 personas a 1,5 meses. Empleo indirecto 5 trabajadores 2 meses</t>
  </si>
  <si>
    <t>AST-2020-0037</t>
  </si>
  <si>
    <t>Mejora del acceso a los prados de La Mortera y La Siete degradados por la actividad minera</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</si>
  <si>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</si>
  <si>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</si>
  <si>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Serie de actuaciones para apoyar el desarrollo de la actividad ganadera con la construcción de infraestructuras y adecuación de las existentes</t>
  </si>
  <si>
    <t>Mejora de la empleabilidad Mejora de la empleabilidad, / empleo en cosntrucción - 8 trabajadores 10 meses</t>
  </si>
  <si>
    <t>AST-2020-0038</t>
  </si>
  <si>
    <t>Mejora eficiencia energética edificios públicos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</si>
  <si>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</si>
  <si>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BOPA: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</si>
  <si>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PARA INSTITUTOS DE ENSEÑANZA SECUNDARIA</t>
  </si>
  <si>
    <t>Eficiencia energética/Ahorro de energía Eficiencia energética/Ahorro de energía</t>
  </si>
  <si>
    <t>2022-C254</t>
  </si>
  <si>
    <t xml:space="preserve">Convoy train de transformación social y emprendimiento sostenible. </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</si>
  <si>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</si>
  <si>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2022-C254.jpg</t>
  </si>
  <si>
    <t>AYUNTAMIENTO DE VILLAGATÓN</t>
  </si>
  <si>
    <t>Villagatón</t>
  </si>
  <si>
    <t>24210</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</si>
  <si>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</si>
  <si>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2022-C258</t>
  </si>
  <si>
    <t>Residencia de la tercera edad en Pontepedra</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</si>
  <si>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</si>
  <si>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2022-C258.jpg</t>
  </si>
  <si>
    <t>AYUNTAMIENTO DE TORDOIA</t>
  </si>
  <si>
    <t>Tordoia</t>
  </si>
  <si>
    <t>15084</t>
  </si>
  <si>
    <t xml:space="preserve">RESIDENCIA DE LA TERCERA EDAD EN PONTEPEDRA. Nuevo servicio de residencia para personas mayores para facilitar la conciliación familiar y contribuir a crear empleo </t>
  </si>
  <si>
    <t>2022-C264</t>
  </si>
  <si>
    <t xml:space="preserve">Rehabilitación y mejora de las instalaciones deportivas de la robla </t>
  </si>
  <si>
    <t xml:space="preserve">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</si>
  <si>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</si>
  <si>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2022-C264.jpeg</t>
  </si>
  <si>
    <t xml:space="preserve">REHABILITACIÓN Y MEJORA DE LAS INSTALACIONES DEPORTIVAS DE LA ROBLA (BLOQUE D). Renovacion de esta popular instalación deportiva sede de escuelas deportivas de varios municipios. Referente para clubes deportivos de varias disciplinas de la zona     </t>
  </si>
  <si>
    <t>FTJ + Fondos Nacionales</t>
  </si>
  <si>
    <t>2023-G001</t>
  </si>
  <si>
    <t xml:space="preserve">Instalación de un aserradero de madera y planta industrial de fabricación de paneles de CLT </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</si>
  <si>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</si>
  <si>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2023-G001.jpg</t>
  </si>
  <si>
    <t>JV20 FOREST, S.L.</t>
  </si>
  <si>
    <t>2023-G004</t>
  </si>
  <si>
    <t>Construcción y explotación de un hotel de 5 estrellas</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</si>
  <si>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</si>
  <si>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https://www.diariodealmeria.es/finanzasyagricultura/carboneras-apuesta-reindustrializacion-contara-5_0_2000703781.html
https://www.europapress.es/andalucia/almeria-00350/noticia-adjudican-dos-millones-euros-dos-proyectos-empresariales-zonas-transicion-justa-carboneras-almeria-20240703163938.html</t>
  </si>
  <si>
    <t>2023-G004.jpeg</t>
  </si>
  <si>
    <t>AQABA DEVELOPMENTS SL</t>
  </si>
  <si>
    <t>2023-G006</t>
  </si>
  <si>
    <t>Ampliación de instalaciones de empresa de calderería y estructuras singulares</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</si>
  <si>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</si>
  <si>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https://www.lavozdegalicia.es/noticia/ferrol/2024/03/08/trocitos-tunel-submarino-largo-europa-fabrican-as-pontes/0003_202403G8P34991.htm</t>
  </si>
  <si>
    <t>2023-G006.jpg</t>
  </si>
  <si>
    <t>PROMETAL TECNOLOGIA E INNOVACION SL</t>
  </si>
  <si>
    <t>Pagado el 80% 448.613,45€ (22/07/2025)</t>
  </si>
  <si>
    <t>2023-G016</t>
  </si>
  <si>
    <t>Nueva planta  de elaboración de materia prima plástica secundaria y de aprovechamiento del rechazo productivo</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</si>
  <si>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</si>
  <si>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2023-G016.jpg</t>
  </si>
  <si>
    <t>POLITER RECICLAJE, S.L.</t>
  </si>
  <si>
    <t>Montalbán</t>
  </si>
  <si>
    <t>44155</t>
  </si>
  <si>
    <t>Instalación y puesta en marcha de una planta  de elaboración de materia prima plástica secundaria y de aprovechamiento del rechazo productivo</t>
  </si>
  <si>
    <t>2023-G038</t>
  </si>
  <si>
    <t>Ampliación Hotel-Balneario Aguas de Villaharta</t>
  </si>
  <si>
    <t>Ampliación del hotel,de los servicios prestados por el balnerario y dotación de nuevos servicios clínicos y sanitarios.</t>
  </si>
  <si>
    <t>https://aguasdevillaharta.com/</t>
  </si>
  <si>
    <t>2023-G038.jpg</t>
  </si>
  <si>
    <t>BALNEARIO AGUAS DE VILLAHARTA SL</t>
  </si>
  <si>
    <t>Villaharta</t>
  </si>
  <si>
    <t>14068</t>
  </si>
  <si>
    <t>Reconversión del hotel en un centro clínico de salud y bienestar</t>
  </si>
  <si>
    <t>2023-G056</t>
  </si>
  <si>
    <t>Ampliación y modernización del Balneario de Ariño</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</si>
  <si>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</si>
  <si>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2023-G056.jpg</t>
  </si>
  <si>
    <t>HOTEL BALNEARIO DE ARIÑO S.L</t>
  </si>
  <si>
    <t>2023-G064</t>
  </si>
  <si>
    <t>Renovación de maquinaria de obrador, para mejorar la eficiencia en los procesos de producción y conservación de los productos</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</si>
  <si>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</si>
  <si>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https://www.europasur.es/campo-de-gibraltar/asansull-jockey-ayudas-gobierno-proyectos_0_2001265103.html</t>
  </si>
  <si>
    <t>2023-G064.jpeg</t>
  </si>
  <si>
    <t>JOCKEY 1961 S.L.</t>
  </si>
  <si>
    <t>2023-G076</t>
  </si>
  <si>
    <t>Instalación de planta de reciclaje</t>
  </si>
  <si>
    <t>Una planta de reciclaje en Miranda ocupará más de 12.000 metros en el polígono de Ircio | Noticias Diario de Burgos</t>
  </si>
  <si>
    <t>2023-G076.jpg</t>
  </si>
  <si>
    <t>RENOVA RECYCLING, S.L</t>
  </si>
  <si>
    <t>2023-G084</t>
  </si>
  <si>
    <t>Implantación de nuevas líneas de producción de prefabricados de hormigón</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</si>
  <si>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</si>
  <si>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2023-G084.jpg</t>
  </si>
  <si>
    <t>PREFABRICACIONES Y CONTRATAS SA</t>
  </si>
  <si>
    <t>Puebla de Híjar, La</t>
  </si>
  <si>
    <t>44191</t>
  </si>
  <si>
    <t>Nuevas líneas de fabricación para llevar a cabo el diseño, fabricación y montaje de piezas de hormigón armado</t>
  </si>
  <si>
    <t>2023-G098</t>
  </si>
  <si>
    <t>Instalación de una planta de gasificación-pirólisis para la valorización de residuos</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</si>
  <si>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</si>
  <si>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https://valogreenerecinorassomozas.com/</t>
  </si>
  <si>
    <t>2023-G098.jpg</t>
  </si>
  <si>
    <t>VALOGREENE RECINOR, S.L.</t>
  </si>
  <si>
    <t>Somozas, As</t>
  </si>
  <si>
    <t>15081</t>
  </si>
  <si>
    <t>2023-G111</t>
  </si>
  <si>
    <t>Ampliación de nave en industria de fabricación de autogiros y creación de un espacio como museo y exposición</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</si>
  <si>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</si>
  <si>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2023-G111.jpg</t>
  </si>
  <si>
    <t>ELA AVIACIÓN, S.L.</t>
  </si>
  <si>
    <t>2023-M021</t>
  </si>
  <si>
    <t>Digitalización y adecuación a la estrategia de cuidados de larga duración en la residencia y centro de día de Guardo</t>
  </si>
  <si>
    <t>Reforma de 2 unidades de convivencia y modernización de sistemas tecnológicos</t>
  </si>
  <si>
    <t>https://sociosanitarioguardo.com/
https://www.transicionjusta.gob.es/content/dam/itj/files-1/Documents/reactivacion_comarcas/common/MINERIA/MINIMIS_Mineria/Resoluci%C3%B3n%20concesi%C3%B3n%20definitiva%20MINIMIS%202023_firmada.pdf</t>
  </si>
  <si>
    <t>2023-M021.jpg</t>
  </si>
  <si>
    <t>GUARDO PROYECTO 2000 S.L.</t>
  </si>
  <si>
    <t>DIGITALIZACIÓN Y ADECUACIÓN DEL CENTRO AL NUEVO MODELOS ASISTENCIAL</t>
  </si>
  <si>
    <t>AST-2020-0055</t>
  </si>
  <si>
    <t>Mejora de la eficiencia energética del sistema de alumbrado y envolvente de los polideportivos municipales: Santa Cruz, Ujo, Mieres Sur, Visiola, Rioturbio, Figaredo y Turón</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</si>
  <si>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</si>
  <si>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</si>
  <si>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Renovación de la iluminación en las instalaciones deportivas y la renovación de las salas de calderas (mediante la sustitución de calderas de gasóleo por calderas de gas natural de alta eficiencia).</t>
  </si>
  <si>
    <t>AST-2020-0056</t>
  </si>
  <si>
    <t>Mejora de la eficiencia energética del conjunto deportivo de Vega de Arriba: Piscina climatizada, gimnasio e instalaciones 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</si>
  <si>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</si>
  <si>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https://www.mieres.es/ftj/mejora-de-la-eficiencia-energetica-del-conjunto-deportivo-de-vega-de-arriba-piscina-climatizada-gimnasio-e-instalaciones-complementarias/</t>
  </si>
  <si>
    <t>Renovación de la iluminación en las instalaciones deportivas y mejora del sisteña de calefacción</t>
  </si>
  <si>
    <t>AST-2020-0058</t>
  </si>
  <si>
    <t>Mejora de envolvente térmica de fachadas-Mieres</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</si>
  <si>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</si>
  <si>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</si>
  <si>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Obras necesarias para la mejora del rendimiento energético de la envolvente de fachada de los edificios de titularidad privada que lo soliciten y cumplan con unas condiciones a determinar</t>
  </si>
  <si>
    <t>2023-M075</t>
  </si>
  <si>
    <t>Automatización del sistema de molienda en planta de caliza</t>
  </si>
  <si>
    <t>Modernizacion y eficiencia en los sistemas de control y pesaje en las plantas de beneficio de Santibáñez de la Peña</t>
  </si>
  <si>
    <t>http://mineralesdelbrezo.es/
https://www.transicionjusta.gob.es/content/dam/itj/files-1/Documents/reactivacion_comarcas/common/MINERIA/MINIMIS_Mineria/Resoluci%C3%B3n%20concesi%C3%B3n%20definitiva%20MINIMIS%202023_firmada.pdf</t>
  </si>
  <si>
    <t>2023-M075.jpg</t>
  </si>
  <si>
    <t>MINERALES DEL BREZO SL</t>
  </si>
  <si>
    <t>MODERNIZACION Y EFICIENCIA EN LOS SISTEMAS DE CONTROL Y PESAJE EN LAS PLANTAS DE BENEFICIO</t>
  </si>
  <si>
    <t>AST-2020-0061</t>
  </si>
  <si>
    <t>Actuación de mejora y renovación de las redes de saneamiento y depuración de varios núcleos de población (Quirós)</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</si>
  <si>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</si>
  <si>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https://sede.asturias.es/bopa/2022/04/26/2022-02783.pdf</t>
  </si>
  <si>
    <t>Mejora la mejora de las redes actuales, de la calidad de las aguas receptoras de los vertidos y la mejora de las riberas, al eliminar todos los vertidos directos sin tratamiento previo.</t>
  </si>
  <si>
    <t xml:space="preserve"> Entre los 2 proyectos de saneamiento, tendrán 2 depuradoras más y se estima que necesitarán 1 persona más en el mantenimiento / Empleo en cosntrucción 2 personas 4 meses</t>
  </si>
  <si>
    <t>AST-2020-0062</t>
  </si>
  <si>
    <t>Polígono Industrial Venturo I (SMRA)</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</si>
  <si>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</si>
  <si>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Una nueva vida para el pozo Venturo | El Comercio: Diario de Asturias</t>
  </si>
  <si>
    <t>Creación vial interior, realización de infraestructuras de redes de saneamiento, abastecimiento, electricidad, telefonía, alumbrado y gas. Inserción con la carretera AS-388</t>
  </si>
  <si>
    <t>Ampliación de vigencia + Ejecución IDEPA Ficha pendiente. e estima una creación de 180 empleos asociado a las empresas que se puedan instalar en el mismo</t>
  </si>
  <si>
    <t>2023-P012</t>
  </si>
  <si>
    <t xml:space="preserve">Instalación de un campamento de turismo sostenible </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</si>
  <si>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</si>
  <si>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https://www.lavozdegalicia.es/album/ferrol/cerdido/2024/10/05/haras-bordo-campamento-turistico-corazon-cerdido/01101728142069333972972.htm</t>
  </si>
  <si>
    <t>2023-P012.png</t>
  </si>
  <si>
    <t>Fuente: Haras de Bordo</t>
  </si>
  <si>
    <t>HARAS DE BORDO, S.L.</t>
  </si>
  <si>
    <t>Cerdido</t>
  </si>
  <si>
    <t>15025</t>
  </si>
  <si>
    <t>2023-P036</t>
  </si>
  <si>
    <t>Desarrollo un dispositivo para digitalizar las tareas de riego</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</si>
  <si>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</si>
  <si>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2023-P036.jpg</t>
  </si>
  <si>
    <t>SOLUCIONES AGRÍCOLAS CULTÍVATE S.L.</t>
  </si>
  <si>
    <t>2023-P045</t>
  </si>
  <si>
    <t>Establecimiento de alojamiento turístico</t>
  </si>
  <si>
    <t>El proyecto se compone de la compra de una vivienda, su restauración bajo principios de mejora de eficiencia energética y su acondicionamiento para ofrecer servicios de Vivienda de turismo rural</t>
  </si>
  <si>
    <t>2023-P045.jpg</t>
  </si>
  <si>
    <t>BEATRIZ TOMAS TURON</t>
  </si>
  <si>
    <t>ARAGÓN</t>
  </si>
  <si>
    <t>TERUEL</t>
  </si>
  <si>
    <t>Híjar</t>
  </si>
  <si>
    <t>44122</t>
  </si>
  <si>
    <t>AST-2021-0005</t>
  </si>
  <si>
    <t>Desestacionalización y Reconstrucción de la EEIMVP como motor económico del valle de Lena. Fase 1</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</si>
  <si>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</si>
  <si>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</si>
  <si>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</si>
  <si>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2023-P057</t>
  </si>
  <si>
    <t>Mejoras en la capacidad de producción de la empresa, dedicada a la fabricación de módulos para Passivhaus</t>
  </si>
  <si>
    <t>Ampliación de capacidad productiva de empresa de fabricación de estructuras de madera y piezas de carpintería y ebanistería</t>
  </si>
  <si>
    <t>2023-P057.jpg</t>
  </si>
  <si>
    <t>AMERICAN LH SL</t>
  </si>
  <si>
    <t>Lantarón</t>
  </si>
  <si>
    <t>01902</t>
  </si>
  <si>
    <t>ARA-2020-0002</t>
  </si>
  <si>
    <t>Mejora de accesos entre zona empresarial y la A-223</t>
  </si>
  <si>
    <t xml:space="preserve">La finalidad de este proyecto ha sido la de mejorar y acondicionar los accesos a una de las zonas del municipio con la A-223 con el fin de favorecer la ubicación de las empresas y mejorar el desarrollo de su actividad. </t>
  </si>
  <si>
    <t>mejorar y acondicionar los accesos a esa zona para permitir a las empresas ubicarse allí, y mejorar también la conexión con la carretera A-223</t>
  </si>
  <si>
    <t>Ampliación de vigencia+Incremento importe</t>
  </si>
  <si>
    <t>ARA-2020-0003</t>
  </si>
  <si>
    <t>Renovación de red de abastecimiento de agua</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</si>
  <si>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</si>
  <si>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Ayuntamiento de Montalbán</t>
  </si>
  <si>
    <t>la renovación de la red de abastecimiento de agua, desde la toma del embalse de Las Parras hasta los depósitos reguladores y de estos depósitos hasta la red de distribución del Polígono Industrial</t>
  </si>
  <si>
    <t>2023-P064</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</si>
  <si>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</si>
  <si>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2023-P064.jpg</t>
  </si>
  <si>
    <t>TECOI CORTE S.L.</t>
  </si>
  <si>
    <t>Sabero</t>
  </si>
  <si>
    <t>24137</t>
  </si>
  <si>
    <t>2023-P081</t>
  </si>
  <si>
    <t>Modernización y automatización de diferentes líneas de producción agroalimentaria</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</si>
  <si>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</si>
  <si>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2023-P081.jpg</t>
  </si>
  <si>
    <t>Modernización y automatización de producción y etiquetado</t>
  </si>
  <si>
    <t>2023-P095</t>
  </si>
  <si>
    <t>Modernización de planta de reciclado y re-fabricación de plásticos</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</si>
  <si>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</si>
  <si>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2023-P095.jpg</t>
  </si>
  <si>
    <t>TECNICA DE ENVASES PESQUEROS TEP, S.A.</t>
  </si>
  <si>
    <t>Muras</t>
  </si>
  <si>
    <t>27033</t>
  </si>
  <si>
    <t>ARA-2020-0010</t>
  </si>
  <si>
    <t>Construcción de un aparcamiento en la última manzana del polígono</t>
  </si>
  <si>
    <t>El proyecto consiste en la construcción de un aparcamiento público en la última manzana del polígono Fuensalada, del que se podrán beneficiar trabajadores, proveedores y clientes de las empresas instaladas.</t>
  </si>
  <si>
    <t>Ayuntamiento de Calanda</t>
  </si>
  <si>
    <t>construcción de un aparcamiento público para trabajadores, proveedores y clientes de las empresas instaladas en la última manzana del polígono</t>
  </si>
  <si>
    <t>Mejora de la eficiencia energética</t>
  </si>
  <si>
    <t>ARA-2020-0011</t>
  </si>
  <si>
    <t xml:space="preserve">Aparcamientos y equipamientos públicos en polígono industrial </t>
  </si>
  <si>
    <t>El proyecto consiste en la urbanización del Eje 6 del polígono Fuensalada, que lleva a una mejora en la calidad de los trabajadores, aparcamiento y futura llegada de empresas.</t>
  </si>
  <si>
    <t xml:space="preserve">aparcamientos y equipamientos públicos de la última manzana de suelo industrial del polígono industrial </t>
  </si>
  <si>
    <t>posibilidad de generar 60 empleos fijos con la implementación de una empresa despues de las obras</t>
  </si>
  <si>
    <t>ARA-2020-0012</t>
  </si>
  <si>
    <t>Ampliación del balnerario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</si>
  <si>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</si>
  <si>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Ayuntamiento de ARIÑO</t>
  </si>
  <si>
    <t xml:space="preserve">ampliación del edificio hotel como la ampliación del área termal, con el objetivo de aumentar el número de habitaciones </t>
  </si>
  <si>
    <t>2023-P099</t>
  </si>
  <si>
    <t>Mejoras en la competitividad de la empresa</t>
  </si>
  <si>
    <t>Mejora de los equipos, sustitución de maquinaria poco eficiente, mejora de los útiles de la empresa.</t>
  </si>
  <si>
    <t>2023-P099.jpg</t>
  </si>
  <si>
    <t>Se plantea la necesidad de mejorar la empresa para poder seguir siendo competitiva</t>
  </si>
  <si>
    <t>ARA-2020-0014</t>
  </si>
  <si>
    <t>Instalación de luminarias LED</t>
  </si>
  <si>
    <t xml:space="preserve">Instalación de luminarias equipadas con tecnologías de diodos emisores de luz (LED) en el acceso público al polígono industrial para favorecer el mejor desarrollo del mismo. </t>
  </si>
  <si>
    <t>Instalación de luminarias equipadas con tecnologías de diodos emisores de luz (LED)</t>
  </si>
  <si>
    <t>posibilidad de implantación de una empreza con 22 puestos de trabajo indefinido (empleo indirecto), y hasta 200 indirectamente</t>
  </si>
  <si>
    <t>ARA-2020-0015</t>
  </si>
  <si>
    <t>Centro de atención a personas mayores y centro de día en Mequinenza</t>
  </si>
  <si>
    <t>construcción del centro de atención a personas mayores y centro de día en Mequinenza</t>
  </si>
  <si>
    <t>Ayuntamiento de Mequinenza</t>
  </si>
  <si>
    <t>Ampliación de vigencia + cambio objeto</t>
  </si>
  <si>
    <t>ARA-2020-0016</t>
  </si>
  <si>
    <t>Actuaciones de dotación de agua y energía eléctrica en la zona noreste del municipio</t>
  </si>
  <si>
    <t>El proyecto ha consistido en la construcción de las infraestructuras necesarias para la dotación de agua y energía eléctrica que faciliten el abastecimiento de las explotaciones ganaderas en la zona noreste del término municipal.</t>
  </si>
  <si>
    <t>Ayuntamiento de Cañizar del Olivar</t>
  </si>
  <si>
    <t>Cañizar del Olivar</t>
  </si>
  <si>
    <t>44063</t>
  </si>
  <si>
    <t>actuaciones de dotación de agua y energía eléctrica que faciliten el abastecimiento de explotaciones ganaderas en la zona noreste de su término municipa</t>
  </si>
  <si>
    <t>Mejora ambiental</t>
  </si>
  <si>
    <t>2023-P100</t>
  </si>
  <si>
    <t xml:space="preserve">Puesta en marcha de gimnasio de pilates </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</si>
  <si>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</si>
  <si>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https://www.cliniksv.com/nosotros/</t>
  </si>
  <si>
    <t>2023-P100.png</t>
  </si>
  <si>
    <t>CLINICA SOBRÍN VALBUENA SOCIEDAD LIMITADA</t>
  </si>
  <si>
    <t>ARA-2020-0018</t>
  </si>
  <si>
    <t>Renovación del alumbrado público del polígono industrial Cuencas Mineras</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</si>
  <si>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</si>
  <si>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</si>
  <si>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ARA-2020-0019</t>
  </si>
  <si>
    <t xml:space="preserve">Sustitución de luminarias </t>
  </si>
  <si>
    <t>Con este proyecto se ha sustituido las luminarias en Alloza (Teruel) por unas más efeicientes con el fin de obtener ahorro energético</t>
  </si>
  <si>
    <t>Ayuntamiento de Alloza</t>
  </si>
  <si>
    <t>Alloza</t>
  </si>
  <si>
    <t>44022</t>
  </si>
  <si>
    <t>sustituir las luminarias actuales en Alloza (Teruel) por unas nuevas para obtener un ahorro energético</t>
  </si>
  <si>
    <t>ARA-2020-0020</t>
  </si>
  <si>
    <t>Renovación del alumbrado  público</t>
  </si>
  <si>
    <t>El proyecto consiste en completar la renovación del alumbrado público del casco urbano adaptando de esta forma las instalaciones a la vigente reglamentación de eficiencia energética</t>
  </si>
  <si>
    <t>Ayuntamiento de Andorra</t>
  </si>
  <si>
    <t>consiste en completar la renovación del alumbrado público adaptando de esta forma, las instalaciones a la vigente reglamentación de eficiencia energética</t>
  </si>
  <si>
    <t>2023-P115</t>
  </si>
  <si>
    <t>Construcción de una nave anexa de empresa de lacados y pintura</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</si>
  <si>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</si>
  <si>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2023-P115.jpg</t>
  </si>
  <si>
    <t>FERNANDO GIMENO SC</t>
  </si>
  <si>
    <t>ARA-2020-0023</t>
  </si>
  <si>
    <t xml:space="preserve">Segunda fase de construcción del Centro de Interpretación El Cabo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</si>
  <si>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</si>
  <si>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</si>
  <si>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ARA-2020-0025</t>
  </si>
  <si>
    <t>Urbanización de una manzana del polígono Industrial Cueva de San José</t>
  </si>
  <si>
    <t>El proyecto consiste en la urbanización de una manzana del polígono Industrial Cueva de San José. Esto permite la instalación de nuevas empresas, con la consecuente creación de empleo en la zona.</t>
  </si>
  <si>
    <t>consiste en la urbanización de una manzana del polígono Industrial Cueva de San José</t>
  </si>
  <si>
    <t>18 empresas</t>
  </si>
  <si>
    <t>RESTAURACIÓN C4 - PRTR</t>
  </si>
  <si>
    <t>RESTAURACIÓN</t>
  </si>
  <si>
    <t>PRTR - C4</t>
  </si>
  <si>
    <t>CYL 1 - 126 II 3 001</t>
  </si>
  <si>
    <t>Actuaciones de recuperación de suelos y zonas afectadas por la minería en Fabero</t>
  </si>
  <si>
    <t>https://medioambiente.jcyl.es/web/jcyl/MedioAmbiente/es/Plantilla100Detalle/1285147668357/1/1285271530454/Texto</t>
  </si>
  <si>
    <t>Consejería de Fomento y Medio Ambiente</t>
  </si>
  <si>
    <t>CyL 1- Restauración Ambiental de instalaciones de minería cerrada y abandonada en el entorno del margen izquierda del río CÚA, con código de Inventario 126 II 3 001 en Fabero (León)</t>
  </si>
  <si>
    <t>Finalizada</t>
  </si>
  <si>
    <t>Obras finalizadas. 
Fecha de finalización: 17/11/2024</t>
  </si>
  <si>
    <t>F. Nacionales (75 % ITJ / 25% CCAA) + PRTR</t>
  </si>
  <si>
    <t>AST-2020-0001</t>
  </si>
  <si>
    <t>Urbanización del área industrial de Villallana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</si>
  <si>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</si>
  <si>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Ampliación de vigencia + incremento de importe + Ejecución IDEPA Ficha pendiente. en el polígono de Villayana se crearon 250 empleos asociados a la empresa ElZinc, más los indirectos que se crean por la actividad industrial.</t>
  </si>
  <si>
    <t>2023-P123</t>
  </si>
  <si>
    <t>Adecuación de nave para instalaciones de empresa dedicada a mantenimiento suministros e instalaciones industriales</t>
  </si>
  <si>
    <t>Adecuación de una nave para ampliación de instalaciones, tanto de espacio de trabajo como mejora de las condiciones y entorno, fortaleciendo la empresa e iniciando un ciclo expansivo.</t>
  </si>
  <si>
    <t>2023-P123.jpeg</t>
  </si>
  <si>
    <t>PROYECTOS SOLUCIONES E INSTALACIONES GALICIA SLU</t>
  </si>
  <si>
    <t>AST-2020-0018</t>
  </si>
  <si>
    <t>Proyecto para optimización y diversificación energética en los edificios públicos de Laviana</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</si>
  <si>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</si>
  <si>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</si>
  <si>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Consiste en la realización de una sala de calderas con combustible biomasa y sistema de distribución de calefacción y ACS mediante un sistema de District-Heating</t>
  </si>
  <si>
    <t>Ampliación de vigencia + incremento de importe Eficiencia energética/Ahorro de energía</t>
  </si>
  <si>
    <t>2023-P129</t>
  </si>
  <si>
    <t xml:space="preserve">Puesta en marcha de una nueva línea de manufactura y acabado del  alabastro. </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</si>
  <si>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</si>
  <si>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2023-P129.jpg</t>
  </si>
  <si>
    <t>EXPORTADORA TUROLENSE S.L.</t>
  </si>
  <si>
    <t>AST-2020-0040</t>
  </si>
  <si>
    <t>Prolongación de la red de calefacción por distrito para las calles Valeriano Miranda y Numa Guilhou, casco urbano de 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</si>
  <si>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</si>
  <si>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https://www.mieres.es/ftj/prolongacion-de-la-red-de-calefaccion-por-distrito-para-las-calles-valeriano-miranda-y-numa-guilhou-casco-urbano-de-mieres/</t>
  </si>
  <si>
    <t>Consiste en la prolongación de la red de calefacción para el Casco Urbano de Mieres (Asturias), que proporcionará servicio de calefacción y ACS a varios edificios, siendo el titular de la instalación el Ayuntamiento de Mieres.</t>
  </si>
  <si>
    <t>AST-2020-0057</t>
  </si>
  <si>
    <t>Escombrera de Riquela. Fase III de la ciudad del Tenis y acondicionamiento del resto de instalaciones deportivas</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</si>
  <si>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</si>
  <si>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</si>
  <si>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Construcción y acondicionamiento de infraestructuras deportivas (nuevas pistas de tenis al aire libre, pista de petanca, la pista de futbito)</t>
  </si>
  <si>
    <t>ARA-2020-0005</t>
  </si>
  <si>
    <t>Adecuación de zona con fines empresariales</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</si>
  <si>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</si>
  <si>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Ayuntamiento de Castellote</t>
  </si>
  <si>
    <t>Castellote</t>
  </si>
  <si>
    <t>44071</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</si>
  <si>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</si>
  <si>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ARA-2020-0022</t>
  </si>
  <si>
    <t xml:space="preserve">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</si>
  <si>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</si>
  <si>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 xml:space="preserve">introducción de un nuevo colector general de saneamiento </t>
  </si>
  <si>
    <t>Incremento de importe</t>
  </si>
  <si>
    <t>ARA-2020-0024</t>
  </si>
  <si>
    <t xml:space="preserve">Ampliación de la residencia de personas mayores </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</si>
  <si>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</si>
  <si>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Rehabilitación de un edificio existente adyacente a la actual residencia de personas mayores para su ampliación</t>
  </si>
  <si>
    <t>Ampliación de vigencia + incremento de importe</t>
  </si>
  <si>
    <t>Proyectos Empresariales en zonas Mineras</t>
  </si>
  <si>
    <t>2023-0004</t>
  </si>
  <si>
    <t>Fabricación de fibra poliester a partir del residuo de plastico PET</t>
  </si>
  <si>
    <t>https://fibers.naeco.com/</t>
  </si>
  <si>
    <t>NAECO FIBERS S.L.</t>
  </si>
  <si>
    <t>FABRICACIÓN DE FIBRA POLIESTER A PARTIR DEL RESIDUO DE PLASTICO PET</t>
  </si>
  <si>
    <t>2023-0007</t>
  </si>
  <si>
    <t>Nueva línea de producción</t>
  </si>
  <si>
    <t>https://ruiferpa.net/</t>
  </si>
  <si>
    <t>RUIFERPA SL</t>
  </si>
  <si>
    <t>NUEVA LÍNEA DE PRODUCCIÓN</t>
  </si>
  <si>
    <t>2023-0008</t>
  </si>
  <si>
    <t>Rehabilitacion de Casona Abadía del Cenero para apartamentos turísticos</t>
  </si>
  <si>
    <t>CARNICERIAS HNOS BERDASCO SL</t>
  </si>
  <si>
    <t>REHABILITACION DE CASONA ABADÍA DEL CENERO PARA APARTAMENTOS TURÍSTICOS</t>
  </si>
  <si>
    <t>2023-0009</t>
  </si>
  <si>
    <t>Instalación de una nueva línea de fabricación de luminarias de carril o trunking systems</t>
  </si>
  <si>
    <t>https://www.normagrup.com/es</t>
  </si>
  <si>
    <t>NORMAGRUP TECHNOLOGY SA</t>
  </si>
  <si>
    <t>INSTALACIÓN DE UNA NUEVA LÍNEA DE FABRICACIÓN DE LUMINARIAS DE CARRIL O TRUNKING SYSTEMS</t>
  </si>
  <si>
    <t>2023-0010</t>
  </si>
  <si>
    <t>Ampliación de proceso productivo</t>
  </si>
  <si>
    <t>https://www.metalicassomonte.com/</t>
  </si>
  <si>
    <t>METALICAS SOMONTE SL</t>
  </si>
  <si>
    <t>AMPLIACIÓN DE PROCESO PRODUCTIVO</t>
  </si>
  <si>
    <t>2023-0012</t>
  </si>
  <si>
    <t>Inversión en bienes de equipo y tecnología</t>
  </si>
  <si>
    <t>https://salsasasturianas.es/</t>
  </si>
  <si>
    <t>SALSAS ASTURIANAS, SL</t>
  </si>
  <si>
    <t>INVERSIÓN EN BIENES DE EQUIPO Y TECNOLOGÍA</t>
  </si>
  <si>
    <t>2023-0016</t>
  </si>
  <si>
    <t>Acondicionamiento y equipamiento de nave industrial</t>
  </si>
  <si>
    <t>ALISYS ROBOTICS SL</t>
  </si>
  <si>
    <t>ACONDICIONAMIENTO Y EQUIPAMIENTO DE NAVE INDUSTRIAL</t>
  </si>
  <si>
    <t>2023-0027</t>
  </si>
  <si>
    <t>Creación de nueva línea de negocio para la fabricación de piezas mecanosoldadas</t>
  </si>
  <si>
    <t>https://oxiplant.com/</t>
  </si>
  <si>
    <t>OXIPLANT CENTRO DE TRANSFORMACION DEL ACERO SL</t>
  </si>
  <si>
    <t>CREACIÓN DE NUEVA LÍNEA DE NEGOCIO PARA LA FABRICACIÓN DE PIEZAS MECANOSOLDADAS</t>
  </si>
  <si>
    <t>2023-0028</t>
  </si>
  <si>
    <t>Ampliación de capacidad en planta de fabricación de cerramientos en PVC</t>
  </si>
  <si>
    <t>http://www.viavi.es/</t>
  </si>
  <si>
    <t>CARPINTERIA METALICA VILLA DE AVILES SL</t>
  </si>
  <si>
    <t>AMPLIACIÓN DE CAPACIDAD EN PLANTA DE FABRICACIÓN DE CERRAMIENTOS EN PVC</t>
  </si>
  <si>
    <t>2023-0029</t>
  </si>
  <si>
    <t>Planta de fabricación de productos inyectables</t>
  </si>
  <si>
    <t>https://www.medichem.es/</t>
  </si>
  <si>
    <t>MEDICHEM SOLUTIONS SL</t>
  </si>
  <si>
    <t>PLANTA DE FABRICACIÓN DE PRODUCTOS INYECTABLES</t>
  </si>
  <si>
    <t>2023-0030</t>
  </si>
  <si>
    <t>Ampliación de la capacidad de residentes</t>
  </si>
  <si>
    <t>https://residenciaverdeja.es/</t>
  </si>
  <si>
    <t>RESIDENCIA VERDEJA SL.</t>
  </si>
  <si>
    <t>AMPLIACIÓN DE LA CAPACIDAD DE RESIDENTES</t>
  </si>
  <si>
    <t>2023-0034</t>
  </si>
  <si>
    <t>Centro residencial para personas mayores</t>
  </si>
  <si>
    <t>MARTINEZ TOYOS, SL</t>
  </si>
  <si>
    <t>CENTRO RESIDENCIAL PARA PERSONAS MAYORES</t>
  </si>
  <si>
    <t>2023-0035</t>
  </si>
  <si>
    <t>"Eco Motel" de 4 estrellas</t>
  </si>
  <si>
    <t>ECOMOTEL RURAL LAS CABAÑITAS, S.L.</t>
  </si>
  <si>
    <t>"ECO MOTEL" DE 4 ESTRELLAS</t>
  </si>
  <si>
    <t>2023-0037</t>
  </si>
  <si>
    <t>Adquisicion de un nuevo centro productivo e inversion en maquinaria innovadora</t>
  </si>
  <si>
    <t>https://asturcopia.com/quienes-somos/</t>
  </si>
  <si>
    <t>ASTURCOPIA SL</t>
  </si>
  <si>
    <t>ADQUISICION DE UN NUEVO CENTRO PRODUCTIVO E INVERSION EN MAQUINARIA INNOVADORA</t>
  </si>
  <si>
    <t>2023-0043</t>
  </si>
  <si>
    <t>Creación de nueva planta para fabricación de áridos reciclados</t>
  </si>
  <si>
    <t>https://tramisa.es/</t>
  </si>
  <si>
    <t>TRANSPORTES Y MANIPULACION DE MINERALES SA</t>
  </si>
  <si>
    <t>CREACIÓN DE NUEVA PLANTA PARA FABRICACIÓN DE ÁRIDOS RECICLADOS</t>
  </si>
  <si>
    <t>2023-0049</t>
  </si>
  <si>
    <t>Nuevo centro de diseño, fabricación y distribución de materiales médico-quirúrgicos</t>
  </si>
  <si>
    <t>https://www.acuna-fombona.com/</t>
  </si>
  <si>
    <t>ACUÑA Y FOMBONA SA</t>
  </si>
  <si>
    <t>NUEVO CENTRO DE DISEÑO, FABRICACIÓN Y DISTRIBUCIÓN DE MATERIALES MÉDICO-QUIRÚRGICOS</t>
  </si>
  <si>
    <t>2023-0050</t>
  </si>
  <si>
    <t>Incorporación de nuevas tecnologías</t>
  </si>
  <si>
    <t>ASAC COMUNICACIONES, SL</t>
  </si>
  <si>
    <t>INCORPORACIÓN DE NUEVAS TECNOLOGÍAS</t>
  </si>
  <si>
    <t>2023-0052</t>
  </si>
  <si>
    <t>Creación de un nuevo centro de trabajo</t>
  </si>
  <si>
    <t>https://www.asacti.es/</t>
  </si>
  <si>
    <t>TURBINAS GENERADORES VALVULAS Y AUXILIARES, SLU</t>
  </si>
  <si>
    <t>CREACIÓN DE UN NUEVO CENTRO DE TRABAJO</t>
  </si>
  <si>
    <t>2023-0054</t>
  </si>
  <si>
    <t>Ampliacion y reforma de residencia</t>
  </si>
  <si>
    <t>https://www.crsantaisabel.es/</t>
  </si>
  <si>
    <t>AMPLIACION Y REFORMA DE RESIDENCIA</t>
  </si>
  <si>
    <t>2023-0060</t>
  </si>
  <si>
    <t>Centro de atencion a mayores en la modalidad de alojamiento</t>
  </si>
  <si>
    <t>https://residenciaaramo.com/</t>
  </si>
  <si>
    <t>ARAMO AUDITORIO SL</t>
  </si>
  <si>
    <t>CENTRO DE ATENCION A MAYORES EN LA MODALIDAD DE ALOJAMIENTO</t>
  </si>
  <si>
    <t>2023-0065</t>
  </si>
  <si>
    <t>Ampliación de capacidad productiva con nueva línea de impresión offset</t>
  </si>
  <si>
    <t>https://cizerodigital.com/</t>
  </si>
  <si>
    <t>CICERO DIGITAL, SL</t>
  </si>
  <si>
    <t>AMPLIACIÓN DE CAPACIDAD PRODUCTIVA CON NUEVA LÍNEA DE IMPRESIÓN OFFSET</t>
  </si>
  <si>
    <t>2023-M001</t>
  </si>
  <si>
    <t>Adquisición de bienes de equipo</t>
  </si>
  <si>
    <t>https://www.contenedoresgema.es/</t>
  </si>
  <si>
    <t>CONTENEDORES GEMA SL</t>
  </si>
  <si>
    <t>ADQUISICIÓN DE BIENES DE EQUIPO</t>
  </si>
  <si>
    <t>2023-M004</t>
  </si>
  <si>
    <t>Inversiones en maquinaria para la industria metalúrgica</t>
  </si>
  <si>
    <t>https://www.nortemecanica.es/es/</t>
  </si>
  <si>
    <t>NORTEMECANICA SA</t>
  </si>
  <si>
    <t>INVERSIONES EN MAQUINARIA PARA LA INDUSTRIA METALÚRGICA</t>
  </si>
  <si>
    <t>2023-M005</t>
  </si>
  <si>
    <t>Nueva clínica de fisioterapia</t>
  </si>
  <si>
    <t>RICHARD GRANDIO SL</t>
  </si>
  <si>
    <t>NUEVA CLÍNICA DE FISIOTERAPIA</t>
  </si>
  <si>
    <t>2023-M006</t>
  </si>
  <si>
    <t>Ampliacion y automatizacion de las instalaciones de Rodisa</t>
  </si>
  <si>
    <t>Aampliacion y automatizacion de las instalaciones de Rodisa</t>
  </si>
  <si>
    <t>http://www.rodisa.es/</t>
  </si>
  <si>
    <t>ESTAMPACIONES Y DECOLETAJES RODISA SL</t>
  </si>
  <si>
    <t>AMPLIACION Y AUTOMATIZACION DE LAS INSTALACIONES DE RODISA</t>
  </si>
  <si>
    <t>2023-M009</t>
  </si>
  <si>
    <t>Confeccion ortesis plantares y modernizacion gabinete</t>
  </si>
  <si>
    <t>CONFECCION ORTESIS PLANTARES Y MODERNIZACION GABINETE</t>
  </si>
  <si>
    <t>2023-M019</t>
  </si>
  <si>
    <t>Adquisición de maquinaria</t>
  </si>
  <si>
    <t>https://diazcobian.es/</t>
  </si>
  <si>
    <t>CARPINTERIA DIAZ COBIAN SL</t>
  </si>
  <si>
    <t>ADQUISICIÓN DE MAQUINARIA</t>
  </si>
  <si>
    <t>2023-M023</t>
  </si>
  <si>
    <t>Adquisición equipamiento y software Hospital Veterinario Menes SL</t>
  </si>
  <si>
    <t>HOSPITAL VETERINARIO MENES S L</t>
  </si>
  <si>
    <t>ADQUISICIÓN EQUIPAMIENTO Y SOFTWARE HOSPITAL VETERINARIO MENES SL</t>
  </si>
  <si>
    <t>2023-M024</t>
  </si>
  <si>
    <t>Ampliación de capacidad de la línea de productos metálicos para rehabilitación de fachadas</t>
  </si>
  <si>
    <t>https://garciarama.com/</t>
  </si>
  <si>
    <t>CONSTRUCCIONES GARCIA RAMA SL</t>
  </si>
  <si>
    <t>AMPLIACIÓN DE CAPACIDAD DE LA LÍNEA DE PRODUCTOS METÁLICOS PARA REHABILITACIÓN DE FACHADAS</t>
  </si>
  <si>
    <t>2023-M027</t>
  </si>
  <si>
    <t>Creación de unidad de metalistería, serigrafía y nuevo espacio experiencial</t>
  </si>
  <si>
    <t>https://www.proasur.com/</t>
  </si>
  <si>
    <t>CREACIÓN DE UNIDAD DE METALISTERÍA, SERIGRAFÍA Y NUEVO ESPACIO EXPERIENCIAL</t>
  </si>
  <si>
    <t>2023-M030</t>
  </si>
  <si>
    <t>Creacion planta de alta tecnologia de proyeccion termica HVAF</t>
  </si>
  <si>
    <t>https://talleresllaneza.com/</t>
  </si>
  <si>
    <t>LLANEZA COATING SL</t>
  </si>
  <si>
    <t>CREACION PLANTA DE ALTA TECNOLOGIA DE PROYECCION TERMICA HVAF</t>
  </si>
  <si>
    <t>2023-M037</t>
  </si>
  <si>
    <t>Puesta en marcha de centro cultural en Oviedo</t>
  </si>
  <si>
    <t>https://kuivialmacenes.es/</t>
  </si>
  <si>
    <t>KUIVI VISION, S.L.</t>
  </si>
  <si>
    <t>PUESTA EN MARCHA DE CENTRO CULTURAL EN OVIEDO</t>
  </si>
  <si>
    <t>2023-M039</t>
  </si>
  <si>
    <t>Ampliación Cardialis: rehabilitación y salud cardiovascular</t>
  </si>
  <si>
    <t>https://cardialis.es/</t>
  </si>
  <si>
    <t>CLÍNICAS CARDIALIS S.L.</t>
  </si>
  <si>
    <t>AMPLIACIÓN CARDIALIS: REHABILITACIÓN Y SALUD CARDIOVASCULAR</t>
  </si>
  <si>
    <t>2023-M047</t>
  </si>
  <si>
    <t>https://www.imprentagoymar.es/</t>
  </si>
  <si>
    <t>IMPRENTA GOYMAR, SL</t>
  </si>
  <si>
    <t>2023-M048</t>
  </si>
  <si>
    <t>Instalación de sistema y solución onpremise</t>
  </si>
  <si>
    <t>https://grupopico.es/servicios/media-logistic/</t>
  </si>
  <si>
    <t>MEDIA AND LOGISTICS CORPORATION, SL</t>
  </si>
  <si>
    <t>INSTALACIÓN DE SISTEMA Y SOLUCIÓN ONPREMISE</t>
  </si>
  <si>
    <t>2023-M050</t>
  </si>
  <si>
    <t>Restyling de maquinaria</t>
  </si>
  <si>
    <t>https://www.coemastur.com/</t>
  </si>
  <si>
    <t>COEMASTUR, SL</t>
  </si>
  <si>
    <t>RESTYLING DE MAQUINARIA</t>
  </si>
  <si>
    <t>2023-M051</t>
  </si>
  <si>
    <t>Construcción de nave y adquisición de maquinaria</t>
  </si>
  <si>
    <t>DESEL SISTEMAS CONTRA INCENDIOS,S.L.</t>
  </si>
  <si>
    <t>CONSTRUCCIÓN DE NAVE Y ADQUISICIÓN DE MAQUINARIA</t>
  </si>
  <si>
    <t>2023-M052</t>
  </si>
  <si>
    <t>Construccion de nave industrial e instalacion de puente grua</t>
  </si>
  <si>
    <t>https://www.ascomi.es/</t>
  </si>
  <si>
    <t>Ascomi Estructuras, S.L.</t>
  </si>
  <si>
    <t>CONSTRUCCION DE NAVE INDUSTRIAL E INSTALACION DE PUENTE GRUA</t>
  </si>
  <si>
    <t>2023-M055</t>
  </si>
  <si>
    <t>Equipo neumatico para descarga de combustible (astilla) en calderas de biomasa</t>
  </si>
  <si>
    <t>https://www.tinastur.com/</t>
  </si>
  <si>
    <t>EQUIPO NEUMATICO PARA DESCARGA DE COMBUSTIBLE (ASTILLA) EN CALDERAS DE BIOMASA</t>
  </si>
  <si>
    <t>2023-M059</t>
  </si>
  <si>
    <t>Apartamentos turisticos La Muraza</t>
  </si>
  <si>
    <t>MARIA LORENA GARCIA ALONSO</t>
  </si>
  <si>
    <t>APARTAMENTOS TURISTICOS LA MURAZA</t>
  </si>
  <si>
    <t>2023-M061</t>
  </si>
  <si>
    <t>Centro de haloterapia (Halospa)</t>
  </si>
  <si>
    <t>MARIA ANGELA FERNANDEZ ALVAREZ</t>
  </si>
  <si>
    <t>CENTRO DE HALOTERAPIA (HALOSPA)</t>
  </si>
  <si>
    <t>2023-M063</t>
  </si>
  <si>
    <t>Ampliación de la capacidad productiva de Dental Astur mediante equipos de industria 4.0</t>
  </si>
  <si>
    <t>https://laboratoriodentalastur.es/</t>
  </si>
  <si>
    <t>LABORATORIO DENTAL ASTUR SA</t>
  </si>
  <si>
    <t>AMPLIACIÓN DE LA CAPACIDAD PRODUCTIVA DE DENTAL ASTUR MEDIANTE EQUIPOS DE INDUSTRIA 4.0</t>
  </si>
  <si>
    <t>2023-M064</t>
  </si>
  <si>
    <t>Nueva sede de centro enseñanzas tic para autoescuela Exit</t>
  </si>
  <si>
    <t>https://www.autoescuelaexit.com/</t>
  </si>
  <si>
    <t>AUTOESCUELA EXIT OVIEDO SL</t>
  </si>
  <si>
    <t>NUEVA SEDE DE CENTRO ENSEÑANZAS TIC PARA AUTOESCUELA EXIT</t>
  </si>
  <si>
    <t>2023-M066</t>
  </si>
  <si>
    <t>Implantación de una nueva línea de producto de carácter innovador</t>
  </si>
  <si>
    <t>https://adaro.es/</t>
  </si>
  <si>
    <t>ADARO TECNOLOGIA SA</t>
  </si>
  <si>
    <t>IMPLANTACIÓN DE UNA NUEVA LÍNEA DE PRODUCTO DE CARÁCTER INNOVADOR</t>
  </si>
  <si>
    <t>2023-M068</t>
  </si>
  <si>
    <t>Adquisicion de maquina plegadora</t>
  </si>
  <si>
    <t>https://aguimarinox.wordpress.com/</t>
  </si>
  <si>
    <t>AGUIMAR INOX, SL</t>
  </si>
  <si>
    <t>ADQUISICION DE MAQUINA PLEGADORA</t>
  </si>
  <si>
    <t>2023-M070</t>
  </si>
  <si>
    <t>Ampliación de unidad de negocio con adquisicion de maquinaria</t>
  </si>
  <si>
    <t>https://jocaba.com/</t>
  </si>
  <si>
    <t>INSTALACIONES Y REFORMAS JOCABA, SL</t>
  </si>
  <si>
    <t>AMPLIACIÓN DE UNIDAD DE NEGOCIO CON ADQUISICION DE MAQUINARIA</t>
  </si>
  <si>
    <t>2023-M071</t>
  </si>
  <si>
    <t>La ampliación de la capacidad operativa de refractaria</t>
  </si>
  <si>
    <t>https://www.refractaria.com/</t>
  </si>
  <si>
    <t>REFRACTARIA S.A.U</t>
  </si>
  <si>
    <t>LA AMPLIACIÓN DE LA CAPACIDAD OPERATIVA DE REFRACTARIA</t>
  </si>
  <si>
    <t>2023-M072</t>
  </si>
  <si>
    <t>https://recycling.naeco.com/</t>
  </si>
  <si>
    <t>NAECO RECYCLING SL</t>
  </si>
  <si>
    <t>2023-M073</t>
  </si>
  <si>
    <t>Ampliacion y reforma agrotienda rural de grado</t>
  </si>
  <si>
    <t>https://campoastur.es/</t>
  </si>
  <si>
    <t>CAMPOASTUR PRODUCTOS Y SERVICIOS, S. COOP. ASTURIANA</t>
  </si>
  <si>
    <t>Grado</t>
  </si>
  <si>
    <t>33026</t>
  </si>
  <si>
    <t>AMPLIACION Y REFORMA AGROTIENDA RURAL DE GRADO</t>
  </si>
  <si>
    <t>2023-M076</t>
  </si>
  <si>
    <t>Adquisición de moldes para pallets</t>
  </si>
  <si>
    <t>https://naeco.com/es/</t>
  </si>
  <si>
    <t>ADQUISICIÓN DE MOLDES PARA PALLETS</t>
  </si>
  <si>
    <t>2023-M078</t>
  </si>
  <si>
    <t>FRANCISCO BERDASCO GUERRA</t>
  </si>
  <si>
    <t>2023-M081</t>
  </si>
  <si>
    <t>Modernización y ampliación de equipos e instalaciones y acceso a nuevas áreas de negocio</t>
  </si>
  <si>
    <t>https://mapindustrialprojects.com/</t>
  </si>
  <si>
    <t>MAP INDUSTRIAL PROJECTS, S.L.</t>
  </si>
  <si>
    <t>MODERNIZACIÓN Y AMPLIACIÓN DE EQUIPOS E INSTALACIONES Y ACCESO A NUEVAS ÁREAS DE NEGOCIO</t>
  </si>
  <si>
    <t>2023-M083</t>
  </si>
  <si>
    <t>Ampliacion en planta de fabricacion de ventanas</t>
  </si>
  <si>
    <t>https://deventana.com/</t>
  </si>
  <si>
    <t>DESARROLLO EFICIENTE DE VENTANAS SL</t>
  </si>
  <si>
    <t>AMPLIACION EN PLANTA DE FABRICACION DE VENTANAS</t>
  </si>
  <si>
    <t>2023-M085</t>
  </si>
  <si>
    <t>Creacion de un crematorio de mascotas en Noreña</t>
  </si>
  <si>
    <t>SERVICIOS CREMASTURIAS SL</t>
  </si>
  <si>
    <t>CREACION DE UN CREMATORIO DE MASCOTAS EN NOREÑA</t>
  </si>
  <si>
    <t>2023-M100</t>
  </si>
  <si>
    <t>Rehabilitación de vivienda para la construcción de apartamentos rurales</t>
  </si>
  <si>
    <t>ABEL ALONSO BATALLA</t>
  </si>
  <si>
    <t>REHABILITACIÓN DE VIVIENDA PARA LA CONSTRUCCIÓN DE APARTAMENTOS RURALES</t>
  </si>
  <si>
    <t>2023-M102</t>
  </si>
  <si>
    <t>Ampliación de la capacidad productiva mediante la instalación de un sistema de bandas transportadoras</t>
  </si>
  <si>
    <t>https://www.industriasdoy.com/</t>
  </si>
  <si>
    <t>INDUSTRIAS DOY MANUEL MORATE, SL</t>
  </si>
  <si>
    <t>AMPLIACIÓN DE LA CAPACIDAD PRODUCTIVA MEDIANTE LA INSTALACIÓN DE UN SISTEMA DE BANDAS TRANSPORTADORAS</t>
  </si>
  <si>
    <t>2023-M103</t>
  </si>
  <si>
    <t>Compra y rehabilitación de vivienda para la construcción de apartamentos rurales</t>
  </si>
  <si>
    <t>PROMOCION DE EVENTOS SOSTENIBLES DE ASTURIAS S.L.</t>
  </si>
  <si>
    <t>Caravia</t>
  </si>
  <si>
    <t>33013</t>
  </si>
  <si>
    <t>COMPRA Y REHABILITACIÓN DE VIVIENDA PARA LA CONSTRUCCIÓN DE APARTAMENTOS RURALES</t>
  </si>
  <si>
    <t>2023-M104</t>
  </si>
  <si>
    <t>Puesta en marcha de una clínica en actividad física y salud</t>
  </si>
  <si>
    <t>CLINICA TERRASANA S.L.</t>
  </si>
  <si>
    <t>PUESTA EN MARCHA DE UNA CLÍNICA EN ACTIVIDAD FÍSICA Y SALUD</t>
  </si>
  <si>
    <t>2023-M106</t>
  </si>
  <si>
    <t>Ampliacion de clinica dental</t>
  </si>
  <si>
    <t>https://sandracalvo.es/</t>
  </si>
  <si>
    <t>SANDRA CALVO CLINICA DENTAL, S.L.P.</t>
  </si>
  <si>
    <t>AMPLIACION DE CLINICA DENTAL</t>
  </si>
  <si>
    <t>2023-0006</t>
  </si>
  <si>
    <t xml:space="preserve">Planta de postes pretensados </t>
  </si>
  <si>
    <t>Instalación de planta destinada a la fabricación de postes pretensados</t>
  </si>
  <si>
    <t>https://www.valenteiberica.es/</t>
  </si>
  <si>
    <t>VALENTE IBERICA S.L.</t>
  </si>
  <si>
    <t>INSTALACIÓN DE PLANTA DESTINADA A LA FABRICACIÓN DE POSTES PRETENSADOS</t>
  </si>
  <si>
    <t>2023-0013</t>
  </si>
  <si>
    <t>Mejoras tecnológicas en central hortofruticola</t>
  </si>
  <si>
    <t>https://cincagroup.com/</t>
  </si>
  <si>
    <t>RIO CINCA SAT N 4301</t>
  </si>
  <si>
    <t>MEJORAS TECNOLÓGICAS EN CENTRAL HORTOFRUTICOLA</t>
  </si>
  <si>
    <t>2023-0017</t>
  </si>
  <si>
    <t>Planta de valorización de residuos no peligrosos</t>
  </si>
  <si>
    <t>TRESIDUAL SLU</t>
  </si>
  <si>
    <t>PLANTA DE VALORIZACIÓN DE RESIDUOS NO PELIGROSOS</t>
  </si>
  <si>
    <t>2023-0022</t>
  </si>
  <si>
    <t>Planta de trituración de yeso alabastrino</t>
  </si>
  <si>
    <t>Instalación de planta para trituración de yeso alabastrino</t>
  </si>
  <si>
    <t>https://www.aridosartal.es/</t>
  </si>
  <si>
    <t>ARIDOS ARTAL SL</t>
  </si>
  <si>
    <t>INSTALACION DE PLANTA PARA TRITURACION DE YESO ALABATRINO</t>
  </si>
  <si>
    <t>2023-0026</t>
  </si>
  <si>
    <t xml:space="preserve">Mejora de la empresa </t>
  </si>
  <si>
    <t>Mejora de capacidad, mantenimiento y calidad de productos e instalaciones</t>
  </si>
  <si>
    <t>MEJORA DE CAPACIDAD, MANTENIMIENTO Y CALIDAD DE PRODUCTOS E INSTALACIONES</t>
  </si>
  <si>
    <t>2023-0044</t>
  </si>
  <si>
    <t xml:space="preserve">Ampliación y mejora del proceso </t>
  </si>
  <si>
    <t>https://ferrobiogroup.com/</t>
  </si>
  <si>
    <t>MAKING BEST COLORS FACTORY SA</t>
  </si>
  <si>
    <t>AMPLIACIÓN Y MEJORA DE PROCESO</t>
  </si>
  <si>
    <t>2023-0045</t>
  </si>
  <si>
    <t>Ampliación y mejora en central hortofrutícola</t>
  </si>
  <si>
    <t>FRUTAS AURELIO, SL</t>
  </si>
  <si>
    <t>AMPLIACIÓN Y MEJORAS EN CENTRAL HORTOFRUTÍCOLA</t>
  </si>
  <si>
    <t>2023-0051</t>
  </si>
  <si>
    <t>Nueva fábrica de vidrio</t>
  </si>
  <si>
    <t>Nueva fábrica de vidrio de doble acristalamiento y gran formato</t>
  </si>
  <si>
    <t>http://www.cristaleriaalcorisa.com/</t>
  </si>
  <si>
    <t>CRISTALERIA ALCORISA SL</t>
  </si>
  <si>
    <t>NUEVA FÁBRICA DE VIDRIO DE DOBLE ACRISTALAMIENTO Y GRAN FORMATO</t>
  </si>
  <si>
    <t>CYL 10</t>
  </si>
  <si>
    <t>Actuaciones de recuperación de suelos y zonas afectadas por la minería en Toreno</t>
  </si>
  <si>
    <t>Toreno</t>
  </si>
  <si>
    <t>24169</t>
  </si>
  <si>
    <t>CyL 10- Restauración Ambiental de espaciosa mineros en el TTMM de Toreno (León)</t>
  </si>
  <si>
    <t>En ejecución. 
Fecha prevista de finalización: 13/03/2026</t>
  </si>
  <si>
    <t>CYL 11</t>
  </si>
  <si>
    <t>Restauración Ambiental de espacios mineros en Santa Cruz de Montesel</t>
  </si>
  <si>
    <t xml:space="preserve">CyL 11- Restauración Ambiental de espacios mineros en Santa Cruz de Montesel T.M. de Torre del Bierzo (León) </t>
  </si>
  <si>
    <t>En ejecución. 
Fecha prevista de finalización: 30/06/2026
Antes era  el expediente CYL 7.2 de Velilla (Palencia)</t>
  </si>
  <si>
    <t>CYL 16</t>
  </si>
  <si>
    <t>Actuaciones de recuperación de suelos y zonas afectadas por la minería en Santibáñez de la Peña</t>
  </si>
  <si>
    <t>https://medioambiente.jcyl.es/web/jcyl/MedioAmbiente/es/Plantilla100Detalle/1285147668357/1/1285271530454/Texto
https://www.diariopalentino.es/noticia/z49ca2f05-050f-c74a-890be953306cdc4d/202212/9m-para-restaurar-84-hectareas-de-terrenos-mineros</t>
  </si>
  <si>
    <t>CyL 16- Restauración Ambiental de espacios mineros en el T.M. de Santibañez de la Peña.Villaverde de la Peña (Mina Requejada) Palencia</t>
  </si>
  <si>
    <t>Obras finalizadas. 
Fecha de finalización: 14/05/2024</t>
  </si>
  <si>
    <t>2023-M008</t>
  </si>
  <si>
    <t>Ampliación de instalaciones</t>
  </si>
  <si>
    <t>AMPLIACIÓN DE INSTALACIONES</t>
  </si>
  <si>
    <t>2023-M026</t>
  </si>
  <si>
    <t>Ampliación de nave para instalación de almacenes inteligentes</t>
  </si>
  <si>
    <t>https://alcomobi.com/</t>
  </si>
  <si>
    <t>ALCOMOBI SL</t>
  </si>
  <si>
    <t>AMPLIACIÓN DE NAVE PARA NSTALACIÓN DE ALMACENES INTELIGENTES</t>
  </si>
  <si>
    <t>CYL 17</t>
  </si>
  <si>
    <t>Actuaciones de recuperación de suelos y zonas afectadas por la minería en Barruelo de Santullán</t>
  </si>
  <si>
    <t>CyL 17- Restauración Ambiental de espacios mineros en el T.M. de Barruelo de Santullán (Escombreras Barruelo) Palencia</t>
  </si>
  <si>
    <t>Obras finalizadas. 
Fecha de finalización: 3/10/2024</t>
  </si>
  <si>
    <t>2023-M031</t>
  </si>
  <si>
    <t>Pistas de pádel</t>
  </si>
  <si>
    <t>Construcción y equipamiento de pistas de pádel cubiertas</t>
  </si>
  <si>
    <t>FUNERARIA SAN MACARIO,S.L.</t>
  </si>
  <si>
    <t>CONSTRUCCIÓN Y EQUIPAMIENTO DE PISTAS DE PÁDEL CUBIERTAS</t>
  </si>
  <si>
    <t>2023-M036</t>
  </si>
  <si>
    <t>Ampliación de gimnasio</t>
  </si>
  <si>
    <t>Ampliación y reforma de gimnasio para aumento y mejora de calidad de servicios</t>
  </si>
  <si>
    <t>https://www.instagram.com/dys_deporteysalud/?hl=es</t>
  </si>
  <si>
    <t>DEPORTE Y SALUD PDJ, S.L.</t>
  </si>
  <si>
    <t>AMPLIACIÓN Y REFORMA DE GIMNASIO PARA AUMENTO Y MEJORA DE CALIDAD DE SERVICIOS</t>
  </si>
  <si>
    <t>CYL 18</t>
  </si>
  <si>
    <t>CyL 18- Restauración Ambiental de espacios mineros en el T.M. de Barruelo de Santullán (Mina Peragido) Palencia</t>
  </si>
  <si>
    <t>Obras finalizadas. 
Fecha de finalización: 17/01/2024</t>
  </si>
  <si>
    <t>CYL 19</t>
  </si>
  <si>
    <t>Actuaciones de recuperación de suelos y zonas afectadas por la minería en La Pernía</t>
  </si>
  <si>
    <t>CyL 19- Restauración Ambiental de espacios mineros en el T.M. de La Pernia. Santa María de Redondo (Mina Montebismo) Palencia</t>
  </si>
  <si>
    <t>Obras finalizadas. 
Fecha de finalización: 3/04/2024</t>
  </si>
  <si>
    <t>2023-M040</t>
  </si>
  <si>
    <t>Mejora de líneas de producción</t>
  </si>
  <si>
    <t>Mejoras para la optimización plena de las nuevas líneas de producción</t>
  </si>
  <si>
    <t>SEVASA TECHNOLOGICS</t>
  </si>
  <si>
    <t>MEJORAS PARA LA OPTIMIZACION PLENA DE LAS NUEVAS LINEAS DE PRODUCCION</t>
  </si>
  <si>
    <t>CYL 2 - 126 II 3 004</t>
  </si>
  <si>
    <t>CyL 2- Restauración Ambiental de instalaciones de minería cerrada y abandonada en el entorno del margen izquierda del río CÚA, con código de Inventario 126 II 3 004 en Fabero (León)</t>
  </si>
  <si>
    <t>Obras finalizadas. 
Fecha de finalización: 26/11/2024</t>
  </si>
  <si>
    <t>2023-M053</t>
  </si>
  <si>
    <t>Ampliación de hostal</t>
  </si>
  <si>
    <t>FONFREDAALONSO SL</t>
  </si>
  <si>
    <t>AMPLIACIÓN DE HOSTAL</t>
  </si>
  <si>
    <t>2023-M086</t>
  </si>
  <si>
    <t>Clínica Dental Patricia Martinez</t>
  </si>
  <si>
    <t>Creación de una nueva clínica dental</t>
  </si>
  <si>
    <t>https://www.doctoralia.es/patricia-martinez-perez/dentista/arges</t>
  </si>
  <si>
    <t>PATRICIA MARTINEZ MARTIN</t>
  </si>
  <si>
    <t>NUEVA CLÍNICA DENTAL</t>
  </si>
  <si>
    <t>2023-M013</t>
  </si>
  <si>
    <t>Ampliación Puertonarcea</t>
  </si>
  <si>
    <t>Ampliación de las instalaciones para mejora del rendimiento</t>
  </si>
  <si>
    <t>https://www.puertonarcea.com/</t>
  </si>
  <si>
    <t>PUERTONARCEA SL</t>
  </si>
  <si>
    <t>AMPLIACION DE INSTALACIONES PARA MEJORA DEL RENDIMIENTO</t>
  </si>
  <si>
    <t>2023-M054</t>
  </si>
  <si>
    <t>Atelier María Félez</t>
  </si>
  <si>
    <t>MARIA FELEZ RETAVE</t>
  </si>
  <si>
    <t>ATELIER MARIA FELEZ</t>
  </si>
  <si>
    <t>CYL 20</t>
  </si>
  <si>
    <t>CyL 20- Restauracion Ambiental de espacios mineros en el T.M. de La Pernia. Areños (Mina El Cardil) Palencia</t>
  </si>
  <si>
    <t>Obras finalizadas. 
Fecha de finalización: 6/12/2024</t>
  </si>
  <si>
    <t>CYL 3 - 126 II 3 007</t>
  </si>
  <si>
    <t>CyL 3- Restauración Ambiental de instalaciones de minería cerrada y abandonada en el entorno del margen derecha del río CÚA, con código de Inventario 126 II 3 007 en Fabero (León)</t>
  </si>
  <si>
    <t>2023-M087</t>
  </si>
  <si>
    <t>Ampliación de instalaciones y desarrollo de proyecto</t>
  </si>
  <si>
    <t>Ampliación de instalaciones y digitalización de sistemas de riego</t>
  </si>
  <si>
    <t>https://www.agrocultivate.com/</t>
  </si>
  <si>
    <t>AMPLIACIÓN DE INSTALACIONES Y DIGITALIZACION DE SISTEMAS DE RIEGO</t>
  </si>
  <si>
    <t>2023-M091</t>
  </si>
  <si>
    <t>Ampliación y modernización de instalaciones</t>
  </si>
  <si>
    <t>https://www.comermin.es/</t>
  </si>
  <si>
    <t>COMERMIN SL</t>
  </si>
  <si>
    <t>AMPLIACION Y MODERNIZACIÓN DE LAS INSTALACIONES</t>
  </si>
  <si>
    <t>2023-G002</t>
  </si>
  <si>
    <t>Mecanización y digitalización del proceso productivo</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</si>
  <si>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</si>
  <si>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https://www.europapress.es/andalucia/almeria-00350/noticia-adjudican-dos-millones-euros-dos-proyectos-empresariales-zonas-transicion-justa-carboneras-almeria-20240703163938.html</t>
  </si>
  <si>
    <t>AQUI SANTOÑA S.L.</t>
  </si>
  <si>
    <t>2023-G003</t>
  </si>
  <si>
    <t>Nueva instalación para la  fabricación y envasado de productos derivados de las almendras</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</si>
  <si>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</si>
  <si>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https://www.diariocordoba.com/cordoba/2024/07/01/gobierno-adjudica-900-000-euros-104732705.html
https://www.eldiadecordoba.es/provincia/siete-proyectos-empresariales-invertiran-36_0_2001119704.html</t>
  </si>
  <si>
    <t>QUINTO NUT, S.L.</t>
  </si>
  <si>
    <t>2022-C077</t>
  </si>
  <si>
    <t xml:space="preserve">Dinamizacion turistica en el espacio natural "montes obarenes". </t>
  </si>
  <si>
    <t xml:space="preserve">Dinamizacion turistica en el espacio natural "montes obarenes". mejoras estructurales en los espacios públicos de varios municipios y oferta de mobilidad sostenible para dinamizar el turismo </t>
  </si>
  <si>
    <t>AYUNTAMIENTO PARTIDO DE LA SIERRA EN TOBALINA</t>
  </si>
  <si>
    <t>Partido de la Sierra en Tobalina</t>
  </si>
  <si>
    <t>09255</t>
  </si>
  <si>
    <t xml:space="preserve">DINAMIZACION TURISTICA EN EL ESPACIO NATURAL "MONTES OBARENES". Mejoras estructurales en los espacios públicos de varios municipios y oferta de mobilidad sostenible para dinamizar el turismo </t>
  </si>
  <si>
    <t>2022-C078</t>
  </si>
  <si>
    <t xml:space="preserve">Mejora, ampliación y regeneración del entorno del Paseo Fluvial del Río Cabancos (O Acevedo)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</si>
  <si>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</si>
  <si>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</si>
  <si>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2023-G023</t>
  </si>
  <si>
    <t>Nueva planta de fabricación de pellets de paja</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</si>
  <si>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</si>
  <si>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HERMANOS MOLINILLO GUERRA CB</t>
  </si>
  <si>
    <t>2023-G015</t>
  </si>
  <si>
    <t xml:space="preserve"> Nueva línea de producción de materias primas circulares</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</si>
  <si>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</si>
  <si>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RECINOR GESTIÓN DE RESIDUOS, SL</t>
  </si>
  <si>
    <t>Ampliación de empresa de gestión de residuos con la instalación de una nueva línea de producción de materias primas circulares</t>
  </si>
  <si>
    <t>2022-C079</t>
  </si>
  <si>
    <t xml:space="preserve">Rehabilitación de edificio para espacio de conectividad territorial "la mansión". </t>
  </si>
  <si>
    <t>AYUNTAMIENTO DE VELILLA DEL RÍO CARRIÓN</t>
  </si>
  <si>
    <t>Velilla del Río Carrión</t>
  </si>
  <si>
    <t>34199</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</si>
  <si>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</si>
  <si>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2022-C083</t>
  </si>
  <si>
    <t>AYUNTAMIENTO DE BERGE</t>
  </si>
  <si>
    <t>PROYECTO BASICO Y DE EJECUCION REHABILITACION DE REFUGIO RURAL DE BERGE ( TERUEL ). Refugio rural para turismo geológico</t>
  </si>
  <si>
    <t>2023-G104</t>
  </si>
  <si>
    <t>Ampliación de fábrica de embutidos con línea de deshuesado y loncheado de producto curado</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</si>
  <si>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</si>
  <si>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LOS CASTAÑOS DE JABUGO SL</t>
  </si>
  <si>
    <t>2023-G107</t>
  </si>
  <si>
    <t xml:space="preserve">Transformación de una antigua Hacienda agroganadera en un complejo_x000D_ turístico rural </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</si>
  <si>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</si>
  <si>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AGRICOLA KEPLER SL</t>
  </si>
  <si>
    <t>2022-C084</t>
  </si>
  <si>
    <t>Centro de gestion de residuos del municipio de aller.</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</si>
  <si>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</si>
  <si>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Ayuntamiento de ALLER</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</si>
  <si>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</si>
  <si>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2023-P028</t>
  </si>
  <si>
    <t>Adecuación de local y adquisición de equipo para clínica veterinaria.</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</si>
  <si>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</si>
  <si>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CENTRO VETERINARIO ESPIEL CB</t>
  </si>
  <si>
    <t>2023-P052</t>
  </si>
  <si>
    <t xml:space="preserve">Diversificación y ampliación de empresa de fabricación de artículos de cuero y marroquinería </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</si>
  <si>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</si>
  <si>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IDEA TEMPO SL</t>
  </si>
  <si>
    <t>2023-P054</t>
  </si>
  <si>
    <t>Instalación de clínica de fisioterapia</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</si>
  <si>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</si>
  <si>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FELIPE TRIVIÑO GARCÍA</t>
  </si>
  <si>
    <t>Belmez</t>
  </si>
  <si>
    <t>14009</t>
  </si>
  <si>
    <t>2023-G019</t>
  </si>
  <si>
    <t>Nueva fábrica 4.0 para la producción en cadena de vehículos camperizados.</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</si>
  <si>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</si>
  <si>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NORTH CAPE FACTORY S.LU.</t>
  </si>
  <si>
    <t xml:space="preserve">Puesta en marcha una fábrica 4.0 de furgonetas camperizadas </t>
  </si>
  <si>
    <t>2023-G059</t>
  </si>
  <si>
    <t>Planta para preparación de minerales estratégicos y materias primas.</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</si>
  <si>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</si>
  <si>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BLUE SOLVING, S.L.</t>
  </si>
  <si>
    <t>Degaña</t>
  </si>
  <si>
    <t>33022</t>
  </si>
  <si>
    <t>Instalación de una planta de valorización de subproductos y escombros de la construcción</t>
  </si>
  <si>
    <t>2023-G062</t>
  </si>
  <si>
    <t>Instalación para la fabricación de briquetas.</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</si>
  <si>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</si>
  <si>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COMBUSTIBLES ASTURIANA Y LEONESA SLU</t>
  </si>
  <si>
    <t>Instalación de una planta de fabricación de briquetas de aditivos para uso industrial</t>
  </si>
  <si>
    <t>2023-G097</t>
  </si>
  <si>
    <t>Instalación de una línea para la separación y recuperación de las fases lipídicas de residuos generados a lo largo de la cadena agroalimentaria.</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</si>
  <si>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</si>
  <si>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ENERGY GREEN GAS TINEO SL</t>
  </si>
  <si>
    <t>Instalación de una línea para la separación y recuperación de las fases lipídicas de residuos generados a lo largo de la cadena agroalimentaria</t>
  </si>
  <si>
    <t>2023-P058</t>
  </si>
  <si>
    <t>Casa rural de categoría básica</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</si>
  <si>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</si>
  <si>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JUANA SÁNCHEZ MORENO</t>
  </si>
  <si>
    <t>Casa Rural de Categoría Básica</t>
  </si>
  <si>
    <t>2023-P059</t>
  </si>
  <si>
    <t>Reforma de una casa para_x000D_ su explotación como alojamiento rural de categoría básica</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</si>
  <si>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</si>
  <si>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MARÍA DEL CARMEN CASTILLEJO DURÁN</t>
  </si>
  <si>
    <t>2023-P134</t>
  </si>
  <si>
    <t>Ampliación de zona de oficinas y de taller y adquisición de maquinaria</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</si>
  <si>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</si>
  <si>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https://www.diarioarea.com/2024/07/22/el-campo-de-gibraltar-recibira-mas-de-360-000-euros-para-la-creacion-y-mantenimiento-del-empleo/</t>
  </si>
  <si>
    <t>MULTILIFT S.L.</t>
  </si>
  <si>
    <t>Barrios, Los</t>
  </si>
  <si>
    <t>11008</t>
  </si>
  <si>
    <t>2023-P135</t>
  </si>
  <si>
    <t>Adquisición de equipos de centro de enseñanza especializada en riesgos de trabajos en altura.</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</si>
  <si>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</si>
  <si>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2023-P135.jpeg</t>
  </si>
  <si>
    <t>Fuente: Página web de la empresa</t>
  </si>
  <si>
    <t>CENTRO DE FORMACIÓN E INVESTIGACIÓN DE RIESGOS DE TRABAJOS EN ALTURA, S.L.</t>
  </si>
  <si>
    <t>2023-P140</t>
  </si>
  <si>
    <t xml:space="preserve">Ampliación del hotel y mejora de sus servicios diferenciales </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</si>
  <si>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</si>
  <si>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https://andaluciainformacion.es/provincia-de-cadiz/1721381/los-proyectos-de-transicion-justa-de-la-linea-mantendran-29-empleos-y-crearan-cinco-mas/</t>
  </si>
  <si>
    <t>2023-P140.png</t>
  </si>
  <si>
    <t>Fuente: promotor</t>
  </si>
  <si>
    <t>BOAT HAUS-MEDITERRANEAN EXPERIENCE, S.L.</t>
  </si>
  <si>
    <t>2023-P155</t>
  </si>
  <si>
    <t xml:space="preserve">Instalación de una planta de loncheado de productos curados y envasado de carnes </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</si>
  <si>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</si>
  <si>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AGROPECUARIA IBÉRICOS DEL GUADIATO S.L.</t>
  </si>
  <si>
    <t>CYL 4 - 126 II 3 014</t>
  </si>
  <si>
    <t>CyL 4- Restauración Ambiental de instalaciones de minería cerrada y abandonadaen el entorno del margen derecha del río CÚA, con código de Inventario 126 II 3 014 en Fabero (León)</t>
  </si>
  <si>
    <t>2023-P079</t>
  </si>
  <si>
    <t>Equipación de centro residencial para rehabilitación psico-social de personas con enfermedad mental</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</si>
  <si>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</si>
  <si>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 xml:space="preserve">ASOCIACIÓN SAÚDE MENTAL FERROL, EUME E ORTEGAL. ASOCIACIÓN DE FAMILIARES E PERSOAS CON ENFERMIDADES MENTALES </t>
  </si>
  <si>
    <t>2023-P161</t>
  </si>
  <si>
    <t xml:space="preserve">Acondicionamiento de nave para instalación de empresa de fabricación de estructuras metálicas y tuberías </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</si>
  <si>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</si>
  <si>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EXPANSIÓN MONTAJES Y LOGÍSTICA DE EUROPA, S.L.</t>
  </si>
  <si>
    <t>2023-P166</t>
  </si>
  <si>
    <t>Creación de un club de vuelo con rehabilitación de hangar y zona de ocio</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</si>
  <si>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</si>
  <si>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https://www.diariocordoba.com/cordoba/2024/07/18/aerodromo-fuente-obejuna-contara-club-105817720.html</t>
  </si>
  <si>
    <t>CYL 7.1</t>
  </si>
  <si>
    <t>Actuaciones de recuperación de suelos y zonas afectadas por la minería en Valilla del Río Carrión</t>
  </si>
  <si>
    <t>Velilla del río Carrión</t>
  </si>
  <si>
    <t>CyL 7.1- Restauración Ambiental de espacios mineros en el T.M. de Velilla del Río Carrión (Valdehaya-Besande) Palencia</t>
  </si>
  <si>
    <t>Obras finalizadas. 
Fecha de finalización: 05/11/2024</t>
  </si>
  <si>
    <t>2023-P056</t>
  </si>
  <si>
    <t>Ampliación de nave de fábrica de colchones con el objetivo de ampliar la capacidad productiva</t>
  </si>
  <si>
    <t>Ampliación de la nave de fabricación de colchones para aumentar la producción  y satisfacer la demanda de las empresas consumidoras</t>
  </si>
  <si>
    <t>COLCHÓN DURMET, S.L.</t>
  </si>
  <si>
    <t>Ordes</t>
  </si>
  <si>
    <t>15059</t>
  </si>
  <si>
    <t>Solicitado pago del 100%</t>
  </si>
  <si>
    <t>2023-P144</t>
  </si>
  <si>
    <t>Adquisición de nave para realizar actividad productiva</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</si>
  <si>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</si>
  <si>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CRISMAVAL CARTON S.L.</t>
  </si>
  <si>
    <t>CYL 8</t>
  </si>
  <si>
    <t>Actuaciones de recuperación de suelos y zonas afectadas por la minería en Páramo del Sil</t>
  </si>
  <si>
    <t>Páramo del Sil</t>
  </si>
  <si>
    <t>24110</t>
  </si>
  <si>
    <t>CyL-8. Restauración Ambiental en industrias extractivas cerradas y abandonadas, Instalaciones Minería a Cielo abierto Grupo Jarrinas en  Páramo del Sil (León)</t>
  </si>
  <si>
    <t>2023-P142</t>
  </si>
  <si>
    <t>Centro de investigación e intervención contra la soledad no deseada y unidad de medicina del dolor</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</si>
  <si>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</si>
  <si>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2023-P142.jpg</t>
  </si>
  <si>
    <t>BIBLU SERVICIOS MÉDICOS AVANZADOS, S.L.</t>
  </si>
  <si>
    <t>2023-P091</t>
  </si>
  <si>
    <t xml:space="preserve">Mejora de la productividad y capacidad en empresa de fabricación de equipamiento para pruebas caninas de agility y otros elementos accesorios
 </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</si>
  <si>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</si>
  <si>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GALICAN SPORT, S.L.</t>
  </si>
  <si>
    <t xml:space="preserve">Mejora de la productividad y ampliación de la capacidad de producción _x000D_ </t>
  </si>
  <si>
    <t>Pagado o 53% 73.785,9 (06/05/2025)</t>
  </si>
  <si>
    <t>2023-P147</t>
  </si>
  <si>
    <t>Modernización y ampliación de un camping para destacionalizar la actividad de la empresa</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</si>
  <si>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</si>
  <si>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2023-P147.jpg</t>
  </si>
  <si>
    <t>GAUBEA KANPINA S,L.</t>
  </si>
  <si>
    <t>2023-P002</t>
  </si>
  <si>
    <t>Clínica Podológica José Luis Martínez</t>
  </si>
  <si>
    <t>Instalación de una clínica podológica y su equipamiento.</t>
  </si>
  <si>
    <t xml:space="preserve"> https://clinicajlmartinez.com/</t>
  </si>
  <si>
    <t>2023-P005</t>
  </si>
  <si>
    <t>Renovación de una Panadería</t>
  </si>
  <si>
    <t>Renovación y modernización de los equipos y adecuación del local</t>
  </si>
  <si>
    <t>PANADERÍA LA NUEVA SAN ANDRÉS SL</t>
  </si>
  <si>
    <t>2023-P007</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</si>
  <si>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</si>
  <si>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TALLERES PLA S.L.</t>
  </si>
  <si>
    <t>Ampliación de la capacidad productiva del centro de talleres mediante la incorporación de nuevas tecnologías a su sistema productivo</t>
  </si>
  <si>
    <t>2023-P008</t>
  </si>
  <si>
    <t>Producción de sidra sin alcohol/Nueva línea de Producción?</t>
  </si>
  <si>
    <t>Adquisición de maquinaria para la producción de sidra sin alcohol.</t>
  </si>
  <si>
    <t>LAGARES DE GIJON SL</t>
  </si>
  <si>
    <t>CYL 9</t>
  </si>
  <si>
    <t>CyL 9- Restauración Ambiental en industrias extractivas cerradas y abandonadas, instalaciones Minería a cielo abierto  AGSA en Páramo del Sil (León))</t>
  </si>
  <si>
    <t>2023-P010</t>
  </si>
  <si>
    <t>Ampliación Líneas reciclaje</t>
  </si>
  <si>
    <t>Recuplas es una empresa especializada en la gestión de residuos plásticos. El objetivo de este proyecto es ampliar las líneas existentes para el reciclaje de plásticos.</t>
  </si>
  <si>
    <t xml:space="preserve">Ampliación de las líneas existentes para el reciclaje de plásticos </t>
  </si>
  <si>
    <t>2023-P017</t>
  </si>
  <si>
    <t>Abeja Reina: Centro de belleza de Tamara Alonso</t>
  </si>
  <si>
    <t>El proyecto consiste en la puesta en marcha de un centro de estética. Las actuaciones incluyen la adecuación del local y adquisición del equipamiento.</t>
  </si>
  <si>
    <t>centro: https://abejareina.es/</t>
  </si>
  <si>
    <t>TAMARA ALONSO VIJANDE</t>
  </si>
  <si>
    <t>Puesta en marcha de un centro de estética</t>
  </si>
  <si>
    <t>2023-P201</t>
  </si>
  <si>
    <t xml:space="preserve">Adquisición y reforma de un edificio para la apertura de apartamentos turisticos </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</si>
  <si>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</si>
  <si>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NORTEGAL EXPERIENCIAS S.L.</t>
  </si>
  <si>
    <t>Adquisición y reforma de un edificio que ocupa la totalidad de una parcela situada en la Rúa Blanco Amor de As Pontes</t>
  </si>
  <si>
    <t>2023-P018</t>
  </si>
  <si>
    <t>Clínica oftalmológica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</si>
  <si>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</si>
  <si>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ALEJANDRA CHAMOUN OLEA</t>
  </si>
  <si>
    <t>Acondicionamiento del local como clínica oftalmológica</t>
  </si>
  <si>
    <t>2023-P020</t>
  </si>
  <si>
    <t>Siero Electric Panel:  Ampliación de la capacidad productiva</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</si>
  <si>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</si>
  <si>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SIERO ELECTRIC PANEL, S.L.</t>
  </si>
  <si>
    <t>Ampliación de la capacidad productiva de empresa de fabricación de cuadros eléctricos para paneles o parques de energías_x000D_ renovables</t>
  </si>
  <si>
    <t>2023-P021</t>
  </si>
  <si>
    <t>Verot: Ampliación de la capacidad productiva</t>
  </si>
  <si>
    <t>Verot SA es una empresa dedicada a la transformación de chapa mediante diversas metodologías. 
El objetivo de este proyecto es ampliar la capacidad productiva de la empresa.</t>
  </si>
  <si>
    <t>https://www.verot.com/</t>
  </si>
  <si>
    <t>VEROT S.A.</t>
  </si>
  <si>
    <t>2023-P026</t>
  </si>
  <si>
    <t>Adquisición almacénes de venta mayorista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</si>
  <si>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</si>
  <si>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Instalación de un almacén de venta mayorista de suministros agrícolas</t>
  </si>
  <si>
    <t>2023-P042</t>
  </si>
  <si>
    <t>Acondicionamiento de Taller</t>
  </si>
  <si>
    <t>Talleres J.A. Llanes es una empresa dedicada a la reparación vehículos automóviles, bicicletas y otros vehículos. 
El proyecto consiste en acondicionar las instalaciones para mejorar la competitividad.</t>
  </si>
  <si>
    <t>TALLERES J.A.LLANES, S.L.U</t>
  </si>
  <si>
    <t>Acondicionamiento de instalaciones para mejorar la competitividad</t>
  </si>
  <si>
    <t>2023-P047</t>
  </si>
  <si>
    <t>Adquisición maquinaria</t>
  </si>
  <si>
    <t>Excade S. L. es una empresa dedicada a los movimientos de tierras en Asturias, especializada en excavaciones y demoliciones. 
Este proyecto de inversón consistió en la adquisición de  maquinaria para la recuperación de residuos procedentes de sedimentos marinos</t>
  </si>
  <si>
    <t>EXCADE, S.L.</t>
  </si>
  <si>
    <t>Adquisición de maquinaria para la recuperación de residuos procedentes de sedimentos marinos</t>
  </si>
  <si>
    <t>2023-P049</t>
  </si>
  <si>
    <t>Nueva Nave para una empresa distribuidora</t>
  </si>
  <si>
    <t>DISMED S.A, empresa distribuidora de productos de laboratorio y médico- quirúrgicos con más de 35 años de experiencia en el sector. 
Este proyecto consisitió en la construcción de nave para reforzar una de las líneas de negocio estratégicas.</t>
  </si>
  <si>
    <t>DISMED, S.A.</t>
  </si>
  <si>
    <t>Construcción de nave para reforzar una de las líneas de negocio estratégicas</t>
  </si>
  <si>
    <t>2023-P053</t>
  </si>
  <si>
    <t>Taller mecánico</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</si>
  <si>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</si>
  <si>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RAÚL FONTANIELLA FERNÁNDEZ</t>
  </si>
  <si>
    <t>Adquisición de maquinaria para taller de coches.</t>
  </si>
  <si>
    <t>2023-P158</t>
  </si>
  <si>
    <t>Mejora tecnológica en el servicio de transporte de viajes</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</si>
  <si>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</si>
  <si>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2023-P158.jpg</t>
  </si>
  <si>
    <t>ARAGON SUR BUS S.L.</t>
  </si>
  <si>
    <t>Transporte de viajeros por carretera</t>
  </si>
  <si>
    <t>2023-P044</t>
  </si>
  <si>
    <t xml:space="preserve">Construcción de un hotel rural  </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</si>
  <si>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</si>
  <si>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RETORNO RURAL S.L.</t>
  </si>
  <si>
    <t>2023-P066</t>
  </si>
  <si>
    <t>Automatización de la producción</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</si>
  <si>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</si>
  <si>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INDUSTRIAS METÁLICAS RUIZ S.A.</t>
  </si>
  <si>
    <t>Digitalización y adquisición de maquinaria para automatizar los procesos de producción.</t>
  </si>
  <si>
    <t>2023-P068</t>
  </si>
  <si>
    <t>Aumento de la capacidad productiva de una empresa de Salsas</t>
  </si>
  <si>
    <t>Salsas Asturianas es una empresa especializada en la creación de salsas gourmet. Este proyecto consiste en la modernización y ampliación de capacidad productiva de fábrica de salsas.</t>
  </si>
  <si>
    <t>SALSAS ASTURIANAS, S.L.</t>
  </si>
  <si>
    <t>Modernización y ampliación de capacidad productiva de fábrica de salsas</t>
  </si>
  <si>
    <t>2023-P069</t>
  </si>
  <si>
    <t>Mejora del Hotel Casa Sueño</t>
  </si>
  <si>
    <t>El alojamiento Casa Sueño es un albergue y hotel de tres estrellas de reciente construcción siguiendo los estándares passivhouse. El proyecto consiste en la mejora de las instalaciones de hotel y aparcamiento.</t>
  </si>
  <si>
    <t>PATRICIA BARBI COSTA</t>
  </si>
  <si>
    <t>Mejora de las instalaciones de hotel y aparcamiento</t>
  </si>
  <si>
    <t>2023-P074</t>
  </si>
  <si>
    <t>Nueva Planta de valorización</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</si>
  <si>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</si>
  <si>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CALIZAS LA DORIGA S.L.</t>
  </si>
  <si>
    <t xml:space="preserve">Planta de valorización de los residuos de construcción </t>
  </si>
  <si>
    <t>2023-P088</t>
  </si>
  <si>
    <t xml:space="preserve"> 2010 Formulas y Recetas: Aumento Producción</t>
  </si>
  <si>
    <t>2010 Formulas y recetas es una empresa especializada en la fábrica y venta de pan y productos de panadería. 
Este proyecto aspira a ampliar la  capacidad productiva de fábrica de productos congelados de panadería y bollería en Morcín.</t>
  </si>
  <si>
    <t>2010 FORMULAS Y RECETAS S.L</t>
  </si>
  <si>
    <t>Ampliación de la  capacidad productiva de fábrica de productos congelados de panadería y bollería</t>
  </si>
  <si>
    <t>CYL-2020-0006</t>
  </si>
  <si>
    <t xml:space="preserve">Actuaciones de optimización, diversificación y eficiencia energética en edificaciones públicas </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</si>
  <si>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</si>
  <si>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Ayuntamiento de Berlanga del Bierzo</t>
  </si>
  <si>
    <t>Berlanga del Bierzo</t>
  </si>
  <si>
    <t>24019</t>
  </si>
  <si>
    <t>2023-P090</t>
  </si>
  <si>
    <t>Centro de Lavado</t>
  </si>
  <si>
    <t xml:space="preserve">La Reguera 2019 se dedica al comercio al por menor de combustible para la automoción en establecimientos especializados. El objetivo de este proyecto es poner en funcionamiento de centro de lavado profesional. </t>
  </si>
  <si>
    <t>LA REGUERA 2019 S.L.</t>
  </si>
  <si>
    <t>Puesta en funcionamiento de centro de lavado profesional.</t>
  </si>
  <si>
    <t>2023-P092</t>
  </si>
  <si>
    <t>Adqusisición de maquinaria para una empresa en el  sector del caucho-metal.</t>
  </si>
  <si>
    <t>Ebonitados es una emrpesa  dedicada a la fabrica de piezas en caucho, recubrimientos de caucho, repuestos de bombas y perfiles en caucho. Este proyecto consiste en la adquisición de maquinaria para modernizar la empresa.</t>
  </si>
  <si>
    <t>EBONITADOS NORTE SL</t>
  </si>
  <si>
    <t>Adquisición de maquinaria para modernizar la empresa.</t>
  </si>
  <si>
    <t>2023-P096</t>
  </si>
  <si>
    <t>Mejora de la producción de una empresa en la industria alimentaria</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</si>
  <si>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</si>
  <si>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O.VILLA S.L.</t>
  </si>
  <si>
    <t xml:space="preserve">Mejora de la capacidad productiva de empresa de elaboración de platos preparados </t>
  </si>
  <si>
    <t>2023-P098</t>
  </si>
  <si>
    <t>Clínica Cardialis</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</si>
  <si>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</si>
  <si>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https://cardialis.es/#section-9d847be6460f</t>
  </si>
  <si>
    <t>CLÍNICAS CARDIALIS, S.L.</t>
  </si>
  <si>
    <t>Clínica especializada en enfermedades cardiovasculares</t>
  </si>
  <si>
    <t>2023-P109</t>
  </si>
  <si>
    <t>Nueva maquina para empresa tecnológica</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</si>
  <si>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</si>
  <si>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NANOKER RESEARCH SL</t>
  </si>
  <si>
    <t>Compra maquinaria para el mecanizado de corte de materiales cerámicos</t>
  </si>
  <si>
    <t>2023-P121</t>
  </si>
  <si>
    <t>Nueva Maquinaria en una empresa del sector</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</si>
  <si>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</si>
  <si>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Ampliación de la capacidad productiva con la adquisición de maquinaria</t>
  </si>
  <si>
    <t>2023-P122</t>
  </si>
  <si>
    <t>El hogar de Lelu</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</si>
  <si>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</si>
  <si>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https://elhogardelelu.com/</t>
  </si>
  <si>
    <t>EL HOGAR DE LELU TURISMO RURAL S.L.</t>
  </si>
  <si>
    <t>Construcción y explotación de un completo turístico de apartamentos</t>
  </si>
  <si>
    <t>2023-P138</t>
  </si>
  <si>
    <t>Consultorio veterinario</t>
  </si>
  <si>
    <t>El proyecto consiste en la puesta en marcha de un consultorio veterinario con servicio de diagnóstico y tratamientos veterinarios.</t>
  </si>
  <si>
    <t>RAFAEL ALVAREZ MARTINEZ</t>
  </si>
  <si>
    <t>Consultorio veterinario con servicio de diagnóstico y tratamientos veterinarios</t>
  </si>
  <si>
    <t>2023-P141</t>
  </si>
  <si>
    <t>Apartamentos "Hobbit"</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</si>
  <si>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</si>
  <si>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VIESCANATUR C.B.</t>
  </si>
  <si>
    <t>Construcción de apartamentos turísticos similares a las casas "Hobbit" del "Señor de los anillos".</t>
  </si>
  <si>
    <t>2023-P163</t>
  </si>
  <si>
    <t>Nuevo Centro de Formación</t>
  </si>
  <si>
    <t>Este proyecto consiste en la puesta en marcha de un nuevo centro de formación en nuevas tecnologías metalmecánicas</t>
  </si>
  <si>
    <t xml:space="preserve"> https://metalskills.es/</t>
  </si>
  <si>
    <t>METALSKILLS SL</t>
  </si>
  <si>
    <t>Nuevo centro de formación en nuevas tecnologías metalmecánicas</t>
  </si>
  <si>
    <t>2023-P170</t>
  </si>
  <si>
    <t>Camping San Feliz</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</si>
  <si>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</si>
  <si>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SABINO FERNANDEZ MORIS</t>
  </si>
  <si>
    <t>Construcción de un campamento turístico de 1ª categoría</t>
  </si>
  <si>
    <t>2023-P177</t>
  </si>
  <si>
    <t>Planta para el secado de astilla</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</si>
  <si>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</si>
  <si>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ESTRUCTURAS MECANIZADAS DE ASTURIAS, S.L.</t>
  </si>
  <si>
    <t>Instalación de una planta para el secado de astilla y residuos procedentes de aserradero para su reutilización como materia prima</t>
  </si>
  <si>
    <t>2023-P178</t>
  </si>
  <si>
    <t>Ampliación de la capacidad productiva en una empresa del sector maderero</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</si>
  <si>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</si>
  <si>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 xml:space="preserve">Ampliación de la capacidad productiva mediante la ampliación, adecuación y equipamiento de las instalaciones </t>
  </si>
  <si>
    <t>2023-P190</t>
  </si>
  <si>
    <t xml:space="preserve">Centro de lavado </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</si>
  <si>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</si>
  <si>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CORVERA SOCIEDAD COOPERATIVA ASTURIANA</t>
  </si>
  <si>
    <t>Centro de lavado y desinfección de vehículos</t>
  </si>
  <si>
    <t>2023-P193</t>
  </si>
  <si>
    <t>Modernización de las instalaciones frigoríficas</t>
  </si>
  <si>
    <t>Disago es una empresa dedicada  a la distribución de bebidas y alimentos en Asturias. Este proyecto consiste en la adquisición y modernización de las instalaciones frigoríficas.</t>
  </si>
  <si>
    <t>DISAGO SL</t>
  </si>
  <si>
    <t xml:space="preserve">Adquisición y modernización de las instalaciones frigoríficas </t>
  </si>
  <si>
    <t>2023-P203</t>
  </si>
  <si>
    <t>Apartamentos turísticos</t>
  </si>
  <si>
    <t>Cronstrucción y explotación de 4_x000D_ apartamentos rurales</t>
  </si>
  <si>
    <t>CRISTIAN DEL CASTILLO GONZALEZ</t>
  </si>
  <si>
    <t>2023-P219</t>
  </si>
  <si>
    <t>Este proyecto consiste en la puesta en la instalación de un taller de reparación de vehículos y maquinaria.</t>
  </si>
  <si>
    <t>JUAN CARLOS ARGÜELLES MENÉNDEZ</t>
  </si>
  <si>
    <t>Instalación de un taller de  reparación de vehículos y maquinaria.</t>
  </si>
  <si>
    <t>2023-P196</t>
  </si>
  <si>
    <t xml:space="preserve">Equipamiento de una nueva planta para la valorización de cenizas volantes </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</si>
  <si>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</si>
  <si>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2023-P196.jpg</t>
  </si>
  <si>
    <t>EUROASH RECYCLING CORPORATION SL</t>
  </si>
  <si>
    <t>Carral</t>
  </si>
  <si>
    <t>15021</t>
  </si>
  <si>
    <t>2023-P198</t>
  </si>
  <si>
    <t>Creación de un campamento Juvenil con actividades de ocio y tiempo libre</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</si>
  <si>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villamanín,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</si>
  <si>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2023-P198.jpg</t>
  </si>
  <si>
    <t>ARCO FORMACIÓN, ANIMACIÓN Y JUVENTUD SL</t>
  </si>
  <si>
    <t>Villamanín</t>
  </si>
  <si>
    <t>24901</t>
  </si>
  <si>
    <t>Creación de un campamento juvenil con actividades de ocio y tiempo libre</t>
  </si>
  <si>
    <t>2023-P211</t>
  </si>
  <si>
    <t>Empresa de multiaventura con rutas guiadas con buggies.</t>
  </si>
  <si>
    <t>https://www.facebook.com/p/Alto-Bernesga-4x4-61552900980697/</t>
  </si>
  <si>
    <t>2023-P211.jpg</t>
  </si>
  <si>
    <t>ALTO BERNESGA 4X4 SL</t>
  </si>
  <si>
    <t>2023-G088</t>
  </si>
  <si>
    <t xml:space="preserve">Mejora de la productividad de la almazara </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</si>
  <si>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</si>
  <si>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ASOCIACIÓN PARA LA RECUPERACIÓN DE OLIVOS YERMOS DE OLIETE</t>
  </si>
  <si>
    <t>Oliete</t>
  </si>
  <si>
    <t>44172</t>
  </si>
  <si>
    <t xml:space="preserve">Mejora de  la productividad de la almazara e instalación de maquinaria que favorezca la circularidad de la instalación </t>
  </si>
  <si>
    <t>2023-G089</t>
  </si>
  <si>
    <t>Planta de procesado y valorización de diferentes minerales de hierro</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</si>
  <si>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</si>
  <si>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2023-P009</t>
  </si>
  <si>
    <t>Acondicionamiento zona de despachos y oficina y adquisición de equipos de sonido y audiovisuales</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</si>
  <si>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</si>
  <si>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ATRACCIONES AVENIDA, S.L.</t>
  </si>
  <si>
    <t>2024-C023</t>
  </si>
  <si>
    <t>Centro de emprendimiento en el colegio de Oña</t>
  </si>
  <si>
    <t> Rehabilitación y acondicionamiento parcial del colegio público con destino a un centro de emprendimiento y la innovacción digital, el mismo se ubicará en el ala izquierda del centro educativo</t>
  </si>
  <si>
    <t>2024-C023.jpg</t>
  </si>
  <si>
    <t>Ayuntamiento de Oña</t>
  </si>
  <si>
    <t>Oña</t>
  </si>
  <si>
    <t>09238</t>
  </si>
  <si>
    <t>Rehabilitación y acondicionamiento parcial del colegio público con destino a un centro de emprendimiento y la innovacción digital</t>
  </si>
  <si>
    <t>2024-C044</t>
  </si>
  <si>
    <t>Rehabilitación del antiguo cuartel para viviendas sociales</t>
  </si>
  <si>
    <t> Recuperación del antiguo cuartel de la Guardia Civil en la localidad de Oña, con la intención de destinar las 5 viviendas a un uso de viviendas sociales. intervención integral que dotará al municipio de parque público de vivienda</t>
  </si>
  <si>
    <t>2024-C044.jpg</t>
  </si>
  <si>
    <t>Recuperación del antiguo cuartel de la Guardia Civil en la localidad de Oña, con la intención de destinar las 5 viviendas a un uso de viviendas sociales.</t>
  </si>
  <si>
    <t>2023-P061</t>
  </si>
  <si>
    <t>Creación de fábrica de muebles</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</si>
  <si>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</si>
  <si>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MUEBLES GOAVI, S.L.</t>
  </si>
  <si>
    <t>Utrillas</t>
  </si>
  <si>
    <t>44238</t>
  </si>
  <si>
    <t>Puesta en marcha de un taller de fabricación de muebles. También se realizará venta de muebles de otros fabricantes y el montaje de todo tipo de mobiliario</t>
  </si>
  <si>
    <t>2024-C056</t>
  </si>
  <si>
    <t> Ordenación y puesta en valor del parque de la memoria Toxo Verde</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</si>
  <si>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</si>
  <si>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https://vive.aspontes.org/as-pontes-licita-o-proxecto-de-acondicionamento-do-parque-da-memoria-toxo-verde-e-da-rotopala/</t>
  </si>
  <si>
    <t>2024-C056.jpg</t>
  </si>
  <si>
    <t>Ayuntamiento de As Pontes</t>
  </si>
  <si>
    <t>ORDENACIÓN Y PUESTA EN VALOR DEL PARQUE DE LA MEMORIA TOXO VERDE</t>
  </si>
  <si>
    <t>Turistico</t>
  </si>
  <si>
    <t>2024-C070</t>
  </si>
  <si>
    <t>Centro integrado del ecosistema de innovación y emprendimiento en el territorio</t>
  </si>
  <si>
    <t>Rehabilitación, acondicionamiento y mejora de un inmueble de titularidad pública, con calificación de edificio de consumo de energía casi nulo (nzeb), que permita la creación y puesta en marcha de un centro integrado de innovación digital y promoción</t>
  </si>
  <si>
    <t>https://www.diariodeleon.es/bierzo/250130/1804958/asi-sera-centro-innovacion-emprendimiento-ponferrada.html</t>
  </si>
  <si>
    <t>2024-C070.jpg</t>
  </si>
  <si>
    <t>Ayuntamiento de Ponferrada</t>
  </si>
  <si>
    <t>2024-C170</t>
  </si>
  <si>
    <t>Rehabilitación Casa del Toro de Resoba</t>
  </si>
  <si>
    <t>Rehabilitación Casa del Toro de Resoba en Cervera de Pisuerga para albergue</t>
  </si>
  <si>
    <t>https://www.diariopalentino.es/noticia/zc7e095cf-4f03-4dbc-94ed4c6ca8e266f8/202505/el-miteco-eleva-a-definitivos-los-19me-para-cervera</t>
  </si>
  <si>
    <t>2024-C170.jpg</t>
  </si>
  <si>
    <t>Ayuntamiento de Cervera de Pisuerga</t>
  </si>
  <si>
    <t>2023-P164</t>
  </si>
  <si>
    <t>Creación de un laboratorio de investigación</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</si>
  <si>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</si>
  <si>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AROMA TERUEL S.L.</t>
  </si>
  <si>
    <t>Creación de un laboratorio de investigación, venta de productos de perfumería y cosmética ecológica</t>
  </si>
  <si>
    <t>2023-P173</t>
  </si>
  <si>
    <t xml:space="preserve">Digitalización de la empresa </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</si>
  <si>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</si>
  <si>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Alacón</t>
  </si>
  <si>
    <t>44006</t>
  </si>
  <si>
    <t>2023-P184</t>
  </si>
  <si>
    <t xml:space="preserve">Digitalización integral de la empresa </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</si>
  <si>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</si>
  <si>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2023-P208</t>
  </si>
  <si>
    <t>Acondicionamiento de una vivienda para alojamiento de turismo rural</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</si>
  <si>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</si>
  <si>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ACTIVIDADES Y SERVICIOS MOLA SL</t>
  </si>
  <si>
    <t>Gargallo</t>
  </si>
  <si>
    <t>44116</t>
  </si>
  <si>
    <t>2023-P215</t>
  </si>
  <si>
    <t>Construcción de una nueva nave, oficinas y equipamiento</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</si>
  <si>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</si>
  <si>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PREFABRICADOS MONTALBÁN, S.L.</t>
  </si>
  <si>
    <t>Construcción de una nueva nave para ampliación de las instalaciones</t>
  </si>
  <si>
    <t>2022-C086</t>
  </si>
  <si>
    <t xml:space="preserve">Centro de servicios y digitalización ganadera del municipio de aller. </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</si>
  <si>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</si>
  <si>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</si>
  <si>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Ayuntamiento de Cabrillanes</t>
  </si>
  <si>
    <t>Cabrillanes</t>
  </si>
  <si>
    <t>24029</t>
  </si>
  <si>
    <t>2022-C092</t>
  </si>
  <si>
    <t xml:space="preserve">Plantación de castaños variedad "parede" en bembibre, folgoso, igueña, noceda, torre y villagaton. </t>
  </si>
  <si>
    <t>Promoción de la castañicultura. el proyecto persigue la creación y generación de empresas transformadoras que completen el ciclio de plantación  y recolección de este fruto. rehabilitación, forestación y puesta en valor de terrenos públicos mediante la plantantación de castaños de la variedad parede, en los municipios de bembibre, folgoso de la ribera, igüeña, noceda del bierzo, torrel del bierzo y villagatón. superficie estimada: 192,3 ha.</t>
  </si>
  <si>
    <t>https://www.transicionjusta.gob.es/Documents/reactivacion_comarcas/common/20230911_%20Informe_seguimiento_%20de_%20Acuerdo_Mineria.pdf</t>
  </si>
  <si>
    <t>DIPUTACION PROVINCIAL DE LEON</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</si>
  <si>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</si>
  <si>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2024-C177</t>
  </si>
  <si>
    <t>Centro interpretación accidente ferroviario</t>
  </si>
  <si>
    <t>Rehabilitación de edificio para centro de interpretación de accidente ferroviario en Torre del Bierzo</t>
  </si>
  <si>
    <t>https://www.infobierzo.com/bierzo-noticias/ayuda-museo-accidente-ferroviario-torre-bierzo-1944_1020777_102.html#google_vignette</t>
  </si>
  <si>
    <t>2024-C177.jpg</t>
  </si>
  <si>
    <t>AYUNTAMIENTO DE TORRE DEL BIERZO</t>
  </si>
  <si>
    <t>Rehabilitación de edificio para centro de interpretación de accidente ferroviario, centro</t>
  </si>
  <si>
    <t>2024-C178</t>
  </si>
  <si>
    <t>Rehabilitaciçón antiguo maercado de Abastos</t>
  </si>
  <si>
    <t>Rehabilitación del antiguo mercado de abastos y centro de día de personas mayores en Cervera de Pisuerga</t>
  </si>
  <si>
    <t>2024-C178.jpg</t>
  </si>
  <si>
    <t>Rehabilitación del antiguo mercado de abastos y centro de día de personas mayores</t>
  </si>
  <si>
    <t>Social</t>
  </si>
  <si>
    <t>2023-P106</t>
  </si>
  <si>
    <t>Ampliación de sus instalaciones con la adquisición de una nave y adquisición de maquinaria</t>
  </si>
  <si>
    <t>El principal objetivo que dtcom persigue con el presente proyecto es la ampliacion de sus instalaciones con la adquisicion de una nave en el poligono industrial bierzo alto, en el municipio de bembibre, en leon (mismo poligono donde se ubican sus instalaciones en la actualidad), asi como maquinaria de corte y taladrado, con la intencion de complementar sus instalaciones actuales y lograr satisfacer asi la creciente demanda de este tipo de productos.</t>
  </si>
  <si>
    <t>DISEÑOS TECNICOS Y CONSTRUCCIONES METALICAS S.L.</t>
  </si>
  <si>
    <t>ARA-2020-0001</t>
  </si>
  <si>
    <t>Adecuación de polígono industrial y construcción de instalaciones</t>
  </si>
  <si>
    <t>Con este proyecto se habilitó parte del polígono industrial de la comarca Cuencas Mineras, asfaltando parcelas, levantando naves e instalaciones y dejándolo acondicionado para  albergar una empresa destinada al tratamiento y reciclaje de materia prima plástica.</t>
  </si>
  <si>
    <t>ARA-2020-0001.jpg</t>
  </si>
  <si>
    <t>urbanizar parte del polígono industrial Cuencas Mineras con el fin de disponer de una parcela de dimensiones suficientes para albergar una empresa destinada al tratamiento y reciclaje de materia prima plástica</t>
  </si>
  <si>
    <t>2022-C096</t>
  </si>
  <si>
    <t xml:space="preserve">Espacio Coworking Norteruel </t>
  </si>
  <si>
    <t>Rehabilitación de la planta superior, en desuso, del edificio consistorial en un espacio para el emprendimiento y el desarrollo profesional con un coworking dirigido a empresas y autónomos de la zona que deseen desarrollar su negocio en un recinto innovador.</t>
  </si>
  <si>
    <t>AYUNTAMIENTO DE LA PUEBLA DE HIJAR</t>
  </si>
  <si>
    <t xml:space="preserve">ESPACIO COWORKING NORTERUEL. Se rehabilita una planta del ayuntamiento, hoy inocupada, para instalar un centro de coworking, con el objetivo de dinamizar la zona y desarrollar intercambios y colaboraciones entre los emprendedores. </t>
  </si>
  <si>
    <t>ARA-2020-0004</t>
  </si>
  <si>
    <t>Acondicionamiento de parking en polígono industrial</t>
  </si>
  <si>
    <t>Este proyecto se ha centrado en el condicionamiento de una superficie anexa a una zona empresarial con el fin de destinarla a parking destinado a los trabajadores de las empresas.</t>
  </si>
  <si>
    <t>ARA-2020-0004.jpg</t>
  </si>
  <si>
    <t>Ayuntamiento de Utrillas</t>
  </si>
  <si>
    <t>acondicionamiento de una superficie para destinarla a espacio libre para el estacionamiento de los vehículos de los trabajadores de las diferentes empresas del polígono industrial de Los Llanos</t>
  </si>
  <si>
    <t>2022-C098</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</si>
  <si>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</si>
  <si>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https://www.diariodeleon.es/bierzo/220821/1304473/aula-naturaleza-paramo-realidad-aumentada-disfrutar-oso-pardo.html</t>
  </si>
  <si>
    <t>Ayuntamiento de Páramo del Sil</t>
  </si>
  <si>
    <t xml:space="preserve">AULA DE LA NATURALEZA-ESCAPE ROOM VIRTUAL EN PÁRAMO DEL SIL. Nuevo concepto de Aula de la Naturaleza a través de experiencias visuales y recorridos del tipo ‘scape room’ con salas especializadas en Bosque de día, Bosque de noche o Sala El Bierzo </t>
  </si>
  <si>
    <t>2022-C101</t>
  </si>
  <si>
    <t xml:space="preserve">Rehabilitación y puesta en valor del edificio municipal situado en la carretera general nº41 de ujo. </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</si>
  <si>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</si>
  <si>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</si>
  <si>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2022-C104</t>
  </si>
  <si>
    <t xml:space="preserve">Rehabilitación energética de hotel. </t>
  </si>
  <si>
    <t>REHABILITACIÓN ENERGÉTICA DE HOTEL. Arquitectura ecológica y sostenible para adaptarlo a las condiciones del entorno natural de la Montaña Palentina y fomente el ecoturismo en los parques naturales próximos</t>
  </si>
  <si>
    <t>ARA-2020-0007</t>
  </si>
  <si>
    <t>Cambio de instalaciones lumínicas por lámparas de tecnología LED</t>
  </si>
  <si>
    <t>El proyecto relativo al ahorro energético, consiste en la renovación del alumbrado público. Se ha mejorado el alumbrado en el municipio gracias al cambio de las instalaciones lumínicas por lámparas de tecnología LED.</t>
  </si>
  <si>
    <t>ARA-2020-0007.jpg</t>
  </si>
  <si>
    <t>consiste en el cambio de instalaciones lumínicas por lámparas de tecnología LED</t>
  </si>
  <si>
    <t>ARA-2020-0008</t>
  </si>
  <si>
    <t xml:space="preserve">Mejora de la eficiencia energética de edificios municipales </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</si>
  <si>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</si>
  <si>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ARA-2020-0008.jpg</t>
  </si>
  <si>
    <t>incremento de la eficiencia energética de los edificios municipales de Montalbán: pabellón deportivo municipal, edificio ITACA y Casa de la Cultura</t>
  </si>
  <si>
    <t>ARA-2020-0013</t>
  </si>
  <si>
    <t>Construcción de centro de trabajo e invernaderos para usos de ATADI</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</si>
  <si>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</si>
  <si>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ARA-2020-0013.jpg</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</si>
  <si>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</si>
  <si>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2022-C105</t>
  </si>
  <si>
    <t>Reforma de edificio para oficinas municipales, gimnasio y área de coworking</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</si>
  <si>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</si>
  <si>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AYUNTAMIENTO DE FOZ CALANDA</t>
  </si>
  <si>
    <t>Foz-Calanda</t>
  </si>
  <si>
    <t>44107</t>
  </si>
  <si>
    <t xml:space="preserve">PROYECTO DE EJECUCION DE REFORMA DE EDIFICIO PARA OFICINAS MUNICIPALES, GIMNASIO Y ÁREA DE COWORKING. Centro de asistencia social dotado de gimnasio para rehabilitación y fisioterapia y un espacio de coworking para los jóvenes  </t>
  </si>
  <si>
    <t>ARA-2020-0017</t>
  </si>
  <si>
    <t>Construcción de un nuevo depósito de agua</t>
  </si>
  <si>
    <t>El proyecto ha consistido en la construcción de un nuevo depósito  de agua de 520 metros cúbicos para incrementar  la capacidad de almacenamiento de agua con el fin de asegurar el abastecimiento de agua de boca.</t>
  </si>
  <si>
    <t>ARA-2020-0017.jpg</t>
  </si>
  <si>
    <t>Ayuntamiento de Foz Calanda</t>
  </si>
  <si>
    <t>construcción de un nuevo depósito para incrementar la capacidad de almacenamiento de agua</t>
  </si>
  <si>
    <t>2023-P143</t>
  </si>
  <si>
    <t>Modernización y digitalización de residencia socio-sanitaria de mayores</t>
  </si>
  <si>
    <t>Digitalización del servicio y aceleración de la adaptación del servicio a las nuevas estartegias de calidad establecidad por la gerencia de serivicios sociales para los cuidados de larga de duración: mejora arquitectónica y ambiental, atención libre de sujeciones y mejora de procesos</t>
  </si>
  <si>
    <t>chrome-extension://efaidnbmnnnibpcajpcglclefindmkaj/https://www.transicionjusta.gob.es/Documents/el_instituto/Convenios_transicion_justa/common/MINMIS_TJ/Resolucion_concesion%20def_MINIMIS%202023%20TJ__con%20anexos%20Fda.pdf</t>
  </si>
  <si>
    <t>2022-C106</t>
  </si>
  <si>
    <t>Mejora de la eficiencia energética en edificio de usos múltiples en berlanga del 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</si>
  <si>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</si>
  <si>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https://planderecuperacion.gob.es/como-acceder-a-los-fondos/convocatorias/PLC/13754472/mejora-de-la-eficiencia-energetica-en-edificio-de-usos-multiples-en-berlanga-del-bierzo</t>
  </si>
  <si>
    <t>AYUNTAMIENTO DE BERLANGA DEL BIERZO</t>
  </si>
  <si>
    <t>MEJORA DE LA EFICIENCIA ENERGÉTICA EN EDIFICIO DE USOS MÚLTIPLES EN BERLANGA DEL BIERZO. Eficiencia energética para este centro de formación para el empleo, actividades culturales, conferencias, clases de gimnasia e informática</t>
  </si>
  <si>
    <t>ARA-2020-0021</t>
  </si>
  <si>
    <t xml:space="preserve">Construcción de un centro de día para la tercera edad </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</si>
  <si>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</si>
  <si>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ARA-2020-0021.jpg</t>
  </si>
  <si>
    <t xml:space="preserve">construcción de un centro de día para la tercera edad en un edificio de titularidad municipal </t>
  </si>
  <si>
    <t>2022-C114</t>
  </si>
  <si>
    <t>Espacio de coworking en Albalate de Zorita.</t>
  </si>
  <si>
    <t xml:space="preserve">Espacio de coworking para el libre acceso de los ciudadanos a servicios digitales y reducir la brecha digital  </t>
  </si>
  <si>
    <t>AYUNTAMIENTO DE ALBALATE DE ZORITA</t>
  </si>
  <si>
    <t>Albalate de Zorita</t>
  </si>
  <si>
    <t>19006</t>
  </si>
  <si>
    <t xml:space="preserve">ESPACIO DE COWORKING EN ALBALATE DE ZORITA. Espacio de coworking para el libre acceso de los ciudadanos a servicios digitales y reducir la brecha digital  </t>
  </si>
  <si>
    <t>AST-2020-0002</t>
  </si>
  <si>
    <t>Saneamiento de tiraña, la caucia, fabariegu y entorno de pola de laviana</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</si>
  <si>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</si>
  <si>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</si>
  <si>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AST-2020-0002.jpg</t>
  </si>
  <si>
    <t xml:space="preserve">Construcción y mejora de las infraestructuras pre existentes para unir cinco actuaciones independientes de saneamiento de aguas </t>
  </si>
  <si>
    <t>2022-C118</t>
  </si>
  <si>
    <t xml:space="preserve">Rehabilitacion de escuela de adultos para impulsar la prestacion de servicios publicos. </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</si>
  <si>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</si>
  <si>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Ayuntamiento de Tineo</t>
  </si>
  <si>
    <t>REHABILITACION DE ESCUELA DE ADULTOS PARA IMPULSAR LA PRESTACION DE SERVICIOS PUBLICOS. Espacio multiusos con escuela de adultos y de música, sede de asociaciones de mujeres y  hogar del jubilado</t>
  </si>
  <si>
    <t>2022-C122</t>
  </si>
  <si>
    <t>Senda sobre el enlace de Barcena</t>
  </si>
  <si>
    <t xml:space="preserve"> Recuperación de caminos y sendas peatonales y para bicicletas entre los municipios de cubillos del sil y toreno anegados por el embalse.  es objeto del este proyecto la realización de una nueva senda desde el límite municipal de cubillos del sil en el entorno del embalse de bárcena hasta camino de )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</si>
  <si>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https://www.infobierzo.com/bierzo-noticias/cubillos-solicita-la-construccion-de-una-senda-pasarelas-y-aparcamientos-que-uniran-con-toreno-a-traves-del-entorno-verde-del-rio-sil_749676_102.html</t>
  </si>
  <si>
    <t>AYUNTAMIENTO DE CUBILLOS DEL SIL</t>
  </si>
  <si>
    <t>SENDA SOBRE EL EMBALSE DE BÁRCENA (CUBILLOS DEL SIL). Recuperación de caminos y sendas peatonales y para bicicletas entre los municipios de Cubillos del Sil y Toreno anegados por el embalse</t>
  </si>
  <si>
    <t>AST-2020-0005</t>
  </si>
  <si>
    <t>Aumento de capacidad del depósito de la Herradura (Mieres)</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</si>
  <si>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</si>
  <si>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https://sede.asturias.es/bopa/2022/04/26/2022-02781.pdf</t>
  </si>
  <si>
    <t>AST-2020-0005.jpg</t>
  </si>
  <si>
    <t>2022-C126</t>
  </si>
  <si>
    <t>Rehabilitación de un edificio municipal (antiguas escuelas) para la creación de un espacio para su uso en la innovación digital</t>
  </si>
  <si>
    <t>Espacio para la innovación digital, el emprendimiento y el desarrollo económico. Su accesibilidad favorerá la disminución de la brecha digital y el acceso de las mujeres al emprendimiento y las nuevas tecnologías</t>
  </si>
  <si>
    <t>AYUNTAMIENTO DE HUEVA</t>
  </si>
  <si>
    <t>Hueva</t>
  </si>
  <si>
    <t>19150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</si>
  <si>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</si>
  <si>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2022-C127</t>
  </si>
  <si>
    <t xml:space="preserve">Proyecto de infraestructuras ambientales, sociales y digitales arbolado urbano en casco urbano Vilalba </t>
  </si>
  <si>
    <t>AYUNTAMIENTO DE VILALBA</t>
  </si>
  <si>
    <t>Vilalba</t>
  </si>
  <si>
    <t>27065</t>
  </si>
  <si>
    <t xml:space="preserve">PROYECTO DE INFRAESTRUCTURAS AMBIENTALES, SOCIALES Y DIGITALES ARBOLADO URBANO EN CASCO URBANO VILAL. Peatonalización y humanización de trayectos peatonales para favorecer los desplazmientos a pie  </t>
  </si>
  <si>
    <t>2022-C131</t>
  </si>
  <si>
    <t>Rehabilitación de centro social de Soto de Llanera para usos sociales y promoción del emprendimiento</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</si>
  <si>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</si>
  <si>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Ayuntamiento de Llanera</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</si>
  <si>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</si>
  <si>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2022-C132</t>
  </si>
  <si>
    <t xml:space="preserve">Rehabilitación del antiguo instituto de FP de San Cipriano. </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</si>
  <si>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</si>
  <si>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Ayuntamiento de Piloña</t>
  </si>
  <si>
    <t xml:space="preserve">REHABILITACIÓN DEL ANTIGUO INSTITUTO DE FP DE SAN CIPRIANO. El centro será escuela de desarrollo rural y laboratorio de innovación rural, además de centro de coworking, punto de encuentro para asociaciones y espacio formativo. </t>
  </si>
  <si>
    <t>AST-2020-0006</t>
  </si>
  <si>
    <t>Soterramiento de Langreo: Urbanización y Accesos</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</si>
  <si>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</si>
  <si>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AST-2020-0006.jpg</t>
  </si>
  <si>
    <t>2022-C138</t>
  </si>
  <si>
    <t>Rehabilitacion bajo cubierta edificio cazadores</t>
  </si>
  <si>
    <t xml:space="preserve">Rehabilitacion bajo cubierta edificio cazadores. espacio para la pernoctación de cazadores y visitantes que alargaría las estancias en el municipio  </t>
  </si>
  <si>
    <t>https://www.burgosconecta.es/provincia/cillaperlata-convertira-casa-cazadores-alojamiento-turistico-20231218160124-nt.html</t>
  </si>
  <si>
    <t>AYUNTAMIENTO CILLAPERLATA</t>
  </si>
  <si>
    <t>Cillaperlata</t>
  </si>
  <si>
    <t>09102</t>
  </si>
  <si>
    <t xml:space="preserve">REHABILITACION BAJO CUBIERTA EDIFICIO CAZADORES. Espacio para la pernoctación de cazadores y visitantes que alargaría las estancias en el municipio  </t>
  </si>
  <si>
    <t>2022-C141</t>
  </si>
  <si>
    <t>Rehabilitación de las antiguas escuelas municipales para vivienda social y equipamiento sociocomunitario</t>
  </si>
  <si>
    <t>Rehabilitación de cinco escuelas municipales construidas en torno a 1950 para utilizar 3 de ellas como viviendas protegidas y 2 para mantener su uso como locales sociales. Se mejorarán las condiciones de habitabilidad, accesibilidad y ahorro energético.</t>
  </si>
  <si>
    <t>https://www.diariodeferrol.com/articulo/comarcas/antiguas-escuelas-somocenses-convertiran-viviendas-sociales-4176546</t>
  </si>
  <si>
    <t>AYUNTAMIENTO DE AS SOMOZAS</t>
  </si>
  <si>
    <t>REHABILITACIÓN DE LAS ANTIGUAS ESCUELAS MUNICIPALES PARA VIVIENDA SOCIAL Y EQUIPAMIENTO SOCIOCOMUNITARIO. Viviendas municipales y locales sociales para actividades culturales y/o sociales</t>
  </si>
  <si>
    <t>2022-C143</t>
  </si>
  <si>
    <t xml:space="preserve">Rehabilitación de edificio para futuro albergue público en Villamayor. </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</si>
  <si>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</si>
  <si>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.REHABILITACIÓN DE EDIFICIO PARA FUTURO ALBERGUE PÚBLICO EN VILLAMAYOR. Albergue turístico y de peregrinos con capacidad para 40 personas. Da servicio a una zona que ha creado una ruta turística de santuarios</t>
  </si>
  <si>
    <t>AST-2020-0010</t>
  </si>
  <si>
    <t>Proyecto de creación y equipamiento de un vivero de empresas de actividades turísticas, deporte activo y centro de desarrollo tecnológico ubicado en el entorno de La Camocha</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</si>
  <si>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</si>
  <si>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https://www.europapress.es/asturias/noticia-vivero-empresas-camocha-listo-acoger-verano-empresas-turismo-deporte-activo-20240425145632.html</t>
  </si>
  <si>
    <t>AST-2020-0010.jpg</t>
  </si>
  <si>
    <t>Ayuntamiento de Gijón</t>
  </si>
  <si>
    <t>consiste en la construcción y establecimiento de un edificio para vivero de empresas en una parcela propiedad del Ayuntamiento de Gijón en La Camocha; Destinado a empresas de túrismo, ocio, deportem salud y naturaleza;</t>
  </si>
  <si>
    <t>Ampliación de vigencia + Ejecución IDEPA estiman que el 3º año habrá 12 empleos asociados a las nuevas empresas creadas, más 2 empleos asociados al laboratorio de biomecánica deportiva, a lo que se sumarían 2 empleos indirectos.</t>
  </si>
  <si>
    <t>2022-C149</t>
  </si>
  <si>
    <t xml:space="preserve">Reutilizacion y rehabilitacion de ed. y espacios vinculados a la central
del narcea y su poblado. </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</si>
  <si>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</si>
  <si>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</si>
  <si>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2022-C150</t>
  </si>
  <si>
    <t>Proyecto de rehabilitación de inmuebles para crear centro de atención integral y de formación para la mujer rural en sobrescobio.</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</si>
  <si>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</si>
  <si>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Ayuntamiento de SOBRESCOBIO</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</si>
  <si>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</si>
  <si>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2022-C152</t>
  </si>
  <si>
    <t xml:space="preserve">Recuperacion urbanistica y ambiental del parque de la eria. </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</si>
  <si>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</si>
  <si>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AYUNTAMIENTO DE LENA</t>
  </si>
  <si>
    <t xml:space="preserve">RECUPERACION URBANISTICA Y AMBIENTAL DEL PARQUE DE LA ERIA. Recuperación del Parque de la Ería con especies autóctonas y mejoras de la accesibilidad, en el sistema de riego y alumbrado público </t>
  </si>
  <si>
    <t>AST-2020-0014</t>
  </si>
  <si>
    <t>Saneamiento de Sorrodiles de Cibea (Cangas de Narcea)</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</si>
  <si>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</si>
  <si>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</si>
  <si>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AST-2020-0014.jpg</t>
  </si>
  <si>
    <t>Ayuntamiento de CANGAS DE NARCEA</t>
  </si>
  <si>
    <t>mejorar las redes actuales de saneamiento, la calidad de las aguas receptoras de los vertidos y las riberas, al eliminar todos los vertidos directos sin tratamiento previo</t>
  </si>
  <si>
    <t xml:space="preserve"> Empleo en construcción Se gestionó el proyecto por medio de la Dirección General del Agua (Consejería de Medio Ambiente) y no tenemos información sobre el empleo generado durante el proyecto</t>
  </si>
  <si>
    <t>2023-P151</t>
  </si>
  <si>
    <t>Incremento de la capacidad productiva y mejora del sistema de almacenamiento de producto.</t>
  </si>
  <si>
    <t>El proyecto contas de las siguientes inversiones: línea de aprovechamiento de costeros, una canteadora y un sotechado almacén de producto terminado. los objetivos previstos sería: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</si>
  <si>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MADERAS RUBIAL S.L.</t>
  </si>
  <si>
    <t>AST-2020-0016</t>
  </si>
  <si>
    <t>Plan de modernización en los ciclos del agua y mejora de la calidad de las aguas en la localidad de Bello</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</si>
  <si>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</si>
  <si>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</si>
  <si>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AST-2020-0016.jpg</t>
  </si>
  <si>
    <t>Ampliación de vigencia + incremento de importe empleo en cosntrucción 10 -1 año</t>
  </si>
  <si>
    <t>AST-2020-0019</t>
  </si>
  <si>
    <t>Saneamiento de La Piñera y zona río Piloña en Infiesto</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</si>
  <si>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</si>
  <si>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</si>
  <si>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AST-2020-0019.jpg</t>
  </si>
  <si>
    <t xml:space="preserve">Obras para mejorar el saneamiento de aguas y ampliar las redes </t>
  </si>
  <si>
    <t xml:space="preserve"> Empleo en construcción Lo hizo el Principado. El ayuntamiento me da una estimación</t>
  </si>
  <si>
    <t>AST-2020-0020</t>
  </si>
  <si>
    <t>Saneamiento de Fondos Vega (Degaña)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</si>
  <si>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</si>
  <si>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https://noticiasdeloccidente.com/2019/09/16/en-marcha-las-obras-de-saneamiento-de-fondos-de-vega-en-degana/</t>
  </si>
  <si>
    <t>AST-2020-0020.jpg</t>
  </si>
  <si>
    <t>Ayuntamiento de DEGAÑA</t>
  </si>
  <si>
    <t>consiste en ejecutar una adecuada red de saneamiento que recoja los vertidos de aguas domésticas de todas sus viviendas y la ejecución de una instalación de depuración al finalizar la red que asegure el tratamiento de las aguas</t>
  </si>
  <si>
    <t>AST-2020-0022</t>
  </si>
  <si>
    <t>Mejora Polígono Solavega.</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</si>
  <si>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</si>
  <si>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AST-2020-0022.jpg</t>
  </si>
  <si>
    <t>Ayuntamiento de CASO</t>
  </si>
  <si>
    <t>Caso</t>
  </si>
  <si>
    <t>33015</t>
  </si>
  <si>
    <t>Autosuficiencia energética en el entorno del Parque Natural de Redes (esperar la ficha de proyecto)</t>
  </si>
  <si>
    <t>2022-C164</t>
  </si>
  <si>
    <t xml:space="preserve">Proyecto de reforma del estacionamiento de soto de agues en el parque natural de redes. </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</si>
  <si>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</si>
  <si>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PROYECTO DE REFORMA DEL ESTACIONAMIENTO DE SOTO DE AGUES EN EL PARQUE NATURAL DE REDES. Aparcamiento reformado para la gestión del tráfico en el parque dotado de cargadores eléctricos alimentados por paneles solares</t>
  </si>
  <si>
    <t>2022-C165</t>
  </si>
  <si>
    <t>Camino natural senda de la mina la Pipiona.</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</si>
  <si>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</si>
  <si>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 xml:space="preserve">CAMINO NATURAL SENDA DE LA MINA LA PIPIONA. Camino natural para uso senderista y cicloturista que permite valorar el patrimonio minero </t>
  </si>
  <si>
    <t>AST-2020-0029</t>
  </si>
  <si>
    <t>Recuperación y rehabilitación del entorno y antigua explotación minera del Pozo San Fernando como elemento de dinamización turística</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</si>
  <si>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</si>
  <si>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</si>
  <si>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AST-2020-0029.jpg</t>
  </si>
  <si>
    <t>Ampliación de vigencia Empleo en construcción 5 durante 2 meses</t>
  </si>
  <si>
    <t>2022-C166</t>
  </si>
  <si>
    <t>Mejora paisajística de las instalaciones municipales de A Cortiña y Pazo da Marquesa</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</si>
  <si>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</si>
  <si>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https://www.lavozdegalicia.es/noticia/ferrol/san-sadurnino/2023/02/13/san-sadurnino-impulsa-actuacion-cortina-paseo-jardines/0003_202302F13C69973.htm</t>
  </si>
  <si>
    <t>Ayuntamiento de  SAN SADURNIÑO</t>
  </si>
  <si>
    <t>San Sadurniño</t>
  </si>
  <si>
    <t>15076</t>
  </si>
  <si>
    <t xml:space="preserve">MEJORA PAISAJÍSTICA DE LAS INSTALACIONES MUNICIPALES DE A CORTIÑA Y PAZO DA MARQUESA. Dotación de instalaciones públicas como aparcamiento y punto para bicicletas, la creación de caminos peatonales, un parque infantil y un paseo fluvial </t>
  </si>
  <si>
    <t>2023-P187</t>
  </si>
  <si>
    <t xml:space="preserve">Rehabilitación y explotación de un camping </t>
  </si>
  <si>
    <t>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la junta vecinal firma un contrato con rodrigo sánchez santiago para
la puesta en marcha del camping y gestión durante 10 años.
el contrato obliga a rodrigo sánchez a asumir el coste de los bienes,</t>
  </si>
  <si>
    <t>https://www.leonoticias.com/mineria/proyectos-miteco-financia-empleo-zonas-mineras-20240718121354-nt.html</t>
  </si>
  <si>
    <t>RODRIGO SÁNCHEZ SANTIAGO</t>
  </si>
  <si>
    <t>AST-2020-0031</t>
  </si>
  <si>
    <t>Reforma de la red de abastecimiento de agua de la localidad de Tablado, Cerredo y Degaña</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</si>
  <si>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</si>
  <si>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</si>
  <si>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AST-2020-0031.jpg</t>
  </si>
  <si>
    <t>realización de la red interior de saneamiento mediante tuberías de PVC para aguas domésticas</t>
  </si>
  <si>
    <t>Ampliación de vigencia 9 trabajadores y en casos puntuales alcanzan los 20.</t>
  </si>
  <si>
    <t>AST-2020-0032</t>
  </si>
  <si>
    <t>Saneamiento y pavimentación de San Julián (Bimenes)</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</si>
  <si>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</si>
  <si>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</si>
  <si>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AST-2020-0032.jpg</t>
  </si>
  <si>
    <t>Ayuntamiento de BIMENES</t>
  </si>
  <si>
    <t>Bimenes</t>
  </si>
  <si>
    <t>33006</t>
  </si>
  <si>
    <t>consiste en la conexión de un ramal del saneamiento de San Julián de Bimenes al aliviadero de Bimenes, para conectar dicho saneamiento al colector interceptor existente, e incluye un cruce bajo carretera.</t>
  </si>
  <si>
    <t xml:space="preserve"> Empleo en construcción: Lo ejecutó el Principado y no saben qué empleo se pudo generar</t>
  </si>
  <si>
    <t>AST-2020-0033</t>
  </si>
  <si>
    <t>Mejora de la eficiencia energética del grupo de 258 viviendas del Principado de Asturias en Lada Langreo</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</si>
  <si>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</si>
  <si>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https://www.youtube.com/watch?v=KHMOMYqrRDY</t>
  </si>
  <si>
    <t>AST-2020-0033.jpg</t>
  </si>
  <si>
    <t xml:space="preserve">instalación de una nueva fachada superpuesta con un sistema SATE (Sistema de Aislamiento Térmico por el Exterior) en la totalidad de los inmuebles (8 bloques ubicados en una parcela de suave pendiente). </t>
  </si>
  <si>
    <t>Eficiencia energética/Ahorro de energía Eficiencia energética/Ahorro de energía,  / Empleo en construcción: Desde la empresa que realizó la obra indican que no se contrató a nadie nuevo para el proyecto</t>
  </si>
  <si>
    <t xml:space="preserve">Ayuntamiento de Guardo </t>
  </si>
  <si>
    <t>2022-C170</t>
  </si>
  <si>
    <t>Centro de apoyo al emprendimiento rural agroalimentario.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</si>
  <si>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</si>
  <si>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AYUNTAMIENTO DE VILLAVICIOSA</t>
  </si>
  <si>
    <t>CENTRO DE APOYO AL EMPRENDIMIENTO RURAL AGROALIMENTARIO. Locales destinados al procesodo de productos agroalimentarios (miel o envasado de fabas) además de zonas  para formación, reunión, coworking y laboratorio</t>
  </si>
  <si>
    <t>AST-2020-0039</t>
  </si>
  <si>
    <t>Construcción de un edificio nuevo para naves nido</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</si>
  <si>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</si>
  <si>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AST-2020-0039.jpg</t>
  </si>
  <si>
    <t>Construcción de dos edificios nuevos para naves nido</t>
  </si>
  <si>
    <t>Ayuntamiento de Igüeña</t>
  </si>
  <si>
    <t>AST-2020-0041</t>
  </si>
  <si>
    <t>Proyecto de distribución energética en San Antolín de Ibias.</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</si>
  <si>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</si>
  <si>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AST-2020-0041.jpg</t>
  </si>
  <si>
    <t>Ayuntamiento de Ibias</t>
  </si>
  <si>
    <t>Ibias</t>
  </si>
  <si>
    <t>33028</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</si>
  <si>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</si>
  <si>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 xml:space="preserve">Ampliación de vigencia Eficiencia energética/Ahorro de energía / Empleo en construcción DURACIÓN DE LAS OBRAS: 7 MESES EMPLEO FIJO: 5 OPRERARIOS (Empresa contrata) EMPLEO TEMPORAL: 6 OPERARIOS (Maquinistas, transporte, autónomos etc </t>
  </si>
  <si>
    <t>Ayuntamiento de La Robla</t>
  </si>
  <si>
    <t>2022-C171</t>
  </si>
  <si>
    <t xml:space="preserve">Reforma integral de la antigua almazara de aceite para museo municipal. </t>
  </si>
  <si>
    <t>AYUNTAMIENTO DE VALSEQUILLO</t>
  </si>
  <si>
    <t>Valsequillo</t>
  </si>
  <si>
    <t>14064</t>
  </si>
  <si>
    <t>REFORMA INTEGRAL DE LA ANTIGUA ALMAZARA DE ACEITE PARA MUSEO MUNICIPAL. Museo municipal con sala sobre la producción de aceite con tienda de productos tradicionales de la zona.</t>
  </si>
  <si>
    <t>AST-2020-0042</t>
  </si>
  <si>
    <t xml:space="preserve">Plan de eficiencia y mejora energética del polígono industrial de Tebongo y otras zonas industriales </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</si>
  <si>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</si>
  <si>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</si>
  <si>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AST-2020-0042.jpg</t>
  </si>
  <si>
    <t>Consiste en la sustitución de las luminarias existentes de Vapor de Sodio a Alta Presión (VSAP) por luminarias tipo LED</t>
  </si>
  <si>
    <t>Eficiencia energética/Ahorro de energía Eficiencia energética/Ahorro de energía / empleo en construcción:  No se generó empleo porque se realizó con personal municipal.</t>
  </si>
  <si>
    <t>2022-C174</t>
  </si>
  <si>
    <t>Adecuación del camino de acceso al castillo en Castellote</t>
  </si>
  <si>
    <t>Adecuar el camino de acceso al castillo, un camino que es utilizado en actividades culturales de puesta en valor de la historia patrimonial del municipio.</t>
  </si>
  <si>
    <t>Ayuntamiento de Matallana del Torío</t>
  </si>
  <si>
    <t>Ayuntamiento de San Emiliano</t>
  </si>
  <si>
    <t>San Emiliano</t>
  </si>
  <si>
    <t>24145</t>
  </si>
  <si>
    <t>Ayuntamiento de Santibáñez de la Peña</t>
  </si>
  <si>
    <t>Ayuntamiento de Vega de Espinareda</t>
  </si>
  <si>
    <t>AST-2020-0043</t>
  </si>
  <si>
    <t>Despliegue de fibra óptica en el polígono industrial de Tebongo</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</si>
  <si>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</si>
  <si>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AST-2020-0043.jpg</t>
  </si>
  <si>
    <t>consiste en el despliegue de la instalación de la Fibra Óptica (FO) en el Polígono Industrial de Tebongo en Cangas de Narcea</t>
  </si>
  <si>
    <t xml:space="preserve"> empleo en construcción:  No se generó empleo porque se realizó con personal municipal.</t>
  </si>
  <si>
    <t>AST-2020-0044</t>
  </si>
  <si>
    <t>Obras de mejora en la eficiencia energética del alumbrado público y en la iluminación y sistema de calefacción de dependencias municipales (Degaña)</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</si>
  <si>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</si>
  <si>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</si>
  <si>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AST-2020-0044.jpg</t>
  </si>
  <si>
    <t>Ayuntamiento de Degaña</t>
  </si>
  <si>
    <t xml:space="preserve"> Reforma integral de alumbrado instalaciones municipales- Degaña</t>
  </si>
  <si>
    <t>Ampliación de vigencia Ficha pendiente</t>
  </si>
  <si>
    <t>AST-2020-0045</t>
  </si>
  <si>
    <t>Ampliación del Centro de empresas TIC de El Entrego</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</si>
  <si>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</si>
  <si>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</si>
  <si>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AST-2020-0045.jpg</t>
  </si>
  <si>
    <t>Ampliación de vigencia + incremento de importe + IDEPA Ficha pendiente. se estima, además un total de 200 empleos, asociados a las empresas que se instalen en el mismo</t>
  </si>
  <si>
    <t>2022-C180</t>
  </si>
  <si>
    <t xml:space="preserve">Planta de compostaje destinada al tratamiento de biorresiduos (residuos vegetales)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</si>
  <si>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</si>
  <si>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</si>
  <si>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2022-C187</t>
  </si>
  <si>
    <t>Restauración de la casa rectoral de O Canedo para centro social</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</si>
  <si>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</si>
  <si>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 https://listaroja.hispanianostra.org/ficha/casa-rectoral-canedo/</t>
  </si>
  <si>
    <t>Ayuntamiento de Monfero</t>
  </si>
  <si>
    <t>Monfero</t>
  </si>
  <si>
    <t>15050</t>
  </si>
  <si>
    <t>PROYECTO BÁSICO DE REHABILITACIÓN INTEGRAL DE EDIFICIO MUNICIPAL DESTINADO A CENTRO SOCIAL</t>
  </si>
  <si>
    <t>Ayuntamiento de Vegacervera</t>
  </si>
  <si>
    <t>Vegacervera</t>
  </si>
  <si>
    <t>24194</t>
  </si>
  <si>
    <t>2022-C188</t>
  </si>
  <si>
    <t>Rehabilitación de antiguo silo para centro de visitantes</t>
  </si>
  <si>
    <t>AYUNTAMIENTO DE VILLANUEVA DEL REY</t>
  </si>
  <si>
    <t>Villanueva del Rey</t>
  </si>
  <si>
    <t>14071</t>
  </si>
  <si>
    <t>REHABILITACIÓN DE ANTIGUO SILO PARA CENTRO DE VISITANTES. Infraestructura cultural que reúna el patrimonio histórico y cultural que actúe como dinamizador del municipio generador de oportunidades para las PYMES locales</t>
  </si>
  <si>
    <t>2022-C192</t>
  </si>
  <si>
    <t>Planta de acopio temporal de restos vegetale.</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</si>
  <si>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</si>
  <si>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AYUNTAMIENTO DE ENCIO</t>
  </si>
  <si>
    <t>Encío</t>
  </si>
  <si>
    <t>09120</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</si>
  <si>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</si>
  <si>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AST-2020-0046</t>
  </si>
  <si>
    <t>Recuperación de zonas degradadas del municipio de Sobrescobio para su valoracion agroforestal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</si>
  <si>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</si>
  <si>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https://www.elcomercio.es/asturias/cuencas/sobrescobio-contara-camping-20220203000628-ntvo.html</t>
  </si>
  <si>
    <t>AST-2020-0046.jpg</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</si>
  <si>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</si>
  <si>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</si>
  <si>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2022-C194</t>
  </si>
  <si>
    <t xml:space="preserve">Proyecto rehabilitación de edificación para centro de interpretación y tecnificación del almendro. </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</si>
  <si>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</si>
  <si>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https://www.eldiadecordoba.es/provincia/proyectos-pueblos-alto-guadiato-transicion-justa_0_1765024295.html</t>
  </si>
  <si>
    <t>AYUNTAMIENTO DE BELMEZ</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</si>
  <si>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</si>
  <si>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Ayuntamiento de Velilla de Río Carrión</t>
  </si>
  <si>
    <t>AST-2020-0047</t>
  </si>
  <si>
    <t>Actuaciones del ciclo del agua (Bimenes)</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</si>
  <si>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</si>
  <si>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</si>
  <si>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AST-2020-0047.jpg</t>
  </si>
  <si>
    <t>Ampliación de vigencia Ficha pendiente/  Empleo en construcción Todavía no lo licitaron y no tienen ni idea de lo que pueden generar de empleo</t>
  </si>
  <si>
    <t>2022-C195</t>
  </si>
  <si>
    <t>Adecuación y ampliación de residencia de mayores</t>
  </si>
  <si>
    <t>AYUNTAMIENTO DE LA GRANJUELA</t>
  </si>
  <si>
    <t>Granjuela, La</t>
  </si>
  <si>
    <t>14032</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</si>
  <si>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</si>
  <si>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2022-C196</t>
  </si>
  <si>
    <t>Rehabilitación y reforma del antiguo consultorio</t>
  </si>
  <si>
    <t>Rehabilitación del antiguo consultorio para convertirlo en un Centro de Innovación Tecnologco y de Fromación</t>
  </si>
  <si>
    <t>Ayuntamiento de Villaviciosa de Córdoba</t>
  </si>
  <si>
    <t>PROYECTO TÉCNICO DE REHABILITACIÓN Y REFORMA DEL ANTIGUO CONSULTORIO DE VILLAVICIOSA DE CÓRDOBA PARA CONVERTIRLO EN UN CENTRO DE INNOVACIÓN TECNOLÓGICO Y DE FORMACIÓN</t>
  </si>
  <si>
    <t>AST-2020-0048</t>
  </si>
  <si>
    <t>Obras de mejora de la eficiencia energética, publicidad identitaria, accesibilidad y señalización viaria de Poligonos industriales de Baiña</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</si>
  <si>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</si>
  <si>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https://www.mieres.es/ftj/obras-de-mejora-de-la-eficiencia-energetica-accesibilidad-y-medio-ambiente-del-poligono-industrial-de-vega-de-baina/     https://www.mieres.es/wp-content/uploads/2024/10/CERTIFICADO-PLENO-APROBACION-LISTADO-Proyectos.pdf</t>
  </si>
  <si>
    <t>AST-2020-0048.jpg</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</si>
  <si>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</si>
  <si>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AST-2020-0049</t>
  </si>
  <si>
    <t>Obras de mejora de eficiencia energética y accesibilidad en el polígono de La Fábrica de Mieres</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</si>
  <si>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</si>
  <si>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</si>
  <si>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AST-2020-0049.jpg</t>
  </si>
  <si>
    <t xml:space="preserve">Consiste en una serie de actuaciones que incluye entre otro la mejora de la eficiencia energética de la instalación de alumbrado y la mejora de la accesibilidad y la seguridad </t>
  </si>
  <si>
    <t>Ayuntamiento de Villagatón</t>
  </si>
  <si>
    <t>AST-2020-0050</t>
  </si>
  <si>
    <t>Obras de mejora de la eficiencia energética y accesibilidad en el polígono Vega de Arriba, fase 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</si>
  <si>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</si>
  <si>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https://www.mieres.es/ftj/obras-de-mejora-de-la-eficiencia-energetica-y-accesibilidad-en-el-poligono-vega-de-arriba-fase-iv/</t>
  </si>
  <si>
    <t>AST-2020-0050.jpg</t>
  </si>
  <si>
    <t xml:space="preserve">comprende una serie de actuaciones de urbanización para mejorar el acceso, la señalización, seguridad y la eficiencia energética del Polígono de Vega de Arriba </t>
  </si>
  <si>
    <t>2024-C083</t>
  </si>
  <si>
    <t>Reforma y rehabilitación energética del edificio intergeneracional de A Laracha</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</si>
  <si>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</si>
  <si>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 https://www.alaracha.gal/gl/noticia/1732/o-concello-transformara-servizos-multiples-nun-edificio-interxeracional-enfocado-a-persoas-de-todas-as-idades/</t>
  </si>
  <si>
    <t>Ayuntamiento de A Laracha</t>
  </si>
  <si>
    <t>Laracha, A</t>
  </si>
  <si>
    <t>15041</t>
  </si>
  <si>
    <t>REHABILITACIÓN Y MEJORA DE EFICIENCIA ENERGÉTICA DE EDIFICIO INTERGENERACIONAL DE A LARACHA</t>
  </si>
  <si>
    <t>AST-2020-0051</t>
  </si>
  <si>
    <t>Mejora de la señalización y acondicionamiento del acceso sur al Polígono de 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</si>
  <si>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</si>
  <si>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https://www.mieres.es/ftj/mejora-senalizacion-acondicionamiento-poligono-sovilla/</t>
  </si>
  <si>
    <t>AST-2020-0051.jpg</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</si>
  <si>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</si>
  <si>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CYL-2020-0008</t>
  </si>
  <si>
    <t>Plan de optimización energética para Institutos de enseñanza secundaria.</t>
  </si>
  <si>
    <t>Plan de optimización energética para Institutos de enseñanza secundaria. Actuaciones en el Instituto de Enseñanza Secundaria Ramiro II de La Robla</t>
  </si>
  <si>
    <t>Plan de optimización energética para Institutos de enseñanza secundaria. Actuaciones en el  Instituto de Enseñanza Secundaria Valles de Laciana de Villablino</t>
  </si>
  <si>
    <t>Plan de optimización energética para Institutos de enseñanza secundaria. Actuaciones en el Instituto de Enseñanza Secundaria Guardo en Guardo.</t>
  </si>
  <si>
    <t>AST-2020-0052</t>
  </si>
  <si>
    <t>Mejora de eficiencia energética del Centro Ocupacional de Cardeo</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</si>
  <si>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</si>
  <si>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https://www.mieres.es/ftj/mejora-de-eficiencia-energetica-del-centro-ocupacional-de-cardeo/                                     https://www.elcomercio.es/asturias/cuencas/finaliza-mejora-centro-ocupacional-cardeo-20230327013529-nt.html</t>
  </si>
  <si>
    <t>AST-2020-0052.jpg</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</si>
  <si>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</si>
  <si>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2024-C172</t>
  </si>
  <si>
    <t>Proyecto de rehabilitación energética del Centro Comarcal de Innovación, Emprendimiento y Digitalización</t>
  </si>
  <si>
    <t>Rehabilitación del Centro de Innovación, Emprendimiento y Digitalización para hacerlo energeticamente más eficiente</t>
  </si>
  <si>
    <t>Mancomunidad del Valle del Guadiato</t>
  </si>
  <si>
    <t>PROYECTO EJECUCIÓN DE REHABILITACIÓN ENERGÉTICA DEL CENTRO COMARCAL DE INNOVACIÓN, EMPRENDIMIENTO Y DIGITALIZACIÓN</t>
  </si>
  <si>
    <t>2024-C176</t>
  </si>
  <si>
    <t>Proyecto básico y de ejecución de reforma de la Plaza de la Constitución y adecuación de las dotaciones municipales de  Villaharta</t>
  </si>
  <si>
    <t>Mejora de la accesiibilidad y reforma de la Plaza de la Constitución</t>
  </si>
  <si>
    <t>Ayuntamiento de Villaharta</t>
  </si>
  <si>
    <t>PROYECTO BÁSICO Y DE EJECUCIÓN DE REFORMA DE LA PLAZA DE LA CONSTITUCIÓN Y ADECUACIÓN DE DOTACIONES MUNICIPALES DE VILLAHARTA</t>
  </si>
  <si>
    <t>2022-C197</t>
  </si>
  <si>
    <t xml:space="preserve">Adecuación de espacio minero para la creación de parque periurbano y centro de interpretación en Belmez. </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</si>
  <si>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</si>
  <si>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https://www.diariocordoba.com/cordoba/2023/04/05/vivero-empresarial-villaviciosa-1-7-85616349.html</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</si>
  <si>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</si>
  <si>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2022-C199</t>
  </si>
  <si>
    <t xml:space="preserve">Mejora ambiental, actualizacion de inrraestructuras y visibilizacion de los montes productores. </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</si>
  <si>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</si>
  <si>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MEJORA AMBIENTAL, ACTUALIZACION DE INRRAESTRUCTURAS Y VISIBILIZACION DE LOS MONTES PRODUCTORES. Parques forestales para la gestión de madera y biomasa y acondicionamiento de 18.42 Km de vías imprescindibles para su explotación</t>
  </si>
  <si>
    <t>2024-C011</t>
  </si>
  <si>
    <t>Rehabilitación de viviendas para nuevos pobladores</t>
  </si>
  <si>
    <t> Rehabilitación de las antiguas dependencias anexas a las escuelas municipales para viviendas de nuevos pobladores</t>
  </si>
  <si>
    <t>Ayuntamiento de Illana</t>
  </si>
  <si>
    <t>Illana</t>
  </si>
  <si>
    <t>19152</t>
  </si>
  <si>
    <t>Rehabilitación de las antiguas dependencias anexas a las escuelas municipales para viviendas de nuevos pobladores</t>
  </si>
  <si>
    <t>2022-C201</t>
  </si>
  <si>
    <t xml:space="preserve">Rehabilitación y reforma del centro día. </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</si>
  <si>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</si>
  <si>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AYUNTAMIENTO DE VILLAVICIOSA DE CÓRDOBA</t>
  </si>
  <si>
    <t>PROYECTO TÉCNICO DE REHABILITACIÓN Y REFORMA DEL CENTRO DÍA. Adecuación y rehabilitación el edificio para Mejorar las condiciones de seguridad y accesibilidad y adecuación de una nueva planta</t>
  </si>
  <si>
    <t>AST-2020-0053</t>
  </si>
  <si>
    <t>Obras de mejora de eficiencia energética de la Casa Consistorial Mieres</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</si>
  <si>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</si>
  <si>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</si>
  <si>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AST-2020-0053.jpg</t>
  </si>
  <si>
    <t>Consiste en una serie de actuaciones que tienen por objeto la mejora del aislamiento y la mejora de la producción de energía de la Casa Consistorial-Mieres</t>
  </si>
  <si>
    <t>AST-2020-0054</t>
  </si>
  <si>
    <t>Mejora de la eficiencia energética del sistema de alumbrado y envolvente de la biblioteca de Ujo y local de asociaciones</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</si>
  <si>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</si>
  <si>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 xml:space="preserve">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</si>
  <si>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AST-2020-0054.jpg</t>
  </si>
  <si>
    <t xml:space="preserve">Rehabilitación energética de la envolvente, la instalación de calefacción y la instalación de energía fotovoltaica </t>
  </si>
  <si>
    <t>AST-2020-0060</t>
  </si>
  <si>
    <t>Acceso al espacio de relación empresarial y comercial "Talleres del Conde" Fase I</t>
  </si>
  <si>
    <t xml:space="preserve">Urbanización de la parcela para facilitar el acceso, favorecer la creación de espacios verdes y soluciones técnicas sensibles con el medio ambientem, labores de equipamiento, señalización y tratamiento vegetal específico </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</si>
  <si>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</si>
  <si>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AST-2020-0060.jpg</t>
  </si>
  <si>
    <t>Mejora de la empleabilidad Mejora de la empleabilidad / Empleo en construcción 9 trabajadores y en casos puntuales alcanzan los 20.</t>
  </si>
  <si>
    <t>2022-C203</t>
  </si>
  <si>
    <t>Rehabilitación de la Casa da Cultura</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</si>
  <si>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</si>
  <si>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https://enfoques.gal/ortegal/cerdido/la-casa-da-cultura-de-cerdido-se-rehabilitara-con-una-subvencion-de-casi-medio-millon-de-euros/</t>
  </si>
  <si>
    <t>AYUNTAMIENTO DE CERDIDO</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</si>
  <si>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</si>
  <si>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2022-C210</t>
  </si>
  <si>
    <t>Proyecto de rehabilitación energética y reforma del edificio de usos múltiples</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</si>
  <si>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</si>
  <si>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2022-C211</t>
  </si>
  <si>
    <t xml:space="preserve">Proyecto técnico de rehabilitación y adecuación de la nave industrial de materiales a vivero de empresas. </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</si>
  <si>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</si>
  <si>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</si>
  <si>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2022-C212</t>
  </si>
  <si>
    <t>Rehabilitación de antiguo edificio para la creación de un albergue municipal y centro sociocultural.</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</si>
  <si>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</si>
  <si>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https://www.lavozdegalicia.es/noticia/ferrol/ortigueira/2023/03/04/ortigueira-creara-escolar-loiba-primer-albergue-camino-natural-cantabrico/0003_202303F4C9991.htm</t>
  </si>
  <si>
    <t>AYUNTAMIENTO DE ORTIGUEIRA</t>
  </si>
  <si>
    <t>Ortigueira</t>
  </si>
  <si>
    <t>15061</t>
  </si>
  <si>
    <t>EQUIPAMIENTOS VINCULADOS AL SENDERO LITORAL. Centro de Interpretación del Mundo Celta con nuevo equipamiento audiovisual interactivo que permitirá rentabilizar todo el año la oferta cultural del Festival Internacional del Mundo Celta</t>
  </si>
  <si>
    <t>AST-2021-0001</t>
  </si>
  <si>
    <t>Espacio de relación empresarial y comercial "Talleres del Conde" Fase II</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</si>
  <si>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</si>
  <si>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AST-2021-0001.jpg</t>
  </si>
  <si>
    <t>AST-2021-0003</t>
  </si>
  <si>
    <t>Mejora eficiencia energética red de alumbrado público (Mieres)</t>
  </si>
  <si>
    <t>El proyecto consiste  en la realización de mejoras de la eficiencia energética del alumbrado público del centro del casco urbano de Mieres y su entorno, incluyendo puntos de luz, sus cuadros de mando y sus instalaciones asociadas.</t>
  </si>
  <si>
    <t>https://www.mieres.es/ftj/mejora-eficiencia-red-alumbrado-publico-mieres/</t>
  </si>
  <si>
    <t>AST-2021-0003.jpg</t>
  </si>
  <si>
    <t>Mejora eficiencia energética red de alumbrado público</t>
  </si>
  <si>
    <t>2022-C227</t>
  </si>
  <si>
    <t xml:space="preserve">Rehabilitacion de viviendas para alquiler social en villamanin de la tercia. </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</si>
  <si>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</si>
  <si>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https://contratos.gobierto.es/licitaciones/4417914</t>
  </si>
  <si>
    <t>AYUNTAMIENTO DE VILLAMANÍN</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</si>
  <si>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</si>
  <si>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2022-C231</t>
  </si>
  <si>
    <t xml:space="preserve">Parque estelar </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</si>
  <si>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</si>
  <si>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AYUNTAMIENTO DE LOS OLMOS</t>
  </si>
  <si>
    <t>Olmos, Los</t>
  </si>
  <si>
    <t>44173</t>
  </si>
  <si>
    <t>PARQUE ESTELAR. Ruta de observación astronómica como actividad turística</t>
  </si>
  <si>
    <t>AST-2021-0004</t>
  </si>
  <si>
    <t>Mejora eficiencia energética y reducción de emisiones transporte público (Mieres)</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</si>
  <si>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</si>
  <si>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https://www.mieres.es/ftj/mejora-eficiencia-energetica-y-reduccion-de-emisiones-en-transporte-publico/</t>
  </si>
  <si>
    <t>AST-2021-0004.jpg</t>
  </si>
  <si>
    <t>Mejora eficiencia energética y reducción de emisiones transporte público</t>
  </si>
  <si>
    <t>CYL-2019-0001</t>
  </si>
  <si>
    <t>Restauración en explotación de carbón a cielo abierto</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</si>
  <si>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</si>
  <si>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CYL-2019-0001.jpg</t>
  </si>
  <si>
    <t>Junta de CASTILLA-LEÓN</t>
  </si>
  <si>
    <t>Cabrillanes;Villablino</t>
  </si>
  <si>
    <t>24029;24202</t>
  </si>
  <si>
    <t>2022-C242</t>
  </si>
  <si>
    <t xml:space="preserve">Centro de I+D+i </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</si>
  <si>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</si>
  <si>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AYUNTAMIENTO DE CALANDA</t>
  </si>
  <si>
    <t xml:space="preserve">ADECUACIÓN ESPACIO PÚBLICO PARA CENTRO DE I+D+I DE CALANDA. Nuevas instalaciones para un centro de I+D+I que aliviará la saturación del centro existente y permitirá la instalación de nuevos proyectos de innovadores </t>
  </si>
  <si>
    <t>2022-C247</t>
  </si>
  <si>
    <t>Caminos Mineros (CM)</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</si>
  <si>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</si>
  <si>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COMARCA ANDORRA-SIERRA DE ARCOS</t>
  </si>
  <si>
    <t xml:space="preserve">CAMINOS MINEROS (CM). Caminos de senderismo o cicloturismo que ponen valor el pasado minero de la comarca </t>
  </si>
  <si>
    <t>2022-C250</t>
  </si>
  <si>
    <t xml:space="preserve"> Itinerario de movilidad sostenible DP-5903 de Ordes a Portomouro</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</si>
  <si>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</si>
  <si>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AYUNTAMIENTO DE ORDES</t>
  </si>
  <si>
    <t xml:space="preserve">ITINERARIO DE MOVILIDAD ALTERNATIVA EN LA DP-5903 DE ORDES A PORTOMOURO POR PONTECHONIA. Itinerario sostenible con aparcamiento para bicicletas y cargadores para pequeños vehículos eléctricos y bancos de descanso </t>
  </si>
  <si>
    <t>2024-C068</t>
  </si>
  <si>
    <t> Mejora de la movilidad y digitalización de infraestructuras turísticas y sociales en espacios de la Red Natura 2000, del municipio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</si>
  <si>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</si>
  <si>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Ayuntamiento de Caso</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</si>
  <si>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</si>
  <si>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2024-C077</t>
  </si>
  <si>
    <t>Rehabilitacion de antiguo edificio en el Pozo Barredos - Carrio para la creación de centro de emprendimiento agroalimentario</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</si>
  <si>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</si>
  <si>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Ayuntamiento de Laviana</t>
  </si>
  <si>
    <t>2024-C118</t>
  </si>
  <si>
    <t>Reforma y ampliación de las escuelas de San Antolín de Ibias para vivienda y edificio de usos múltiples</t>
  </si>
  <si>
    <t xml:space="preserve">Rehabilitación del antiguo edificio de las escuelas de San Antolín de Ibias,  para darle diferentes usos, un  vivero de empresas, un espacio coworking y una vivienda social que estará completamente adaptada. </t>
  </si>
  <si>
    <t>2024-C128</t>
  </si>
  <si>
    <t>Rehabilitación de edificio municipal para centro polivalente social y turistico</t>
  </si>
  <si>
    <t>Rehabilitación de edificio municipal para crear un espacio polivalente de uso social y turístico.</t>
  </si>
  <si>
    <t>RESTAURACIÓN C10 - PRTR</t>
  </si>
  <si>
    <t>P03.C10.I01.P01.S002.01</t>
  </si>
  <si>
    <t>Restauración minas de Buseiro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</si>
  <si>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</si>
  <si>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Consejería de Industria, Empleo y Promoción Económica</t>
  </si>
  <si>
    <t>Tineo;Cangas del Narcea</t>
  </si>
  <si>
    <t>33073;33011</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</si>
  <si>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</si>
  <si>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P03.C10.I01.P01.S002.02</t>
  </si>
  <si>
    <t>Restauración minas de Cerredo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</si>
  <si>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</si>
  <si>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</si>
  <si>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P03.C10.I01.P01.S002.03</t>
  </si>
  <si>
    <t>Restauración de minas de Tormaleo</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</si>
  <si>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</si>
  <si>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</si>
  <si>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CYL-2020-0005</t>
  </si>
  <si>
    <t>Construcción de emisario y edar en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</si>
  <si>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</si>
  <si>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https://marearusvel.com/marea-finaliza-la-construccion-del-emisario-de-la-depuradora-de-torre-del-bierzo/</t>
  </si>
  <si>
    <t>CYL-2020-0005.jpg</t>
  </si>
  <si>
    <t>CYL-2021-0001</t>
  </si>
  <si>
    <t>Depuración en espacio natural en la montaña palentina</t>
  </si>
  <si>
    <t>Depuración en espacio natural en la montaña palentina en los municipios de cervera de pisuerga, la pernía y velilla del río carrión</t>
  </si>
  <si>
    <t>https://comunicacion.jcyl.es/web/jcyl/Comunicacion/es/Plantilla100Detalle/1281372051501/NotaPrensa/1285206672392/Comunicación</t>
  </si>
  <si>
    <t>Ayuntamiento de Cervera de Pisuerga, La Pernía y Velilla del Río Carrión.</t>
  </si>
  <si>
    <t>Pernía, La;Velilla del Río Carrión</t>
  </si>
  <si>
    <t>34904;34199</t>
  </si>
  <si>
    <t>Depuración en Espacio Natural en la montaña palentina</t>
  </si>
  <si>
    <t>Ampliación de vigencia + Ejecución Somacyl</t>
  </si>
  <si>
    <t>2024-C048</t>
  </si>
  <si>
    <t>Parque sostenible</t>
  </si>
  <si>
    <t xml:space="preserve">Acondicionamiento de un espacio natural de la entrada de Azaila, en desuso, para crear un espacio de ocio y esparcimiento. </t>
  </si>
  <si>
    <t>Ayuntamiento de Azaila</t>
  </si>
  <si>
    <t>Azaila</t>
  </si>
  <si>
    <t>44031</t>
  </si>
  <si>
    <t>2024-C053</t>
  </si>
  <si>
    <t>Creación de viviendas</t>
  </si>
  <si>
    <t>Rehabilitación de edificio municipal para crear viviendas que favorezcan la fijación de población</t>
  </si>
  <si>
    <t>2024-C138</t>
  </si>
  <si>
    <t>Rehabilitación de edificio en dos viviendas</t>
  </si>
  <si>
    <t>Rehabilitación de edificio para habilitar dos viviendas para el uso de nuevos pobladores.</t>
  </si>
  <si>
    <t>Ayuntamiento de Urrea de Gaén</t>
  </si>
  <si>
    <t>P03.C10.I01.P01.S001.01</t>
  </si>
  <si>
    <t>Centro de interpretación de la minería</t>
  </si>
  <si>
    <t>Mequimenza. 'adecuación de dos edificaciones (casa de la administración y edificio de almacenes) para su reutilización y creación de un centro de interpretación de la minería</t>
  </si>
  <si>
    <t>Departamento de Industria, Competitividad y Desarrollo Empresarial</t>
  </si>
  <si>
    <t>MEQUIMENZA. 'Adecuación de dos edificaciones (casa de la Administración y edificio de Almacenes) para su reutilización y creación de un centro de interpretación de la minería</t>
  </si>
  <si>
    <t>CONP/2023/3899</t>
  </si>
  <si>
    <t>Restauración Ambiental de la Escombrera "Espinos" (Mieres)</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</si>
  <si>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</si>
  <si>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 xml:space="preserve">https://actualidad.asturias.es/-/2023_04_04-dg-industria-reuni%C3%B3n-restauraci%C3%B3n-pozo-espinos-mieres  
https://actualidad.asturias.es/-/la-remodelaci%C3%B3n-de-la-escombrera-del-pozo-espinos-en-mieres-finalizar%C3%A1-en-junio-de-2025 </t>
  </si>
  <si>
    <t>Consejeía de Transición Ecológica, Industria y Desarrollo económico</t>
  </si>
  <si>
    <t>Carbón.
En ejecución
En abril de 2025 llevaban más del 50% concluido</t>
  </si>
  <si>
    <t>CONP/2023/8389</t>
  </si>
  <si>
    <t>Restauración Ambiental del Cielo Abierto "Coto Quirós" (Quirós)</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</si>
  <si>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</si>
  <si>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https://actualidad.asturias.es/-/el-principado-recupera-el-espacio-de-la-antigua-mina-coto-quir%C3%B3s-en-la-reserva-de-la-biosfera-de-las-ubi%C3%B1as-la-mesa</t>
  </si>
  <si>
    <t>Carbón
En ejecución
En abril de 2025 llevaban más del 50% concluido</t>
  </si>
  <si>
    <t>CYL-2021-0002</t>
  </si>
  <si>
    <t>Depuración en localidades de espacio natural en vegacervera</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</si>
  <si>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torío.el proyecto propone la solución más adecuada en atención a criterios de minimizar el impacto ambiental en la zona, y de garantizar el buen funcionamiento de las instalaciones mediante sistemas simples, seguros y de bajo coste de explotación.</t>
  </si>
  <si>
    <t>https://www.leonoticias.com/comarcas/junta-impulsa-depuracion-20220114140056-nt.html</t>
  </si>
  <si>
    <t>Depuración en localidades de Espacio Natural en Vegacervera</t>
  </si>
  <si>
    <t>CYL-2021-0003</t>
  </si>
  <si>
    <t>Depuración en localidades de espacio natural en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</si>
  <si>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 el importe estimado del proyecto es de 3.446.103,66 euros.</t>
  </si>
  <si>
    <t>Depuración en localidades de Espacio Natural en San Emiliano</t>
  </si>
  <si>
    <t>CYL-2020-0009</t>
  </si>
  <si>
    <t>Centro tecnológico de la castaña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</si>
  <si>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</si>
  <si>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CYL-2020-0009.jpg</t>
  </si>
  <si>
    <t>Consiste en la adaptación del vivero de Pobladura de las Regueras en centro tecnológico y en la construcción de una nave industrial con una línea de procesamiento de castañas en la localidad de Quintana de Fuseros</t>
  </si>
  <si>
    <t>CYL-2021-0005</t>
  </si>
  <si>
    <t>Plan de optimización y diversificación energética casas de cultura de olleros  de sabero y  de sabero</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</si>
  <si>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
caldera de condensación
también se sustituirán las antiguas y deterioradas calderas actuales de gasóleo por una única de condensación, también de gasóleo, pero con un rendimiento al máximo y emisiones reducidas. se instalarán válvulas termotatizables y cabezales termostáticos en los radiadores para un mejor control de la temperatura y un mayor ahorro energético.</t>
  </si>
  <si>
    <t>https://www.pap.hacienda.gob.es/bdnstrans/GE/es/convocatorias/636384       https://subvenciones.quieroalgo.com/acuerdo-jcyl-por-el-que-se-autoriza-la-concesion-directa-de-una-subvencion-al-ayuntamiento-de-sabero-para-el-proyecto-denominado-plan-de-optimizacion-y-diversificacion-energetica-casas-de/#google_vignette</t>
  </si>
  <si>
    <t>Ayuntamiento de Sabero</t>
  </si>
  <si>
    <t>Plan de Optimización y diversificación energética Casas de Cultura de Olleros  de Sabero y  de Sabero</t>
  </si>
  <si>
    <t>CYL-2021-0006</t>
  </si>
  <si>
    <t>Emisario y edar en folgoso de la 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</si>
  <si>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</si>
  <si>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https://bembibredigital.com/bierzoalto/55631-cerca-de-400-000-euros-permitiran-ampliar-y-mejorar-las-edar-en-el-municipio-de-folgoso-de-la-ribera</t>
  </si>
  <si>
    <t>Ayuntamiento de Folgoso de la Ribera</t>
  </si>
  <si>
    <t>Emisario y EDAR en Folgoso de la Ribera</t>
  </si>
  <si>
    <t>CYL-2020-0010</t>
  </si>
  <si>
    <t>Parque industrial bierzo alto, 9ª fase (totalidad sector 10-parras).</t>
  </si>
  <si>
    <t xml:space="preserve">La actuación consiste en la urbanización del sector nº 10 «parras» del plan general de ordenación urbana de bembibre (león), con una superficie total de 115.407 metros cuadrados, situado en la margen izquierda de la autovía del noroeste a-6. </t>
  </si>
  <si>
    <t>CYL-2020-0010.jpg</t>
  </si>
  <si>
    <t>Ayuntamiento de BEMBIBRE</t>
  </si>
  <si>
    <t xml:space="preserve">consiste en la urbanización del Sector nº 10 «Parras» del Plan General de Ordenación Urbana de Bembibre (León), con una superficie total de 115.407 metros cuadrados, situado en la margen izquierda de la Autovía del Noroeste A-6. </t>
  </si>
  <si>
    <t>CYL-2021-0009</t>
  </si>
  <si>
    <t>Mejora en 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</si>
  <si>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</si>
  <si>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https://www.lacianadigital.com/el-ayuntamiento-aprueba-los-compromisos-municipales-para-la-mejora-de-los-colectores/</t>
  </si>
  <si>
    <t>Mejora en Colectores</t>
  </si>
  <si>
    <t>CYL-2021-0010</t>
  </si>
  <si>
    <t>Restauración de espacios afectados por la actividad minera en León y Palencia.</t>
  </si>
  <si>
    <t xml:space="preserve"> Restauración ambiental 
- Escombrera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t>
  </si>
  <si>
    <t>Restauración de espacios afectados por la actividad minera en León y Palencia</t>
  </si>
  <si>
    <t xml:space="preserve"> Restauración ambiental 
- Escombreras del grupo Río en el margen izquierda del Cúa,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</si>
  <si>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CYL-2021-0004</t>
  </si>
  <si>
    <t>Urbanización sector s-17 polígono industrial de la robla</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</si>
  <si>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</si>
  <si>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https://www.leonoticias.com/comarcas/junta-financia-poligono-empresarial-robla-tres-millones-20231207130142-nt.html</t>
  </si>
  <si>
    <t>CYL-2021-0004.jpg</t>
  </si>
  <si>
    <t>Urbanización Sector S-17 Polígono Industrial de La Robla</t>
  </si>
  <si>
    <t>ELCT-2020-00098-E</t>
  </si>
  <si>
    <t>Ampliación del centro rural de innovación educativa</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</si>
  <si>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</si>
  <si>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https://www.elbierzodigital.com/miteco-centro-rural-paramo-sil/</t>
  </si>
  <si>
    <t>Ampliación del Centro Rural de Innovación Educativa</t>
  </si>
  <si>
    <t>3 empleos asociados a la ayuda</t>
  </si>
  <si>
    <t>CYL-2021-0008</t>
  </si>
  <si>
    <t>Emisario y edar en santibáñez de la peña</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</si>
  <si>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</si>
  <si>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https://www.diariodevalderrueda.es/texto-diario/mostrar/5061936/junta-mejorara-ampliara-edar-santibanez-pena-inversion-690000-euros    file:///C:/Users/va.grados/Downloads/TED202200015_(1)20211229_CYL-2021-0008_Convenio_FIRMADO%20(1).pdf</t>
  </si>
  <si>
    <t>CYL-2021-0008.jpg</t>
  </si>
  <si>
    <t>Emisario y EDAR en Santibáñez de la Peña</t>
  </si>
  <si>
    <t>Ampliación de vigencia y de importe</t>
  </si>
  <si>
    <t>P03.C10.I01.P01.S003.02</t>
  </si>
  <si>
    <t xml:space="preserve">Torre de villagaton. </t>
  </si>
  <si>
    <t>Ejecución de pequeñas infraestructuras de uso recreativo asociado a una variante del camino de santiago por el manza</t>
  </si>
  <si>
    <t>https://www.retema.es/actualidad/tragsa-restaurara-1000-hectareas-degradadas-mineria-leon</t>
  </si>
  <si>
    <t>Torre del Bierzo;Villagatón</t>
  </si>
  <si>
    <t>24170;24210</t>
  </si>
  <si>
    <t>TORRE DE VILLAGATON. 'Ejecución de pequeñas infraestructuras de uso recreativo asociado a una variante del camino de Santiago por el Manzanal</t>
  </si>
  <si>
    <t>P03.C10.I01.P01.S003.03</t>
  </si>
  <si>
    <t>Casare-ladil-charcon.</t>
  </si>
  <si>
    <t>Para uso forestal, agroganadero (pastizales y castaños de producción) y monte (ambiental y producción de madera), y para uso recreativo de baja intensidad</t>
  </si>
  <si>
    <t>CASARE-LADIL-CHARCON. 'Para uso forestal, agroganadero (pastizales y castaños de producción) y monte (ambiental y producción de madera), y para uso recreativo de baja intensidad (sin especificar)</t>
  </si>
  <si>
    <t>RESTAURACIÓN C5 - PRTR</t>
  </si>
  <si>
    <t>PRTR - C5</t>
  </si>
  <si>
    <t>CONF/2023</t>
  </si>
  <si>
    <t>Acondicionamiento de  los cauces de los arroyos La Raíz y La Braña</t>
  </si>
  <si>
    <t>Acondicionamiento de los tramos de los cauces de los arroyos La Raíz y La Braña afectados por las escombreras del Grupo Perfectas – Riotorno (Antracitas de Gillón). T. M. de Cangas del Narcea</t>
  </si>
  <si>
    <t>Confederación Hidrográfica del Cantábrico</t>
  </si>
  <si>
    <t>Ejecutado</t>
  </si>
  <si>
    <t>Carbón. Obras finalizadas</t>
  </si>
  <si>
    <t>Proyectos piloto y plataformas de ensayo e infraestructuras portuarias para renovables marinas</t>
  </si>
  <si>
    <t>RENMARDEM</t>
  </si>
  <si>
    <t>PR-RENMARDEM-2023-000075</t>
  </si>
  <si>
    <t>Plataforma experimental de eólica marina de Galicia – Plataforma de ensayo de aerogeneradores marinos y flotadores frente a las costas de Arteixo</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</si>
  <si>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Meirama</t>
  </si>
  <si>
    <t>https://economia.xunta.gal/plataforma-eolica-marina?langId=es_ES</t>
  </si>
  <si>
    <t>Inega: Instituto Enerxético de Galicia</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</si>
  <si>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As Pontes.</t>
  </si>
  <si>
    <t>Proyectos innovadores de almacenamiento energético hibridado con instalaciones de generación de energía eléctrica a partir de fuentes de energía renovables</t>
  </si>
  <si>
    <t>HIALMAC</t>
  </si>
  <si>
    <t>PR-HIALMAC-2023-000289</t>
  </si>
  <si>
    <t>La nava: hibridación del parque fotovoltaico ya existente la
nava con el sistema de almacenamiento planta baterías la
nava</t>
  </si>
  <si>
    <t>La Nava con el Sistema de Almacenamiento Planta Baterías La Nava con 21,20 MW de potencia y una ayuda de 3,7 millones de euros, de una inversión total de 14,4 millones de euros, lo que supone más de un 25% de subvención que recibirá este proyecto</t>
  </si>
  <si>
    <t>Naturgy Renovables SLU</t>
  </si>
  <si>
    <t>Almodóvar del Campo;Puertollano</t>
  </si>
  <si>
    <t>13015;13071</t>
  </si>
  <si>
    <t>LA NAVA: Hibridación del Parque Fotovoltaico ya existente La
Nava con el Sistema de Almacenamiento Planta Baterías La
Nava</t>
  </si>
  <si>
    <t>Almacenamiento
Electroquímico</t>
  </si>
  <si>
    <t>ELCT-2020-00024-E</t>
  </si>
  <si>
    <t>Nuevo consultorio médico pac</t>
  </si>
  <si>
    <t>Construcción nuevo consultorio médico en la robla. proyecto municipal que busca mejorar la prestación del servicio sanitario y garantizar la cobertura de las urgencias, 24 horas, 365 días, prestación necesaria para frenar la despoblación.</t>
  </si>
  <si>
    <t>ELCT-2020-00024-E.jpeg</t>
  </si>
  <si>
    <t>Nuevo consultorio Médico PAC</t>
  </si>
  <si>
    <t>2 empleos asociados a la ayuda</t>
  </si>
  <si>
    <t>ELCT-2020-00026-E</t>
  </si>
  <si>
    <t>Residencia de Mayores</t>
  </si>
  <si>
    <t>Reforma de un edificio existente para Residencia de Mayores</t>
  </si>
  <si>
    <t>ELCT-2020-00026-E.jpg</t>
  </si>
  <si>
    <t>AYUNTAMIENTO DE HÍJAR</t>
  </si>
  <si>
    <t>17 empleos asociados a la ayuda</t>
  </si>
  <si>
    <t>Valles de Hidrógeno</t>
  </si>
  <si>
    <t>H2CLUSTER</t>
  </si>
  <si>
    <t>PR-H2CLUSTER-2024-000069</t>
  </si>
  <si>
    <t>Valle leonés del hidrógeno verde</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</si>
  <si>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</si>
  <si>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https://reolum.com/35-kilometros-de-gasoducto-uniran-las-dos-plantas-gemelas-de-hidrogeno-en-villadangos-y-la-robla-que-suman-712-millones-de-inversion/</t>
  </si>
  <si>
    <t>Desarrollo Renovable Mahogany Villadangos hidrógeno verde</t>
  </si>
  <si>
    <t>Energía</t>
  </si>
  <si>
    <t>Proyectos piloto singulares de comunidades energéticas (Programa CE IMPLEMENTA) 5ª convocatoria</t>
  </si>
  <si>
    <t>PR-PILOTO-05-2024-000271</t>
  </si>
  <si>
    <t>Instalaciones Fotovoltaicas XERANDO</t>
  </si>
  <si>
    <t xml:space="preserve">Implantar 10 instalaciones fotovoltaicas en las cubiertas/parcelas de titularidad municipal o de miembros de la CE </t>
  </si>
  <si>
    <t>https://www.xermade.org/comunidade-de-enerxias-renovables-xerando/
https://www.fegamp.gal/content/19-de-setembro-2024-mais-de-30-socios-crean-en-xermade-unha-comunidade-enerxetica-rural</t>
  </si>
  <si>
    <t xml:space="preserve">Comunidade de Enerxías Renovables “XERando” </t>
  </si>
  <si>
    <t>Ayudas a proyectos singulares y pioneros de producción y consumo de hidrógeno renovable</t>
  </si>
  <si>
    <t>H2 PIONEROS</t>
  </si>
  <si>
    <t>PR-H2PION-2022-000163</t>
  </si>
  <si>
    <t>Producción de hidrógeno renovable (H2Pole)</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</si>
  <si>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</si>
  <si>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https://reganosa.com/la-primera-gran-planta-de-hidrogeno-verde-de-galicia-obtiene-la-declaracion-de-impacto-ambiental/</t>
  </si>
  <si>
    <t>H2Pole, S.L.U.</t>
  </si>
  <si>
    <t>Ayudas a proyectos singulares y pioneros de producción y consumo de hidrógeno renovable - 2ª convocatoria</t>
  </si>
  <si>
    <t>H2 PIONEROS-C2</t>
  </si>
  <si>
    <t>PR-H2PION-C2-2023-000202</t>
  </si>
  <si>
    <t>GP H2 As Pontes- Electrolizador PEM, destinado a uso Industrial para autoconsumo del hidrógeno verde y producción de amoniaco para, por ejemplo, la producción de fertilizantes.</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</si>
  <si>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</si>
  <si>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GP H2 As Pontes</t>
  </si>
  <si>
    <t>GP H2 As Pontes- Electrolizador PEM, destinado a uso Industrial para autoconsumo del hidrógeno verde y producción de amoniaco en A Coruña para, por ejemplo, la producción de fertilizantes.</t>
  </si>
  <si>
    <t>PR-H2CLUSTER-2024-000074</t>
  </si>
  <si>
    <t>Compostilla Green - Planta de H2 y eSAF</t>
  </si>
  <si>
    <t>Planta de producción de combustible sostenible de aviación</t>
  </si>
  <si>
    <t>https://ric.energy/ric-energy-adjudicataria-definitiva-del-programa-h2-valles-con-su-proyecto-de-esaf-compostilla-green-en-leon/</t>
  </si>
  <si>
    <t>Ric Energy</t>
  </si>
  <si>
    <t>Planta de producción de combustible sostenible de aviación "Compostilla Green - Planta de H2 y eSAF"</t>
  </si>
  <si>
    <t>Aeronáutico</t>
  </si>
  <si>
    <t>ELCT-2020-00031-E</t>
  </si>
  <si>
    <t>Reforma y adecuación de la antigua escuela de Xesteda como sede de referencia para servicios administrativos y Actividades Educativas, culturales y lúdicas</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</si>
  <si>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</si>
  <si>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https://www.cerceda.org/actualidade/noticias/o-concello-recepciona-as-obras-de-reforma-do-renovado-edificio-social-de-xesteda</t>
  </si>
  <si>
    <t>ELCT-2020-00031-E.jpg</t>
  </si>
  <si>
    <t>Reforma y adecuación de la antigua escuela en sede de referencia para servicios administrativos básicos, act. Educativas, culturales y lúdicas</t>
  </si>
  <si>
    <t>ELCT-2020-00035-E</t>
  </si>
  <si>
    <t>Readaptación de edificio municipal en un centro de la tercera edad</t>
  </si>
  <si>
    <t xml:space="preserve">La rehabilitación de este edificio permitirá ofrecer un servicio de residencia para mayores en el municipio de Alloza de 17 plazas máximas. </t>
  </si>
  <si>
    <t>ELCT-2020-00035-E.jpg</t>
  </si>
  <si>
    <t>8 empleos asociados a la ayuda</t>
  </si>
  <si>
    <t>PR-H2CVAL1-C1-2022-0011</t>
  </si>
  <si>
    <t>Fabricación y testeo de electrodos avanzados para electrólisis alcalina con alimentación eólica</t>
  </si>
  <si>
    <t>NORDEX ENERGY SPAIN, S.A.U.</t>
  </si>
  <si>
    <t>FABRICACIÓN Y TESTEO DE ELECTRODOS AVANZADOS PARA ELECTRÓLISIS ALCALINA CON ALIMENTACIÓN EÓLICA</t>
  </si>
  <si>
    <t>PR-H2CVAL4-C1-2022-0039</t>
  </si>
  <si>
    <t xml:space="preserve">Desarrollo de un sistema innovador de electrólisis alcalina aem para producción de hidrógeno verde mediante energía eólica		</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</si>
  <si>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</si>
  <si>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https://www.innovationspfr.com/blog-posts/ipcei-h2-made-in-spain</t>
  </si>
  <si>
    <t xml:space="preserve">DESARROLLO DE UN SISTEMA INNOVADOR DE ELECTRÓLISIS ALCALINA AEM PARA PRODUCCIÓN DE HIDRÓGENO VERDE MEDIANTE ENERGÍA EÓLICA		</t>
  </si>
  <si>
    <t>PR-H2CVAL3-C1-2022-0041</t>
  </si>
  <si>
    <t>Proyecto hydric puertollano</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</si>
  <si>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</si>
  <si>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REPSOL HIDROGENO S.A</t>
  </si>
  <si>
    <t>PROYECTO HydRIC PUERTOLLANO</t>
  </si>
  <si>
    <t>H2 CADENA VALOR P4 C2</t>
  </si>
  <si>
    <t>H2CVAL4</t>
  </si>
  <si>
    <t>PR-H2CVAL4-C2-2023-000065</t>
  </si>
  <si>
    <t xml:space="preserve"> 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</si>
  <si>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</si>
  <si>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https://apriasystems.es/en/distech2/</t>
  </si>
  <si>
    <t>NORDEX ELECTROLYZERS, S.L.</t>
  </si>
  <si>
    <t>DESARROLLO DE UN SISTEMA INNOVADOR DE ELECTRÓLISIS ALCALINA AEM PARA PRODUCCIÓN DE HIDRÓGENO VERDE</t>
  </si>
  <si>
    <t>ALMACENAMIENTO ELECTRICO Y TERMICO</t>
  </si>
  <si>
    <t>INTALMAC</t>
  </si>
  <si>
    <t>PR-INTALMAC-2023-000242</t>
  </si>
  <si>
    <t>Planta de Almacenamiento de electricidad independiente en el nudo Sant Martí (Alcudia)</t>
  </si>
  <si>
    <t>Instalación de almacenamiento Stand-alone en el polígono industrial de Ca na Lloreta (Alcudia) y con conexión ceoncedida en la subestación eléctrica de Sant Martí. Desarrollo y construcción de 80 MWh de almacenamiento mediante baterías de litio.</t>
  </si>
  <si>
    <t>https://energiaestrategica.es/tramitacion-ambiental-almacenamiento/</t>
  </si>
  <si>
    <t>MERAK STORAGE 2, S.L.</t>
  </si>
  <si>
    <t>Balears, Illes</t>
  </si>
  <si>
    <t>Alcúdia</t>
  </si>
  <si>
    <t>07003</t>
  </si>
  <si>
    <t>Alcudia</t>
  </si>
  <si>
    <t>Planta de Almacenamiento de electricidad independiente en el nudo Sant Martí (Alcudia, Mallorca, 66 kV)</t>
  </si>
  <si>
    <t>FAVORABLE</t>
  </si>
  <si>
    <t>Proyectos de Interés Común Europeo</t>
  </si>
  <si>
    <t>IPCEI-Hy2Use</t>
  </si>
  <si>
    <t>ES 47"Green H2 Los Barrios"</t>
  </si>
  <si>
    <t>El Proyecto Green Los Barrios proporcionará H2 renovable generado a la aceria y planta química ubicadas en las inmediciones de la central de producción</t>
  </si>
  <si>
    <t xml:space="preserve"> Green Los Barrios H" proporcionará H2 </t>
  </si>
  <si>
    <t>EDP</t>
  </si>
  <si>
    <t>PR-H2CVAL4-C1-2022-0108</t>
  </si>
  <si>
    <t>Investigación industrial orientada a fomentar la utilización de hidrógeno renovable como combustible en los hornos de tratamiento térmico de los aceros inoxidables - FORNAX</t>
  </si>
  <si>
    <t>Investigación industrial orientada a fomentar la utilización de hidrógeno renovable como combustible en los hornos de tratamiento térmico de los aceros inoxidables.</t>
  </si>
  <si>
    <t>https://titania.aero/titania-se-abre-camino-en-el-sector-siderurgico-con-el-proyecto-fornax
https://www.acerinox.com/es/innovacion/subvenciones/FORNAX/</t>
  </si>
  <si>
    <t>ACERINOX EUROPA, S.A.</t>
  </si>
  <si>
    <t>PR-H2CVAL4-C1-2022-0109</t>
  </si>
  <si>
    <t>Investigación industrial orientada a la formulación de nuevos aceros inoxidables con propiedades avanzadas para su aplicación en entornos de hidrógeno presurizado - HYADES</t>
  </si>
  <si>
    <t>Investigación industrial orientada a la formulación de nuevos aceros inoxidables con propiedades avanzadas para su aplicación en entornos de hidrógeno presurizado.</t>
  </si>
  <si>
    <t>https://www.acerinox.com/es/innovacion/subvenciones/HYADES/</t>
  </si>
  <si>
    <t>PR-H2PION-2022-000129</t>
  </si>
  <si>
    <t>Implantación de 17,5MW de hidrogeno renovable en el Parque Energético de San Roque</t>
  </si>
  <si>
    <t>https://www.europasur.es/campo-de-gibraltar/Gobierno-concede-millones-proyectos-hidrogeno-verde-comarca_0_1780622699.html
https://www.energias-renovables.com/hidrogeno/el-parque-energetico-san-roque-de-cepsa-20221220</t>
  </si>
  <si>
    <t>COMPAÑÍA ESPAÑOLA DE PETROLEOS, S.A. (CEPSA)</t>
  </si>
  <si>
    <t>San Roque</t>
  </si>
  <si>
    <t>11033</t>
  </si>
  <si>
    <t>PR-INTALMAC-2023-000350</t>
  </si>
  <si>
    <t>Proyecto de descarbonización de calor de procesos</t>
  </si>
  <si>
    <t xml:space="preserve">Proyecto de descarbonización de calor de procesos con un sistema power-to heat con almacenamiento térmico en la instalación Dekitra localizada en Lantarón (Álava) </t>
  </si>
  <si>
    <t>https://www.grupoacideka.com/dekitra/</t>
  </si>
  <si>
    <t>DEKITRA SAU</t>
  </si>
  <si>
    <t>Proyecto de descarbonización de calor de procesos con un sistema power-to-heat con almacenamiento térmico en la instalación Dekitra localizada en Lantarón (Álava)</t>
  </si>
  <si>
    <t>PR-OTC-2023-000278</t>
  </si>
  <si>
    <t>Oficina de Transformación Comunitaria de la Diputación Foral de Álava</t>
  </si>
  <si>
    <t>DIPUTACIÓN FORAL DE ÁLAVA</t>
  </si>
  <si>
    <t>Lantarón;Ribera Baja/Erriberabeitia;Valdegovía/Gaubea</t>
  </si>
  <si>
    <t>01902;01047;01055</t>
  </si>
  <si>
    <t>PR-H2PION-2022-000189</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</si>
  <si>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</si>
  <si>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https://espana.edp.com/es/noticias/edp-presenta-los-avances-del-valle-del-hidrogeno-verde-del-campo-de-gibraltar
https://hidrogeno-verde.es/edp-green-h2-los-barrios/</t>
  </si>
  <si>
    <t>EDP CLIENTES SAU</t>
  </si>
  <si>
    <t>PR-OTC-2023-000472</t>
  </si>
  <si>
    <t>Oficina de transformación comunitaria para comunidad energética</t>
  </si>
  <si>
    <t>OTC Merindades, la oficina de transformación comunitaria de aduriz energía para impulsar la creación de comunidades energéticas en las merindades.</t>
  </si>
  <si>
    <t>https://otc.adurizenergia.es/</t>
  </si>
  <si>
    <t>ADURIZ SL</t>
  </si>
  <si>
    <t>Oficina de Transformación Comunitaria para Comunidad Energética</t>
  </si>
  <si>
    <t>PR-PILOTO-02-2022-000056</t>
  </si>
  <si>
    <t>Comunidad Energética de Añana/ Añanako Ekiola</t>
  </si>
  <si>
    <t>Se desarrollará en Salcedo, municipio de Lantarón, cuenta con el apoyo del proyecto Ekiola e inicialmente se proponía en Kuartango. Está en proceso de desarrollo.</t>
  </si>
  <si>
    <t>Ayuntamiento de Lantarón</t>
  </si>
  <si>
    <t/>
  </si>
  <si>
    <t>PR-H2PION-C2-2023-000130</t>
  </si>
  <si>
    <t>Green H2 Los Barrios, Electrocizador alcalino desitando a uso industrial para sustitución del gas natural en demandas térmicas y para la producción de amoniaco renovable mediante su distribución por hidroducto</t>
  </si>
  <si>
    <t>Green H2 Los Barrios, Electrolizador alcalino destinado a uso industrial para sustitución del gas natural en demandas térmicas y para la producción de amoniaco renovable mediante su distribución por hidroducto</t>
  </si>
  <si>
    <t>https://www.diariodesevilla.es/economia/edp-supera-tramitacion-ambiental-proyecto-hidrogeno-los-barrios_0_2002290260.html
https://www.europasur.es/los_barrios/edp-produccion-hidrogeno-verde-2026_0_1885611822.html</t>
  </si>
  <si>
    <t>Programa de ayudas de CE Pilotos menor 1M euros - Tercera Convocatoria y Programa de ayudas de CE Pilotos mayor 1M euros - Cuarta Convocatoria</t>
  </si>
  <si>
    <t>CE IMPLEMENTA 4</t>
  </si>
  <si>
    <t>PR-PILOTO-04-2023-000089</t>
  </si>
  <si>
    <t>Proyecto piloto singular de Comundad Energética en el Valle del Guadiato</t>
  </si>
  <si>
    <t>Proyecto piloto singular de Comunidad Energética en el Valle del Guadiato</t>
  </si>
  <si>
    <t>https://infoguadiato.com/nace-la-comunidad-energetica-cooperativa-guadiato-1-impulsando-la-energia-sostenible-en-nuestra-comarca/</t>
  </si>
  <si>
    <t>COMUNIDAD ENERGÉTICA GUADIATO 1ª, S.Coop. AYUNTAMIENTO DE LOS BLÁZQUEZ</t>
  </si>
  <si>
    <t>Belmez;Peñarroya-Pueblonuevo;Fuente Obejuna;Blázquez, Los;Valsequillo;Granjuela, La</t>
  </si>
  <si>
    <t>14009;14052;14029;14011;14064;14032</t>
  </si>
  <si>
    <t>PR-PILOTO-04-2023-000110</t>
  </si>
  <si>
    <t>https://www.cordobahoy.es/articulo/provincia/faecta-federacion-andaluza-cooperativas-trabajo-consumo-servicios-alcaldes-alcaldesas-guadiato-reunen-dar-pistoletazo-final-puesta-marcha-comunidades-energeticas-cooperativas-guadiato-1-2/20240222124026152749.html</t>
  </si>
  <si>
    <t>COMUNIDAD ENERGÉTICA GUADIATO 2ª, S. COOP. AND.	.  AYUNTAMIENTO DE VILLAVICIOSA DE CÓRDOBA</t>
  </si>
  <si>
    <t>Villaviciosa de Córdoba;Villanueva del Rey;Obejo;Villaharta</t>
  </si>
  <si>
    <t>14073;14071;14047;14068</t>
  </si>
  <si>
    <t>ES48 “Asturias H2 Valley"</t>
  </si>
  <si>
    <t>ES48 "Asturias H2 Valley"  IPCEI</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</si>
  <si>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</si>
  <si>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edp: https://espana.edp.com/es/edp-spain/asturias-h2-valley-proyecto</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</si>
  <si>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</si>
  <si>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PR-BIOGAS-2022-000088</t>
  </si>
  <si>
    <t>MOOTRIENT</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</si>
  <si>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</si>
  <si>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H2CVAL2</t>
  </si>
  <si>
    <t>PR-H2CVAL2-C1-2022-0067</t>
  </si>
  <si>
    <t>H2BIMODO</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</si>
  <si>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</si>
  <si>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Renfe Operadora</t>
  </si>
  <si>
    <t>Diseño y desarrollo del primer tren BiModo propulsado por hidrógeno (H2BIMODO)</t>
  </si>
  <si>
    <t>Beneficiarios: (RENFE+ENAGÁS+Segula Tecnologías+H2 Vector energy+Táctica Tic)</t>
  </si>
  <si>
    <t>H2CVAL3</t>
  </si>
  <si>
    <t>PR-H2CVAL3-C1-2022-0036</t>
  </si>
  <si>
    <t>Asturias H2 Valley, fase 1C</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</si>
  <si>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</si>
  <si>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H2 ABOÑO, S.A.U.</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</si>
  <si>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</si>
  <si>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PR-H2CVAL4-C1-2022-0054</t>
  </si>
  <si>
    <t>COLHIBRI</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</si>
  <si>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</si>
  <si>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https://colhibri.es/</t>
  </si>
  <si>
    <t>FUNDACION CIDAUT G47448519/ A33068578 (Cogersa)/ B02891307 (Imasa) / B20973871 (Inbiogás) / B87737888</t>
  </si>
  <si>
    <t>COLHIBRI: Investigación en nuevos procesos basados en tecnologías del H2 para la cogeneración eficiente, económica y segura con biogás</t>
  </si>
  <si>
    <t>En la resolución aparece como Castilla y León, ya que el coordinador es de allí (fundación Cidaut) pero se desarrollará en las instalaciones de Cogersa en Gijón</t>
  </si>
  <si>
    <t>PR-H2PION-2022-000186</t>
  </si>
  <si>
    <t>GH2 SOTO</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</si>
  <si>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</si>
  <si>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Electrolizador: 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</si>
  <si>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H2 SOTO, S.A.</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</si>
  <si>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</si>
  <si>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PR-H2PION-2022-000187</t>
  </si>
  <si>
    <t>Asturias H2 Valley, fase 1B</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</si>
  <si>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</si>
  <si>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</si>
  <si>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PR-H2PION-C2-2023-000161</t>
  </si>
  <si>
    <t>Musel 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</si>
  <si>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</si>
  <si>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hy2met: https://www.hy5.energy/projects/#musel-greenmet</t>
  </si>
  <si>
    <t>HYMET MUSEL SL</t>
  </si>
  <si>
    <t>Musel GreenMet- Electrolizador PEM, destinado a uso Industrial para autoconsumo de hidrógeno verde y producción de metanol renovable para la descarbonización y transformación del puerto de Gijón y de su industria</t>
  </si>
  <si>
    <t>I+D ALMACENAMIENTO ENERGÉTICO</t>
  </si>
  <si>
    <t>PR-IDALMAC-C1-2022-000106</t>
  </si>
  <si>
    <t>RedOx2025</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</si>
  <si>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</si>
  <si>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edp: https://espana.edp.com/es/historias/proyecto-redox2025</t>
  </si>
  <si>
    <t>EDP ESPAÑA SAU ; Hydraredox Ivria; Inerco</t>
  </si>
  <si>
    <t>CAUDAL-ABOÑO</t>
  </si>
  <si>
    <t>Evolucionar la tecnología de almacenamiento de redosx de vanadio conectada a red desde un TRL</t>
  </si>
  <si>
    <t>PR-INTALMAC-2023-000025</t>
  </si>
  <si>
    <t>BESS Lloreda 2 - Sistema de almacenamiento de energía con baterías Lloreda 2</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</si>
  <si>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</si>
  <si>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IBERENOVA PROMOCIONES S.A.</t>
  </si>
  <si>
    <t>PR-INTALMAC-2023-000053</t>
  </si>
  <si>
    <t>RAITAN ST1</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</si>
  <si>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</si>
  <si>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Atlantica Energía Sostenible España, S.L.U.</t>
  </si>
  <si>
    <t>PR-INTALMAC-2023-000103</t>
  </si>
  <si>
    <t>Almacenamiento eléctrico El Acibu (15 MW)</t>
  </si>
  <si>
    <t>niciativa El Acibu, con 16 MW de potencia instalada y 68,16 MWh de almacenamiento</t>
  </si>
  <si>
    <t>EDP RENOVABLES ESPAÑA, S.L</t>
  </si>
  <si>
    <t>PR-INTALMAC-2023-000115</t>
  </si>
  <si>
    <t>GALBANO SANMI</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</si>
  <si>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</si>
  <si>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GALBANO POWER, S.L.</t>
  </si>
  <si>
    <t>PR-INTALMAC-2023-000116</t>
  </si>
  <si>
    <t>GALBANO SANGUEL</t>
  </si>
  <si>
    <t>Parque de baterías de iones de litio formado por dos bloques de contenedores de baterías de 9,18 MW</t>
  </si>
  <si>
    <t>PR-INTALMAC-2023-000117</t>
  </si>
  <si>
    <t xml:space="preserve">FRAGONIA SIERO </t>
  </si>
  <si>
    <t xml:space="preserve">proyecto, estará formada por dos bloques de contenedores de baterías de 12,24 megavatios </t>
  </si>
  <si>
    <t>FRAGONIA POWER, S.L.</t>
  </si>
  <si>
    <t>FRAGONIA SIERO</t>
  </si>
  <si>
    <t>PR-INTALMAC-2023-000118</t>
  </si>
  <si>
    <t xml:space="preserve">MEJORANA ALIMERKA
</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</si>
  <si>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</si>
  <si>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</si>
  <si>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MEJORANA POWER, S.L.</t>
  </si>
  <si>
    <t>MEJORANA ALIMERKA</t>
  </si>
  <si>
    <t>PR-INTALMAC-2023-000119</t>
  </si>
  <si>
    <t>TUYA CORREDORIA 1</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</si>
  <si>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</si>
  <si>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TUYA POWER, S.L.</t>
  </si>
  <si>
    <t>PR-INTALMAC-2023-000121</t>
  </si>
  <si>
    <t>INDUS MERES</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</si>
  <si>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</si>
  <si>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</si>
  <si>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INDUS POWER, S.L.</t>
  </si>
  <si>
    <t>PR-INTALMAC-2023-000133</t>
  </si>
  <si>
    <t xml:space="preserve"> FIB002: Optimización Energética en Tabiella - Implementación de  una Planta de Almacenamiento Independiente con Baterías</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</si>
  <si>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</si>
  <si>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https://www.boe.es/diario_boe/txt.php?id=BOE-A-2024-25852</t>
  </si>
  <si>
    <t>FIELD IBERIA BESS 2, S.L.</t>
  </si>
  <si>
    <t>PR-INTALMAC-2023-000207</t>
  </si>
  <si>
    <t>BESS MIERES</t>
  </si>
  <si>
    <t>La infraestructura cuenta con una potencia instalada de 12,00 MW y una capacidad de almacenamiento energético de 46 MWh.</t>
  </si>
  <si>
    <t>BESS DEVELOPMENT 1, S.L.</t>
  </si>
  <si>
    <t>PR-INTALMAC-2023-000232</t>
  </si>
  <si>
    <t>BESS LA CORREDORIA</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</si>
  <si>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</si>
  <si>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</si>
  <si>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BENBROS S.T., S.L</t>
  </si>
  <si>
    <t>ELCT-2020-00070-E</t>
  </si>
  <si>
    <t>Readaptación de de instalaciones municipales para un centro de estancia diurna de mayores y personas con discapacidad física</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</si>
  <si>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</si>
  <si>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ELCT-2020-00070-E.jpeg</t>
  </si>
  <si>
    <t>Fotografía aportada por el ayuntamiento</t>
  </si>
  <si>
    <t>Ayuntamiento de Belmez</t>
  </si>
  <si>
    <t>10 empleos asociados a la ayuda</t>
  </si>
  <si>
    <t>PR-INTALMAC-2023-000281</t>
  </si>
  <si>
    <t>PB IM2 HUERNA</t>
  </si>
  <si>
    <t>Instalación de almacenamiento stand alone con capacidad instalada 60,00 MWh siendo la potencia máxima de carga/descarga 15,00 MW, denominada PB IM2 HUERNA y ubicada en el término municipal de Lena</t>
  </si>
  <si>
    <t>IM2 ENERGÍA SOLAR PROYECTO 7, S.L.</t>
  </si>
  <si>
    <t>INSTALACIÓN DE ALMACENAMIENTO STAND ALONE CON CAPACIDAD INSTALADA 60,00 MWh SIENDO LA POTENCIA MÁXIMA DE CARGA/DESCARGA 15,00 MW, DENOMINADA PB IM2 HUERNA Y UBICADA EN EL TÉRMINO MUNICIPAL DE LENA (ASTURIAS).</t>
  </si>
  <si>
    <t>PR-INTALMAC-2023-000309</t>
  </si>
  <si>
    <t>PB IM2 FAISÁN</t>
  </si>
  <si>
    <t>Según detalla el proyecto, ‘Bess Lloreda 2’, este constará de una estación de potencia, con un transformador y dos inversores, doce convertidores DC/DC, seis contenedores y sesenta racks de 373 kWh de energía instalada.</t>
  </si>
  <si>
    <t>INSTALACIÓN DE ALMACENAMIENTO STAND ALONE CON CAPACIDAD INSTALADA 20,00 MWh SIENDO LA POTENCIA NOMINAL DE CARGA/DESCARGA 5,00 MW, DENOMINADA PB IM2 FAISÁN Y UBICADA EN EL TÉRMINO MUNICIPAL DE GIJÓN (ASTURIAS)</t>
  </si>
  <si>
    <t>PR-INTALMAC-2023-000315</t>
  </si>
  <si>
    <t>PB IM2 LLOREDA</t>
  </si>
  <si>
    <t xml:space="preserve">Instalación de almacenamiento stand alone con capacidad instalada 20,00 MWhsiendo la potencia máxima de carga/descarga , denominada PB IM2 LLOREDA y ubicada en el término municipal de Gijón </t>
  </si>
  <si>
    <t>INSTALACIÓN DE ALMACENAMIENTO STAND ALONE CON CAPACIDAD INSTALADA 20,00 MWh SIENDO LA POTENCIA NOMINAL DE CARGA/DESCARGA 5,00 MW, DENOMINADA PB IM2 LLOREDA Y UBICADA EN EL TÉRMINO MUNICIPAL DE GIJÓN (ASTURIAS)</t>
  </si>
  <si>
    <t>PR-NMN-01-2023-000132</t>
  </si>
  <si>
    <t>Optimización logística para plantas de biogás</t>
  </si>
  <si>
    <t>NATURGY NUEVAS ENERGÍAS, S.L.U</t>
  </si>
  <si>
    <t>PR-NMN-01-2023-000194</t>
  </si>
  <si>
    <t>Almacenamiento ciudadano</t>
  </si>
  <si>
    <t>Democratización del acceso a las ventajas de la generación distribuida para todos los ciudadanos, independientemente de la vivienda que habiten mediante la incorporación de soluciones de almacenamiento en batería.</t>
  </si>
  <si>
    <t>Almacenamiento ciudadano – Democratización del acceso a las ventajas de la generación distribuida para todos los ciudadanos, independientemente de la vivienda que habiten mediante la incorporación de soluciones de almacenamiento en batería.</t>
  </si>
  <si>
    <t>LÍNEA B: DESCABONIZACIÓN DEN LA TJ, Proyecto de innovación regulatoria desarrollado en virtud del Real Decreto 568/2022, de 11 de julio</t>
  </si>
  <si>
    <t>PR-NMN-01-2023-000100</t>
  </si>
  <si>
    <t>Almasolar</t>
  </si>
  <si>
    <t>Gestión de la demanda energética mediante un sistema híbrido de almacenamiento y generación de energía solar para aplicaciones industriales</t>
  </si>
  <si>
    <t>REPSOL PETROLEO S.A.</t>
  </si>
  <si>
    <t>Gestión de la demanda energética mediante un sistema híbrido de almacenamiento y generación de energía solar para aplicaciones industriales (ALMASOLAR)</t>
  </si>
  <si>
    <t>PR-NMN-01-2023-000195</t>
  </si>
  <si>
    <t>Optimización de recarga movilidad con reducción de demanda de red, basado en soluciones de almacenamiento y fotovoltaica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</si>
  <si>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</si>
  <si>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Optimización de recarga movilidad con reducción de demanda de red, basado en soluciones de almacenamiento y fotovoltaica – 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</si>
  <si>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LÍNEA B: DESCARBONIZACIÓN PRA LA TJ,  Proyecto MADRID  53%/ ASTURIAS (LENA)  47% Se ha procedido a modificar la ayuda concedida y la intensidad de ayuda, en aplicación de los artículos 36, 36 bis y 41 del Reglamento General de Exención por Categorías, según el compromiso de ejecutar 8/15 del proyecto en Madrid y 7/15 en Asturias</t>
  </si>
  <si>
    <t>PR-PILOTO-05-2024-000251</t>
  </si>
  <si>
    <t>COMUNIDAD ENERGETICA BEMBIBRE SOSTENIBLE</t>
  </si>
  <si>
    <t>Proyecto promovido por el Ayuntamiento</t>
  </si>
  <si>
    <t>PR-PILOTO-05-2024-000320</t>
  </si>
  <si>
    <t>COMUNIDAD ENERGÉTICA LOCAL DE RIBERA BAJA/ERRIBERABEITIA</t>
  </si>
  <si>
    <t>Implantación de 3 instalaciones fotovoltaicas compartidas con almacenamiento detrás del contador.</t>
  </si>
  <si>
    <t>Álava</t>
  </si>
  <si>
    <t>PR-NMN-01-2023-000284</t>
  </si>
  <si>
    <t>Controladores de planta</t>
  </si>
  <si>
    <t>Siguiente generación de controladores de planta distribuidos incluyendo capacidades de grid-forming de integración de capacidades de gestión de energía.</t>
  </si>
  <si>
    <t>PLEXIGRID SL</t>
  </si>
  <si>
    <t>Desarrollo de una nueva generación de tecnología de red para la gestión integral de la flexibilidad.</t>
  </si>
  <si>
    <t>LÍNEA C. STARTUPS PARA LA TRANSICIÓN ENERGÉTICA</t>
  </si>
  <si>
    <t>PR-NMN-01-2023-000354</t>
  </si>
  <si>
    <t>Hub de innovación en la integración y digitalización de las energías renovables</t>
  </si>
  <si>
    <t>Hub de innovación en la integración y digitalización de las energías renovables para la generación de calor renovable para la industria farmacéutica en Asturias</t>
  </si>
  <si>
    <t>IBERDROLA CLIENTES SA</t>
  </si>
  <si>
    <t>LÍNEA B. DESCARBONIZACIÓN EN LA TRANSICIÓN ENERGÉTICA</t>
  </si>
  <si>
    <t>PR-NMN-01-2023-000386</t>
  </si>
  <si>
    <t>Desarrollo de una nueva generación de tecnología de red para la gestión integral de la flexibilidad</t>
  </si>
  <si>
    <t>ENFASYS INGENIERIA SL</t>
  </si>
  <si>
    <t>PR-OTC-2023-000454</t>
  </si>
  <si>
    <t>Oficina de Transición Comunitaria FAEN</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</si>
  <si>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</si>
  <si>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FUNDACIÓN ASTURIANA DE LA ENERGÍA</t>
  </si>
  <si>
    <t xml:space="preserve">Cadena de valor de equipos </t>
  </si>
  <si>
    <t>RENOVAL</t>
  </si>
  <si>
    <t>PR-RENOVAL-2024-000089</t>
  </si>
  <si>
    <t>Planta de producción de H2 verde en San Roque</t>
  </si>
  <si>
    <t>Adquisición de componentes y equipos para una planta de producción de H2 verde en San Roque</t>
  </si>
  <si>
    <t xml:space="preserve">QUANTUM HYDROGEN 8 S.L. </t>
  </si>
  <si>
    <t>PR-RENOVAL-2024-000046</t>
  </si>
  <si>
    <t>Fábrica de filtros dicroicos</t>
  </si>
  <si>
    <t>Fábrica de filtros dicroicos para sistemas  híbridos fotovoltaicos-térmicos,  dentro  del  Instituto  de  Sistemas  Fotovoltaicos de Concentración (ISFOC), desde donde se fabricarán a su vez los primeros  paneles para aplicaciones comerciales de media escala</t>
  </si>
  <si>
    <t>https://www.lacomarcadepuertollano.com/articulo/puertollano/bluesolar-consigue-apoyo-idae-construir-primera-fabrica-filtros-puertollano/20250404115448587246.html</t>
  </si>
  <si>
    <t>BLUESOLAR FILTERS S.L.</t>
  </si>
  <si>
    <t xml:space="preserve">Primera fábrica de filtros dicroicos  para  sistemas  híbridos  fotovoltaicos –  térmicos,  dentro  del  Instituto  de  Sistemas  Fotovoltaicos de Concentración (ISFOC), desde donde se fabricarán a su vez los primeros  paneles para aplicaciones comerciales de media escala. </t>
  </si>
  <si>
    <t>PR-OTC-2023-000555</t>
  </si>
  <si>
    <t>OTC OCCIDENTE</t>
  </si>
  <si>
    <t>AYUNTAMIENTO DE VALDES</t>
  </si>
  <si>
    <t>ELCT-2020-00099-E</t>
  </si>
  <si>
    <t>Ampliación de la residencia municipal Los Jardines</t>
  </si>
  <si>
    <t>La ampliación de la residencia Los Jardines, ubicada en Andorra, incrementa la oferta de plazas en el municipio, generando unos diez puesto de trabajo adicionales a la plantilla existente.</t>
  </si>
  <si>
    <t>ELCT-2020-00099-E.jpg</t>
  </si>
  <si>
    <t>PR-RENOVAL-2024-000032</t>
  </si>
  <si>
    <t> Fabricación y ensamblaje de electrolizadores y de los componentes esenciales asociados a los mismos</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</si>
  <si>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</si>
  <si>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https://www.youtube.com/watch?v=rHxU-zTeGo0</t>
  </si>
  <si>
    <t>NAVANTIA S.A., S.M.E.</t>
  </si>
  <si>
    <t>Impulsar la cadena de valor innovadora y de conocimiento de hidrógeno renovable. Fabricación y ensamblaje de electrolizadores y de los componentes esenciales asociados a los mismos</t>
  </si>
  <si>
    <t>CE IMPLEMENTA 3</t>
  </si>
  <si>
    <t>PR-PILOTO-03-2023-000146</t>
  </si>
  <si>
    <t>Proyecto "Hacer Barrio" de la Comunidad Energética ASOLEYAR</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</si>
  <si>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</si>
  <si>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Comunidad Energética ASOLEYAR (G44730455)</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</si>
  <si>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</si>
  <si>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PR-RENMARDEM-2023-000057</t>
  </si>
  <si>
    <t xml:space="preserve">WAVEASTUR - </t>
  </si>
  <si>
    <t>Instalación de 3 convertidores de energía undimotriz (WEC) de 350 kW cada uno, en aguas del Puerto de Avilés</t>
  </si>
  <si>
    <t>DURO FELGUERA GREEN TECH SA</t>
  </si>
  <si>
    <t>WAVEASTUR - Instalación de 3 
convertidores de energía 
undimotriz (WEC) de 350 kW cada uno, en aguas del Puerto de Avilés</t>
  </si>
  <si>
    <t>Programa de Incentivos de proyectos innovadores de energías renovables y almacenamiento, así como de sistemas térmicos Renovables</t>
  </si>
  <si>
    <t>RENOINN</t>
  </si>
  <si>
    <t>PR-RENOINN-2024-000264</t>
  </si>
  <si>
    <t>Hidroeléctrica en Sobreescobio</t>
  </si>
  <si>
    <t>Hidroeléctrica con una potencia total de la actuación de 3.300kW (3,3MW) y  una capacidad de almaceamiento total de la actuación de 1.650kW (1,65MW)</t>
  </si>
  <si>
    <t>EDP ESPAÑA SAU</t>
  </si>
  <si>
    <t>ELET-2020-00045-E</t>
  </si>
  <si>
    <t>Construcción de edificio industrial para centro logístico de almacenaje y distrubución de stocks</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</si>
  <si>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</si>
  <si>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ELET-2020-00045-E.jpg</t>
  </si>
  <si>
    <t>Construcción de edificio industrial para centro logístico de almacenaje y distribución de stocks</t>
  </si>
  <si>
    <t>6 empleos asociados a la ayuda</t>
  </si>
  <si>
    <t>PR-REPOTEN-2023-000010</t>
  </si>
  <si>
    <t>Planta de reciclaje de palas de aerogeneradores en cubillos del sil (compostilla)</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</si>
  <si>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</si>
  <si>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PREZERO ESPAÑA, S.A.</t>
  </si>
  <si>
    <t>PLANTA DE RECICLAJE DE PALAS DE AEROGENERADORES EN CUBILLOS DEL SIL (COMPOSTILLA)</t>
  </si>
  <si>
    <t>PR-REPOTEN-2023-000093</t>
  </si>
  <si>
    <t>Actuaciones de renovación y mejora en la minicentral hidroeléctrica  arroyo los pozos, villamanín (león)</t>
  </si>
  <si>
    <t>chrome-extension://efaidnbmnnnibpcajpcglclefindmkaj/https://taxusmedioambiente.com/wp-content/uploads/2024/10/Taxus_Memoria_2023.pdf      chrome-extension://efaidnbmnnnibpcajpcglclefindmkaj/https://sede.idae.gob.es/sites/default/files/documentos/2023/REPOCIRCULAR/REPOCIRCULAR_Prop_Resol_Definitiva_Adjudicacion_v00_FIRMADO.pdf</t>
  </si>
  <si>
    <t>ARROYO LOS POZOS, SL</t>
  </si>
  <si>
    <t>ACTUACIONES DE RENOVACIÓN Y MEJORA EN LA MINICENTRAL HIDROELÉCTRICA  ARROYO LOS POZOS, VILLAMANÍN (LEÓN)</t>
  </si>
  <si>
    <t>PR-REPOTEN-2023-000121</t>
  </si>
  <si>
    <t>Proyecto de modificación del parque eólico Somozas en explotación</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</si>
  <si>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</si>
  <si>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ENERGÍAS AMBIENTALES DE SOMOZAS, S.A.</t>
  </si>
  <si>
    <t>PROYECTO DE MODIFICACIÓN DEL PARQUE EÓLICO SOMOZAS EN EXPLOTACIÓN</t>
  </si>
  <si>
    <t>PR-REPOTEN-2023-000095</t>
  </si>
  <si>
    <t>Renovación tecnológica y medioambiental de la central hidroeléctrica de "Peña Corada"</t>
  </si>
  <si>
    <t>Renovación tecnológica y medioambiental de la central hidroeléctrica de "peña corada"</t>
  </si>
  <si>
    <t>chrome-extension://efaidnbmnnnibpcajpcglclefindmkaj/https://sede.idae.gob.es/sites/default/files/documentos/2023/REPOCIRCULAR/REPOCIRCULAR_Prop_Resol_Definitiva_Adjudicacion_v00_FIRMADO.pdf</t>
  </si>
  <si>
    <t>HIDRO ENERGIA XANA SL</t>
  </si>
  <si>
    <t>PR-REPOTEN-2023-000206</t>
  </si>
  <si>
    <t>Proyecto de renovación tecnológica y medioambiental de la minicentral hidroeléctrica de vegacervera , en el río torío , t t.mm. de vegacervera y matallana de torío león</t>
  </si>
  <si>
    <t>chrome-extension://efaidnbmnnnibpcajpcglclefindmkaj/https://sede.idae.gob.es/sites/default/files/2024-02/REPOCIRCULAR__PRP_del_OI_FIRMADO.pdf</t>
  </si>
  <si>
    <t>MINICENTRALES HIDROELÉCTRICAS DE GALICIA S.L</t>
  </si>
  <si>
    <t>PROYECTO DE RENOVACIÓN TECNOLÓGICA Y MEDIOAMBIENTAL DE LA MINICENTRAL HIDROELÉCTRICA DE VEGACERVERA , EN EL RÍO TORÍO , T T.MM. DE VEGACERVERA Y MATALLANA DE TORÍO LEÓN</t>
  </si>
  <si>
    <t>PR-REPOTEN-2023-000040</t>
  </si>
  <si>
    <t>Repotenciación 2.0 del Parque Eólico Serra da Panda</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</si>
  <si>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</si>
  <si>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IBERDROLA RENOVABLES GALICIA SA</t>
  </si>
  <si>
    <t>PR-REPOTEN-2023-000029</t>
  </si>
  <si>
    <t>Repotenciación del Parque Eólico Muras</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</si>
  <si>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</si>
  <si>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PR-REPOTEN-2023-000303</t>
  </si>
  <si>
    <t>Central hidroelectrica vega de caballeros</t>
  </si>
  <si>
    <t>Esta empresa tiene como propósito la explotacion del negocio de produccion, venta y utilizacion de energia electrica a traves de la central hidroelectrica situada en el rio luna, provincia de leon, en el termino de vega de caballeros, registro de aguas d y fue creada el día 17/01/2003.</t>
  </si>
  <si>
    <t>https://empresite.eleconomista.es/CENTRAL-HIDROELECTRICA-VEGA-CABALLEROS.html</t>
  </si>
  <si>
    <t>CENTRAL HIDROELECTRICA VEGA DE CABALLEROS SL</t>
  </si>
  <si>
    <t>Barrios de Luna, Los</t>
  </si>
  <si>
    <t>24012</t>
  </si>
  <si>
    <t>CENTRAL HIDROELECTRICA VEGA DE CABALLEROS</t>
  </si>
  <si>
    <t>PR-REPOTEN-2023-000317</t>
  </si>
  <si>
    <t>Minicentral hidroelectrica barrios de luna</t>
  </si>
  <si>
    <t>Renovacion tecnologica de minicentral hidroelectrica Barrios de Luna</t>
  </si>
  <si>
    <t>https://www.chduero.es/embalse-de-barrios-de-luna</t>
  </si>
  <si>
    <t>REDONDO HERMANOS S.L.</t>
  </si>
  <si>
    <t>BARRIOS. RENOVACION TECNOLOGICA DE MINICENTRAL HIDROELECTRICA</t>
  </si>
  <si>
    <t>Programas de Incentivos a proyectos de redes de calor y frío que utilicen fuentes de energía renovable</t>
  </si>
  <si>
    <t>RENORED</t>
  </si>
  <si>
    <t>PR-RENORED-2022-000040</t>
  </si>
  <si>
    <t>DH Fondón fase III</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</si>
  <si>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</si>
  <si>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HULLERAS DEL NORTE S.A., S.M.E. (HUNOSA)</t>
  </si>
  <si>
    <t>DH FONDÓN FASE III</t>
  </si>
  <si>
    <t>PR-REPOTEN-2023-000123</t>
  </si>
  <si>
    <t>Parque eólico “Coriscada Repotenciación”</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</si>
  <si>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</si>
  <si>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 xml:space="preserve">Sistemas Energéticos Mañón Ortigueira S.A. </t>
  </si>
  <si>
    <t>PR-REPOTEN-2023-000249</t>
  </si>
  <si>
    <t>Repotenciación parcial del parque eólico experimental Sotavento</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</si>
  <si>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</si>
  <si>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SOTAVENTO GALICIA, S.A</t>
  </si>
  <si>
    <t>REPOTENCIACIÓN PARCIAL DEL PARQUE EÓLICO EXPERIMENTAL SOTAVENTO</t>
  </si>
  <si>
    <t>PR-REPOTEN-2023-000233</t>
  </si>
  <si>
    <t>Repotenciación Parque Eólico Pena Galluda</t>
  </si>
  <si>
    <t>Modificación del Parque Eólico Pena Galluda mediante la retirada del aerogenerador actual y la instalación de una nueva máquina de mayores dimensiones y potencial nominal de 3,45MW.</t>
  </si>
  <si>
    <t>VENTO LARACHA, S.L.</t>
  </si>
  <si>
    <t>PR-RENOVAL-2024-000038</t>
  </si>
  <si>
    <t>Planta de fabricación de obleas de siliceo</t>
  </si>
  <si>
    <t>Fabricación de lingotes y obleas de silicio, componentes esenciales para la fabricación de paneles FV</t>
  </si>
  <si>
    <t>SUNWAFE SL</t>
  </si>
  <si>
    <t>PR-RENOVAL-2024-000072</t>
  </si>
  <si>
    <t>Planta de estructuras para parques eólicos en El Musel</t>
  </si>
  <si>
    <t>Factoría para la eólica marina</t>
  </si>
  <si>
    <t>DEA ASTURICA SA,</t>
  </si>
  <si>
    <t>PR-REPOTEN-2023-000090</t>
  </si>
  <si>
    <t>Renovación de la Central Hidroeléctrica La Paraya</t>
  </si>
  <si>
    <t>Se trata de un proyecto de renovación tecnológica y medioambiental de un complejo hidraúlico preesistente.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</si>
  <si>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REPSOL</t>
  </si>
  <si>
    <t>PROYECTO DE RENOVACIÓN TECNOLÓGICA Y MEDIOAMBIENTAL DE LA CH LA PARAYA</t>
  </si>
  <si>
    <t>PR-REPOTEN-2023-000182</t>
  </si>
  <si>
    <t>La Coruxera Improvement.</t>
  </si>
  <si>
    <t>NALÓN</t>
  </si>
  <si>
    <t>PR-REPOTEN-2023-000208</t>
  </si>
  <si>
    <t>CAÑO IMPROVEMENT</t>
  </si>
  <si>
    <t>ES46 "Ver-Amonia"</t>
  </si>
  <si>
    <t>Planta de producción de amoniaco verde para autoconsumo en la planta de producción de fertilizantes de Andorra</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</si>
  <si>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</si>
  <si>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 xml:space="preserve"> IAM CAECIUS SL, Fertinagro (EDP-Tervalis)</t>
  </si>
  <si>
    <t>Desarrollará una electrólisis integrada de 25 MW de potencia, alimentada con fuentes renovables, con la que producirá 15.000 toneladas/año de amoniaco verde como compuesto de fertilizantes.</t>
  </si>
  <si>
    <t>PR-BIOGAS-2022-000142</t>
  </si>
  <si>
    <t>Proyecto de biogas de capwatt en Fraga (Huesca)</t>
  </si>
  <si>
    <t>Capwatt Solar Esp 2, S.L.</t>
  </si>
  <si>
    <t>PROYECTO DE BIOGAS DE CAPWATT EN FRAGA (HUESCA)</t>
  </si>
  <si>
    <t>PR-BIOGAS-2022-000204</t>
  </si>
  <si>
    <t>Codigestión anaeboria con biomasa en la fabricación de fertilizantes ecológicos</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</si>
  <si>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</si>
  <si>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FERTINAGRO ORGANIA</t>
  </si>
  <si>
    <t>CODIGESTIÓN ANAEBORIA CON BIOMASA ADHERIDA EN DIGESTOR SOTERRADO Y RÉGIMEN PSICRÓFILO "Granulorgania: Nuevos procesos de valorización de subproductos de la industria alimentaria para obtener fertilizantes ecológicos con destino la agricultura ecológica"</t>
  </si>
  <si>
    <t>PR-BIOGAS-2022-000354</t>
  </si>
  <si>
    <t>Instalación de planta de biogás y tratamiento del digerido por GRL GANADERA SL</t>
  </si>
  <si>
    <t>G.R.L GANADERA, S.L</t>
  </si>
  <si>
    <t>INSTALACIÓN DE PLANTA DE BIOGÁS Y TRATAMIENTO DEL DIGERIDO POR GRL GANADERA SL</t>
  </si>
  <si>
    <t>PR-H2CLUSTER-2024-000028</t>
  </si>
  <si>
    <t xml:space="preserve">Catalina </t>
  </si>
  <si>
    <t>La Planta de Producción de Hidrógeno renovable incluye un Electrolizador (Alcalino), destinado a uso industrial (Refinería y Producción de Metanol)</t>
  </si>
  <si>
    <t>https://catalinaptx.com/es/el-proyecto/</t>
  </si>
  <si>
    <t>Copenhagen Infrastructure Partners y Enagás Renovable</t>
  </si>
  <si>
    <t>PR-H2PION-C2-2023-000128</t>
  </si>
  <si>
    <t>Electrolizador Alcalino, destinado a uso Industrial en Caspe</t>
  </si>
  <si>
    <t>Electrolizador Alcalino, destinado a uso Industrial en Caspe para el autoconsumo de hidrógeno verde y la producción de amoniaco renovable “in situ”, para su posterior venta a industrias.</t>
  </si>
  <si>
    <t>WALIA ENERGY, S.L.</t>
  </si>
  <si>
    <t>PR-HIALMAC-2023-000309</t>
  </si>
  <si>
    <t xml:space="preserve">Hibridación del Parque Eólico y la Planta Fotovoltaica La Loma con almacenamiento energético </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</si>
  <si>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</si>
  <si>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COMIOLICA SLU</t>
  </si>
  <si>
    <t>Utrillas;Palomar de Arroyos;Aliaga;Escucha;Cuevas de Almudén</t>
  </si>
  <si>
    <t>44238;44176;44017;44099;44093</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</si>
  <si>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</si>
  <si>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PR-RENOINN-2024-000586</t>
  </si>
  <si>
    <t>Solar fotovoltaica</t>
  </si>
  <si>
    <t xml:space="preserve">Ganados y piensos del Bajo Aragón S.A. </t>
  </si>
  <si>
    <t>Plan social</t>
  </si>
  <si>
    <t>PREJUBILACIONES</t>
  </si>
  <si>
    <t xml:space="preserve"> 73260287C</t>
  </si>
  <si>
    <t>S.A. MINERA CATALANO-ARAGONESA</t>
  </si>
  <si>
    <t>El dato de ayuda aprobada es la estimación del importe anual acumulado hasta la fecha de jubilación</t>
  </si>
  <si>
    <t>09427924V</t>
  </si>
  <si>
    <t>09803352Q</t>
  </si>
  <si>
    <t>17444342S</t>
  </si>
  <si>
    <t>17724400W</t>
  </si>
  <si>
    <t>17724625C</t>
  </si>
  <si>
    <t>17732492K</t>
  </si>
  <si>
    <t>17737012X</t>
  </si>
  <si>
    <t>18425180H</t>
  </si>
  <si>
    <t>18425749N</t>
  </si>
  <si>
    <t>COMPAÑÍA GENERAL MINERA DE TERUEL, S.A.</t>
  </si>
  <si>
    <t>18429195P</t>
  </si>
  <si>
    <t>18430242C</t>
  </si>
  <si>
    <t>18431587P</t>
  </si>
  <si>
    <t>18432248W</t>
  </si>
  <si>
    <t>18433330A</t>
  </si>
  <si>
    <t>18437366Z</t>
  </si>
  <si>
    <t>18438262J</t>
  </si>
  <si>
    <t>18439154P</t>
  </si>
  <si>
    <t>18439528Z</t>
  </si>
  <si>
    <t>18439566Y</t>
  </si>
  <si>
    <t>BAJAS INDEMNIZADAS</t>
  </si>
  <si>
    <t>18443561E</t>
  </si>
  <si>
    <t>18445672V</t>
  </si>
  <si>
    <t>18455167J</t>
  </si>
  <si>
    <t>2018-0007</t>
  </si>
  <si>
    <t>Instalación de un camping de lujo centrado en el eco-turismo</t>
  </si>
  <si>
    <t>EBRUS, S.L.</t>
  </si>
  <si>
    <t>2018-0012</t>
  </si>
  <si>
    <t>Laboratorio cosmético para la fabricación de mascarillas faciales con arcillas y carbón de la zona</t>
  </si>
  <si>
    <t>AZULTHERMAL S.L</t>
  </si>
  <si>
    <t>LABORATORIO COSMÉTICO PARA LA FABRICACIÓN DE MASCARILLAS FACIALES CON ARCILLAS Y CARBÓN DE LA ZONA</t>
  </si>
  <si>
    <t>2018-0016</t>
  </si>
  <si>
    <t>Construcción de una galería de tiro para larga distancia en antigua mina "Corta Gargallo Oeste"</t>
  </si>
  <si>
    <t>CAUTORREC, S.L.</t>
  </si>
  <si>
    <t>CONSTRUCCIÓN DE UNA GALERÍA DE TIRO PARA LARGA DISTANCIA EN ANTIGUA MINA "CORTA GARGALLO OESTE"</t>
  </si>
  <si>
    <t>2018-0022</t>
  </si>
  <si>
    <t>Instalación de una central Hortofrutícola</t>
  </si>
  <si>
    <t>FRUTAS DAVID, S.L.</t>
  </si>
  <si>
    <t>INSTALACIÓN DE UNA CENTRAL HORTOFRUTÍCOLA</t>
  </si>
  <si>
    <t>Tope</t>
  </si>
  <si>
    <t>2018-0023</t>
  </si>
  <si>
    <t>Modernización de las instalaciones y nuevas habitaciones para mejorar la oferta turístca</t>
  </si>
  <si>
    <t>MODERNIZACIÓN DE LAS INSTALACIONES Y NUEVAS HABITACIONES PARA MEJORAR LA OFERTA TURISTCA</t>
  </si>
  <si>
    <t>2018-0024</t>
  </si>
  <si>
    <t>LABER 2011, SL</t>
  </si>
  <si>
    <t>2018-0025</t>
  </si>
  <si>
    <t>Ampliación línea de empresa que fábrica piezas de madera</t>
  </si>
  <si>
    <t>MADERAS CALATAYUD, S.L.</t>
  </si>
  <si>
    <t>2018-0027</t>
  </si>
  <si>
    <t>Instalación de una fábrica de noodles</t>
  </si>
  <si>
    <t>NOODLES ANDORRA 2020,SL</t>
  </si>
  <si>
    <t>No ejecución</t>
  </si>
  <si>
    <t>2018-0028</t>
  </si>
  <si>
    <t>Ampliación y mejora de una fábrica de ácido oxálico mediante la creación de una planta de CO</t>
  </si>
  <si>
    <t>OXAQUIM, S.A.</t>
  </si>
  <si>
    <t>Alcañiz</t>
  </si>
  <si>
    <t>44013</t>
  </si>
  <si>
    <t>2018-0029</t>
  </si>
  <si>
    <t>Construcción de una planta de reutilización y reciclado de residuos sólidos urbanos y de plástico post-consumo</t>
  </si>
  <si>
    <t>2018-0035</t>
  </si>
  <si>
    <t>Compra de un solar para instalar una fábrica de prefabricados de hormigón premodelado</t>
  </si>
  <si>
    <t>SPRING CAPITAL, SL</t>
  </si>
  <si>
    <t>2018-M020</t>
  </si>
  <si>
    <t>Nueva instalación de planta de gestión de residuos</t>
  </si>
  <si>
    <t>NUEVA INSTALACIÓN DE PLANTA DE GESTIÓN DE RESIDUOS</t>
  </si>
  <si>
    <t>2018-M043</t>
  </si>
  <si>
    <t>Centro de formación y aventura en Estercuel.</t>
  </si>
  <si>
    <t>LA ROCA NEGRA ESTERCUEL, S.L.U.</t>
  </si>
  <si>
    <t>CENTRO DE FORMACIÓN Y AVENTURA EN ESTERCUEL</t>
  </si>
  <si>
    <t>2018-M048</t>
  </si>
  <si>
    <t>FRUTAS MAGDA, SL</t>
  </si>
  <si>
    <t>AMPLIACIÓN Y MODERNIZACIÓN DE CENTRAL HORTOFRUTÍCOLA</t>
  </si>
  <si>
    <t>2018-M070</t>
  </si>
  <si>
    <t>Ampliación de fábrica de yesos que produciría Terra Alba</t>
  </si>
  <si>
    <t>TORO GIPS S.L.</t>
  </si>
  <si>
    <t>2018-M090</t>
  </si>
  <si>
    <t>Ampliación de la línea de producción de una almazara social y medioambientalmente sostenible</t>
  </si>
  <si>
    <t>La almazara está intimamente ligada con el tejido socio-económico local. Apoya proyectos de protección de olivos milenarios, quiere conectar a agricultores de la aceituna locales y es parte de un proyecto de la economía social.</t>
  </si>
  <si>
    <t>2021-0005</t>
  </si>
  <si>
    <t xml:space="preserve">Construcción de una residencia geriatrica para personas válidas y asistidas mas un centro de día. </t>
  </si>
  <si>
    <t>RESIDENCIAS MENEN, S.L</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</si>
  <si>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</si>
  <si>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2021-0032</t>
  </si>
  <si>
    <t>Galería de tiro de 600 yardas, una armería y un centro de formación y aventura en el municipio de Estercuel (Teruel)</t>
  </si>
  <si>
    <t>2021-0038</t>
  </si>
  <si>
    <t>Instalación de una industria destinada a la fabricación y venta de productos de envasado.</t>
  </si>
  <si>
    <t>LLORENÇ FONTANET, SL</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</si>
  <si>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</si>
  <si>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2021-0050</t>
  </si>
  <si>
    <t>Equipamiento propio de las nuevas zonas ampliadas</t>
  </si>
  <si>
    <t>Equipamiento propio de las nuevas zonas ampliadas: habitaciones, restaurante, cocinas, salas de estar, centro termal, ajardinamiento perimetral con iluminación exterior, zona de aparcamiento exterior.</t>
  </si>
  <si>
    <t>2021-0053</t>
  </si>
  <si>
    <t>Procesado y regeneración de aceites</t>
  </si>
  <si>
    <t>ECOOIL SA</t>
  </si>
  <si>
    <t>Procesado y regeneración de aceites, para lo que precisa inversiones en adecuar las instalaciones arrendadas por el Ayuntamiento de Andorra. así como el equipamiento y adquisición de bienes de equipo.</t>
  </si>
  <si>
    <t>2021-0055</t>
  </si>
  <si>
    <t>Construccion de nave y maquinaria necesaria para descascarado de frutos secos.</t>
  </si>
  <si>
    <t>ALMENDRAS EN GLOBAL, S.L.</t>
  </si>
  <si>
    <t>2021-0066</t>
  </si>
  <si>
    <t>Mejoras tecnológicas en industria destinada a la fabricación de repostería y sus derivados (sin gluten)</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</si>
  <si>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</si>
  <si>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2021-0102</t>
  </si>
  <si>
    <t>Espacio único multifuncional para uso como paseo, zonas de descanso y lectura y  zonas de actividades para la salud</t>
  </si>
  <si>
    <t>Espacio único multifuncional para uso como paseo, zonas de descanso y lectura y  zonas de actividades para la salud, como yoga, pilates, etc., así como un ajardinamiento que enriquece la propuesta de descanso que ofrece el balneario.</t>
  </si>
  <si>
    <t>2021-0109</t>
  </si>
  <si>
    <t>Ampliación de fábrica de ácido Oxalico y sus sales derivadas.</t>
  </si>
  <si>
    <t>2021-M012</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</si>
  <si>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</si>
  <si>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2021-M017</t>
  </si>
  <si>
    <t>Planta de producción de granulado y polvo de caucho a partir del reciclado de nfvu.</t>
  </si>
  <si>
    <t>VALORA TERUEL SL</t>
  </si>
  <si>
    <t>2021-M057</t>
  </si>
  <si>
    <t>Ampliacion de la pavimentación para almacenar material refractario para la recuperación, considerado residuo no peligroso.</t>
  </si>
  <si>
    <t>RECUPERACIONES MARUGAN SL</t>
  </si>
  <si>
    <t>2021-M085</t>
  </si>
  <si>
    <t>Modernizacion y adecuacion de  instalaciones, para hacerlas medioambientalmente sostenibles y productivas.</t>
  </si>
  <si>
    <t>HACIENDA IBER, S.L.</t>
  </si>
  <si>
    <t>Modernizacion y adecuacion de nuestras instalaciones, para hacerlas medioambientalmente sostenibles y productivas, asi mismo, se pretender modernizar la trazabilidad y página Web de la empresa refrescando así, nuestra imagen corporativa y reforzando el ecommerce.</t>
  </si>
  <si>
    <t>Empleo</t>
  </si>
  <si>
    <t>2021-M117</t>
  </si>
  <si>
    <t>Fabricación de pan y pastas del Bajo Aragón. Modernización de la panadería con la compra de un nuevo horno con quemador/calentador de pellets (en sustitución del anterior que tiene mas de 35 años).</t>
  </si>
  <si>
    <t>JOSE MANUEL BORRAZ SANCHO</t>
  </si>
  <si>
    <t>Ginebrosa, La</t>
  </si>
  <si>
    <t>44118</t>
  </si>
  <si>
    <t>2021-M133</t>
  </si>
  <si>
    <t>LIMOSIN FRUITS, SL</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</si>
  <si>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</si>
  <si>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2023-G063</t>
  </si>
  <si>
    <t>Nuevo proceso de fabricación de fertilizante orgánico granulado</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</si>
  <si>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</si>
  <si>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FERTINAGRO NUTRIGENIA S.L.U.</t>
  </si>
  <si>
    <t>Nuevo proceso de fabricación de bioproductos y complejos biodegradables con nueva tecnología patentada para minimizar el impacto medioambiental</t>
  </si>
  <si>
    <t>09443373X</t>
  </si>
  <si>
    <t>CARBONAR S.A.</t>
  </si>
  <si>
    <t>09447568L</t>
  </si>
  <si>
    <t>76947477B</t>
  </si>
  <si>
    <t>07877534B</t>
  </si>
  <si>
    <t>COMPAÑÍA MINERA ASTUR LEONESA S.A.</t>
  </si>
  <si>
    <t>09363234A</t>
  </si>
  <si>
    <t>09448465L</t>
  </si>
  <si>
    <t>09812839G</t>
  </si>
  <si>
    <t>10076663H</t>
  </si>
  <si>
    <t>10087945F</t>
  </si>
  <si>
    <t>11820844V</t>
  </si>
  <si>
    <t>52581049J</t>
  </si>
  <si>
    <t>71510819R</t>
  </si>
  <si>
    <t>71513341Q</t>
  </si>
  <si>
    <t>71644480D</t>
  </si>
  <si>
    <t>71678850V</t>
  </si>
  <si>
    <t>71682234C_dup</t>
  </si>
  <si>
    <t>09731966E</t>
  </si>
  <si>
    <t>SA HULLERA VASCO LEONESA</t>
  </si>
  <si>
    <t>09762202J</t>
  </si>
  <si>
    <t>09769218Z</t>
  </si>
  <si>
    <t>UNION MINERA DEL NORTE, S.A.</t>
  </si>
  <si>
    <t>71435566G</t>
  </si>
  <si>
    <t>ELCT-2020-00023-E</t>
  </si>
  <si>
    <t>Reconversión del edificio del matedero municipal en Centro Acelerador de Obradores Agroalimentarios.</t>
  </si>
  <si>
    <t>ELCT-2020-00017-E</t>
  </si>
  <si>
    <t>Constitución y puesta en marcha de la Entidad Urbanística de Conservación y Servicios para los Polígonos EMPRESARIALES de As Pontes</t>
  </si>
  <si>
    <t>5 empleos asociados a la ayuda</t>
  </si>
  <si>
    <t>ELCT-2020-00049-E</t>
  </si>
  <si>
    <t>Centro Teletrabajo-Coworking</t>
  </si>
  <si>
    <t>4 empleos asociados a la ayuda</t>
  </si>
  <si>
    <t>ELCT-2020-00059-E</t>
  </si>
  <si>
    <t>No justificación</t>
  </si>
  <si>
    <t>60 empleos asociados a la ayuda</t>
  </si>
  <si>
    <t>09788918A</t>
  </si>
  <si>
    <t>2023-G108</t>
  </si>
  <si>
    <t>Instalación de valorización de residuos de papel y cartón</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</si>
  <si>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</si>
  <si>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NATUREA MEDIOAMBIENTE, S.L.</t>
  </si>
  <si>
    <t>Puesta en marcha de una instalación de valorización de residuos de papel y cartón</t>
  </si>
  <si>
    <t>25160076P</t>
  </si>
  <si>
    <t>2021-0074</t>
  </si>
  <si>
    <t>Ampliación de las instalaciones en el Pi Las Arobias</t>
  </si>
  <si>
    <t>ASTURMADI RENEERGY SL</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</si>
  <si>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</si>
  <si>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2018-0058</t>
  </si>
  <si>
    <t>Ampliación e introducción de mejoras tecnólogicas en una empresa de sistemas de almacenaje</t>
  </si>
  <si>
    <t>Auxiliar de Perfiles Perforados Metalicos, S.A.</t>
  </si>
  <si>
    <t>Revocación</t>
  </si>
  <si>
    <t>25164855A</t>
  </si>
  <si>
    <t>09789109X</t>
  </si>
  <si>
    <t>25167905V</t>
  </si>
  <si>
    <t>2021-0067</t>
  </si>
  <si>
    <t>Ampliación de las instalaciones de Cálida Residencial, S.L.</t>
  </si>
  <si>
    <t>CALIDA RESIDENCIAL SL</t>
  </si>
  <si>
    <t>Ampliación de las instalaciones de Cálida Residencial, S.L. centro 91 plazas. El proyecto contempla ampliar en 50 habitaciones.</t>
  </si>
  <si>
    <t>25171025D</t>
  </si>
  <si>
    <t>25171026X</t>
  </si>
  <si>
    <t>2021-0084</t>
  </si>
  <si>
    <t>Rehabilitacion de edificio para su uso como centro de personas mayores en el casco de pola de siero</t>
  </si>
  <si>
    <t>CK SENIOR GESTION SL</t>
  </si>
  <si>
    <t>09789535E</t>
  </si>
  <si>
    <t>2018-0039</t>
  </si>
  <si>
    <t>Ampliación de la fábrica y automatización para incrementar la producción de piezas</t>
  </si>
  <si>
    <t>Composición de Máquinas, S.L.</t>
  </si>
  <si>
    <t>25177128V</t>
  </si>
  <si>
    <t>25180166L</t>
  </si>
  <si>
    <t>2021-0011</t>
  </si>
  <si>
    <t>Compra de terreno y construcción de hotel de 4 estrellas en concejo minero</t>
  </si>
  <si>
    <t>ELEONORE SOCIEDAD LIMITADA</t>
  </si>
  <si>
    <t>09793884R</t>
  </si>
  <si>
    <t>09795289A</t>
  </si>
  <si>
    <t>25180890F</t>
  </si>
  <si>
    <t>2021-0077</t>
  </si>
  <si>
    <t>Reforma y ampliación de un centro asistencial que atiende a personas con discapacidad</t>
  </si>
  <si>
    <t>FUNDACION VIRGEN DE LLANO</t>
  </si>
  <si>
    <t>Se ha añadido el dato correcto: 3 empleos comprometidos</t>
  </si>
  <si>
    <t>25183044E</t>
  </si>
  <si>
    <t>25438024R</t>
  </si>
  <si>
    <t>25450064N</t>
  </si>
  <si>
    <t>09795990Z</t>
  </si>
  <si>
    <t>2018-0064</t>
  </si>
  <si>
    <t>Construcción de nuevo edificio corporativo y adquisición de nuevo equipamiento</t>
  </si>
  <si>
    <t>Instalaciones Electroastur S.L.</t>
  </si>
  <si>
    <t>2021-0047</t>
  </si>
  <si>
    <t>Rehabilitación de un palacio existente en el pueblo Del Pino (Aller), para destinarlo a uso y explotación hotelera.</t>
  </si>
  <si>
    <t>INVERSIONES NOMAR, S.L.</t>
  </si>
  <si>
    <t>25456790E</t>
  </si>
  <si>
    <t>25457477L</t>
  </si>
  <si>
    <t>25469817P</t>
  </si>
  <si>
    <t>25477239R</t>
  </si>
  <si>
    <t>29097238F</t>
  </si>
  <si>
    <t>29100398Q</t>
  </si>
  <si>
    <t>09796140A</t>
  </si>
  <si>
    <t>2018-0054</t>
  </si>
  <si>
    <t>Incremento capacidad productiva y seguridad que incluye la compra de nuevos equipos informáticos y nuevo software</t>
  </si>
  <si>
    <t>Perfilados del Norte, S.A.</t>
  </si>
  <si>
    <t>29104535J</t>
  </si>
  <si>
    <t>2018-0053</t>
  </si>
  <si>
    <t>Construcción de hotel de 4 estrellas usando principios de arquitectura sostenible</t>
  </si>
  <si>
    <t>2021-0046</t>
  </si>
  <si>
    <t>Ampliación de la residencia santa isabel: creación de una planta más sobre la ya existente.</t>
  </si>
  <si>
    <t>Ampliación de la residencia santa isabel: creación de una planta más sobre la ya existente, para la ampliación de 26 plazas más que harían un total de 50 plazas autorizadas.</t>
  </si>
  <si>
    <t>29105995R</t>
  </si>
  <si>
    <t>29105996W</t>
  </si>
  <si>
    <t>09797332E</t>
  </si>
  <si>
    <t>29106621Y</t>
  </si>
  <si>
    <t>2018-M026</t>
  </si>
  <si>
    <t>mejora de servicios de empresa de comunicación (Servicios de ingeniería de red fija (FTTH)</t>
  </si>
  <si>
    <t>A Toda Velocidad S.L.</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</si>
  <si>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</si>
  <si>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2021-M037</t>
  </si>
  <si>
    <t>Hotel de dos estrellas para estudiantes de Mir.</t>
  </si>
  <si>
    <t>ACEBORENT S.L.</t>
  </si>
  <si>
    <t>Hotel de dos estrellas dirigido principalmente a estudiantes de Mir.</t>
  </si>
  <si>
    <t>2021-M114</t>
  </si>
  <si>
    <t>Construcción y explotación de alojamiento turístico de corta estancia (casa rural) en Gijón-La Camocha.</t>
  </si>
  <si>
    <t>ALFREDO GONZÁLEZ SÁNCHEZ</t>
  </si>
  <si>
    <t>2018-M025</t>
  </si>
  <si>
    <t>Adquisición de un centro mecanizado para una empresa en proceso de reconversión</t>
  </si>
  <si>
    <t>Altameca, S.L.</t>
  </si>
  <si>
    <t>Adquisición de un centro mecanizado para una empresa en proceso de reconversión, tras la reestructuración del sector del carbón, pasando de una actividad de construcción de maquinaria para el sector del carbón al sector metal mecánico;</t>
  </si>
  <si>
    <t>P03.C10.I01.P01.S003.01</t>
  </si>
  <si>
    <t>Gran corta fabero.</t>
  </si>
  <si>
    <t>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</si>
  <si>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https://www.prtr.miteco.gob.es/es/proyectos/gran-corta-de-fabero.html</t>
  </si>
  <si>
    <t>P03.C10.I01.P01.S003.01.jpg</t>
  </si>
  <si>
    <t>Fabero;Berlanga;Páramo del Sil</t>
  </si>
  <si>
    <t>24070;06019;24110</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</si>
  <si>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</si>
  <si>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2018-M104</t>
  </si>
  <si>
    <t>Alojamiento túristico de dos estrellas</t>
  </si>
  <si>
    <t>Ana Emilia  Ordoñez Gonzalez</t>
  </si>
  <si>
    <t>Nava</t>
  </si>
  <si>
    <t>33040</t>
  </si>
  <si>
    <t>2018-M142</t>
  </si>
  <si>
    <t xml:space="preserve">Creación de una guarderia y una ludoteca con el proyecto de utilizar la metodología Montessori para el aprendizaje </t>
  </si>
  <si>
    <t>Ana Maria Mora Paz</t>
  </si>
  <si>
    <t>Empleo Comprometido: 4,13, creado: 3 (aunque finalmente se le revoca la ayuda)</t>
  </si>
  <si>
    <t>2018-M124</t>
  </si>
  <si>
    <t>Construcción de nave e instalación de un puente grua</t>
  </si>
  <si>
    <t>29116799H</t>
  </si>
  <si>
    <t>2018-M102</t>
  </si>
  <si>
    <t>Adquisición de maquinaria para taller de mecánica general de automoviles</t>
  </si>
  <si>
    <t>Autocentro Regsa S.L.L.</t>
  </si>
  <si>
    <t>Empleo, Inicio</t>
  </si>
  <si>
    <t>2018-M138</t>
  </si>
  <si>
    <t>Adaptación de instalaciones para añadir nueva actividad comercial de una empresa de reparación de vehiculos pesados</t>
  </si>
  <si>
    <t>Belval Servicios y Ventas, S.L.</t>
  </si>
  <si>
    <t>2018-M119</t>
  </si>
  <si>
    <t>Adquisición de maquinaria y equipo informático</t>
  </si>
  <si>
    <t>Bimenes Mechanical Constructions S.L.</t>
  </si>
  <si>
    <t>09798175Z</t>
  </si>
  <si>
    <t>2018-M010</t>
  </si>
  <si>
    <t>Creación nave para venta de materiales construcción de tejados y cubiertas</t>
  </si>
  <si>
    <t>ALUMINIOS Y SUMINISTROS PARA CUBIERTAS, ASC BIERZO, S.L.</t>
  </si>
  <si>
    <t>2018-M012</t>
  </si>
  <si>
    <t>Restauración de casa para convertirla en tres apartamentos turísticos</t>
  </si>
  <si>
    <t>María Amparo González Salazar</t>
  </si>
  <si>
    <t>2018-M013</t>
  </si>
  <si>
    <t>Mejora y ampliación de una linea de envasado de legumbres</t>
  </si>
  <si>
    <t>SELECCIÓN DE PRODUCTOS LEONESES S.A.</t>
  </si>
  <si>
    <t>2018-M005</t>
  </si>
  <si>
    <t>Rehabilitación de un local en un espacio de simulación de carreras de coche de competición (entretenimiento)</t>
  </si>
  <si>
    <t>Bruno Siguenza Carril</t>
  </si>
  <si>
    <t>2018-M096</t>
  </si>
  <si>
    <t>Adquisición de terrenos para apartamentos turísticos de lujo ("cabañas") en espacio rural</t>
  </si>
  <si>
    <t>Cabins in Paradise, S.L.</t>
  </si>
  <si>
    <t>2018-M037</t>
  </si>
  <si>
    <t>Ampliación de las actividades de la empresa.</t>
  </si>
  <si>
    <t>Ampliación de las actividades de la empresa con la construcción de una nave destinada el mantenimiento de maquinaria agrícola, turismos y furgoneta.</t>
  </si>
  <si>
    <t>2021-M158</t>
  </si>
  <si>
    <t>Incorporación de equipamiento tecnológico de última generación.</t>
  </si>
  <si>
    <t>CAREAGA DIGITAL SLNE</t>
  </si>
  <si>
    <t>2021-M008</t>
  </si>
  <si>
    <t>Instalacion de un portero nocturno asi como instalacion de tarjetas y cerraduras en cada una de las habitaciones del hotel.</t>
  </si>
  <si>
    <t>CASCO ANTIGUO AVILES S.A.</t>
  </si>
  <si>
    <t>09798468P</t>
  </si>
  <si>
    <t>2021-M029</t>
  </si>
  <si>
    <t>Centro de dia para personas de la tercera edad en la localidad de Sotrondio.</t>
  </si>
  <si>
    <t>CENTRO DE DIA SAN JOSE (en const)</t>
  </si>
  <si>
    <t>Se ha añadido el dato de empleo comprometido: 3</t>
  </si>
  <si>
    <t>2018-M152</t>
  </si>
  <si>
    <t>Centro de almacenaje y distribución de productos alimenticios</t>
  </si>
  <si>
    <t>Centro Industrial y Tecnologico Odonnell S.L.</t>
  </si>
  <si>
    <t>Sariego</t>
  </si>
  <si>
    <t>33065</t>
  </si>
  <si>
    <t>tiempo completo para un mayor de 45 años (autónomo</t>
  </si>
  <si>
    <t>2018-M129</t>
  </si>
  <si>
    <t>Rediseño y modificación radical de una prensa hidraúlica incorporando los últimos avances tecnologicos, para una empresa de fabricación de materiales refractarios</t>
  </si>
  <si>
    <t>Cerámica del Nalón, S.A.</t>
  </si>
  <si>
    <t>2018-M135</t>
  </si>
  <si>
    <t>Adquisición de una instalación/maquina de corte de agua a presión, con la que pretende mejorar el proceso productivo de la empresa que se dedica a la Fabricación de maquinaria para la industria agroalimentaria</t>
  </si>
  <si>
    <t>Construcciones Foncueva, S.L.</t>
  </si>
  <si>
    <t>2021-M170</t>
  </si>
  <si>
    <t>Adquisición de nueva envasadora.</t>
  </si>
  <si>
    <t>Adquisición de nueva envasadora que permitirá el suministro de piensos para avicultura, granos y harinas en pequeño formato y acondicionamiento de terrenos para la zona de almacenamiento de materia prima, productos semielaborado y zona de expedicion.</t>
  </si>
  <si>
    <t>09799684M</t>
  </si>
  <si>
    <t>2021-M165</t>
  </si>
  <si>
    <t>Inversion en pantografo, elevadores, compresor, maquina de equilibrar, maquina de desmontar ruedas</t>
  </si>
  <si>
    <t>DE LA FUENTE 2011, S.L.</t>
  </si>
  <si>
    <t>2018-M125</t>
  </si>
  <si>
    <t xml:space="preserve">Transformación de caserío en casa turismo rural </t>
  </si>
  <si>
    <t>Delia Rellan Villamañe</t>
  </si>
  <si>
    <t>2018-M113</t>
  </si>
  <si>
    <t>Ampliación de la zona de oficinas</t>
  </si>
  <si>
    <t>Desing Business&amp;Verification Services S.L.L.</t>
  </si>
  <si>
    <t>2021-M144</t>
  </si>
  <si>
    <t>Inversión de alto nivel tecnológico, desarrollo de un sistema de almacenamiento de pasillos elevados que permita la interacción entre sistemas, equipos y software.</t>
  </si>
  <si>
    <t>DISTRIBUCIONES CIMADEVILLA SA</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</si>
  <si>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</si>
  <si>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09800447D</t>
  </si>
  <si>
    <t>2018-M127</t>
  </si>
  <si>
    <t>Instalación de una línea de sacrificio de pollos ecológico</t>
  </si>
  <si>
    <t>Ecopollo, S.L.</t>
  </si>
  <si>
    <t>09800450N</t>
  </si>
  <si>
    <t>09800740A</t>
  </si>
  <si>
    <t>29116943R</t>
  </si>
  <si>
    <t>2021-M079</t>
  </si>
  <si>
    <t>Ampliación de operador logístico .</t>
  </si>
  <si>
    <t>GESTION DE TRINCAJES Y CARGAS ASTURIAS SLL</t>
  </si>
  <si>
    <t>Ampliación de operador logístico con el propósito de incrementar la capacidad de las instalaciones de deposito y almacenaje y una mayor zona de manipulacionantes del trincaje y carga para su envio final mediante transporte maritimo o carretera.</t>
  </si>
  <si>
    <t>39873748M</t>
  </si>
  <si>
    <t>2021-M032</t>
  </si>
  <si>
    <t>Adquisición máquina IBF DCM 2500 destrucción de papel</t>
  </si>
  <si>
    <t>GIJONESA DE TRATAMIENTO DOCUMENTAL S.L.</t>
  </si>
  <si>
    <t>46524731D</t>
  </si>
  <si>
    <t>09801314W</t>
  </si>
  <si>
    <t>2018-M126</t>
  </si>
  <si>
    <t>Ampliación de instalaciones para fabricación de productos metálicos</t>
  </si>
  <si>
    <t>Hispano Industrias Svelt, S.L.</t>
  </si>
  <si>
    <t>2021-M072</t>
  </si>
  <si>
    <t>Nueva línea business en el edificio histórico del Palacio de Ferrera en el hotel Palacio de Avilés, 5 estrellas. digitalización y servicios inteligentes.</t>
  </si>
  <si>
    <t>HOTEL PALACIO DE FERRERA, S.L.</t>
  </si>
  <si>
    <t>2018-M107</t>
  </si>
  <si>
    <t>Ampliación y modernización de taller mecánico de vehiculos eléctricos o no</t>
  </si>
  <si>
    <t>Iberica de Tecnologia y Servicios de Automocion S.L.</t>
  </si>
  <si>
    <t>2021-M099</t>
  </si>
  <si>
    <t>Adecuacion y rehabilitacion de diferentes zonas de taller. Nueva instalacion tecnica para recargas de coches electricos.</t>
  </si>
  <si>
    <t>2021-M111</t>
  </si>
  <si>
    <t>Aquisición de nuevo edificio para fabricación almacenamiento y venta mayorista</t>
  </si>
  <si>
    <t>INOXIDABLES LUAL SL</t>
  </si>
  <si>
    <t>46733638F</t>
  </si>
  <si>
    <t>2018-M093</t>
  </si>
  <si>
    <t>Equipamiento área de ensayos de prototipos de vehiculos</t>
  </si>
  <si>
    <t>JP Industrias Mecánicas S.L.</t>
  </si>
  <si>
    <t>2018-M136</t>
  </si>
  <si>
    <t xml:space="preserve">Rehabilitación y adecuación de un espacio de creación audiovisual colaborativa </t>
  </si>
  <si>
    <t>Kuivi Vision, S.L.</t>
  </si>
  <si>
    <t>2021-M076</t>
  </si>
  <si>
    <t>Grúa puente monorrail ar de 6300 kg</t>
  </si>
  <si>
    <t>MANUFACTURAS LUFER S.L.</t>
  </si>
  <si>
    <t>Proyectos innovadores de almacenamiento mediante bombeo reversible</t>
  </si>
  <si>
    <t>BORALMAC</t>
  </si>
  <si>
    <t>PR-BORALMAC-2023-000012</t>
  </si>
  <si>
    <t>Central Depuradora Reversible Navaleo</t>
  </si>
  <si>
    <t>Central Depuradora Reversible Navaleo
Capacidad de Almacenamiento : 3.625 MWh
Potencia de turbinación: 552 MW.</t>
  </si>
  <si>
    <t>https://cdrnavaleo.eu/contacto/
https://www.elbierzodigital.com/cdr-tremor-iniciar-este-ano-construccion-central-hidroelectrica-reversible-navaleo/</t>
  </si>
  <si>
    <t>PR-BORALMAC-2023-000012.jpg</t>
  </si>
  <si>
    <t>C D R TREMOR, SL</t>
  </si>
  <si>
    <t>Central Hidroeléctrica Reversible Navaleo</t>
  </si>
  <si>
    <t>Sociedad participada parcialmente por ERBI (APROX. 30 %)</t>
  </si>
  <si>
    <t>Nueva central depuradora reversible con aprovechamiento de aguas de drenaje de minas abandonadas.</t>
  </si>
  <si>
    <t>2021-M104</t>
  </si>
  <si>
    <t>Adquisición de nueva maquinaria</t>
  </si>
  <si>
    <t>MARMOLES NALON, S.L.</t>
  </si>
  <si>
    <t>09801378C</t>
  </si>
  <si>
    <t>2018-M146</t>
  </si>
  <si>
    <t>Rehabilitación de edificio para convertirlo en pensión de turismo</t>
  </si>
  <si>
    <t>Nortavelinos S.L.</t>
  </si>
  <si>
    <t>1 puesto indefinido; Eficiencia energética/Ahorro de energía</t>
  </si>
  <si>
    <t>2018-M092</t>
  </si>
  <si>
    <t>Adquisición de suelo y construcción nave para ampliación de instalaciones (espacio de almacén y de exposición) para una empresa de comercio al por mayor de madera, materiales de construcción y aparatos sanitarios.</t>
  </si>
  <si>
    <t>Omega Norte S.L.</t>
  </si>
  <si>
    <t>2018-M028</t>
  </si>
  <si>
    <t>Construcción hotel apartamento con servicios de gimnasio y spa</t>
  </si>
  <si>
    <t>ALEJANDRO VILLAR PEREZ</t>
  </si>
  <si>
    <t>2021-M011</t>
  </si>
  <si>
    <t>Montaje y puesta en marcha de planta de aglomerado en frío en sus instalaciones situadas en el polígono de Riaño II para poner en marcha una nueva línea de negocio y  la instalación de una envolvedora automática de frutos o máquina de flow-pack.</t>
  </si>
  <si>
    <t>PJR GESTIÓN SL</t>
  </si>
  <si>
    <t>2021-M021</t>
  </si>
  <si>
    <t>Compra nave industrial con el fin de incrementar la planta productiva para hacer frente a la mayor demanda con disminucion de costes.</t>
  </si>
  <si>
    <t>PORTONES Y AUTOMATISMOS ASTURSIERO, S.L.</t>
  </si>
  <si>
    <t>09801842R</t>
  </si>
  <si>
    <t>09802198N</t>
  </si>
  <si>
    <t>09802733H</t>
  </si>
  <si>
    <t>2018-M145</t>
  </si>
  <si>
    <t>Centro de I+D+I especializado en el campo de residuos industriales y de suelos contaminados enfocado a su revalorización y su gestión óptimal, bien para su posible reutilización o para una eliminación más eficiente</t>
  </si>
  <si>
    <t>Recuperacion y Renovacion, S.L.</t>
  </si>
  <si>
    <t>52624997P</t>
  </si>
  <si>
    <t>2021-M047</t>
  </si>
  <si>
    <t>Adquisición de equipos y aplicaciones informáticas que nos permitan hacer un seguimiento de la producción digitalizado y que permita alcanzar unos estandares de control de calidad e  implantación de un centro de producción adaptado a nuestras necesidades</t>
  </si>
  <si>
    <t>RIESTRA SITE ENGENEERING S.L.</t>
  </si>
  <si>
    <t>09802739R</t>
  </si>
  <si>
    <t>09803358E</t>
  </si>
  <si>
    <t>2018-M161</t>
  </si>
  <si>
    <t>Realidad virtual</t>
  </si>
  <si>
    <t>Sergio Alvarez Argüelles</t>
  </si>
  <si>
    <t>2018-M153</t>
  </si>
  <si>
    <t>Inversión en la mejora y modernización de la línea de producción de envases y embalajes de madera</t>
  </si>
  <si>
    <t>Servicio de Integracion Laboral del Principado de Asturias, S.L.</t>
  </si>
  <si>
    <t>2018-M024</t>
  </si>
  <si>
    <t>Ampliación taller de fabricación de estructuras metálicas y ferrallas</t>
  </si>
  <si>
    <t>Sistemas Integrales Constructivos San Lorenzo, S.L.</t>
  </si>
  <si>
    <t>AMPLIACION TALLER FABRICACIÓN ESTRUCTURAS METÁLICAS Y FERRALLAS</t>
  </si>
  <si>
    <t>empleos para jóvenes, femininos y mayores de + 45 años</t>
  </si>
  <si>
    <t>2021-M198</t>
  </si>
  <si>
    <t>Construccion de  nave para union de los dos centros de producción en fase de ejecución.</t>
  </si>
  <si>
    <t>TALLERES CARLOS DEL VALLE, S.L.</t>
  </si>
  <si>
    <t>construccion de una nave que servirá como union de los dos centros de producción en fase de ejecución actualmente, para generar una instalacion unificada donde se haga mas ergonómico las fases de desarrollo de procesos.</t>
  </si>
  <si>
    <t>09804116K</t>
  </si>
  <si>
    <t>71682234C</t>
  </si>
  <si>
    <t>2021-M139</t>
  </si>
  <si>
    <t>Reforma de taller y ampliación de actividad de desguace.</t>
  </si>
  <si>
    <t>TRANSPORTES ROCES, S.L.</t>
  </si>
  <si>
    <t>2021-M015</t>
  </si>
  <si>
    <t>Innovación en tecnología para la odontología.</t>
  </si>
  <si>
    <t>TUDENT, S.L.</t>
  </si>
  <si>
    <t>2018-M076</t>
  </si>
  <si>
    <t>Instalación de gas y calefacción en nave y compra de maquinaría para una empresa de diseño y fabricación de equipos industriales</t>
  </si>
  <si>
    <t>Valfer Automatización de Procesos Industriales S.L.</t>
  </si>
  <si>
    <t>73077881G</t>
  </si>
  <si>
    <t>2021-M121</t>
  </si>
  <si>
    <t>Modernización de un hotel de 5 estrellas.</t>
  </si>
  <si>
    <t>VIACARLA INVERSIONES SA</t>
  </si>
  <si>
    <t>09804417T</t>
  </si>
  <si>
    <t>09396628R</t>
  </si>
  <si>
    <t>09402164V</t>
  </si>
  <si>
    <t>09408101C</t>
  </si>
  <si>
    <t>09416520K</t>
  </si>
  <si>
    <t>09419419E</t>
  </si>
  <si>
    <t>09424817S</t>
  </si>
  <si>
    <t>09430846H</t>
  </si>
  <si>
    <t>09431561C</t>
  </si>
  <si>
    <t>09434445Y</t>
  </si>
  <si>
    <t>09436712L</t>
  </si>
  <si>
    <t>09439953V</t>
  </si>
  <si>
    <t>09442071L</t>
  </si>
  <si>
    <t>09442173Y</t>
  </si>
  <si>
    <t>09442399W</t>
  </si>
  <si>
    <t>09442657F</t>
  </si>
  <si>
    <t>09442767W</t>
  </si>
  <si>
    <t>09443034Q</t>
  </si>
  <si>
    <t>09443035V</t>
  </si>
  <si>
    <t>09443063E</t>
  </si>
  <si>
    <t>09443065R</t>
  </si>
  <si>
    <t>09443197H</t>
  </si>
  <si>
    <t>09443247E</t>
  </si>
  <si>
    <t>11071689H</t>
  </si>
  <si>
    <t>11439632F</t>
  </si>
  <si>
    <t>71631752T</t>
  </si>
  <si>
    <t>71631842K</t>
  </si>
  <si>
    <t>71633591E</t>
  </si>
  <si>
    <t>71634021S</t>
  </si>
  <si>
    <t>71634283R</t>
  </si>
  <si>
    <t>71638215T</t>
  </si>
  <si>
    <t>71639787P</t>
  </si>
  <si>
    <t>76938638G</t>
  </si>
  <si>
    <t>73079033Y</t>
  </si>
  <si>
    <t>73079110Z</t>
  </si>
  <si>
    <t>73079423M</t>
  </si>
  <si>
    <t>73079845J</t>
  </si>
  <si>
    <t>09413163E</t>
  </si>
  <si>
    <t>09425740H</t>
  </si>
  <si>
    <t>09426641E</t>
  </si>
  <si>
    <t>09427824D</t>
  </si>
  <si>
    <t>09433262L</t>
  </si>
  <si>
    <t>09434711L</t>
  </si>
  <si>
    <t>09434713K</t>
  </si>
  <si>
    <t>09434714E</t>
  </si>
  <si>
    <t>09438101M</t>
  </si>
  <si>
    <t>09441333V</t>
  </si>
  <si>
    <t>09442669L</t>
  </si>
  <si>
    <t>09443687W</t>
  </si>
  <si>
    <t>09770700R</t>
  </si>
  <si>
    <t>09777872C</t>
  </si>
  <si>
    <t>09788678Q</t>
  </si>
  <si>
    <t>09789883W</t>
  </si>
  <si>
    <t>09796463G</t>
  </si>
  <si>
    <t>09797568M</t>
  </si>
  <si>
    <t>09798959Q</t>
  </si>
  <si>
    <t>09805506P</t>
  </si>
  <si>
    <t>09812665Z</t>
  </si>
  <si>
    <t>09812777B</t>
  </si>
  <si>
    <t>09813288Q</t>
  </si>
  <si>
    <t>09813690G</t>
  </si>
  <si>
    <t>10058168S</t>
  </si>
  <si>
    <t>10074515D</t>
  </si>
  <si>
    <t>10075640F</t>
  </si>
  <si>
    <t>10080364Q</t>
  </si>
  <si>
    <t>10080826H</t>
  </si>
  <si>
    <t>10081647B</t>
  </si>
  <si>
    <t>10084043S</t>
  </si>
  <si>
    <t>10084111Z</t>
  </si>
  <si>
    <t>10084558R</t>
  </si>
  <si>
    <t>10085165X</t>
  </si>
  <si>
    <t>10085185F</t>
  </si>
  <si>
    <t>10085378Q</t>
  </si>
  <si>
    <t>10085463D</t>
  </si>
  <si>
    <t>10085763X</t>
  </si>
  <si>
    <t>10086486C</t>
  </si>
  <si>
    <t>10087632Q</t>
  </si>
  <si>
    <t>10088791W</t>
  </si>
  <si>
    <t>10088803Z</t>
  </si>
  <si>
    <t>10089206A</t>
  </si>
  <si>
    <t>10203632G</t>
  </si>
  <si>
    <t>32882474H</t>
  </si>
  <si>
    <t>32882653J</t>
  </si>
  <si>
    <t>32885194R</t>
  </si>
  <si>
    <t>43684378H</t>
  </si>
  <si>
    <t>44425524N</t>
  </si>
  <si>
    <t>44427998W</t>
  </si>
  <si>
    <t>44428083H</t>
  </si>
  <si>
    <t>44428096P</t>
  </si>
  <si>
    <t>44428826W</t>
  </si>
  <si>
    <t>44430382V</t>
  </si>
  <si>
    <t>44430388T</t>
  </si>
  <si>
    <t>44430394Y</t>
  </si>
  <si>
    <t>44432949P</t>
  </si>
  <si>
    <t>71416043P</t>
  </si>
  <si>
    <t>71416812H</t>
  </si>
  <si>
    <t>71421551L</t>
  </si>
  <si>
    <t>71421552C</t>
  </si>
  <si>
    <t>71500061F</t>
  </si>
  <si>
    <t>71500479B</t>
  </si>
  <si>
    <t>71500499P</t>
  </si>
  <si>
    <t>71500907W</t>
  </si>
  <si>
    <t>71500911Y</t>
  </si>
  <si>
    <t>71500913P</t>
  </si>
  <si>
    <t>71500975R</t>
  </si>
  <si>
    <t>71501027F</t>
  </si>
  <si>
    <t>71501064K</t>
  </si>
  <si>
    <t>71501114W</t>
  </si>
  <si>
    <t>71505523H</t>
  </si>
  <si>
    <t>71505524L</t>
  </si>
  <si>
    <t>71505610J</t>
  </si>
  <si>
    <t>71507043C</t>
  </si>
  <si>
    <t>71511847V</t>
  </si>
  <si>
    <t>71515351W</t>
  </si>
  <si>
    <t>71550848X</t>
  </si>
  <si>
    <t>71631272A</t>
  </si>
  <si>
    <t>71632007W</t>
  </si>
  <si>
    <t>71632018J</t>
  </si>
  <si>
    <t>71632034Y</t>
  </si>
  <si>
    <t>71634376W</t>
  </si>
  <si>
    <t>71643537D</t>
  </si>
  <si>
    <t>71647343C</t>
  </si>
  <si>
    <t>76709072R</t>
  </si>
  <si>
    <t>77596258P</t>
  </si>
  <si>
    <t>30203207K</t>
  </si>
  <si>
    <t>ENCASUR - PEÑARROYA</t>
  </si>
  <si>
    <t>30204097Z</t>
  </si>
  <si>
    <t>30206294A</t>
  </si>
  <si>
    <t>04595541A</t>
  </si>
  <si>
    <t>ENCASUR - PUERTOLLANO</t>
  </si>
  <si>
    <t>05906408P</t>
  </si>
  <si>
    <t>05907205T</t>
  </si>
  <si>
    <t>05907291V</t>
  </si>
  <si>
    <t>05907720D</t>
  </si>
  <si>
    <t>05910047J</t>
  </si>
  <si>
    <t>05910678T</t>
  </si>
  <si>
    <t>05913040Q</t>
  </si>
  <si>
    <t>30207332Y</t>
  </si>
  <si>
    <t>52094110F</t>
  </si>
  <si>
    <t>09805164B</t>
  </si>
  <si>
    <t>09805989L</t>
  </si>
  <si>
    <t>09806045H</t>
  </si>
  <si>
    <t>73083999G</t>
  </si>
  <si>
    <t>73084557X</t>
  </si>
  <si>
    <t>73084762P</t>
  </si>
  <si>
    <t>73085842F</t>
  </si>
  <si>
    <t>73085887Y</t>
  </si>
  <si>
    <t>73086325F</t>
  </si>
  <si>
    <t>73088010J</t>
  </si>
  <si>
    <t>73089580L</t>
  </si>
  <si>
    <t>73156374K</t>
  </si>
  <si>
    <t>73156538R</t>
  </si>
  <si>
    <t>73257036N</t>
  </si>
  <si>
    <t>73257077F</t>
  </si>
  <si>
    <t>73257369T</t>
  </si>
  <si>
    <t>73257583F</t>
  </si>
  <si>
    <t>73258746C</t>
  </si>
  <si>
    <t>73258882H</t>
  </si>
  <si>
    <t>73259135H</t>
  </si>
  <si>
    <t>73259675Y</t>
  </si>
  <si>
    <t>73259723P</t>
  </si>
  <si>
    <t>73259750N</t>
  </si>
  <si>
    <t>73260745H</t>
  </si>
  <si>
    <t>73261021B</t>
  </si>
  <si>
    <t>73261021H</t>
  </si>
  <si>
    <t>73261247Z</t>
  </si>
  <si>
    <t>73261606M</t>
  </si>
  <si>
    <t>73261815F</t>
  </si>
  <si>
    <t>73261821J</t>
  </si>
  <si>
    <t>73261838F</t>
  </si>
  <si>
    <t>09806074R</t>
  </si>
  <si>
    <t>09806549Q</t>
  </si>
  <si>
    <t>09807483F</t>
  </si>
  <si>
    <t>09807491S</t>
  </si>
  <si>
    <t>09808331G</t>
  </si>
  <si>
    <t>09810318J</t>
  </si>
  <si>
    <t>09810513R</t>
  </si>
  <si>
    <t>09810760H</t>
  </si>
  <si>
    <t>09811007N</t>
  </si>
  <si>
    <t>09811260N</t>
  </si>
  <si>
    <t>10072780E</t>
  </si>
  <si>
    <t>10074694G</t>
  </si>
  <si>
    <t>10075851B</t>
  </si>
  <si>
    <t>10077810S</t>
  </si>
  <si>
    <t>10078910B</t>
  </si>
  <si>
    <t>10079351S</t>
  </si>
  <si>
    <t>10079392X</t>
  </si>
  <si>
    <t>10082131N</t>
  </si>
  <si>
    <t>10082681X</t>
  </si>
  <si>
    <t>10082726D</t>
  </si>
  <si>
    <t>10083461P</t>
  </si>
  <si>
    <t>10084411S</t>
  </si>
  <si>
    <t>10084633F</t>
  </si>
  <si>
    <t>10086210C</t>
  </si>
  <si>
    <t>10086292X</t>
  </si>
  <si>
    <t>10086407X</t>
  </si>
  <si>
    <t>10086630A</t>
  </si>
  <si>
    <t>10087569E</t>
  </si>
  <si>
    <t>10087607Z</t>
  </si>
  <si>
    <t>10087649X</t>
  </si>
  <si>
    <t>10088063X</t>
  </si>
  <si>
    <t>HIJOS DE BALDOMERO GARCÍA, S.A.</t>
  </si>
  <si>
    <t>10088897Q</t>
  </si>
  <si>
    <t>10089035Q</t>
  </si>
  <si>
    <t>10089755T</t>
  </si>
  <si>
    <t>10090455X</t>
  </si>
  <si>
    <t>10201676A</t>
  </si>
  <si>
    <t>11062088P</t>
  </si>
  <si>
    <t>11072370D</t>
  </si>
  <si>
    <t>11073469G</t>
  </si>
  <si>
    <t>11078873A</t>
  </si>
  <si>
    <t>12756338D</t>
  </si>
  <si>
    <t>12768364Y</t>
  </si>
  <si>
    <t>12770382T</t>
  </si>
  <si>
    <t>2018-M029</t>
  </si>
  <si>
    <t>Instalaciones para montaje de drones e implantación de aerogeneradores y placas fotovoltaicas</t>
  </si>
  <si>
    <t>CRISTOBAL ABAD LOPEZ</t>
  </si>
  <si>
    <t>2018-M033</t>
  </si>
  <si>
    <t>Mejora y ampliación de industria elaboradora y exportadora de productos cárnicos</t>
  </si>
  <si>
    <t>EMBUTIDOS LA ENCINA, S.L</t>
  </si>
  <si>
    <t>2018-M034</t>
  </si>
  <si>
    <t>Creación empresa montaje e instalación de estructuras metálicas y de calderas</t>
  </si>
  <si>
    <t>MONTAJES BIERZO ALTO S.L</t>
  </si>
  <si>
    <t>Es una empresa creada por trabajadores del sector, el cual estaba fuertemente ligado a la mineria</t>
  </si>
  <si>
    <t>2018-M044</t>
  </si>
  <si>
    <t>Creación de centro de cultivo y transformación de hongos medicinales cultivados de manera ecológica, la arquitectura será medioambientalmente sostenible.</t>
  </si>
  <si>
    <t>ORO DE CASTROPODAME S.L</t>
  </si>
  <si>
    <t>Castropodame</t>
  </si>
  <si>
    <t>24049</t>
  </si>
  <si>
    <t>El proyecto implica un escalamiento en la cadena de valor de los productos micologicos. Además, la construcción usará principios de la arquitectura sostenible</t>
  </si>
  <si>
    <t>2018-M049</t>
  </si>
  <si>
    <t>Ampliación y mejora de clínica dental</t>
  </si>
  <si>
    <t>DRM PERIODONTAL &amp; IMPLANT FORMATION SL PROFESIONAL</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</si>
  <si>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</si>
  <si>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2018-M053</t>
  </si>
  <si>
    <t>Creación empresa de impresión 3D</t>
  </si>
  <si>
    <t>HISPANIA-3D, S.L.</t>
  </si>
  <si>
    <t>Un proyecto muy innovador, no sólo conlleva una automatización y una digitalización profunda, sino que es proceso productivo relativamente nuevo en el país.</t>
  </si>
  <si>
    <t>2018-M054</t>
  </si>
  <si>
    <t>Mejora bodega que elabora, embotella y vende vinos</t>
  </si>
  <si>
    <t>BODEGAS Y VIÑEDOS CASTRO VENTOSA, S.L.</t>
  </si>
  <si>
    <t>2018-M060</t>
  </si>
  <si>
    <t>Instalación sistema climatización en una bodega</t>
  </si>
  <si>
    <t>BODEGA DEL ABAD, S.L.</t>
  </si>
  <si>
    <t>Carracedelo</t>
  </si>
  <si>
    <t>24038</t>
  </si>
  <si>
    <t>2018-M063</t>
  </si>
  <si>
    <t>Ampliación empresa hotelera que alquila bicicletas</t>
  </si>
  <si>
    <t>PROMOCIONES Y ACTIVIDADES NATURALES DE LA SIERRA S.L.</t>
  </si>
  <si>
    <t>2018-M065</t>
  </si>
  <si>
    <t>Creación nuevo gimnasio y centro de nutrición</t>
  </si>
  <si>
    <t>VICENTE BADIOLA GONZALEZ</t>
  </si>
  <si>
    <t>PR-BORALMAC-2023-000022</t>
  </si>
  <si>
    <t>Central Depuradora Reversible Río Carrión</t>
  </si>
  <si>
    <t>Central Depuradora Reversible Río Carrión. Capacidad de Almacenamiento : 839 MWh
Potencia de turbinación: (2x 71,91 MW) : 143,82 MW.</t>
  </si>
  <si>
    <t>https://www.diariopalentino.es/noticia/z5ba316a8-0811-57a8-1e6c9c1c981a9ffa/202407/velilla-reactiva-el-proyecto-de-la-central-reversible-con-114m
https://cdrvelilla.eu/</t>
  </si>
  <si>
    <t>PR-BORALMAC-2023-000022.jpg</t>
  </si>
  <si>
    <t>C D R CARRION, SL</t>
  </si>
  <si>
    <t>Central Depuradora Reversible Velilla del Río Carrión</t>
  </si>
  <si>
    <t>2018-M071</t>
  </si>
  <si>
    <t>Ampliación negocio de compra, procesado y venta de castañas</t>
  </si>
  <si>
    <t>CASTAÑAS LA PEREGRINA SL</t>
  </si>
  <si>
    <t>Los promotores aseguran que su proceso de producción es ecológico. No lo pongo en duda. Desgraciadamente no mencionan ninguna acreditación como tener un sello de agricultura ecológica que siga la normativa europea.</t>
  </si>
  <si>
    <t>2018-M074</t>
  </si>
  <si>
    <t>Rehabilitación edificio siglo XVII para casa rural</t>
  </si>
  <si>
    <t>Brañuelas Inmuebles S.L.</t>
  </si>
  <si>
    <t>Molinaseca</t>
  </si>
  <si>
    <t>24100</t>
  </si>
  <si>
    <t>El informe menciona que el proyecto intentaría competir en un mercado turístico ya saturado.</t>
  </si>
  <si>
    <t>2018-M081</t>
  </si>
  <si>
    <t>Modernización de planta de pellets que ampliaría sus lineas de producción para incluir material sanitario y biocombustibles</t>
  </si>
  <si>
    <t>Biolaciana S.L.</t>
  </si>
  <si>
    <t>2018-M083</t>
  </si>
  <si>
    <t>Acondicionamiento de nave para elaboración de cecinas y otros productos carnicos</t>
  </si>
  <si>
    <t>Raquel Amigo Antolin</t>
  </si>
  <si>
    <t>2018-M098</t>
  </si>
  <si>
    <t>Rehabilitación casa familiar para crear apartamentos turísticos</t>
  </si>
  <si>
    <t>2021-0065</t>
  </si>
  <si>
    <t>Nueva residencia para la tercera edad en Igüeña.</t>
  </si>
  <si>
    <t>ENPICO NORTE S.L.</t>
  </si>
  <si>
    <t>2021-0099</t>
  </si>
  <si>
    <t>Industria cárnica porcina</t>
  </si>
  <si>
    <t>HULESA INTERNACIONAL, S.L.</t>
  </si>
  <si>
    <t>2021-M060</t>
  </si>
  <si>
    <t>Rehabilitación de inmueble para adecuarlo como albergue turístico "El Huyero"</t>
  </si>
  <si>
    <t>EL HUYERO RURAL S.L</t>
  </si>
  <si>
    <t>2021-M062</t>
  </si>
  <si>
    <t>Pequeña casa de alquiler integro en Coladilla (León)</t>
  </si>
  <si>
    <t>TERESA YAÑEZ LLAMAS</t>
  </si>
  <si>
    <t>Se corrige el empleo comprometido que es 1. Finalmente renuncia a la ayuda</t>
  </si>
  <si>
    <t>2021-M074</t>
  </si>
  <si>
    <t>Rehabilitación de inmueble para adecuarlo como hotel rural</t>
  </si>
  <si>
    <t>RINCON MINERO S.L</t>
  </si>
  <si>
    <t>2022-C251</t>
  </si>
  <si>
    <t xml:space="preserve">Acondicionamiento, regeneración, mejora ambiental y puesta en valor en Sobrón. </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</si>
  <si>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desestacionarlizar la oferta</t>
  </si>
  <si>
    <t>AYUNTAMIENTO DE LANTARÓN</t>
  </si>
  <si>
    <t xml:space="preserve">ACTUACIÓN INTEGRAL DEL ACONDICIONAMIENTO, REGENERACIÓN, MEJORA AMBIENTAL Y PUESTA EN VALOR EN SOBRÓN. Adecuación de este nuevo hábitat para preservar la flora, la fauna y prepararlo para su uso social </t>
  </si>
  <si>
    <t>2022-C253</t>
  </si>
  <si>
    <t xml:space="preserve">Rehabilitación del Hijarano </t>
  </si>
  <si>
    <t xml:space="preserve">Rehabilitación del emblemático edificio "El Calvario", un edificio construido por los vecinos del pueblo y que va a ser destinado a crear un hotel de tres estrellas, mejorando la calidad de la oferta hostelera del territorio. </t>
  </si>
  <si>
    <t>32873585F</t>
  </si>
  <si>
    <t>32881362X</t>
  </si>
  <si>
    <t>44427260T</t>
  </si>
  <si>
    <t>44427852V</t>
  </si>
  <si>
    <t>44429608W</t>
  </si>
  <si>
    <t>44429909G</t>
  </si>
  <si>
    <t>44430121D</t>
  </si>
  <si>
    <t>44430275W</t>
  </si>
  <si>
    <t>44430291H</t>
  </si>
  <si>
    <t>44431427G</t>
  </si>
  <si>
    <t>44432446B</t>
  </si>
  <si>
    <t>44432598W</t>
  </si>
  <si>
    <t>44433039Y</t>
  </si>
  <si>
    <t>71415767P</t>
  </si>
  <si>
    <t>71416635W</t>
  </si>
  <si>
    <t>71416637G</t>
  </si>
  <si>
    <t>71416641P</t>
  </si>
  <si>
    <t>71416674H</t>
  </si>
  <si>
    <t>71416678E</t>
  </si>
  <si>
    <t>71417328M</t>
  </si>
  <si>
    <t>71417353F</t>
  </si>
  <si>
    <t>71417700D</t>
  </si>
  <si>
    <t>71418851X</t>
  </si>
  <si>
    <t>71421346K</t>
  </si>
  <si>
    <t>71424071D</t>
  </si>
  <si>
    <t>71424758Y</t>
  </si>
  <si>
    <t>71424759F</t>
  </si>
  <si>
    <t>71425007W</t>
  </si>
  <si>
    <t>71442509R</t>
  </si>
  <si>
    <t>71499520H</t>
  </si>
  <si>
    <t>71500253S</t>
  </si>
  <si>
    <t>71500774F</t>
  </si>
  <si>
    <t>71501032N</t>
  </si>
  <si>
    <t>71501897A</t>
  </si>
  <si>
    <t>09396169W</t>
  </si>
  <si>
    <t>09404955W</t>
  </si>
  <si>
    <t>09410684G</t>
  </si>
  <si>
    <t>09412462B</t>
  </si>
  <si>
    <t>09420675J</t>
  </si>
  <si>
    <t>09425132P</t>
  </si>
  <si>
    <t>09429206B</t>
  </si>
  <si>
    <t>09430917C</t>
  </si>
  <si>
    <t>09433292A</t>
  </si>
  <si>
    <t>09434003R</t>
  </si>
  <si>
    <t>09434659J</t>
  </si>
  <si>
    <t>09436713C</t>
  </si>
  <si>
    <t>09439248W</t>
  </si>
  <si>
    <t>09441436M</t>
  </si>
  <si>
    <t>09441905Z</t>
  </si>
  <si>
    <t>09442370L</t>
  </si>
  <si>
    <t>10075164Z</t>
  </si>
  <si>
    <t>10077900J</t>
  </si>
  <si>
    <t>10860999P</t>
  </si>
  <si>
    <t>11071382X</t>
  </si>
  <si>
    <t>32883276S</t>
  </si>
  <si>
    <t>45431565X</t>
  </si>
  <si>
    <t>71631990P</t>
  </si>
  <si>
    <t>76938511S</t>
  </si>
  <si>
    <t>76938667X</t>
  </si>
  <si>
    <t>71503149J</t>
  </si>
  <si>
    <t>71503287J</t>
  </si>
  <si>
    <t>71507877A</t>
  </si>
  <si>
    <t>71930522T</t>
  </si>
  <si>
    <t>76945752B</t>
  </si>
  <si>
    <t>AST-2020-0025</t>
  </si>
  <si>
    <t>Suministro eléctrico a las parcelas de la Fase III del área industrial de la Curiscada</t>
  </si>
  <si>
    <t>AST-2020-0028</t>
  </si>
  <si>
    <t xml:space="preserve">Consiste en el soterramiento de las líneas aéreas alta tensión (AT) para facilitar la actividad de empresas de suelo industrial en lq área industrial de La Curiscada </t>
  </si>
  <si>
    <t>AST-2020-0059</t>
  </si>
  <si>
    <t xml:space="preserve">Mejora de los accesos al Monte Monsacro </t>
  </si>
  <si>
    <t>Mejora de los accesos al Monte Monsacro Creación de infraestructuras, que mejoren el estado actual del monte, y permitan el disfrute del mismo.</t>
  </si>
  <si>
    <t>PDC TOTAL</t>
  </si>
  <si>
    <t>CLM-2020-0002</t>
  </si>
  <si>
    <t>Mejora del Polígono industrial de la Nava</t>
  </si>
  <si>
    <t>Realización de tareas de mantenimiento, renovación o adecuación a las nuevas necesidades desde la construcción de estos para que sean aptas para uso de más empresas que se han instalado recientemente en el Polígono industrial de la Nava</t>
  </si>
  <si>
    <t>76956873T</t>
  </si>
  <si>
    <t>ARA-2020-0006</t>
  </si>
  <si>
    <t>Construción de un camping</t>
  </si>
  <si>
    <t>Ayuntamiento de Estercuel</t>
  </si>
  <si>
    <t>construcción de un camping que cuente con los servicios necesarios para obtener la calificación de camping de segunda categoría, pero con estándares de primera o de lujo que permitan fácilmente el ascenso de categoría</t>
  </si>
  <si>
    <t>8 empleos fijos</t>
  </si>
  <si>
    <t>2023-G102</t>
  </si>
  <si>
    <t>Planta de procesado y reciclaje fotovoltáico</t>
  </si>
  <si>
    <t>CENTRO EUROPEO DE RECICLAJE FOTOVOLTAICO SL</t>
  </si>
  <si>
    <t>2023-G055</t>
  </si>
  <si>
    <t>Planta de fabricación de biocombustibles aprovechando aceites y grasas residuales</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</si>
  <si>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</si>
  <si>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GALICIA BIOWASTE, SOCIEDAD LIMITADA</t>
  </si>
  <si>
    <t>Construcción de una planta de fabricación de biocombustibles aprovechando aceites y grasas residuales</t>
  </si>
  <si>
    <t>2023-G086</t>
  </si>
  <si>
    <t>Ampliación de capacidad actual de la residencia de mayores La Magdalena</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</si>
  <si>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</si>
  <si>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https://www.elprogreso.es/articulo/a-chaira/residencia-mayores-magdalena-pontes-contara-40-plazas-mas/202407031553401770932.html</t>
  </si>
  <si>
    <t>GRUPO INSTITUTO GERONTOLOGICO IGA, S.L.</t>
  </si>
  <si>
    <t>2023-G058</t>
  </si>
  <si>
    <t>RENUNCIA PTE ACTUALIZAR ESTADO</t>
  </si>
  <si>
    <t>RYMOIL,S.A.</t>
  </si>
  <si>
    <t>Puesta en marcha de una planta para la reutilización de los subproductos generados en el proceso de fabricación del acero</t>
  </si>
  <si>
    <t>2023-P218</t>
  </si>
  <si>
    <t>Instalación de una clínica de fisioterapia</t>
  </si>
  <si>
    <t>ANTONIO CAYUELA HERNÁNDEZ</t>
  </si>
  <si>
    <t>PR-OTC-2023-000309</t>
  </si>
  <si>
    <t>OTC ciuden</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</si>
  <si>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 el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</si>
  <si>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PR-OTC-2023-000309.jpg</t>
  </si>
  <si>
    <t>OTC Ciuden</t>
  </si>
  <si>
    <t>2022-C257</t>
  </si>
  <si>
    <t xml:space="preserve">Plaza pública en el llano de Don Antonio. </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</si>
  <si>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</si>
  <si>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https://www.diariodealmeria.es/provincia/carboneras-prolongara-paeo-maritimo-playa-corral_0_1706229981.html</t>
  </si>
  <si>
    <t>PLAZA PÚBLICA EN EL LLANO DE DON ANTONIO. Actividades al aire libre de los residentes</t>
  </si>
  <si>
    <t>CYL-2021-0007</t>
  </si>
  <si>
    <t>Emisario y EDAR en Castrejón de la Peña</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</si>
  <si>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</si>
  <si>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https://www.elbierzodigital.com/depuradoras-folgoso-boeza-tedejo-2022/</t>
  </si>
  <si>
    <t>ELCT-2020-00077-E</t>
  </si>
  <si>
    <t>Reforma y ampliación de edificio existente para su transformación en centro de mayores</t>
  </si>
  <si>
    <t>Ayuntamiento de Villalba de Guardo</t>
  </si>
  <si>
    <t>Villalba de Guardo</t>
  </si>
  <si>
    <t>34214</t>
  </si>
  <si>
    <t>20 empleos asociados a la ayuda</t>
  </si>
  <si>
    <t>PR-RENOVAL-2024-000116</t>
  </si>
  <si>
    <t>Ampliación fábrica integral de células y módulos fotovoltaicos</t>
  </si>
  <si>
    <t>Ampliación de las instalaciones de la fábrica integral de células y módulos fotovoltaicos ubicada en el Polígono Industrial de Bembibre</t>
  </si>
  <si>
    <t>https://www.infobierzo.com/bierzo-noticias/escelco-poligono-bembibre-ayuda-produccion_1022559_102.html#google_vignette</t>
  </si>
  <si>
    <t>PR-RENOVAL-2024-000116.jpeg</t>
  </si>
  <si>
    <t>European Solar Cell Company, S.L.</t>
  </si>
  <si>
    <t>Dotación de infraestrucutra para ampliar la capacidad de producción</t>
  </si>
  <si>
    <t>industria manufacturera</t>
  </si>
  <si>
    <t>PR-REPOTEN-2023-000321</t>
  </si>
  <si>
    <t>Proyecto de ampliación de aprovechamiento hidroelectrico y automatización de la toma del salto de orallo</t>
  </si>
  <si>
    <t>La orografía de la zona permite de una manera sencilla ampliar la altura bruta del salto otros 45 metros sin más que trasladar la central 500 m hacia aguas abajo, con lo que se consigue un salto bruto de 77,50 m</t>
  </si>
  <si>
    <t>file:///C:/Users/va.grados/Downloads/Proyecto+65-02-7676+-+Salto+Orallo%20(3).pdf https://energia.jcyl.es/web/jcyl/Energia/es/Plantilla100Detalle/1284766731237/Texto%20Generico/1284976620237/Texto</t>
  </si>
  <si>
    <t>PR-REPOTEN-2023-000321.jpeg</t>
  </si>
  <si>
    <t>HIDROELECTRICA LA PROHIDA, S.A.</t>
  </si>
  <si>
    <t>PROYECTO DE AMPLIACIÓN DE APROVECHAMIENTO HIDROELECTRICO Y AUTOMATIZACIÓN DE LA TOMA DEL SALTO DE ORALLO</t>
  </si>
  <si>
    <t>2022-C267</t>
  </si>
  <si>
    <t>Rehabilitación del local social como vivienda de alquiler social (Mesón do Vento)</t>
  </si>
  <si>
    <t>Rehabilitación casi integral de la planta baja y la primera planta de un local social para adaptarla como vivienda de alquiler con 2 dormitorios para familias con escasos recursos o en riesgo de exclusión social.</t>
  </si>
  <si>
    <t xml:space="preserve">REHABILITACIÓN DEL LOCAL SOCIAL DE O MESÓN DO VENTO COMO VIVIENDA DE ALQUILER SOCIAL. Vivienda de alquiler social con precios accesibles </t>
  </si>
  <si>
    <t>PR-H2CVAL3-C1-2022-0027</t>
  </si>
  <si>
    <t xml:space="preserve">Planta de hidrógeno renovable </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</si>
  <si>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</si>
  <si>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https://elperiodicodelaenergia.com/proyecto-carboneras-almeria-recibe-15-millones-producir-hidrogeno-renovable/</t>
  </si>
  <si>
    <t>Enel Green Power España S.L.</t>
  </si>
  <si>
    <t>PR-H2CVAL3-C1-2022-0014</t>
  </si>
  <si>
    <t>Nueva planta de producción de hidrógeno renovable en los terrenos de la antigua central térmica de Meirama</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</si>
  <si>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</si>
  <si>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 xml:space="preserve">sí </t>
  </si>
  <si>
    <t>PR-REPOTEN-2023-000114</t>
  </si>
  <si>
    <t xml:space="preserve">Repotenciación Parque Eólico Novo </t>
  </si>
  <si>
    <t>Retirada de las actuales infraestructuras (con una potencia total de 18,75 MW repartida en 25 aerogeneradores de 750 kW de potencia unitaria) y la instalación de nuevas máquinas e infraestructuras de conexión entre ellas, reduciéndose el número de aerogeneradores a 6 unidades, aumentando la dimensión y la potencia unitaria de cada uno y modificando la actual subestación transformadora, manteniendo la misma potencia total instalada.
Ayuntamientos afectados:  Valdoviño, Narón y San Sadurniño</t>
  </si>
  <si>
    <t>Naturgy Renovables. S.L.U.</t>
  </si>
  <si>
    <t>Proyecto de modificación del Parque Eólico Novo en  Explotación</t>
  </si>
  <si>
    <t>Inversión total del proyecto: 21.488.547 € Ayuda total: 5.625.000</t>
  </si>
  <si>
    <r>
      <t>MEJORA DE POLÍGONOS INDUSTRIALES EN LAS CUENCAS MINERAS LOTE 1 LANGREO: VALNALÓN, LA MORAL Y LADA-MERIÑAN SITUACION T.M. DE LANGREO (ASTURIAS</t>
    </r>
    <r>
      <rPr>
        <sz val="10"/>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</si>
</sst>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5" formatCode="_-* #,##0.00\ [$€-C0A]_-;\-* #,##0.00\ [$€-C0A]_-;_-* &quot;-&quot;??\ [$€-C0A]_-;_-@_-"/>
  </numFmts>
  <fonts count="16" x14ac:knownFonts="1">
    <font>
      <sz val="10"/>
      <name val="MS Sans Serif"/>
    </font>
    <font>
      <sz val="11"/>
      <color theme="1"/>
      <name val="Aptos Narrow"/>
      <family val="2"/>
      <scheme val="minor"/>
    </font>
    <font>
      <sz val="11"/>
      <color theme="1"/>
      <name val="Aptos Narrow"/>
      <family val="2"/>
      <scheme val="minor"/>
    </font>
    <font>
      <sz val="10"/>
      <name val="MS Sans Serif"/>
    </font>
    <font>
      <sz val="10"/>
      <color theme="1"/>
      <name val="MS Sans Serif"/>
    </font>
    <font>
      <u/>
      <sz val="10"/>
      <color theme="10"/>
      <name val="MS Sans Serif"/>
    </font>
    <font>
      <sz val="11"/>
      <color theme="1"/>
      <name val="Aptos Narrow"/>
      <family val="2"/>
    </font>
    <font>
      <sz val="10"/>
      <color theme="0"/>
      <name val="MS Sans Serif"/>
    </font>
    <font>
      <sz val="8"/>
      <color theme="0"/>
      <name val="MS Sans Serif"/>
    </font>
    <font>
      <sz val="10"/>
      <color theme="1"/>
      <name val="Times New Roman"/>
      <family val="1"/>
    </font>
    <font>
      <b/>
      <sz val="10"/>
      <color theme="1"/>
      <name val="MS Sans Serif"/>
    </font>
    <font>
      <b/>
      <sz val="10"/>
      <color theme="1"/>
      <name val="Times New Roman"/>
      <family val="1"/>
    </font>
    <font>
      <u/>
      <sz val="10"/>
      <color theme="1"/>
      <name val="MS Sans Serif"/>
    </font>
    <font>
      <sz val="10"/>
      <color theme="1"/>
      <name val="Aptos Narrow"/>
      <family val="2"/>
    </font>
    <font>
      <sz val="10"/>
      <color theme="1"/>
      <name val="Aptos"/>
      <family val="2"/>
    </font>
    <font>
      <sz val="11"/>
      <color theme="1"/>
      <name val="Aptos"/>
      <family val="2"/>
    </font>
  </fonts>
  <fills count="3">
    <fill>
      <patternFill patternType="none"/>
    </fill>
    <fill>
      <patternFill patternType="gray125"/>
    </fill>
    <fill>
      <patternFill patternType="solid">
        <fgColor theme="5"/>
        <bgColor indexed="64"/>
      </patternFill>
    </fill>
  </fills>
  <borders count="7">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rgb="FF000000"/>
      </right>
      <top style="thin">
        <color rgb="FF000000"/>
      </top>
      <bottom/>
      <diagonal/>
    </border>
    <border>
      <left/>
      <right/>
      <top style="thin">
        <color rgb="FF44B3E1"/>
      </top>
      <bottom style="thin">
        <color rgb="FF44B3E1"/>
      </bottom>
      <diagonal/>
    </border>
    <border>
      <left/>
      <right/>
      <top/>
      <bottom style="medium">
        <color rgb="FFE5E5E5"/>
      </bottom>
      <diagonal/>
    </border>
    <border>
      <left/>
      <right/>
      <top/>
      <bottom style="medium">
        <color rgb="FF95B3D7"/>
      </bottom>
      <diagonal/>
    </border>
  </borders>
  <cellStyleXfs count="6">
    <xf numFmtId="0" fontId="0" fillId="0" borderId="0"/>
    <xf numFmtId="44" fontId="3" fillId="0" borderId="0" applyFont="0" applyFill="0" applyBorder="0" applyAlignment="0" applyProtection="0"/>
    <xf numFmtId="0" fontId="5" fillId="0" borderId="0" applyNumberFormat="0" applyFill="0" applyBorder="0" applyAlignment="0" applyProtection="0"/>
    <xf numFmtId="0" fontId="2" fillId="0" borderId="0"/>
    <xf numFmtId="0" fontId="2" fillId="0" borderId="0"/>
    <xf numFmtId="0" fontId="2" fillId="0" borderId="0"/>
  </cellStyleXfs>
  <cellXfs count="55">
    <xf numFmtId="0" fontId="0" fillId="0" borderId="0" xfId="0"/>
    <xf numFmtId="0" fontId="4" fillId="0" borderId="0" xfId="0" applyFont="1"/>
    <xf numFmtId="4" fontId="4" fillId="0" borderId="0" xfId="0" applyNumberFormat="1" applyFont="1"/>
    <xf numFmtId="0" fontId="6" fillId="0" borderId="0" xfId="0" applyFont="1"/>
    <xf numFmtId="4" fontId="4" fillId="0" borderId="1" xfId="0" applyNumberFormat="1" applyFont="1" applyBorder="1"/>
    <xf numFmtId="0" fontId="7" fillId="0" borderId="0" xfId="0" applyFont="1" applyAlignment="1">
      <alignment wrapText="1"/>
    </xf>
    <xf numFmtId="49" fontId="7" fillId="0" borderId="0" xfId="0" applyNumberFormat="1" applyFont="1" applyAlignment="1">
      <alignment wrapText="1"/>
    </xf>
    <xf numFmtId="14" fontId="7" fillId="0" borderId="0" xfId="0" applyNumberFormat="1" applyFont="1" applyAlignment="1">
      <alignment wrapText="1"/>
    </xf>
    <xf numFmtId="0" fontId="4" fillId="0" borderId="0" xfId="0" applyFont="1" applyAlignment="1">
      <alignment wrapText="1"/>
    </xf>
    <xf numFmtId="49" fontId="4" fillId="0" borderId="0" xfId="0" applyNumberFormat="1" applyFont="1"/>
    <xf numFmtId="14" fontId="4" fillId="0" borderId="0" xfId="0" applyNumberFormat="1" applyFont="1"/>
    <xf numFmtId="1" fontId="4" fillId="0" borderId="0" xfId="0" applyNumberFormat="1" applyFont="1"/>
    <xf numFmtId="44" fontId="4" fillId="0" borderId="0" xfId="1" applyFont="1" applyFill="1"/>
    <xf numFmtId="4" fontId="4" fillId="0" borderId="0" xfId="1" applyNumberFormat="1" applyFont="1" applyFill="1"/>
    <xf numFmtId="0" fontId="9" fillId="0" borderId="0" xfId="0" applyFont="1"/>
    <xf numFmtId="0" fontId="10" fillId="0" borderId="0" xfId="0" applyFont="1"/>
    <xf numFmtId="0" fontId="1" fillId="0" borderId="0" xfId="3" applyFont="1"/>
    <xf numFmtId="0" fontId="11" fillId="0" borderId="0" xfId="0" applyFont="1"/>
    <xf numFmtId="0" fontId="11" fillId="0" borderId="0" xfId="0" applyFont="1" applyAlignment="1">
      <alignment vertical="center" wrapText="1"/>
    </xf>
    <xf numFmtId="0" fontId="12" fillId="0" borderId="0" xfId="2" applyFont="1" applyFill="1"/>
    <xf numFmtId="49" fontId="6" fillId="0" borderId="0" xfId="0" applyNumberFormat="1" applyFont="1"/>
    <xf numFmtId="14" fontId="6" fillId="0" borderId="0" xfId="0" applyNumberFormat="1" applyFont="1"/>
    <xf numFmtId="4" fontId="6" fillId="0" borderId="0" xfId="0" applyNumberFormat="1" applyFont="1"/>
    <xf numFmtId="0" fontId="13" fillId="0" borderId="0" xfId="0" applyFont="1"/>
    <xf numFmtId="0" fontId="6" fillId="0" borderId="0" xfId="0" applyFont="1" applyAlignment="1">
      <alignment horizontal="center"/>
    </xf>
    <xf numFmtId="0" fontId="6" fillId="0" borderId="0" xfId="0" applyFont="1" applyAlignment="1">
      <alignment wrapText="1"/>
    </xf>
    <xf numFmtId="0" fontId="4" fillId="0" borderId="0" xfId="0" applyFont="1" applyAlignment="1">
      <alignment vertical="center" wrapText="1"/>
    </xf>
    <xf numFmtId="44" fontId="4" fillId="0" borderId="0" xfId="1" applyFont="1" applyFill="1" applyBorder="1"/>
    <xf numFmtId="4" fontId="4" fillId="0" borderId="0" xfId="1" applyNumberFormat="1" applyFont="1" applyFill="1" applyBorder="1"/>
    <xf numFmtId="0" fontId="9" fillId="0" borderId="0" xfId="0" applyFont="1" applyAlignment="1">
      <alignment vertical="center"/>
    </xf>
    <xf numFmtId="0" fontId="6" fillId="0" borderId="0" xfId="0" applyFont="1" applyAlignment="1">
      <alignment horizontal="left"/>
    </xf>
    <xf numFmtId="49" fontId="6" fillId="0" borderId="0" xfId="0" applyNumberFormat="1" applyFont="1" applyAlignment="1">
      <alignment horizontal="left" vertical="center" wrapText="1"/>
    </xf>
    <xf numFmtId="0" fontId="6" fillId="0" borderId="0" xfId="0" applyFont="1" applyAlignment="1">
      <alignment horizontal="left" vertical="center" wrapText="1"/>
    </xf>
    <xf numFmtId="0" fontId="4" fillId="0" borderId="0" xfId="0" applyFont="1" applyAlignment="1">
      <alignment horizontal="left"/>
    </xf>
    <xf numFmtId="4" fontId="4" fillId="0" borderId="0" xfId="0" applyNumberFormat="1" applyFont="1" applyAlignment="1">
      <alignment vertical="center"/>
    </xf>
    <xf numFmtId="4" fontId="1" fillId="0" borderId="0" xfId="4" applyNumberFormat="1" applyFont="1"/>
    <xf numFmtId="0" fontId="1" fillId="0" borderId="0" xfId="5" applyFont="1"/>
    <xf numFmtId="0" fontId="14" fillId="0" borderId="0" xfId="0" applyFont="1" applyAlignment="1">
      <alignment vertical="center"/>
    </xf>
    <xf numFmtId="0" fontId="15" fillId="0" borderId="0" xfId="0" applyFont="1" applyAlignment="1">
      <alignment vertical="center"/>
    </xf>
    <xf numFmtId="0" fontId="4" fillId="0" borderId="1" xfId="0" applyFont="1" applyBorder="1"/>
    <xf numFmtId="49" fontId="4" fillId="0" borderId="2" xfId="0" applyNumberFormat="1" applyFont="1" applyBorder="1"/>
    <xf numFmtId="0" fontId="4" fillId="0" borderId="2" xfId="0" applyFont="1" applyBorder="1"/>
    <xf numFmtId="14" fontId="4" fillId="0" borderId="1" xfId="0" applyNumberFormat="1" applyFont="1" applyBorder="1"/>
    <xf numFmtId="49" fontId="4" fillId="0" borderId="3" xfId="0" applyNumberFormat="1" applyFont="1" applyBorder="1"/>
    <xf numFmtId="0" fontId="4" fillId="0" borderId="3" xfId="0" applyFont="1" applyBorder="1"/>
    <xf numFmtId="0" fontId="4" fillId="0" borderId="4" xfId="0" applyFont="1" applyBorder="1"/>
    <xf numFmtId="0" fontId="4" fillId="0" borderId="5" xfId="0" applyFont="1" applyBorder="1"/>
    <xf numFmtId="0" fontId="1" fillId="0" borderId="1" xfId="3" applyFont="1" applyBorder="1"/>
    <xf numFmtId="0" fontId="4" fillId="0" borderId="6" xfId="0" applyFont="1" applyBorder="1"/>
    <xf numFmtId="4" fontId="15" fillId="0" borderId="0" xfId="0" applyNumberFormat="1" applyFont="1"/>
    <xf numFmtId="0" fontId="8" fillId="2" borderId="0" xfId="0" applyFont="1" applyFill="1" applyAlignment="1">
      <alignment wrapText="1"/>
    </xf>
    <xf numFmtId="0" fontId="4" fillId="0" borderId="0" xfId="0" applyFont="1" applyFill="1"/>
    <xf numFmtId="0" fontId="4" fillId="0" borderId="0" xfId="0" applyNumberFormat="1" applyFont="1" applyFill="1"/>
    <xf numFmtId="2" fontId="4" fillId="0" borderId="0" xfId="0" applyNumberFormat="1" applyFont="1" applyFill="1"/>
    <xf numFmtId="165" fontId="4" fillId="0" borderId="0" xfId="0" applyNumberFormat="1" applyFont="1" applyFill="1"/>
  </cellXfs>
  <cellStyles count="6">
    <cellStyle name="Hipervínculo" xfId="2" builtinId="8"/>
    <cellStyle name="Moneda" xfId="1" builtinId="4"/>
    <cellStyle name="Normal" xfId="0" builtinId="0"/>
    <cellStyle name="Normal 11" xfId="4" xr:uid="{4729DF5B-658A-4F7B-B5C8-02F68A3EA066}"/>
    <cellStyle name="Normal 2" xfId="5" xr:uid="{89EF6D94-380D-482C-A0F9-832EBA3ACB15}"/>
    <cellStyle name="Normal 8" xfId="3" xr:uid="{4AD2C6E2-BD68-41C3-9C0F-E54324D9FA7F}"/>
  </cellStyles>
  <dxfs count="163">
    <dxf>
      <font>
        <b val="0"/>
        <i val="0"/>
        <strike val="0"/>
        <condense val="0"/>
        <extend val="0"/>
        <outline val="0"/>
        <shadow val="0"/>
        <u val="none"/>
        <vertAlign val="baseline"/>
        <sz val="10"/>
        <color theme="1"/>
        <name val="MS Sans Serif"/>
        <scheme val="none"/>
      </font>
      <numFmt numFmtId="2" formatCode="0.00"/>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165" formatCode="_-* #,##0.00\ [$€-C0A]_-;\-* #,##0.00\ [$€-C0A]_-;_-* &quot;-&quot;??\ [$€-C0A]_-;_-@_-"/>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165" formatCode="_-* #,##0.00\ [$€-C0A]_-;\-* #,##0.00\ [$€-C0A]_-;_-* &quot;-&quot;??\ [$€-C0A]_-;_-@_-"/>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b val="0"/>
        <i val="0"/>
        <strike val="0"/>
        <condense val="0"/>
        <extend val="0"/>
        <outline val="0"/>
        <shadow val="0"/>
        <u val="none"/>
        <vertAlign val="baseline"/>
        <sz val="10"/>
        <color theme="1"/>
        <name val="MS Sans Serif"/>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MS Sans Serif"/>
        <scheme val="none"/>
      </font>
      <fill>
        <patternFill patternType="none">
          <fgColor indexed="64"/>
          <bgColor indexed="65"/>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numFmt numFmtId="19" formatCode="dd/mm/yyyy"/>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u val="none"/>
        <vertAlign val="baseline"/>
        <sz val="10"/>
        <color theme="1"/>
      </font>
      <numFmt numFmtId="0" formatCode="General"/>
      <fill>
        <patternFill patternType="none">
          <bgColor auto="1"/>
        </patternFill>
      </fill>
    </dxf>
    <dxf>
      <font>
        <strike val="0"/>
        <outline val="0"/>
        <shadow val="0"/>
        <u val="none"/>
        <vertAlign val="baseline"/>
        <sz val="10"/>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b val="0"/>
        <i val="0"/>
        <strike val="0"/>
        <condense val="0"/>
        <extend val="0"/>
        <outline val="0"/>
        <shadow val="0"/>
        <u val="none"/>
        <vertAlign val="baseline"/>
        <sz val="10"/>
        <color theme="1"/>
        <name val="MS Sans Serif"/>
        <scheme val="none"/>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30" formatCode="@"/>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rgb="FF000000"/>
      </font>
      <fill>
        <patternFill patternType="none">
          <bgColor auto="1"/>
        </patternFill>
      </fill>
    </dxf>
    <dxf>
      <font>
        <strike val="0"/>
        <outline val="0"/>
        <shadow val="0"/>
        <vertAlign val="baseline"/>
        <color rgb="FF000000"/>
      </font>
      <fill>
        <patternFill patternType="none">
          <bgColor auto="1"/>
        </patternFill>
      </fill>
    </dxf>
    <dxf>
      <font>
        <strike val="0"/>
        <outline val="0"/>
        <shadow val="0"/>
        <u val="none"/>
        <vertAlign val="baseline"/>
        <color theme="0"/>
        <name val="MS Sans Serif"/>
        <scheme val="none"/>
      </font>
      <fill>
        <patternFill patternType="none">
          <bgColor auto="1"/>
        </patternFill>
      </fill>
      <alignment horizontal="general" vertical="bottom" textRotation="0" wrapText="1" indent="0" justifyLastLine="0" shrinkToFit="0" readingOrder="0"/>
    </dxf>
    <dxf>
      <fill>
        <patternFill patternType="none">
          <fgColor indexed="64"/>
          <bgColor indexed="65"/>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19" formatCode="dd/mm/yyyy"/>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u val="none"/>
        <vertAlign val="baseline"/>
        <sz val="10"/>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u val="none"/>
        <vertAlign val="baseline"/>
        <sz val="10"/>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b val="0"/>
        <i val="0"/>
        <strike val="0"/>
        <condense val="0"/>
        <extend val="0"/>
        <outline val="0"/>
        <shadow val="0"/>
        <u val="none"/>
        <vertAlign val="baseline"/>
        <sz val="10"/>
        <color theme="1"/>
        <name val="MS Sans Serif"/>
        <scheme val="none"/>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30" formatCode="@"/>
      <fill>
        <patternFill patternType="none">
          <bgColor auto="1"/>
        </patternFill>
      </fill>
    </dxf>
    <dxf>
      <font>
        <strike val="0"/>
        <outline val="0"/>
        <shadow val="0"/>
        <vertAlign val="baseline"/>
        <color theme="1"/>
      </font>
      <numFmt numFmtId="30" formatCode="@"/>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u val="none"/>
        <vertAlign val="baseline"/>
        <color theme="0"/>
        <name val="MS Sans Serif"/>
        <scheme val="none"/>
      </font>
      <fill>
        <patternFill patternType="none">
          <bgColor auto="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esktop\GALICIA_CTJ\1.%20ITJ\01_SOLICITUDES%20ITJ\VISOR%20Proyectos%20ITJ\Datos\20250605_Municipios%20ZM%20con%20ayudas.xlsx" TargetMode="External"/><Relationship Id="rId1" Type="http://schemas.openxmlformats.org/officeDocument/2006/relationships/externalLinkPath" Target="https://acciuden.sharepoint.com/Users/Usuario/Desktop/GALICIA_CTJ/1.%20ITJ/01_SOLICITUDES%20ITJ/VISOR%20Proyectos%20ITJ/Datos/20250605_Municipios%20ZM%20con%20ayud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uario\Desktop\GALICIA_CTJ\1.%20ITJ\12_IND_AYUDAS\ITJ\2025\20250704_Infra%20convenios\PPCC_Convenios%20Infra%20040725.xlsx" TargetMode="External"/><Relationship Id="rId1" Type="http://schemas.openxmlformats.org/officeDocument/2006/relationships/externalLinkPath" Target="https://acciuden.sharepoint.com/sites/CTJ/Documentos%20compartidos/General/AYUDAS/ITJ/2025/20250704_Infra%20convenios/PPCC_Convenios%20Infra%200407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M:\DatosDepartamento\E%20O%20L%20I%20C%20A\FEDER%20IDAE%202014-2020\2020%20FEDER%20Eol%20Canarias\EVALUACION\EOLCAN2%20-%20%20Evaluacion.xlsm" TargetMode="External"/><Relationship Id="rId1" Type="http://schemas.openxmlformats.org/officeDocument/2006/relationships/externalLinkPath" Target="file:///M:\DatosDepartamento\E%20O%20L%20I%20C%20A\FEDER%20IDAE%202014-2020\2020%20FEDER%20Eol%20Canarias\EVALUACION\EOLCAN2%20-%20%20Evaluac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uario\Desktop\GALICIA_CTJ\1.%20ITJ\12_IND_AYUDAS\20250515_Ayudas%20INDICADORES_MINEROS+TJ.xlsx" TargetMode="External"/><Relationship Id="rId1" Type="http://schemas.openxmlformats.org/officeDocument/2006/relationships/externalLinkPath" Target="https://acciuden.sharepoint.com/sites/CTJ/Documentos%20compartidos/General/AYUDAS/20250515_Ayudas%20INDICADORES_MINEROS+TJ.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Usuario\Desktop\GALICIA_CTJ\1.%20ITJ\12_IND_AYUDAS\20251125_Ayudas%20INDICADORES_MINEROS_TJ.xlsx" TargetMode="External"/><Relationship Id="rId1" Type="http://schemas.openxmlformats.org/officeDocument/2006/relationships/externalLinkPath" Target="/Users/Usuario/Desktop/GALICIA_CTJ/1.%20ITJ/12_IND_AYUDAS/20251125_Ayudas%20INDICADORES_MINEROS_TJ.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_INE_2024"/>
      <sheetName val="Tabla3"/>
      <sheetName val="TD (2)"/>
      <sheetName val="MTJ"/>
      <sheetName val="td_mun  (probas)"/>
      <sheetName val="TD"/>
      <sheetName val="Municipios"/>
      <sheetName val="ine"/>
      <sheetName val="m. mineros sin ayudas"/>
      <sheetName val="td_mun "/>
    </sheetNames>
    <sheetDataSet>
      <sheetData sheetId="0">
        <row r="4">
          <cell r="D4" t="str">
            <v>CPRO</v>
          </cell>
          <cell r="E4" t="str">
            <v>PROVINCIA</v>
          </cell>
          <cell r="F4" t="str">
            <v>CMUN</v>
          </cell>
          <cell r="G4" t="str">
            <v>DC</v>
          </cell>
          <cell r="H4" t="str">
            <v>NOMBRE</v>
          </cell>
        </row>
        <row r="5">
          <cell r="A5" t="str">
            <v>13071</v>
          </cell>
          <cell r="B5" t="str">
            <v>08</v>
          </cell>
          <cell r="C5" t="str">
            <v>Castilla-La Mancha</v>
          </cell>
          <cell r="D5" t="str">
            <v>13</v>
          </cell>
          <cell r="E5" t="str">
            <v>Ciudad Real</v>
          </cell>
          <cell r="F5" t="str">
            <v>071</v>
          </cell>
          <cell r="G5" t="str">
            <v>8</v>
          </cell>
          <cell r="H5" t="str">
            <v>Puertollano</v>
          </cell>
          <cell r="I5" t="str">
            <v>13071</v>
          </cell>
          <cell r="J5">
            <v>0</v>
          </cell>
          <cell r="K5">
            <v>1</v>
          </cell>
        </row>
        <row r="6">
          <cell r="A6" t="str">
            <v>22112</v>
          </cell>
          <cell r="B6" t="str">
            <v>02</v>
          </cell>
          <cell r="C6" t="str">
            <v>Aragón</v>
          </cell>
          <cell r="D6" t="str">
            <v>22</v>
          </cell>
          <cell r="E6" t="str">
            <v>Huesca</v>
          </cell>
          <cell r="F6" t="str">
            <v>112</v>
          </cell>
          <cell r="G6" t="str">
            <v>7</v>
          </cell>
          <cell r="H6" t="str">
            <v>Fraga</v>
          </cell>
          <cell r="I6" t="str">
            <v>22112</v>
          </cell>
          <cell r="J6">
            <v>0</v>
          </cell>
          <cell r="K6">
            <v>2</v>
          </cell>
        </row>
        <row r="7">
          <cell r="A7" t="str">
            <v>22234</v>
          </cell>
          <cell r="B7" t="str">
            <v>02</v>
          </cell>
          <cell r="C7" t="str">
            <v>Aragón</v>
          </cell>
          <cell r="D7" t="str">
            <v>22</v>
          </cell>
          <cell r="E7" t="str">
            <v>Huesca</v>
          </cell>
          <cell r="F7" t="str">
            <v>234</v>
          </cell>
          <cell r="G7" t="str">
            <v>3</v>
          </cell>
          <cell r="H7" t="str">
            <v>Torrente de Cinca</v>
          </cell>
          <cell r="I7" t="str">
            <v>22234</v>
          </cell>
          <cell r="J7">
            <v>0</v>
          </cell>
          <cell r="K7">
            <v>2</v>
          </cell>
        </row>
        <row r="8">
          <cell r="A8" t="str">
            <v>24001</v>
          </cell>
          <cell r="B8" t="str">
            <v>07</v>
          </cell>
          <cell r="C8" t="str">
            <v>Castilla y León</v>
          </cell>
          <cell r="D8" t="str">
            <v>24</v>
          </cell>
          <cell r="E8" t="str">
            <v>León</v>
          </cell>
          <cell r="F8" t="str">
            <v>001</v>
          </cell>
          <cell r="G8" t="str">
            <v>6</v>
          </cell>
          <cell r="H8" t="str">
            <v>Acebedo</v>
          </cell>
          <cell r="I8" t="str">
            <v>24001</v>
          </cell>
          <cell r="J8">
            <v>0</v>
          </cell>
          <cell r="K8">
            <v>2</v>
          </cell>
        </row>
        <row r="9">
          <cell r="A9" t="str">
            <v>24004</v>
          </cell>
          <cell r="B9" t="str">
            <v>07</v>
          </cell>
          <cell r="C9" t="str">
            <v>Castilla y León</v>
          </cell>
          <cell r="D9" t="str">
            <v>24</v>
          </cell>
          <cell r="E9" t="str">
            <v>León</v>
          </cell>
          <cell r="F9" t="str">
            <v>004</v>
          </cell>
          <cell r="G9" t="str">
            <v>2</v>
          </cell>
          <cell r="H9" t="str">
            <v>Almanza</v>
          </cell>
          <cell r="I9" t="str">
            <v>24004</v>
          </cell>
          <cell r="J9">
            <v>0</v>
          </cell>
          <cell r="K9">
            <v>2</v>
          </cell>
        </row>
        <row r="10">
          <cell r="A10" t="str">
            <v>24007</v>
          </cell>
          <cell r="B10" t="str">
            <v>07</v>
          </cell>
          <cell r="C10" t="str">
            <v>Castilla y León</v>
          </cell>
          <cell r="D10" t="str">
            <v>24</v>
          </cell>
          <cell r="E10" t="str">
            <v>León</v>
          </cell>
          <cell r="F10" t="str">
            <v>007</v>
          </cell>
          <cell r="G10" t="str">
            <v>4</v>
          </cell>
          <cell r="H10" t="str">
            <v>Arganza</v>
          </cell>
          <cell r="I10" t="str">
            <v>24007</v>
          </cell>
          <cell r="J10">
            <v>0</v>
          </cell>
          <cell r="K10">
            <v>2</v>
          </cell>
        </row>
        <row r="11">
          <cell r="A11" t="str">
            <v>24009</v>
          </cell>
          <cell r="B11" t="str">
            <v>07</v>
          </cell>
          <cell r="C11" t="str">
            <v>Castilla y León</v>
          </cell>
          <cell r="D11" t="str">
            <v>24</v>
          </cell>
          <cell r="E11" t="str">
            <v>León</v>
          </cell>
          <cell r="F11" t="str">
            <v>009</v>
          </cell>
          <cell r="G11" t="str">
            <v>3</v>
          </cell>
          <cell r="H11" t="str">
            <v>Balboa</v>
          </cell>
          <cell r="I11" t="str">
            <v>24009</v>
          </cell>
          <cell r="J11">
            <v>0</v>
          </cell>
          <cell r="K11">
            <v>2</v>
          </cell>
        </row>
        <row r="12">
          <cell r="A12" t="str">
            <v>24011</v>
          </cell>
          <cell r="B12" t="str">
            <v>07</v>
          </cell>
          <cell r="C12" t="str">
            <v>Castilla y León</v>
          </cell>
          <cell r="D12" t="str">
            <v>24</v>
          </cell>
          <cell r="E12" t="str">
            <v>León</v>
          </cell>
          <cell r="F12" t="str">
            <v>011</v>
          </cell>
          <cell r="G12" t="str">
            <v>4</v>
          </cell>
          <cell r="H12" t="str">
            <v>Barjas</v>
          </cell>
          <cell r="I12" t="str">
            <v>24011</v>
          </cell>
          <cell r="J12">
            <v>0</v>
          </cell>
          <cell r="K12">
            <v>2</v>
          </cell>
        </row>
        <row r="13">
          <cell r="A13" t="str">
            <v>24016</v>
          </cell>
          <cell r="B13" t="str">
            <v>07</v>
          </cell>
          <cell r="C13" t="str">
            <v>Castilla y León</v>
          </cell>
          <cell r="D13" t="str">
            <v>24</v>
          </cell>
          <cell r="E13" t="str">
            <v>León</v>
          </cell>
          <cell r="F13" t="str">
            <v>016</v>
          </cell>
          <cell r="G13" t="str">
            <v>6</v>
          </cell>
          <cell r="H13" t="str">
            <v>Benuza</v>
          </cell>
          <cell r="I13" t="str">
            <v>24016</v>
          </cell>
          <cell r="J13">
            <v>0</v>
          </cell>
          <cell r="K13">
            <v>2</v>
          </cell>
        </row>
        <row r="14">
          <cell r="A14" t="str">
            <v>24020</v>
          </cell>
          <cell r="B14" t="str">
            <v>07</v>
          </cell>
          <cell r="C14" t="str">
            <v>Castilla y León</v>
          </cell>
          <cell r="D14" t="str">
            <v>24</v>
          </cell>
          <cell r="E14" t="str">
            <v>León</v>
          </cell>
          <cell r="F14" t="str">
            <v>020</v>
          </cell>
          <cell r="G14" t="str">
            <v>5</v>
          </cell>
          <cell r="H14" t="str">
            <v>Boca de Huérgano</v>
          </cell>
          <cell r="I14" t="str">
            <v>24020</v>
          </cell>
          <cell r="J14">
            <v>0</v>
          </cell>
          <cell r="K14">
            <v>2</v>
          </cell>
        </row>
        <row r="15">
          <cell r="A15" t="str">
            <v>24022</v>
          </cell>
          <cell r="B15" t="str">
            <v>07</v>
          </cell>
          <cell r="C15" t="str">
            <v>Castilla y León</v>
          </cell>
          <cell r="D15" t="str">
            <v>24</v>
          </cell>
          <cell r="E15" t="str">
            <v>León</v>
          </cell>
          <cell r="F15" t="str">
            <v>022</v>
          </cell>
          <cell r="G15" t="str">
            <v>7</v>
          </cell>
          <cell r="H15" t="str">
            <v>Borrenes</v>
          </cell>
          <cell r="I15" t="str">
            <v>24022</v>
          </cell>
          <cell r="J15">
            <v>0</v>
          </cell>
          <cell r="K15">
            <v>2</v>
          </cell>
        </row>
        <row r="16">
          <cell r="A16" t="str">
            <v>24023</v>
          </cell>
          <cell r="B16" t="str">
            <v>07</v>
          </cell>
          <cell r="C16" t="str">
            <v>Castilla y León</v>
          </cell>
          <cell r="D16" t="str">
            <v>24</v>
          </cell>
          <cell r="E16" t="str">
            <v>León</v>
          </cell>
          <cell r="F16" t="str">
            <v>023</v>
          </cell>
          <cell r="G16" t="str">
            <v>3</v>
          </cell>
          <cell r="H16" t="str">
            <v>Brazuelo</v>
          </cell>
          <cell r="I16" t="str">
            <v>24023</v>
          </cell>
          <cell r="J16">
            <v>0</v>
          </cell>
          <cell r="K16">
            <v>2</v>
          </cell>
        </row>
        <row r="17">
          <cell r="A17" t="str">
            <v>24025</v>
          </cell>
          <cell r="B17" t="str">
            <v>07</v>
          </cell>
          <cell r="C17" t="str">
            <v>Castilla y León</v>
          </cell>
          <cell r="D17" t="str">
            <v>24</v>
          </cell>
          <cell r="E17" t="str">
            <v>León</v>
          </cell>
          <cell r="F17" t="str">
            <v>025</v>
          </cell>
          <cell r="G17" t="str">
            <v>1</v>
          </cell>
          <cell r="H17" t="str">
            <v>Burón</v>
          </cell>
          <cell r="I17" t="str">
            <v>24025</v>
          </cell>
          <cell r="J17">
            <v>0</v>
          </cell>
          <cell r="K17">
            <v>2</v>
          </cell>
        </row>
        <row r="18">
          <cell r="A18" t="str">
            <v>24027</v>
          </cell>
          <cell r="B18" t="str">
            <v>07</v>
          </cell>
          <cell r="C18" t="str">
            <v>Castilla y León</v>
          </cell>
          <cell r="D18" t="str">
            <v>24</v>
          </cell>
          <cell r="E18" t="str">
            <v>León</v>
          </cell>
          <cell r="F18" t="str">
            <v>027</v>
          </cell>
          <cell r="G18" t="str">
            <v>0</v>
          </cell>
          <cell r="H18" t="str">
            <v>Cabañas Raras</v>
          </cell>
          <cell r="I18" t="str">
            <v>24027</v>
          </cell>
          <cell r="J18">
            <v>0</v>
          </cell>
          <cell r="K18">
            <v>2</v>
          </cell>
        </row>
        <row r="19">
          <cell r="A19" t="str">
            <v>24030</v>
          </cell>
          <cell r="B19" t="str">
            <v>07</v>
          </cell>
          <cell r="C19" t="str">
            <v>Castilla y León</v>
          </cell>
          <cell r="D19" t="str">
            <v>24</v>
          </cell>
          <cell r="E19" t="str">
            <v>León</v>
          </cell>
          <cell r="F19" t="str">
            <v>030</v>
          </cell>
          <cell r="G19" t="str">
            <v>3</v>
          </cell>
          <cell r="H19" t="str">
            <v>Cacabelos</v>
          </cell>
          <cell r="I19" t="str">
            <v>24030</v>
          </cell>
          <cell r="J19">
            <v>0</v>
          </cell>
          <cell r="K19">
            <v>2</v>
          </cell>
        </row>
        <row r="20">
          <cell r="A20" t="str">
            <v>24034</v>
          </cell>
          <cell r="B20" t="str">
            <v>07</v>
          </cell>
          <cell r="C20" t="str">
            <v>Castilla y León</v>
          </cell>
          <cell r="D20" t="str">
            <v>24</v>
          </cell>
          <cell r="E20" t="str">
            <v>León</v>
          </cell>
          <cell r="F20" t="str">
            <v>034</v>
          </cell>
          <cell r="G20" t="str">
            <v>6</v>
          </cell>
          <cell r="H20" t="str">
            <v>Camponaraya</v>
          </cell>
          <cell r="I20" t="str">
            <v>24034</v>
          </cell>
          <cell r="J20">
            <v>0</v>
          </cell>
          <cell r="K20">
            <v>2</v>
          </cell>
        </row>
        <row r="21">
          <cell r="A21" t="str">
            <v>24036</v>
          </cell>
          <cell r="B21" t="str">
            <v>07</v>
          </cell>
          <cell r="C21" t="str">
            <v>Castilla y León</v>
          </cell>
          <cell r="D21" t="str">
            <v>24</v>
          </cell>
          <cell r="E21" t="str">
            <v>León</v>
          </cell>
          <cell r="F21" t="str">
            <v>036</v>
          </cell>
          <cell r="G21" t="str">
            <v>2</v>
          </cell>
          <cell r="H21" t="str">
            <v>Valle de Ancares</v>
          </cell>
          <cell r="I21" t="str">
            <v>24036</v>
          </cell>
          <cell r="J21">
            <v>0</v>
          </cell>
          <cell r="K21">
            <v>2</v>
          </cell>
        </row>
        <row r="22">
          <cell r="A22" t="str">
            <v>24037</v>
          </cell>
          <cell r="B22" t="str">
            <v>07</v>
          </cell>
          <cell r="C22" t="str">
            <v>Castilla y León</v>
          </cell>
          <cell r="D22" t="str">
            <v>24</v>
          </cell>
          <cell r="E22" t="str">
            <v>León</v>
          </cell>
          <cell r="F22" t="str">
            <v>037</v>
          </cell>
          <cell r="G22" t="str">
            <v>8</v>
          </cell>
          <cell r="H22" t="str">
            <v>Cármenes</v>
          </cell>
          <cell r="I22" t="str">
            <v>24037</v>
          </cell>
          <cell r="J22">
            <v>0</v>
          </cell>
          <cell r="K22">
            <v>2</v>
          </cell>
        </row>
        <row r="23">
          <cell r="A23" t="str">
            <v>24038</v>
          </cell>
          <cell r="B23" t="str">
            <v>07</v>
          </cell>
          <cell r="C23" t="str">
            <v>Castilla y León</v>
          </cell>
          <cell r="D23" t="str">
            <v>24</v>
          </cell>
          <cell r="E23" t="str">
            <v>León</v>
          </cell>
          <cell r="F23" t="str">
            <v>038</v>
          </cell>
          <cell r="G23" t="str">
            <v>4</v>
          </cell>
          <cell r="H23" t="str">
            <v>Carracedelo</v>
          </cell>
          <cell r="I23" t="str">
            <v>24038</v>
          </cell>
          <cell r="J23">
            <v>0</v>
          </cell>
          <cell r="K23">
            <v>2</v>
          </cell>
        </row>
        <row r="24">
          <cell r="A24" t="str">
            <v>24040</v>
          </cell>
          <cell r="B24" t="str">
            <v>07</v>
          </cell>
          <cell r="C24" t="str">
            <v>Castilla y León</v>
          </cell>
          <cell r="D24" t="str">
            <v>24</v>
          </cell>
          <cell r="E24" t="str">
            <v>León</v>
          </cell>
          <cell r="F24" t="str">
            <v>040</v>
          </cell>
          <cell r="G24" t="str">
            <v>1</v>
          </cell>
          <cell r="H24" t="str">
            <v>Carrocera</v>
          </cell>
          <cell r="I24" t="str">
            <v>24040</v>
          </cell>
          <cell r="J24">
            <v>0</v>
          </cell>
          <cell r="K24">
            <v>2</v>
          </cell>
        </row>
        <row r="25">
          <cell r="A25" t="str">
            <v>24041</v>
          </cell>
          <cell r="B25" t="str">
            <v>07</v>
          </cell>
          <cell r="C25" t="str">
            <v>Castilla y León</v>
          </cell>
          <cell r="D25" t="str">
            <v>24</v>
          </cell>
          <cell r="E25" t="str">
            <v>León</v>
          </cell>
          <cell r="F25" t="str">
            <v>041</v>
          </cell>
          <cell r="G25" t="str">
            <v>8</v>
          </cell>
          <cell r="H25" t="str">
            <v>Carucedo</v>
          </cell>
          <cell r="I25" t="str">
            <v>24041</v>
          </cell>
          <cell r="J25">
            <v>0</v>
          </cell>
          <cell r="K25">
            <v>2</v>
          </cell>
        </row>
        <row r="26">
          <cell r="A26" t="str">
            <v>24043</v>
          </cell>
          <cell r="B26" t="str">
            <v>07</v>
          </cell>
          <cell r="C26" t="str">
            <v>Castilla y León</v>
          </cell>
          <cell r="D26" t="str">
            <v>24</v>
          </cell>
          <cell r="E26" t="str">
            <v>León</v>
          </cell>
          <cell r="F26" t="str">
            <v>043</v>
          </cell>
          <cell r="G26" t="str">
            <v>9</v>
          </cell>
          <cell r="H26" t="str">
            <v>Castrillo de Cabrera</v>
          </cell>
          <cell r="I26" t="str">
            <v>24043</v>
          </cell>
          <cell r="J26">
            <v>0</v>
          </cell>
          <cell r="K26">
            <v>2</v>
          </cell>
        </row>
        <row r="27">
          <cell r="A27" t="str">
            <v>24049</v>
          </cell>
          <cell r="B27" t="str">
            <v>07</v>
          </cell>
          <cell r="C27" t="str">
            <v>Castilla y León</v>
          </cell>
          <cell r="D27" t="str">
            <v>24</v>
          </cell>
          <cell r="E27" t="str">
            <v>León</v>
          </cell>
          <cell r="F27" t="str">
            <v>049</v>
          </cell>
          <cell r="G27" t="str">
            <v>5</v>
          </cell>
          <cell r="H27" t="str">
            <v>Castropodame</v>
          </cell>
          <cell r="I27" t="str">
            <v>24049</v>
          </cell>
          <cell r="J27">
            <v>0</v>
          </cell>
          <cell r="K27">
            <v>2</v>
          </cell>
        </row>
        <row r="28">
          <cell r="A28" t="str">
            <v>24052</v>
          </cell>
          <cell r="B28" t="str">
            <v>07</v>
          </cell>
          <cell r="C28" t="str">
            <v>Castilla y León</v>
          </cell>
          <cell r="D28" t="str">
            <v>24</v>
          </cell>
          <cell r="E28" t="str">
            <v>León</v>
          </cell>
          <cell r="F28" t="str">
            <v>052</v>
          </cell>
          <cell r="G28" t="str">
            <v>0</v>
          </cell>
          <cell r="H28" t="str">
            <v>Cebanico</v>
          </cell>
          <cell r="I28" t="str">
            <v>24052</v>
          </cell>
          <cell r="J28">
            <v>0</v>
          </cell>
          <cell r="K28">
            <v>2</v>
          </cell>
        </row>
        <row r="29">
          <cell r="A29" t="str">
            <v>24057</v>
          </cell>
          <cell r="B29" t="str">
            <v>07</v>
          </cell>
          <cell r="C29" t="str">
            <v>Castilla y León</v>
          </cell>
          <cell r="D29" t="str">
            <v>24</v>
          </cell>
          <cell r="E29" t="str">
            <v>León</v>
          </cell>
          <cell r="F29" t="str">
            <v>057</v>
          </cell>
          <cell r="G29" t="str">
            <v>3</v>
          </cell>
          <cell r="H29" t="str">
            <v>Congosto</v>
          </cell>
          <cell r="I29" t="str">
            <v>24057</v>
          </cell>
          <cell r="J29">
            <v>0</v>
          </cell>
          <cell r="K29">
            <v>2</v>
          </cell>
        </row>
        <row r="30">
          <cell r="A30" t="str">
            <v>24059</v>
          </cell>
          <cell r="B30" t="str">
            <v>07</v>
          </cell>
          <cell r="C30" t="str">
            <v>Castilla y León</v>
          </cell>
          <cell r="D30" t="str">
            <v>24</v>
          </cell>
          <cell r="E30" t="str">
            <v>León</v>
          </cell>
          <cell r="F30" t="str">
            <v>059</v>
          </cell>
          <cell r="G30" t="str">
            <v>2</v>
          </cell>
          <cell r="H30" t="str">
            <v>Corullón</v>
          </cell>
          <cell r="I30" t="str">
            <v>24059</v>
          </cell>
          <cell r="J30">
            <v>0</v>
          </cell>
          <cell r="K30">
            <v>2</v>
          </cell>
        </row>
        <row r="31">
          <cell r="A31" t="str">
            <v>24060</v>
          </cell>
          <cell r="B31" t="str">
            <v>07</v>
          </cell>
          <cell r="C31" t="str">
            <v>Castilla y León</v>
          </cell>
          <cell r="D31" t="str">
            <v>24</v>
          </cell>
          <cell r="E31" t="str">
            <v>León</v>
          </cell>
          <cell r="F31" t="str">
            <v>060</v>
          </cell>
          <cell r="G31" t="str">
            <v>6</v>
          </cell>
          <cell r="H31" t="str">
            <v>Crémenes</v>
          </cell>
          <cell r="I31" t="str">
            <v>24060</v>
          </cell>
          <cell r="J31">
            <v>0</v>
          </cell>
          <cell r="K31">
            <v>2</v>
          </cell>
        </row>
        <row r="32">
          <cell r="A32" t="str">
            <v>24061</v>
          </cell>
          <cell r="B32" t="str">
            <v>07</v>
          </cell>
          <cell r="C32" t="str">
            <v>Castilla y León</v>
          </cell>
          <cell r="D32" t="str">
            <v>24</v>
          </cell>
          <cell r="E32" t="str">
            <v>León</v>
          </cell>
          <cell r="F32" t="str">
            <v>061</v>
          </cell>
          <cell r="G32" t="str">
            <v>3</v>
          </cell>
          <cell r="H32" t="str">
            <v>Cuadros</v>
          </cell>
          <cell r="I32" t="str">
            <v>24061</v>
          </cell>
          <cell r="J32">
            <v>0</v>
          </cell>
          <cell r="K32">
            <v>2</v>
          </cell>
        </row>
        <row r="33">
          <cell r="A33" t="str">
            <v>24063</v>
          </cell>
          <cell r="B33" t="str">
            <v>07</v>
          </cell>
          <cell r="C33" t="str">
            <v>Castilla y León</v>
          </cell>
          <cell r="D33" t="str">
            <v>24</v>
          </cell>
          <cell r="E33" t="str">
            <v>León</v>
          </cell>
          <cell r="F33" t="str">
            <v>063</v>
          </cell>
          <cell r="G33" t="str">
            <v>4</v>
          </cell>
          <cell r="H33" t="str">
            <v>Cubillas de Rueda</v>
          </cell>
          <cell r="I33" t="str">
            <v>24063</v>
          </cell>
          <cell r="J33">
            <v>0</v>
          </cell>
          <cell r="K33">
            <v>2</v>
          </cell>
        </row>
        <row r="34">
          <cell r="A34" t="str">
            <v>24068</v>
          </cell>
          <cell r="B34" t="str">
            <v>07</v>
          </cell>
          <cell r="C34" t="str">
            <v>Castilla y León</v>
          </cell>
          <cell r="D34" t="str">
            <v>24</v>
          </cell>
          <cell r="E34" t="str">
            <v>León</v>
          </cell>
          <cell r="F34" t="str">
            <v>068</v>
          </cell>
          <cell r="G34" t="str">
            <v>7</v>
          </cell>
          <cell r="H34" t="str">
            <v>Ercina, La</v>
          </cell>
          <cell r="I34" t="str">
            <v>24068</v>
          </cell>
          <cell r="J34">
            <v>0</v>
          </cell>
          <cell r="K34">
            <v>2</v>
          </cell>
        </row>
        <row r="35">
          <cell r="A35" t="str">
            <v>24076</v>
          </cell>
          <cell r="B35" t="str">
            <v>07</v>
          </cell>
          <cell r="C35" t="str">
            <v>Castilla y León</v>
          </cell>
          <cell r="D35" t="str">
            <v>24</v>
          </cell>
          <cell r="E35" t="str">
            <v>León</v>
          </cell>
          <cell r="F35" t="str">
            <v>076</v>
          </cell>
          <cell r="G35" t="str">
            <v>3</v>
          </cell>
          <cell r="H35" t="str">
            <v>Garrafe de Torío</v>
          </cell>
          <cell r="I35" t="str">
            <v>24076</v>
          </cell>
          <cell r="J35">
            <v>0</v>
          </cell>
          <cell r="K35">
            <v>2</v>
          </cell>
        </row>
        <row r="36">
          <cell r="A36" t="str">
            <v>24079</v>
          </cell>
          <cell r="B36" t="str">
            <v>07</v>
          </cell>
          <cell r="C36" t="str">
            <v>Castilla y León</v>
          </cell>
          <cell r="D36" t="str">
            <v>24</v>
          </cell>
          <cell r="E36" t="str">
            <v>León</v>
          </cell>
          <cell r="F36" t="str">
            <v>079</v>
          </cell>
          <cell r="G36" t="str">
            <v>8</v>
          </cell>
          <cell r="H36" t="str">
            <v>Gradefes</v>
          </cell>
          <cell r="I36" t="str">
            <v>24079</v>
          </cell>
          <cell r="J36">
            <v>0</v>
          </cell>
          <cell r="K36">
            <v>2</v>
          </cell>
        </row>
        <row r="37">
          <cell r="A37" t="str">
            <v>24090</v>
          </cell>
          <cell r="B37" t="str">
            <v>07</v>
          </cell>
          <cell r="C37" t="str">
            <v>Castilla y León</v>
          </cell>
          <cell r="D37" t="str">
            <v>24</v>
          </cell>
          <cell r="E37" t="str">
            <v>León</v>
          </cell>
          <cell r="F37" t="str">
            <v>090</v>
          </cell>
          <cell r="G37" t="str">
            <v>0</v>
          </cell>
          <cell r="H37" t="str">
            <v>Lucillo</v>
          </cell>
          <cell r="I37" t="str">
            <v>24090</v>
          </cell>
          <cell r="J37">
            <v>0</v>
          </cell>
          <cell r="K37">
            <v>2</v>
          </cell>
        </row>
        <row r="38">
          <cell r="A38" t="str">
            <v>24093</v>
          </cell>
          <cell r="B38" t="str">
            <v>07</v>
          </cell>
          <cell r="C38" t="str">
            <v>Castilla y León</v>
          </cell>
          <cell r="D38" t="str">
            <v>24</v>
          </cell>
          <cell r="E38" t="str">
            <v>León</v>
          </cell>
          <cell r="F38" t="str">
            <v>093</v>
          </cell>
          <cell r="G38" t="str">
            <v>8</v>
          </cell>
          <cell r="H38" t="str">
            <v>Magaz de Cepeda</v>
          </cell>
          <cell r="I38" t="str">
            <v>24093</v>
          </cell>
          <cell r="J38">
            <v>0</v>
          </cell>
          <cell r="K38">
            <v>2</v>
          </cell>
        </row>
        <row r="39">
          <cell r="A39" t="str">
            <v>24100</v>
          </cell>
          <cell r="B39" t="str">
            <v>07</v>
          </cell>
          <cell r="C39" t="str">
            <v>Castilla y León</v>
          </cell>
          <cell r="D39" t="str">
            <v>24</v>
          </cell>
          <cell r="E39" t="str">
            <v>León</v>
          </cell>
          <cell r="F39" t="str">
            <v>100</v>
          </cell>
          <cell r="G39" t="str">
            <v>8</v>
          </cell>
          <cell r="H39" t="str">
            <v>Molinaseca</v>
          </cell>
          <cell r="I39" t="str">
            <v>24100</v>
          </cell>
          <cell r="J39">
            <v>0</v>
          </cell>
          <cell r="K39">
            <v>2</v>
          </cell>
        </row>
        <row r="40">
          <cell r="A40" t="str">
            <v>24101</v>
          </cell>
          <cell r="B40" t="str">
            <v>07</v>
          </cell>
          <cell r="C40" t="str">
            <v>Castilla y León</v>
          </cell>
          <cell r="D40" t="str">
            <v>24</v>
          </cell>
          <cell r="E40" t="str">
            <v>León</v>
          </cell>
          <cell r="F40" t="str">
            <v>101</v>
          </cell>
          <cell r="G40" t="str">
            <v>5</v>
          </cell>
          <cell r="H40" t="str">
            <v>Murias de Paredes</v>
          </cell>
          <cell r="I40" t="str">
            <v>24101</v>
          </cell>
          <cell r="J40">
            <v>0</v>
          </cell>
          <cell r="K40">
            <v>2</v>
          </cell>
        </row>
        <row r="41">
          <cell r="A41" t="str">
            <v>24103</v>
          </cell>
          <cell r="B41" t="str">
            <v>07</v>
          </cell>
          <cell r="C41" t="str">
            <v>Castilla y León</v>
          </cell>
          <cell r="D41" t="str">
            <v>24</v>
          </cell>
          <cell r="E41" t="str">
            <v>León</v>
          </cell>
          <cell r="F41" t="str">
            <v>103</v>
          </cell>
          <cell r="G41" t="str">
            <v>6</v>
          </cell>
          <cell r="H41" t="str">
            <v>Oencia</v>
          </cell>
          <cell r="I41" t="str">
            <v>24103</v>
          </cell>
          <cell r="J41">
            <v>0</v>
          </cell>
          <cell r="K41">
            <v>2</v>
          </cell>
        </row>
        <row r="42">
          <cell r="A42" t="str">
            <v>24104</v>
          </cell>
          <cell r="B42" t="str">
            <v>07</v>
          </cell>
          <cell r="C42" t="str">
            <v>Castilla y León</v>
          </cell>
          <cell r="D42" t="str">
            <v>24</v>
          </cell>
          <cell r="E42" t="str">
            <v>León</v>
          </cell>
          <cell r="F42" t="str">
            <v>104</v>
          </cell>
          <cell r="G42" t="str">
            <v>1</v>
          </cell>
          <cell r="H42" t="str">
            <v>Omañas, Las</v>
          </cell>
          <cell r="I42" t="str">
            <v>24104</v>
          </cell>
          <cell r="J42">
            <v>0</v>
          </cell>
          <cell r="K42">
            <v>2</v>
          </cell>
        </row>
        <row r="43">
          <cell r="A43" t="str">
            <v>24112</v>
          </cell>
          <cell r="B43" t="str">
            <v>07</v>
          </cell>
          <cell r="C43" t="str">
            <v>Castilla y León</v>
          </cell>
          <cell r="D43" t="str">
            <v>24</v>
          </cell>
          <cell r="E43" t="str">
            <v>León</v>
          </cell>
          <cell r="F43" t="str">
            <v>112</v>
          </cell>
          <cell r="G43" t="str">
            <v>8</v>
          </cell>
          <cell r="H43" t="str">
            <v>Peranzanes</v>
          </cell>
          <cell r="I43" t="str">
            <v>24112</v>
          </cell>
          <cell r="J43">
            <v>0</v>
          </cell>
          <cell r="K43">
            <v>2</v>
          </cell>
        </row>
        <row r="44">
          <cell r="A44" t="str">
            <v>24116</v>
          </cell>
          <cell r="B44" t="str">
            <v>07</v>
          </cell>
          <cell r="C44" t="str">
            <v>Castilla y León</v>
          </cell>
          <cell r="D44" t="str">
            <v>24</v>
          </cell>
          <cell r="E44" t="str">
            <v>León</v>
          </cell>
          <cell r="F44" t="str">
            <v>116</v>
          </cell>
          <cell r="G44" t="str">
            <v>5</v>
          </cell>
          <cell r="H44" t="str">
            <v>Posada de Valdeón</v>
          </cell>
          <cell r="I44" t="str">
            <v>24116</v>
          </cell>
          <cell r="J44">
            <v>0</v>
          </cell>
          <cell r="K44">
            <v>2</v>
          </cell>
        </row>
        <row r="45">
          <cell r="A45" t="str">
            <v>24118</v>
          </cell>
          <cell r="B45" t="str">
            <v>07</v>
          </cell>
          <cell r="C45" t="str">
            <v>Castilla y León</v>
          </cell>
          <cell r="D45" t="str">
            <v>24</v>
          </cell>
          <cell r="E45" t="str">
            <v>León</v>
          </cell>
          <cell r="F45" t="str">
            <v>118</v>
          </cell>
          <cell r="G45" t="str">
            <v>7</v>
          </cell>
          <cell r="H45" t="str">
            <v>Prado de la Guzpeña</v>
          </cell>
          <cell r="I45" t="str">
            <v>24118</v>
          </cell>
          <cell r="J45">
            <v>0</v>
          </cell>
          <cell r="K45">
            <v>2</v>
          </cell>
        </row>
        <row r="46">
          <cell r="A46" t="str">
            <v>24119</v>
          </cell>
          <cell r="B46" t="str">
            <v>07</v>
          </cell>
          <cell r="C46" t="str">
            <v>Castilla y León</v>
          </cell>
          <cell r="D46" t="str">
            <v>24</v>
          </cell>
          <cell r="E46" t="str">
            <v>León</v>
          </cell>
          <cell r="F46" t="str">
            <v>119</v>
          </cell>
          <cell r="G46" t="str">
            <v>0</v>
          </cell>
          <cell r="H46" t="str">
            <v>Priaranza del Bierzo</v>
          </cell>
          <cell r="I46" t="str">
            <v>24119</v>
          </cell>
          <cell r="J46">
            <v>0</v>
          </cell>
          <cell r="K46">
            <v>2</v>
          </cell>
        </row>
        <row r="47">
          <cell r="A47" t="str">
            <v>24120</v>
          </cell>
          <cell r="B47" t="str">
            <v>07</v>
          </cell>
          <cell r="C47" t="str">
            <v>Castilla y León</v>
          </cell>
          <cell r="D47" t="str">
            <v>24</v>
          </cell>
          <cell r="E47" t="str">
            <v>León</v>
          </cell>
          <cell r="F47" t="str">
            <v>120</v>
          </cell>
          <cell r="G47" t="str">
            <v>4</v>
          </cell>
          <cell r="H47" t="str">
            <v>Prioro</v>
          </cell>
          <cell r="I47" t="str">
            <v>24120</v>
          </cell>
          <cell r="J47">
            <v>0</v>
          </cell>
          <cell r="K47">
            <v>2</v>
          </cell>
        </row>
        <row r="48">
          <cell r="A48" t="str">
            <v>24121</v>
          </cell>
          <cell r="B48" t="str">
            <v>07</v>
          </cell>
          <cell r="C48" t="str">
            <v>Castilla y León</v>
          </cell>
          <cell r="D48" t="str">
            <v>24</v>
          </cell>
          <cell r="E48" t="str">
            <v>León</v>
          </cell>
          <cell r="F48" t="str">
            <v>121</v>
          </cell>
          <cell r="G48" t="str">
            <v>1</v>
          </cell>
          <cell r="H48" t="str">
            <v>Puebla de Lillo</v>
          </cell>
          <cell r="I48" t="str">
            <v>24121</v>
          </cell>
          <cell r="J48">
            <v>0</v>
          </cell>
          <cell r="K48">
            <v>2</v>
          </cell>
        </row>
        <row r="49">
          <cell r="A49" t="str">
            <v>24122</v>
          </cell>
          <cell r="B49" t="str">
            <v>07</v>
          </cell>
          <cell r="C49" t="str">
            <v>Castilla y León</v>
          </cell>
          <cell r="D49" t="str">
            <v>24</v>
          </cell>
          <cell r="E49" t="str">
            <v>León</v>
          </cell>
          <cell r="F49" t="str">
            <v>122</v>
          </cell>
          <cell r="G49" t="str">
            <v>6</v>
          </cell>
          <cell r="H49" t="str">
            <v>Puente de Domingo Flórez</v>
          </cell>
          <cell r="I49" t="str">
            <v>24122</v>
          </cell>
          <cell r="J49">
            <v>0</v>
          </cell>
          <cell r="K49">
            <v>2</v>
          </cell>
        </row>
        <row r="50">
          <cell r="A50" t="str">
            <v>24123</v>
          </cell>
          <cell r="B50" t="str">
            <v>07</v>
          </cell>
          <cell r="C50" t="str">
            <v>Castilla y León</v>
          </cell>
          <cell r="D50" t="str">
            <v>24</v>
          </cell>
          <cell r="E50" t="str">
            <v>León</v>
          </cell>
          <cell r="F50" t="str">
            <v>123</v>
          </cell>
          <cell r="G50" t="str">
            <v>2</v>
          </cell>
          <cell r="H50" t="str">
            <v>Quintana del Castillo</v>
          </cell>
          <cell r="I50" t="str">
            <v>24123</v>
          </cell>
          <cell r="J50">
            <v>0</v>
          </cell>
          <cell r="K50">
            <v>2</v>
          </cell>
        </row>
        <row r="51">
          <cell r="A51" t="str">
            <v>24129</v>
          </cell>
          <cell r="B51" t="str">
            <v>07</v>
          </cell>
          <cell r="C51" t="str">
            <v>Castilla y León</v>
          </cell>
          <cell r="D51" t="str">
            <v>24</v>
          </cell>
          <cell r="E51" t="str">
            <v>León</v>
          </cell>
          <cell r="F51" t="str">
            <v>129</v>
          </cell>
          <cell r="G51" t="str">
            <v>8</v>
          </cell>
          <cell r="H51" t="str">
            <v>Reyero</v>
          </cell>
          <cell r="I51" t="str">
            <v>24129</v>
          </cell>
          <cell r="J51">
            <v>0</v>
          </cell>
          <cell r="K51">
            <v>2</v>
          </cell>
        </row>
        <row r="52">
          <cell r="A52" t="str">
            <v>24130</v>
          </cell>
          <cell r="B52" t="str">
            <v>07</v>
          </cell>
          <cell r="C52" t="str">
            <v>Castilla y León</v>
          </cell>
          <cell r="D52" t="str">
            <v>24</v>
          </cell>
          <cell r="E52" t="str">
            <v>León</v>
          </cell>
          <cell r="F52" t="str">
            <v>130</v>
          </cell>
          <cell r="G52" t="str">
            <v>2</v>
          </cell>
          <cell r="H52" t="str">
            <v>Riaño</v>
          </cell>
          <cell r="I52" t="str">
            <v>24130</v>
          </cell>
          <cell r="J52">
            <v>0</v>
          </cell>
          <cell r="K52">
            <v>2</v>
          </cell>
        </row>
        <row r="53">
          <cell r="A53" t="str">
            <v>24132</v>
          </cell>
          <cell r="B53" t="str">
            <v>07</v>
          </cell>
          <cell r="C53" t="str">
            <v>Castilla y León</v>
          </cell>
          <cell r="D53" t="str">
            <v>24</v>
          </cell>
          <cell r="E53" t="str">
            <v>León</v>
          </cell>
          <cell r="F53" t="str">
            <v>132</v>
          </cell>
          <cell r="G53" t="str">
            <v>4</v>
          </cell>
          <cell r="H53" t="str">
            <v>Riello</v>
          </cell>
          <cell r="I53" t="str">
            <v>24132</v>
          </cell>
          <cell r="J53">
            <v>0</v>
          </cell>
          <cell r="K53">
            <v>2</v>
          </cell>
        </row>
        <row r="54">
          <cell r="A54" t="str">
            <v>24133</v>
          </cell>
          <cell r="B54" t="str">
            <v>07</v>
          </cell>
          <cell r="C54" t="str">
            <v>Castilla y León</v>
          </cell>
          <cell r="D54" t="str">
            <v>24</v>
          </cell>
          <cell r="E54" t="str">
            <v>León</v>
          </cell>
          <cell r="F54" t="str">
            <v>133</v>
          </cell>
          <cell r="G54" t="str">
            <v>0</v>
          </cell>
          <cell r="H54" t="str">
            <v>Rioseco de Tapia</v>
          </cell>
          <cell r="I54" t="str">
            <v>24133</v>
          </cell>
          <cell r="J54">
            <v>0</v>
          </cell>
          <cell r="K54">
            <v>2</v>
          </cell>
        </row>
        <row r="55">
          <cell r="A55" t="str">
            <v>24143</v>
          </cell>
          <cell r="B55" t="str">
            <v>07</v>
          </cell>
          <cell r="C55" t="str">
            <v>Castilla y León</v>
          </cell>
          <cell r="D55" t="str">
            <v>24</v>
          </cell>
          <cell r="E55" t="str">
            <v>León</v>
          </cell>
          <cell r="F55" t="str">
            <v>143</v>
          </cell>
          <cell r="G55" t="str">
            <v>8</v>
          </cell>
          <cell r="H55" t="str">
            <v>Sancedo</v>
          </cell>
          <cell r="I55" t="str">
            <v>24143</v>
          </cell>
          <cell r="J55">
            <v>0</v>
          </cell>
          <cell r="K55">
            <v>2</v>
          </cell>
        </row>
        <row r="56">
          <cell r="A56" t="str">
            <v>24151</v>
          </cell>
          <cell r="B56" t="str">
            <v>07</v>
          </cell>
          <cell r="C56" t="str">
            <v>Castilla y León</v>
          </cell>
          <cell r="D56" t="str">
            <v>24</v>
          </cell>
          <cell r="E56" t="str">
            <v>León</v>
          </cell>
          <cell r="F56" t="str">
            <v>151</v>
          </cell>
          <cell r="G56" t="str">
            <v>4</v>
          </cell>
          <cell r="H56" t="str">
            <v>Santa Colomba de Curueño</v>
          </cell>
          <cell r="I56" t="str">
            <v>24151</v>
          </cell>
          <cell r="J56">
            <v>0</v>
          </cell>
          <cell r="K56">
            <v>2</v>
          </cell>
        </row>
        <row r="57">
          <cell r="A57" t="str">
            <v>24152</v>
          </cell>
          <cell r="B57" t="str">
            <v>07</v>
          </cell>
          <cell r="C57" t="str">
            <v>Castilla y León</v>
          </cell>
          <cell r="D57" t="str">
            <v>24</v>
          </cell>
          <cell r="E57" t="str">
            <v>León</v>
          </cell>
          <cell r="F57" t="str">
            <v>152</v>
          </cell>
          <cell r="G57" t="str">
            <v>9</v>
          </cell>
          <cell r="H57" t="str">
            <v>Santa Colomba de Somoza</v>
          </cell>
          <cell r="I57" t="str">
            <v>24152</v>
          </cell>
          <cell r="J57">
            <v>0</v>
          </cell>
          <cell r="K57">
            <v>2</v>
          </cell>
        </row>
        <row r="58">
          <cell r="A58" t="str">
            <v>24158</v>
          </cell>
          <cell r="B58" t="str">
            <v>07</v>
          </cell>
          <cell r="C58" t="str">
            <v>Castilla y León</v>
          </cell>
          <cell r="D58" t="str">
            <v>24</v>
          </cell>
          <cell r="E58" t="str">
            <v>León</v>
          </cell>
          <cell r="F58" t="str">
            <v>158</v>
          </cell>
          <cell r="G58" t="str">
            <v>8</v>
          </cell>
          <cell r="H58" t="str">
            <v>Santa María de Ordás</v>
          </cell>
          <cell r="I58" t="str">
            <v>24158</v>
          </cell>
          <cell r="J58">
            <v>0</v>
          </cell>
          <cell r="K58">
            <v>2</v>
          </cell>
        </row>
        <row r="59">
          <cell r="A59" t="str">
            <v>24164</v>
          </cell>
          <cell r="B59" t="str">
            <v>07</v>
          </cell>
          <cell r="C59" t="str">
            <v>Castilla y León</v>
          </cell>
          <cell r="D59" t="str">
            <v>24</v>
          </cell>
          <cell r="E59" t="str">
            <v>León</v>
          </cell>
          <cell r="F59" t="str">
            <v>164</v>
          </cell>
          <cell r="G59" t="str">
            <v>8</v>
          </cell>
          <cell r="H59" t="str">
            <v>Sena de Luna</v>
          </cell>
          <cell r="I59" t="str">
            <v>24164</v>
          </cell>
          <cell r="J59">
            <v>0</v>
          </cell>
          <cell r="K59">
            <v>2</v>
          </cell>
        </row>
        <row r="60">
          <cell r="A60">
            <v>24165</v>
          </cell>
          <cell r="B60" t="str">
            <v>07</v>
          </cell>
          <cell r="C60" t="str">
            <v>Castilla y León</v>
          </cell>
          <cell r="D60" t="str">
            <v>24</v>
          </cell>
          <cell r="E60" t="str">
            <v>León</v>
          </cell>
          <cell r="F60" t="str">
            <v>165</v>
          </cell>
          <cell r="G60" t="str">
            <v>1</v>
          </cell>
          <cell r="H60" t="str">
            <v>Sobrado</v>
          </cell>
          <cell r="I60">
            <v>24165</v>
          </cell>
          <cell r="J60">
            <v>0</v>
          </cell>
          <cell r="K60">
            <v>2</v>
          </cell>
        </row>
        <row r="61">
          <cell r="A61" t="str">
            <v>24167</v>
          </cell>
          <cell r="B61" t="str">
            <v>07</v>
          </cell>
          <cell r="C61" t="str">
            <v>Castilla y León</v>
          </cell>
          <cell r="D61" t="str">
            <v>24</v>
          </cell>
          <cell r="E61" t="str">
            <v>León</v>
          </cell>
          <cell r="F61" t="str">
            <v>167</v>
          </cell>
          <cell r="G61" t="str">
            <v>0</v>
          </cell>
          <cell r="H61" t="str">
            <v>Soto y Amío</v>
          </cell>
          <cell r="I61" t="str">
            <v>24167</v>
          </cell>
          <cell r="J61">
            <v>0</v>
          </cell>
          <cell r="K61">
            <v>2</v>
          </cell>
        </row>
        <row r="62">
          <cell r="A62" t="str">
            <v>24171</v>
          </cell>
          <cell r="B62" t="str">
            <v>07</v>
          </cell>
          <cell r="C62" t="str">
            <v>Castilla y León</v>
          </cell>
          <cell r="D62" t="str">
            <v>24</v>
          </cell>
          <cell r="E62" t="str">
            <v>León</v>
          </cell>
          <cell r="F62" t="str">
            <v>171</v>
          </cell>
          <cell r="G62" t="str">
            <v>0</v>
          </cell>
          <cell r="H62" t="str">
            <v>Trabadelo</v>
          </cell>
          <cell r="I62" t="str">
            <v>24171</v>
          </cell>
          <cell r="J62">
            <v>0</v>
          </cell>
          <cell r="K62">
            <v>2</v>
          </cell>
        </row>
        <row r="63">
          <cell r="A63" t="str">
            <v>24172</v>
          </cell>
          <cell r="B63" t="str">
            <v>07</v>
          </cell>
          <cell r="C63" t="str">
            <v>Castilla y León</v>
          </cell>
          <cell r="D63" t="str">
            <v>24</v>
          </cell>
          <cell r="E63" t="str">
            <v>León</v>
          </cell>
          <cell r="F63" t="str">
            <v>172</v>
          </cell>
          <cell r="G63" t="str">
            <v>5</v>
          </cell>
          <cell r="H63" t="str">
            <v>Truchas</v>
          </cell>
          <cell r="I63" t="str">
            <v>24172</v>
          </cell>
          <cell r="J63">
            <v>0</v>
          </cell>
          <cell r="K63">
            <v>2</v>
          </cell>
        </row>
        <row r="64">
          <cell r="A64" t="str">
            <v>24177</v>
          </cell>
          <cell r="B64" t="str">
            <v>07</v>
          </cell>
          <cell r="C64" t="str">
            <v>Castilla y León</v>
          </cell>
          <cell r="D64" t="str">
            <v>24</v>
          </cell>
          <cell r="E64" t="str">
            <v>León</v>
          </cell>
          <cell r="F64" t="str">
            <v>177</v>
          </cell>
          <cell r="G64" t="str">
            <v>8</v>
          </cell>
          <cell r="H64" t="str">
            <v>Valdelugueros</v>
          </cell>
          <cell r="I64" t="str">
            <v>24177</v>
          </cell>
          <cell r="J64">
            <v>0</v>
          </cell>
          <cell r="K64">
            <v>2</v>
          </cell>
        </row>
        <row r="65">
          <cell r="A65" t="str">
            <v>24193</v>
          </cell>
          <cell r="B65" t="str">
            <v>07</v>
          </cell>
          <cell r="C65" t="str">
            <v>Castilla y León</v>
          </cell>
          <cell r="D65" t="str">
            <v>24</v>
          </cell>
          <cell r="E65" t="str">
            <v>León</v>
          </cell>
          <cell r="F65" t="str">
            <v>193</v>
          </cell>
          <cell r="G65" t="str">
            <v>7</v>
          </cell>
          <cell r="H65" t="str">
            <v>Vecilla, La</v>
          </cell>
          <cell r="I65" t="str">
            <v>24193</v>
          </cell>
          <cell r="J65">
            <v>0</v>
          </cell>
          <cell r="K65">
            <v>2</v>
          </cell>
        </row>
        <row r="66">
          <cell r="A66" t="str">
            <v>24198</v>
          </cell>
          <cell r="B66" t="str">
            <v>07</v>
          </cell>
          <cell r="C66" t="str">
            <v>Castilla y León</v>
          </cell>
          <cell r="D66" t="str">
            <v>24</v>
          </cell>
          <cell r="E66" t="str">
            <v>León</v>
          </cell>
          <cell r="F66" t="str">
            <v>198</v>
          </cell>
          <cell r="G66" t="str">
            <v>0</v>
          </cell>
          <cell r="H66" t="str">
            <v>Vega de Valcarce</v>
          </cell>
          <cell r="I66" t="str">
            <v>24198</v>
          </cell>
          <cell r="J66">
            <v>0</v>
          </cell>
          <cell r="K66">
            <v>2</v>
          </cell>
        </row>
        <row r="67">
          <cell r="A67" t="str">
            <v>24199</v>
          </cell>
          <cell r="B67" t="str">
            <v>07</v>
          </cell>
          <cell r="C67" t="str">
            <v>Castilla y León</v>
          </cell>
          <cell r="D67" t="str">
            <v>24</v>
          </cell>
          <cell r="E67" t="str">
            <v>León</v>
          </cell>
          <cell r="F67" t="str">
            <v>199</v>
          </cell>
          <cell r="G67" t="str">
            <v>3</v>
          </cell>
          <cell r="H67" t="str">
            <v>Vegaquemada</v>
          </cell>
          <cell r="I67" t="str">
            <v>24199</v>
          </cell>
          <cell r="J67">
            <v>0</v>
          </cell>
          <cell r="K67">
            <v>2</v>
          </cell>
        </row>
        <row r="68">
          <cell r="A68" t="str">
            <v>24206</v>
          </cell>
          <cell r="B68" t="str">
            <v>07</v>
          </cell>
          <cell r="C68" t="str">
            <v>Castilla y León</v>
          </cell>
          <cell r="D68" t="str">
            <v>24</v>
          </cell>
          <cell r="E68" t="str">
            <v>León</v>
          </cell>
          <cell r="F68" t="str">
            <v>206</v>
          </cell>
          <cell r="G68" t="str">
            <v>6</v>
          </cell>
          <cell r="H68" t="str">
            <v>Toral de los Vados</v>
          </cell>
          <cell r="I68" t="str">
            <v>24206</v>
          </cell>
          <cell r="J68">
            <v>0</v>
          </cell>
          <cell r="K68">
            <v>2</v>
          </cell>
        </row>
        <row r="69">
          <cell r="A69" t="str">
            <v>24209</v>
          </cell>
          <cell r="B69" t="str">
            <v>07</v>
          </cell>
          <cell r="C69" t="str">
            <v>Castilla y León</v>
          </cell>
          <cell r="D69" t="str">
            <v>24</v>
          </cell>
          <cell r="E69" t="str">
            <v>León</v>
          </cell>
          <cell r="F69" t="str">
            <v>209</v>
          </cell>
          <cell r="G69" t="str">
            <v>1</v>
          </cell>
          <cell r="H69" t="str">
            <v>Villafranca del Bierzo</v>
          </cell>
          <cell r="I69" t="str">
            <v>24209</v>
          </cell>
          <cell r="J69">
            <v>0</v>
          </cell>
          <cell r="K69">
            <v>2</v>
          </cell>
        </row>
        <row r="70">
          <cell r="A70" t="str">
            <v>33004</v>
          </cell>
          <cell r="B70" t="str">
            <v>03</v>
          </cell>
          <cell r="C70" t="str">
            <v>Asturias, Principado de</v>
          </cell>
          <cell r="D70" t="str">
            <v>33</v>
          </cell>
          <cell r="E70" t="str">
            <v>Asturias</v>
          </cell>
          <cell r="F70" t="str">
            <v>004</v>
          </cell>
          <cell r="G70" t="str">
            <v>5</v>
          </cell>
          <cell r="H70" t="str">
            <v>Avilés</v>
          </cell>
          <cell r="I70" t="str">
            <v>33004</v>
          </cell>
          <cell r="J70">
            <v>0</v>
          </cell>
          <cell r="K70">
            <v>2</v>
          </cell>
        </row>
        <row r="71">
          <cell r="A71" t="str">
            <v>33005</v>
          </cell>
          <cell r="B71" t="str">
            <v>03</v>
          </cell>
          <cell r="C71" t="str">
            <v>Asturias, Principado de</v>
          </cell>
          <cell r="D71" t="str">
            <v>33</v>
          </cell>
          <cell r="E71" t="str">
            <v>Asturias</v>
          </cell>
          <cell r="F71" t="str">
            <v>005</v>
          </cell>
          <cell r="G71" t="str">
            <v>8</v>
          </cell>
          <cell r="H71" t="str">
            <v>Belmonte de Miranda</v>
          </cell>
          <cell r="I71" t="str">
            <v>33005</v>
          </cell>
          <cell r="J71">
            <v>0</v>
          </cell>
          <cell r="K71">
            <v>2</v>
          </cell>
        </row>
        <row r="72">
          <cell r="A72" t="str">
            <v>33009</v>
          </cell>
          <cell r="B72" t="str">
            <v>03</v>
          </cell>
          <cell r="C72" t="str">
            <v>Asturias, Principado de</v>
          </cell>
          <cell r="D72" t="str">
            <v>33</v>
          </cell>
          <cell r="E72" t="str">
            <v>Asturias</v>
          </cell>
          <cell r="F72" t="str">
            <v>009</v>
          </cell>
          <cell r="G72" t="str">
            <v>6</v>
          </cell>
          <cell r="H72" t="str">
            <v>Cabranes</v>
          </cell>
          <cell r="I72" t="str">
            <v>33009</v>
          </cell>
          <cell r="J72">
            <v>0</v>
          </cell>
          <cell r="K72">
            <v>2</v>
          </cell>
        </row>
        <row r="73">
          <cell r="A73" t="str">
            <v>33013</v>
          </cell>
          <cell r="B73" t="str">
            <v>03</v>
          </cell>
          <cell r="C73" t="str">
            <v>Asturias, Principado de</v>
          </cell>
          <cell r="D73" t="str">
            <v>33</v>
          </cell>
          <cell r="E73" t="str">
            <v>Asturias</v>
          </cell>
          <cell r="F73" t="str">
            <v>013</v>
          </cell>
          <cell r="G73" t="str">
            <v>8</v>
          </cell>
          <cell r="H73" t="str">
            <v>Caravia</v>
          </cell>
          <cell r="I73" t="str">
            <v>33013</v>
          </cell>
          <cell r="J73">
            <v>0</v>
          </cell>
          <cell r="K73">
            <v>2</v>
          </cell>
        </row>
        <row r="74">
          <cell r="A74" t="str">
            <v>33016</v>
          </cell>
          <cell r="B74" t="str">
            <v>03</v>
          </cell>
          <cell r="C74" t="str">
            <v>Asturias, Principado de</v>
          </cell>
          <cell r="D74" t="str">
            <v>33</v>
          </cell>
          <cell r="E74" t="str">
            <v>Asturias</v>
          </cell>
          <cell r="F74" t="str">
            <v>016</v>
          </cell>
          <cell r="G74" t="str">
            <v>9</v>
          </cell>
          <cell r="H74" t="str">
            <v>Castrillón</v>
          </cell>
          <cell r="I74" t="str">
            <v>33016</v>
          </cell>
          <cell r="J74">
            <v>0</v>
          </cell>
          <cell r="K74">
            <v>2</v>
          </cell>
        </row>
        <row r="75">
          <cell r="A75" t="str">
            <v>33019</v>
          </cell>
          <cell r="B75" t="str">
            <v>03</v>
          </cell>
          <cell r="C75" t="str">
            <v>Asturias, Principado de</v>
          </cell>
          <cell r="D75" t="str">
            <v>33</v>
          </cell>
          <cell r="E75" t="str">
            <v>Asturias</v>
          </cell>
          <cell r="F75" t="str">
            <v>019</v>
          </cell>
          <cell r="G75" t="str">
            <v>4</v>
          </cell>
          <cell r="H75" t="str">
            <v>Colunga</v>
          </cell>
          <cell r="I75" t="str">
            <v>33019</v>
          </cell>
          <cell r="J75">
            <v>0</v>
          </cell>
          <cell r="K75">
            <v>2</v>
          </cell>
        </row>
        <row r="76">
          <cell r="A76" t="str">
            <v>33026</v>
          </cell>
          <cell r="B76" t="str">
            <v>03</v>
          </cell>
          <cell r="C76" t="str">
            <v>Asturias, Principado de</v>
          </cell>
          <cell r="D76" t="str">
            <v>33</v>
          </cell>
          <cell r="E76" t="str">
            <v>Asturias</v>
          </cell>
          <cell r="F76" t="str">
            <v>026</v>
          </cell>
          <cell r="G76" t="str">
            <v>7</v>
          </cell>
          <cell r="H76" t="str">
            <v>Grado</v>
          </cell>
          <cell r="I76" t="str">
            <v>33026</v>
          </cell>
          <cell r="J76">
            <v>0</v>
          </cell>
          <cell r="K76">
            <v>2</v>
          </cell>
        </row>
        <row r="77">
          <cell r="A77" t="str">
            <v>33030</v>
          </cell>
          <cell r="B77" t="str">
            <v>03</v>
          </cell>
          <cell r="C77" t="str">
            <v>Asturias, Principado de</v>
          </cell>
          <cell r="D77" t="str">
            <v>33</v>
          </cell>
          <cell r="E77" t="str">
            <v>Asturias</v>
          </cell>
          <cell r="F77" t="str">
            <v>030</v>
          </cell>
          <cell r="G77" t="str">
            <v>6</v>
          </cell>
          <cell r="H77" t="str">
            <v>Illas</v>
          </cell>
          <cell r="I77" t="str">
            <v>33030</v>
          </cell>
          <cell r="J77">
            <v>0</v>
          </cell>
          <cell r="K77">
            <v>2</v>
          </cell>
        </row>
        <row r="78">
          <cell r="A78" t="str">
            <v>33034</v>
          </cell>
          <cell r="B78" t="str">
            <v>03</v>
          </cell>
          <cell r="C78" t="str">
            <v>Asturias, Principado de</v>
          </cell>
          <cell r="D78" t="str">
            <v>33</v>
          </cell>
          <cell r="E78" t="str">
            <v>Asturias</v>
          </cell>
          <cell r="F78" t="str">
            <v>034</v>
          </cell>
          <cell r="G78" t="str">
            <v>9</v>
          </cell>
          <cell r="H78" t="str">
            <v>Valdés</v>
          </cell>
          <cell r="I78" t="str">
            <v>33034</v>
          </cell>
          <cell r="J78">
            <v>0</v>
          </cell>
          <cell r="K78">
            <v>2</v>
          </cell>
        </row>
        <row r="79">
          <cell r="A79" t="str">
            <v>33040</v>
          </cell>
          <cell r="B79" t="str">
            <v>03</v>
          </cell>
          <cell r="C79" t="str">
            <v>Asturias, Principado de</v>
          </cell>
          <cell r="D79" t="str">
            <v>33</v>
          </cell>
          <cell r="E79" t="str">
            <v>Asturias</v>
          </cell>
          <cell r="F79" t="str">
            <v>040</v>
          </cell>
          <cell r="G79" t="str">
            <v>4</v>
          </cell>
          <cell r="H79" t="str">
            <v>Nava</v>
          </cell>
          <cell r="I79" t="str">
            <v>33040</v>
          </cell>
          <cell r="J79">
            <v>0</v>
          </cell>
          <cell r="K79">
            <v>2</v>
          </cell>
        </row>
        <row r="80">
          <cell r="A80" t="str">
            <v>33042</v>
          </cell>
          <cell r="B80" t="str">
            <v>03</v>
          </cell>
          <cell r="C80" t="str">
            <v>Asturias, Principado de</v>
          </cell>
          <cell r="D80" t="str">
            <v>33</v>
          </cell>
          <cell r="E80" t="str">
            <v>Asturias</v>
          </cell>
          <cell r="F80" t="str">
            <v>042</v>
          </cell>
          <cell r="G80" t="str">
            <v>6</v>
          </cell>
          <cell r="H80" t="str">
            <v>Noreña</v>
          </cell>
          <cell r="I80" t="str">
            <v>33042</v>
          </cell>
          <cell r="J80">
            <v>0</v>
          </cell>
          <cell r="K80">
            <v>2</v>
          </cell>
        </row>
        <row r="81">
          <cell r="A81" t="str">
            <v>33044</v>
          </cell>
          <cell r="B81" t="str">
            <v>03</v>
          </cell>
          <cell r="C81" t="str">
            <v>Asturias, Principado de</v>
          </cell>
          <cell r="D81" t="str">
            <v>33</v>
          </cell>
          <cell r="E81" t="str">
            <v>Asturias</v>
          </cell>
          <cell r="F81" t="str">
            <v>044</v>
          </cell>
          <cell r="G81" t="str">
            <v>7</v>
          </cell>
          <cell r="H81" t="str">
            <v>Oviedo</v>
          </cell>
          <cell r="I81" t="str">
            <v>33044</v>
          </cell>
          <cell r="J81">
            <v>0</v>
          </cell>
          <cell r="K81">
            <v>2</v>
          </cell>
        </row>
        <row r="82">
          <cell r="A82" t="str">
            <v>33045</v>
          </cell>
          <cell r="B82" t="str">
            <v>03</v>
          </cell>
          <cell r="C82" t="str">
            <v>Asturias, Principado de</v>
          </cell>
          <cell r="D82" t="str">
            <v>33</v>
          </cell>
          <cell r="E82" t="str">
            <v>Asturias</v>
          </cell>
          <cell r="F82" t="str">
            <v>045</v>
          </cell>
          <cell r="G82" t="str">
            <v>0</v>
          </cell>
          <cell r="H82" t="str">
            <v>Parres</v>
          </cell>
          <cell r="I82" t="str">
            <v>33045</v>
          </cell>
          <cell r="J82">
            <v>0</v>
          </cell>
          <cell r="K82">
            <v>2</v>
          </cell>
        </row>
        <row r="83">
          <cell r="A83" t="str">
            <v>33050</v>
          </cell>
          <cell r="B83" t="str">
            <v>03</v>
          </cell>
          <cell r="C83" t="str">
            <v>Asturias, Principado de</v>
          </cell>
          <cell r="D83" t="str">
            <v>33</v>
          </cell>
          <cell r="E83" t="str">
            <v>Asturias</v>
          </cell>
          <cell r="F83" t="str">
            <v>050</v>
          </cell>
          <cell r="G83" t="str">
            <v>1</v>
          </cell>
          <cell r="H83" t="str">
            <v>Ponga</v>
          </cell>
          <cell r="I83" t="str">
            <v>33050</v>
          </cell>
          <cell r="J83">
            <v>0</v>
          </cell>
          <cell r="K83">
            <v>2</v>
          </cell>
        </row>
        <row r="84">
          <cell r="A84" t="str">
            <v>33052</v>
          </cell>
          <cell r="B84" t="str">
            <v>03</v>
          </cell>
          <cell r="C84" t="str">
            <v>Asturias, Principado de</v>
          </cell>
          <cell r="D84" t="str">
            <v>33</v>
          </cell>
          <cell r="E84" t="str">
            <v>Asturias</v>
          </cell>
          <cell r="F84" t="str">
            <v>052</v>
          </cell>
          <cell r="G84" t="str">
            <v>3</v>
          </cell>
          <cell r="H84" t="str">
            <v>Proaza</v>
          </cell>
          <cell r="I84" t="str">
            <v>33052</v>
          </cell>
          <cell r="J84">
            <v>0</v>
          </cell>
          <cell r="K84">
            <v>2</v>
          </cell>
        </row>
        <row r="85">
          <cell r="A85" t="str">
            <v>33054</v>
          </cell>
          <cell r="B85" t="str">
            <v>03</v>
          </cell>
          <cell r="C85" t="str">
            <v>Asturias, Principado de</v>
          </cell>
          <cell r="D85" t="str">
            <v>33</v>
          </cell>
          <cell r="E85" t="str">
            <v>Asturias</v>
          </cell>
          <cell r="F85" t="str">
            <v>054</v>
          </cell>
          <cell r="G85" t="str">
            <v>4</v>
          </cell>
          <cell r="H85" t="str">
            <v>Regueras, Las</v>
          </cell>
          <cell r="I85" t="str">
            <v>33054</v>
          </cell>
          <cell r="J85">
            <v>0</v>
          </cell>
          <cell r="K85">
            <v>2</v>
          </cell>
        </row>
        <row r="86">
          <cell r="A86" t="str">
            <v>33064</v>
          </cell>
          <cell r="B86" t="str">
            <v>03</v>
          </cell>
          <cell r="C86" t="str">
            <v>Asturias, Principado de</v>
          </cell>
          <cell r="D86" t="str">
            <v>33</v>
          </cell>
          <cell r="E86" t="str">
            <v>Asturias</v>
          </cell>
          <cell r="F86" t="str">
            <v>064</v>
          </cell>
          <cell r="G86" t="str">
            <v>2</v>
          </cell>
          <cell r="H86" t="str">
            <v>Santo Adriano</v>
          </cell>
          <cell r="I86" t="str">
            <v>33064</v>
          </cell>
          <cell r="J86">
            <v>0</v>
          </cell>
          <cell r="K86">
            <v>2</v>
          </cell>
        </row>
        <row r="87">
          <cell r="A87" t="str">
            <v>33065</v>
          </cell>
          <cell r="B87" t="str">
            <v>03</v>
          </cell>
          <cell r="C87" t="str">
            <v>Asturias, Principado de</v>
          </cell>
          <cell r="D87" t="str">
            <v>33</v>
          </cell>
          <cell r="E87" t="str">
            <v>Asturias</v>
          </cell>
          <cell r="F87" t="str">
            <v>065</v>
          </cell>
          <cell r="G87" t="str">
            <v>5</v>
          </cell>
          <cell r="H87" t="str">
            <v>Sariego</v>
          </cell>
          <cell r="I87" t="str">
            <v>33065</v>
          </cell>
          <cell r="J87">
            <v>0</v>
          </cell>
          <cell r="K87">
            <v>2</v>
          </cell>
        </row>
        <row r="88">
          <cell r="A88" t="str">
            <v>33066</v>
          </cell>
          <cell r="B88" t="str">
            <v>03</v>
          </cell>
          <cell r="C88" t="str">
            <v>Asturias, Principado de</v>
          </cell>
          <cell r="D88" t="str">
            <v>33</v>
          </cell>
          <cell r="E88" t="str">
            <v>Asturias</v>
          </cell>
          <cell r="F88" t="str">
            <v>066</v>
          </cell>
          <cell r="G88" t="str">
            <v>8</v>
          </cell>
          <cell r="H88" t="str">
            <v>Siero</v>
          </cell>
          <cell r="I88" t="str">
            <v>33066</v>
          </cell>
          <cell r="J88">
            <v>0</v>
          </cell>
          <cell r="K88">
            <v>1</v>
          </cell>
        </row>
        <row r="89">
          <cell r="A89" t="str">
            <v>33068</v>
          </cell>
          <cell r="B89" t="str">
            <v>03</v>
          </cell>
          <cell r="C89" t="str">
            <v>Asturias, Principado de</v>
          </cell>
          <cell r="D89" t="str">
            <v>33</v>
          </cell>
          <cell r="E89" t="str">
            <v>Asturias</v>
          </cell>
          <cell r="F89" t="str">
            <v>068</v>
          </cell>
          <cell r="G89" t="str">
            <v>0</v>
          </cell>
          <cell r="H89" t="str">
            <v>Somiedo</v>
          </cell>
          <cell r="I89" t="str">
            <v>33068</v>
          </cell>
          <cell r="J89">
            <v>0</v>
          </cell>
          <cell r="K89">
            <v>2</v>
          </cell>
        </row>
        <row r="90">
          <cell r="A90" t="str">
            <v>33077</v>
          </cell>
          <cell r="B90" t="str">
            <v>03</v>
          </cell>
          <cell r="C90" t="str">
            <v>Asturias, Principado de</v>
          </cell>
          <cell r="D90" t="str">
            <v>33</v>
          </cell>
          <cell r="E90" t="str">
            <v>Asturias</v>
          </cell>
          <cell r="F90" t="str">
            <v>077</v>
          </cell>
          <cell r="G90" t="str">
            <v>2</v>
          </cell>
          <cell r="H90" t="str">
            <v>Villayón</v>
          </cell>
          <cell r="I90" t="str">
            <v>33077</v>
          </cell>
          <cell r="J90">
            <v>0</v>
          </cell>
          <cell r="K90">
            <v>2</v>
          </cell>
        </row>
        <row r="91">
          <cell r="A91" t="str">
            <v>33078</v>
          </cell>
          <cell r="B91" t="str">
            <v>03</v>
          </cell>
          <cell r="C91" t="str">
            <v>Asturias, Principado de</v>
          </cell>
          <cell r="D91" t="str">
            <v>33</v>
          </cell>
          <cell r="E91" t="str">
            <v>Asturias</v>
          </cell>
          <cell r="F91" t="str">
            <v>078</v>
          </cell>
          <cell r="G91" t="str">
            <v>8</v>
          </cell>
          <cell r="H91" t="str">
            <v>Yernes y Tameza</v>
          </cell>
          <cell r="I91" t="str">
            <v>33078</v>
          </cell>
          <cell r="J91">
            <v>0</v>
          </cell>
          <cell r="K91">
            <v>2</v>
          </cell>
        </row>
        <row r="92">
          <cell r="A92" t="str">
            <v>34004</v>
          </cell>
          <cell r="B92" t="str">
            <v>07</v>
          </cell>
          <cell r="C92" t="str">
            <v>Castilla y León</v>
          </cell>
          <cell r="D92" t="str">
            <v>34</v>
          </cell>
          <cell r="E92" t="str">
            <v>Palencia</v>
          </cell>
          <cell r="F92" t="str">
            <v>004</v>
          </cell>
          <cell r="G92" t="str">
            <v>0</v>
          </cell>
          <cell r="H92" t="str">
            <v>Aguilar de Campoo</v>
          </cell>
          <cell r="I92" t="str">
            <v>34004</v>
          </cell>
          <cell r="J92">
            <v>0</v>
          </cell>
          <cell r="K92">
            <v>2</v>
          </cell>
        </row>
        <row r="93">
          <cell r="A93" t="str">
            <v>34036</v>
          </cell>
          <cell r="B93" t="str">
            <v>07</v>
          </cell>
          <cell r="C93" t="str">
            <v>Castilla y León</v>
          </cell>
          <cell r="D93" t="str">
            <v>34</v>
          </cell>
          <cell r="E93" t="str">
            <v>Palencia</v>
          </cell>
          <cell r="F93" t="str">
            <v>036</v>
          </cell>
          <cell r="G93" t="str">
            <v>0</v>
          </cell>
          <cell r="H93" t="str">
            <v>Brañosera</v>
          </cell>
          <cell r="I93" t="str">
            <v>34036</v>
          </cell>
          <cell r="J93">
            <v>0</v>
          </cell>
          <cell r="K93">
            <v>2</v>
          </cell>
        </row>
        <row r="94">
          <cell r="A94" t="str">
            <v>34062</v>
          </cell>
          <cell r="B94" t="str">
            <v>07</v>
          </cell>
          <cell r="C94" t="str">
            <v>Castilla y León</v>
          </cell>
          <cell r="D94" t="str">
            <v>34</v>
          </cell>
          <cell r="E94" t="str">
            <v>Palencia</v>
          </cell>
          <cell r="F94" t="str">
            <v>062</v>
          </cell>
          <cell r="G94" t="str">
            <v>6</v>
          </cell>
          <cell r="H94" t="str">
            <v>Congosto de Valdavia</v>
          </cell>
          <cell r="I94" t="str">
            <v>34062</v>
          </cell>
          <cell r="J94">
            <v>0</v>
          </cell>
          <cell r="K94">
            <v>2</v>
          </cell>
        </row>
        <row r="95">
          <cell r="A95" t="str">
            <v>34067</v>
          </cell>
          <cell r="B95" t="str">
            <v>07</v>
          </cell>
          <cell r="C95" t="str">
            <v>Castilla y León</v>
          </cell>
          <cell r="D95" t="str">
            <v>34</v>
          </cell>
          <cell r="E95" t="str">
            <v>Palencia</v>
          </cell>
          <cell r="F95" t="str">
            <v>067</v>
          </cell>
          <cell r="G95" t="str">
            <v>9</v>
          </cell>
          <cell r="H95" t="str">
            <v>Dehesa de Montejo</v>
          </cell>
          <cell r="I95" t="str">
            <v>34067</v>
          </cell>
          <cell r="J95">
            <v>0</v>
          </cell>
          <cell r="K95">
            <v>2</v>
          </cell>
        </row>
        <row r="96">
          <cell r="A96" t="str">
            <v>34114</v>
          </cell>
          <cell r="B96" t="str">
            <v>07</v>
          </cell>
          <cell r="C96" t="str">
            <v>Castilla y León</v>
          </cell>
          <cell r="D96" t="str">
            <v>34</v>
          </cell>
          <cell r="E96" t="str">
            <v>Palencia</v>
          </cell>
          <cell r="F96" t="str">
            <v>114</v>
          </cell>
          <cell r="G96" t="str">
            <v>7</v>
          </cell>
          <cell r="H96" t="str">
            <v>Olmos de Ojeda</v>
          </cell>
          <cell r="I96" t="str">
            <v>34114</v>
          </cell>
          <cell r="J96">
            <v>0</v>
          </cell>
          <cell r="K96">
            <v>2</v>
          </cell>
        </row>
        <row r="97">
          <cell r="A97" t="str">
            <v>34124</v>
          </cell>
          <cell r="B97" t="str">
            <v>07</v>
          </cell>
          <cell r="C97" t="str">
            <v>Castilla y León</v>
          </cell>
          <cell r="D97" t="str">
            <v>34</v>
          </cell>
          <cell r="E97" t="str">
            <v>Palencia</v>
          </cell>
          <cell r="F97" t="str">
            <v>124</v>
          </cell>
          <cell r="G97" t="str">
            <v>5</v>
          </cell>
          <cell r="H97" t="str">
            <v>Payo de Ojeda</v>
          </cell>
          <cell r="I97" t="str">
            <v>34124</v>
          </cell>
          <cell r="J97">
            <v>0</v>
          </cell>
          <cell r="K97">
            <v>2</v>
          </cell>
        </row>
        <row r="98">
          <cell r="A98" t="str">
            <v>34151</v>
          </cell>
          <cell r="B98" t="str">
            <v>07</v>
          </cell>
          <cell r="C98" t="str">
            <v>Castilla y León</v>
          </cell>
          <cell r="D98" t="str">
            <v>34</v>
          </cell>
          <cell r="E98" t="str">
            <v>Palencia</v>
          </cell>
          <cell r="F98" t="str">
            <v>151</v>
          </cell>
          <cell r="G98" t="str">
            <v>2</v>
          </cell>
          <cell r="H98" t="str">
            <v>Respenda de la Peña</v>
          </cell>
          <cell r="I98" t="str">
            <v>34151</v>
          </cell>
          <cell r="J98">
            <v>0</v>
          </cell>
          <cell r="K98">
            <v>2</v>
          </cell>
        </row>
        <row r="99">
          <cell r="A99" t="str">
            <v>44004</v>
          </cell>
          <cell r="B99" t="str">
            <v>02</v>
          </cell>
          <cell r="C99" t="str">
            <v>Aragón</v>
          </cell>
          <cell r="D99" t="str">
            <v>44</v>
          </cell>
          <cell r="E99" t="str">
            <v>Teruel</v>
          </cell>
          <cell r="F99" t="str">
            <v>004</v>
          </cell>
          <cell r="G99" t="str">
            <v>8</v>
          </cell>
          <cell r="H99" t="str">
            <v>Aguaviva</v>
          </cell>
          <cell r="I99" t="str">
            <v>44004</v>
          </cell>
          <cell r="J99">
            <v>0</v>
          </cell>
          <cell r="K99">
            <v>2</v>
          </cell>
        </row>
        <row r="100">
          <cell r="A100" t="str">
            <v>44011</v>
          </cell>
          <cell r="B100" t="str">
            <v>02</v>
          </cell>
          <cell r="C100" t="str">
            <v>Aragón</v>
          </cell>
          <cell r="D100" t="str">
            <v>44</v>
          </cell>
          <cell r="E100" t="str">
            <v>Teruel</v>
          </cell>
          <cell r="F100" t="str">
            <v>011</v>
          </cell>
          <cell r="G100" t="str">
            <v>0</v>
          </cell>
          <cell r="H100" t="str">
            <v>Alcaine</v>
          </cell>
          <cell r="I100" t="str">
            <v>44011</v>
          </cell>
          <cell r="J100">
            <v>0</v>
          </cell>
          <cell r="K100">
            <v>2</v>
          </cell>
        </row>
        <row r="101">
          <cell r="A101" t="str">
            <v>44013</v>
          </cell>
          <cell r="B101" t="str">
            <v>02</v>
          </cell>
          <cell r="C101" t="str">
            <v>Aragón</v>
          </cell>
          <cell r="D101" t="str">
            <v>44</v>
          </cell>
          <cell r="E101" t="str">
            <v>Teruel</v>
          </cell>
          <cell r="F101" t="str">
            <v>013</v>
          </cell>
          <cell r="G101" t="str">
            <v>1</v>
          </cell>
          <cell r="H101" t="str">
            <v>Alcañiz</v>
          </cell>
          <cell r="I101" t="str">
            <v>44013</v>
          </cell>
          <cell r="J101">
            <v>0</v>
          </cell>
          <cell r="K101">
            <v>2</v>
          </cell>
        </row>
        <row r="102">
          <cell r="A102" t="str">
            <v>44017</v>
          </cell>
          <cell r="B102" t="str">
            <v>02</v>
          </cell>
          <cell r="C102" t="str">
            <v>Aragón</v>
          </cell>
          <cell r="D102" t="str">
            <v>44</v>
          </cell>
          <cell r="E102" t="str">
            <v>Teruel</v>
          </cell>
          <cell r="F102" t="str">
            <v>017</v>
          </cell>
          <cell r="G102" t="str">
            <v>8</v>
          </cell>
          <cell r="H102" t="str">
            <v>Aliaga</v>
          </cell>
          <cell r="I102" t="str">
            <v>44017</v>
          </cell>
          <cell r="J102">
            <v>0</v>
          </cell>
          <cell r="K102">
            <v>2</v>
          </cell>
        </row>
        <row r="103">
          <cell r="A103" t="str">
            <v>44020</v>
          </cell>
          <cell r="B103" t="str">
            <v>02</v>
          </cell>
          <cell r="C103" t="str">
            <v>Aragón</v>
          </cell>
          <cell r="D103" t="str">
            <v>44</v>
          </cell>
          <cell r="E103" t="str">
            <v>Teruel</v>
          </cell>
          <cell r="F103" t="str">
            <v>020</v>
          </cell>
          <cell r="G103" t="str">
            <v>1</v>
          </cell>
          <cell r="H103" t="str">
            <v>Alpeñés</v>
          </cell>
          <cell r="I103" t="str">
            <v>44020</v>
          </cell>
          <cell r="J103">
            <v>0</v>
          </cell>
          <cell r="K103">
            <v>2</v>
          </cell>
        </row>
        <row r="104">
          <cell r="A104" t="str">
            <v>44024</v>
          </cell>
          <cell r="B104" t="str">
            <v>02</v>
          </cell>
          <cell r="C104" t="str">
            <v>Aragón</v>
          </cell>
          <cell r="D104" t="str">
            <v>44</v>
          </cell>
          <cell r="E104" t="str">
            <v>Teruel</v>
          </cell>
          <cell r="F104" t="str">
            <v>024</v>
          </cell>
          <cell r="G104" t="str">
            <v>4</v>
          </cell>
          <cell r="H104" t="str">
            <v>Anadón</v>
          </cell>
          <cell r="I104" t="str">
            <v>44024</v>
          </cell>
          <cell r="J104">
            <v>0</v>
          </cell>
          <cell r="K104">
            <v>2</v>
          </cell>
        </row>
        <row r="105">
          <cell r="A105" t="str">
            <v>44038</v>
          </cell>
          <cell r="B105" t="str">
            <v>02</v>
          </cell>
          <cell r="C105" t="str">
            <v>Aragón</v>
          </cell>
          <cell r="D105" t="str">
            <v>44</v>
          </cell>
          <cell r="E105" t="str">
            <v>Teruel</v>
          </cell>
          <cell r="F105" t="str">
            <v>038</v>
          </cell>
          <cell r="G105" t="str">
            <v>0</v>
          </cell>
          <cell r="H105" t="str">
            <v>Belmonte de San José</v>
          </cell>
          <cell r="I105" t="str">
            <v>44038</v>
          </cell>
          <cell r="J105">
            <v>0</v>
          </cell>
          <cell r="K105">
            <v>2</v>
          </cell>
        </row>
        <row r="106">
          <cell r="A106" t="str">
            <v>44044</v>
          </cell>
          <cell r="B106" t="str">
            <v>02</v>
          </cell>
          <cell r="C106" t="str">
            <v>Aragón</v>
          </cell>
          <cell r="D106" t="str">
            <v>44</v>
          </cell>
          <cell r="E106" t="str">
            <v>Teruel</v>
          </cell>
          <cell r="F106" t="str">
            <v>044</v>
          </cell>
          <cell r="G106" t="str">
            <v>0</v>
          </cell>
          <cell r="H106" t="str">
            <v>Bordón</v>
          </cell>
          <cell r="I106" t="str">
            <v>44044</v>
          </cell>
          <cell r="J106">
            <v>0</v>
          </cell>
          <cell r="K106">
            <v>2</v>
          </cell>
        </row>
        <row r="107">
          <cell r="A107" t="str">
            <v>44055</v>
          </cell>
          <cell r="B107" t="str">
            <v>02</v>
          </cell>
          <cell r="C107" t="str">
            <v>Aragón</v>
          </cell>
          <cell r="D107" t="str">
            <v>44</v>
          </cell>
          <cell r="E107" t="str">
            <v>Teruel</v>
          </cell>
          <cell r="F107" t="str">
            <v>055</v>
          </cell>
          <cell r="G107" t="str">
            <v>0</v>
          </cell>
          <cell r="H107" t="str">
            <v>Camarillas</v>
          </cell>
          <cell r="I107" t="str">
            <v>44055</v>
          </cell>
          <cell r="J107">
            <v>0</v>
          </cell>
          <cell r="K107">
            <v>2</v>
          </cell>
        </row>
        <row r="108">
          <cell r="A108" t="str">
            <v>44061</v>
          </cell>
          <cell r="B108" t="str">
            <v>02</v>
          </cell>
          <cell r="C108" t="str">
            <v>Aragón</v>
          </cell>
          <cell r="D108" t="str">
            <v>44</v>
          </cell>
          <cell r="E108" t="str">
            <v>Teruel</v>
          </cell>
          <cell r="F108" t="str">
            <v>061</v>
          </cell>
          <cell r="G108" t="str">
            <v>9</v>
          </cell>
          <cell r="H108" t="str">
            <v>Cañada de Verich, La</v>
          </cell>
          <cell r="I108" t="str">
            <v>44061</v>
          </cell>
          <cell r="J108">
            <v>0</v>
          </cell>
          <cell r="K108">
            <v>2</v>
          </cell>
        </row>
        <row r="109">
          <cell r="A109" t="str">
            <v>44062</v>
          </cell>
          <cell r="B109" t="str">
            <v>02</v>
          </cell>
          <cell r="C109" t="str">
            <v>Aragón</v>
          </cell>
          <cell r="D109" t="str">
            <v>44</v>
          </cell>
          <cell r="E109" t="str">
            <v>Teruel</v>
          </cell>
          <cell r="F109" t="str">
            <v>062</v>
          </cell>
          <cell r="G109" t="str">
            <v>4</v>
          </cell>
          <cell r="H109" t="str">
            <v>Cañada Vellida</v>
          </cell>
          <cell r="I109" t="str">
            <v>44062</v>
          </cell>
          <cell r="J109">
            <v>0</v>
          </cell>
          <cell r="K109">
            <v>2</v>
          </cell>
        </row>
        <row r="110">
          <cell r="A110" t="str">
            <v>44068</v>
          </cell>
          <cell r="B110" t="str">
            <v>02</v>
          </cell>
          <cell r="C110" t="str">
            <v>Aragón</v>
          </cell>
          <cell r="D110" t="str">
            <v>44</v>
          </cell>
          <cell r="E110" t="str">
            <v>Teruel</v>
          </cell>
          <cell r="F110" t="str">
            <v>068</v>
          </cell>
          <cell r="G110" t="str">
            <v>3</v>
          </cell>
          <cell r="H110" t="str">
            <v>Castelserás</v>
          </cell>
          <cell r="I110" t="str">
            <v>44068</v>
          </cell>
          <cell r="J110">
            <v>0</v>
          </cell>
          <cell r="K110">
            <v>2</v>
          </cell>
        </row>
        <row r="111">
          <cell r="A111" t="str">
            <v>44077</v>
          </cell>
          <cell r="B111" t="str">
            <v>02</v>
          </cell>
          <cell r="C111" t="str">
            <v>Aragón</v>
          </cell>
          <cell r="D111" t="str">
            <v>44</v>
          </cell>
          <cell r="E111" t="str">
            <v>Teruel</v>
          </cell>
          <cell r="F111" t="str">
            <v>077</v>
          </cell>
          <cell r="G111" t="str">
            <v>5</v>
          </cell>
          <cell r="H111" t="str">
            <v>Cerollera, La</v>
          </cell>
          <cell r="I111" t="str">
            <v>44077</v>
          </cell>
          <cell r="J111">
            <v>0</v>
          </cell>
          <cell r="K111">
            <v>2</v>
          </cell>
        </row>
        <row r="112">
          <cell r="A112" t="str">
            <v>44080</v>
          </cell>
          <cell r="B112" t="str">
            <v>02</v>
          </cell>
          <cell r="C112" t="str">
            <v>Aragón</v>
          </cell>
          <cell r="D112" t="str">
            <v>44</v>
          </cell>
          <cell r="E112" t="str">
            <v>Teruel</v>
          </cell>
          <cell r="F112" t="str">
            <v>080</v>
          </cell>
          <cell r="G112" t="str">
            <v>8</v>
          </cell>
          <cell r="H112" t="str">
            <v>Codoñera, La</v>
          </cell>
          <cell r="I112" t="str">
            <v>44080</v>
          </cell>
          <cell r="J112">
            <v>0</v>
          </cell>
          <cell r="K112">
            <v>2</v>
          </cell>
        </row>
        <row r="113">
          <cell r="A113" t="str">
            <v>44085</v>
          </cell>
          <cell r="B113" t="str">
            <v>02</v>
          </cell>
          <cell r="C113" t="str">
            <v>Aragón</v>
          </cell>
          <cell r="D113" t="str">
            <v>44</v>
          </cell>
          <cell r="E113" t="str">
            <v>Teruel</v>
          </cell>
          <cell r="F113" t="str">
            <v>085</v>
          </cell>
          <cell r="G113" t="str">
            <v>4</v>
          </cell>
          <cell r="H113" t="str">
            <v>Cosa</v>
          </cell>
          <cell r="I113" t="str">
            <v>44085</v>
          </cell>
          <cell r="J113">
            <v>0</v>
          </cell>
          <cell r="K113">
            <v>2</v>
          </cell>
        </row>
        <row r="114">
          <cell r="A114" t="str">
            <v>44093</v>
          </cell>
          <cell r="B114" t="str">
            <v>02</v>
          </cell>
          <cell r="C114" t="str">
            <v>Aragón</v>
          </cell>
          <cell r="D114" t="str">
            <v>44</v>
          </cell>
          <cell r="E114" t="str">
            <v>Teruel</v>
          </cell>
          <cell r="F114" t="str">
            <v>093</v>
          </cell>
          <cell r="G114" t="str">
            <v>4</v>
          </cell>
          <cell r="H114" t="str">
            <v>Cuevas de Almudén</v>
          </cell>
          <cell r="I114" t="str">
            <v>44093</v>
          </cell>
          <cell r="J114">
            <v>0</v>
          </cell>
          <cell r="K114">
            <v>2</v>
          </cell>
        </row>
        <row r="115">
          <cell r="A115" t="str">
            <v>44105</v>
          </cell>
          <cell r="B115" t="str">
            <v>02</v>
          </cell>
          <cell r="C115" t="str">
            <v>Aragón</v>
          </cell>
          <cell r="D115" t="str">
            <v>44</v>
          </cell>
          <cell r="E115" t="str">
            <v>Teruel</v>
          </cell>
          <cell r="F115" t="str">
            <v>105</v>
          </cell>
          <cell r="G115" t="str">
            <v>0</v>
          </cell>
          <cell r="H115" t="str">
            <v>Fórnoles</v>
          </cell>
          <cell r="I115" t="str">
            <v>44105</v>
          </cell>
          <cell r="J115">
            <v>0</v>
          </cell>
          <cell r="K115">
            <v>2</v>
          </cell>
        </row>
        <row r="116">
          <cell r="A116" t="str">
            <v>44106</v>
          </cell>
          <cell r="B116" t="str">
            <v>02</v>
          </cell>
          <cell r="C116" t="str">
            <v>Aragón</v>
          </cell>
          <cell r="D116" t="str">
            <v>44</v>
          </cell>
          <cell r="E116" t="str">
            <v>Teruel</v>
          </cell>
          <cell r="F116" t="str">
            <v>106</v>
          </cell>
          <cell r="G116" t="str">
            <v>3</v>
          </cell>
          <cell r="H116" t="str">
            <v>Fortanete</v>
          </cell>
          <cell r="I116" t="str">
            <v>44106</v>
          </cell>
          <cell r="J116">
            <v>0</v>
          </cell>
          <cell r="K116">
            <v>2</v>
          </cell>
        </row>
        <row r="117">
          <cell r="A117" t="str">
            <v>44110</v>
          </cell>
          <cell r="B117" t="str">
            <v>02</v>
          </cell>
          <cell r="C117" t="str">
            <v>Aragón</v>
          </cell>
          <cell r="D117" t="str">
            <v>44</v>
          </cell>
          <cell r="E117" t="str">
            <v>Teruel</v>
          </cell>
          <cell r="F117" t="str">
            <v>110</v>
          </cell>
          <cell r="G117" t="str">
            <v>2</v>
          </cell>
          <cell r="H117" t="str">
            <v>Fuenferrada</v>
          </cell>
          <cell r="I117" t="str">
            <v>44110</v>
          </cell>
          <cell r="J117">
            <v>0</v>
          </cell>
          <cell r="K117">
            <v>2</v>
          </cell>
        </row>
        <row r="118">
          <cell r="A118" t="str">
            <v>44111</v>
          </cell>
          <cell r="B118" t="str">
            <v>02</v>
          </cell>
          <cell r="C118" t="str">
            <v>Aragón</v>
          </cell>
          <cell r="D118" t="str">
            <v>44</v>
          </cell>
          <cell r="E118" t="str">
            <v>Teruel</v>
          </cell>
          <cell r="F118" t="str">
            <v>111</v>
          </cell>
          <cell r="G118" t="str">
            <v>9</v>
          </cell>
          <cell r="H118" t="str">
            <v>Fuentes Calientes</v>
          </cell>
          <cell r="I118" t="str">
            <v>44111</v>
          </cell>
          <cell r="J118">
            <v>0</v>
          </cell>
          <cell r="K118">
            <v>2</v>
          </cell>
        </row>
        <row r="119">
          <cell r="A119" t="str">
            <v>44115</v>
          </cell>
          <cell r="B119" t="str">
            <v>02</v>
          </cell>
          <cell r="C119" t="str">
            <v>Aragón</v>
          </cell>
          <cell r="D119" t="str">
            <v>44</v>
          </cell>
          <cell r="E119" t="str">
            <v>Teruel</v>
          </cell>
          <cell r="F119" t="str">
            <v>115</v>
          </cell>
          <cell r="G119" t="str">
            <v>8</v>
          </cell>
          <cell r="H119" t="str">
            <v>Galve</v>
          </cell>
          <cell r="I119" t="str">
            <v>44115</v>
          </cell>
          <cell r="J119">
            <v>0</v>
          </cell>
          <cell r="K119">
            <v>2</v>
          </cell>
        </row>
        <row r="120">
          <cell r="A120" t="str">
            <v>44118</v>
          </cell>
          <cell r="B120" t="str">
            <v>02</v>
          </cell>
          <cell r="C120" t="str">
            <v>Aragón</v>
          </cell>
          <cell r="D120" t="str">
            <v>44</v>
          </cell>
          <cell r="E120" t="str">
            <v>Teruel</v>
          </cell>
          <cell r="F120" t="str">
            <v>118</v>
          </cell>
          <cell r="G120" t="str">
            <v>3</v>
          </cell>
          <cell r="H120" t="str">
            <v>Ginebrosa, La</v>
          </cell>
          <cell r="I120" t="str">
            <v>44118</v>
          </cell>
          <cell r="J120">
            <v>0</v>
          </cell>
          <cell r="K120">
            <v>2</v>
          </cell>
        </row>
        <row r="121">
          <cell r="A121" t="str">
            <v>44123</v>
          </cell>
          <cell r="B121" t="str">
            <v>02</v>
          </cell>
          <cell r="C121" t="str">
            <v>Aragón</v>
          </cell>
          <cell r="D121" t="str">
            <v>44</v>
          </cell>
          <cell r="E121" t="str">
            <v>Teruel</v>
          </cell>
          <cell r="F121" t="str">
            <v>123</v>
          </cell>
          <cell r="G121" t="str">
            <v>8</v>
          </cell>
          <cell r="H121" t="str">
            <v>Hinojosa de Jarque</v>
          </cell>
          <cell r="I121" t="str">
            <v>44123</v>
          </cell>
          <cell r="J121">
            <v>0</v>
          </cell>
          <cell r="K121">
            <v>2</v>
          </cell>
        </row>
        <row r="122">
          <cell r="A122" t="str">
            <v>44124</v>
          </cell>
          <cell r="B122" t="str">
            <v>02</v>
          </cell>
          <cell r="C122" t="str">
            <v>Aragón</v>
          </cell>
          <cell r="D122" t="str">
            <v>44</v>
          </cell>
          <cell r="E122" t="str">
            <v>Teruel</v>
          </cell>
          <cell r="F122" t="str">
            <v>124</v>
          </cell>
          <cell r="G122" t="str">
            <v>3</v>
          </cell>
          <cell r="H122" t="str">
            <v>Hoz de la Vieja, La</v>
          </cell>
          <cell r="I122" t="str">
            <v>44124</v>
          </cell>
          <cell r="J122">
            <v>0</v>
          </cell>
          <cell r="K122">
            <v>2</v>
          </cell>
        </row>
        <row r="123">
          <cell r="A123" t="str">
            <v>44128</v>
          </cell>
          <cell r="B123" t="str">
            <v>02</v>
          </cell>
          <cell r="C123" t="str">
            <v>Aragón</v>
          </cell>
          <cell r="D123" t="str">
            <v>44</v>
          </cell>
          <cell r="E123" t="str">
            <v>Teruel</v>
          </cell>
          <cell r="F123" t="str">
            <v>128</v>
          </cell>
          <cell r="G123" t="str">
            <v>1</v>
          </cell>
          <cell r="H123" t="str">
            <v>Jarque de la Val</v>
          </cell>
          <cell r="I123" t="str">
            <v>44128</v>
          </cell>
          <cell r="J123">
            <v>0</v>
          </cell>
          <cell r="K123">
            <v>2</v>
          </cell>
        </row>
        <row r="124">
          <cell r="A124" t="str">
            <v>44136</v>
          </cell>
          <cell r="B124" t="str">
            <v>02</v>
          </cell>
          <cell r="C124" t="str">
            <v>Aragón</v>
          </cell>
          <cell r="D124" t="str">
            <v>44</v>
          </cell>
          <cell r="E124" t="str">
            <v>Teruel</v>
          </cell>
          <cell r="F124" t="str">
            <v>136</v>
          </cell>
          <cell r="G124" t="str">
            <v>7</v>
          </cell>
          <cell r="H124" t="str">
            <v>Lidón</v>
          </cell>
          <cell r="I124" t="str">
            <v>44136</v>
          </cell>
          <cell r="J124">
            <v>0</v>
          </cell>
          <cell r="K124">
            <v>2</v>
          </cell>
        </row>
        <row r="125">
          <cell r="A125" t="str">
            <v>44142</v>
          </cell>
          <cell r="B125" t="str">
            <v>02</v>
          </cell>
          <cell r="C125" t="str">
            <v>Aragón</v>
          </cell>
          <cell r="D125" t="str">
            <v>44</v>
          </cell>
          <cell r="E125" t="str">
            <v>Teruel</v>
          </cell>
          <cell r="F125" t="str">
            <v>142</v>
          </cell>
          <cell r="G125" t="str">
            <v>8</v>
          </cell>
          <cell r="H125" t="str">
            <v>Maicas</v>
          </cell>
          <cell r="I125" t="str">
            <v>44142</v>
          </cell>
          <cell r="J125">
            <v>0</v>
          </cell>
          <cell r="K125">
            <v>2</v>
          </cell>
        </row>
        <row r="126">
          <cell r="A126" t="str">
            <v>44144</v>
          </cell>
          <cell r="B126" t="str">
            <v>02</v>
          </cell>
          <cell r="C126" t="str">
            <v>Aragón</v>
          </cell>
          <cell r="D126" t="str">
            <v>44</v>
          </cell>
          <cell r="E126" t="str">
            <v>Teruel</v>
          </cell>
          <cell r="F126" t="str">
            <v>144</v>
          </cell>
          <cell r="G126" t="str">
            <v>9</v>
          </cell>
          <cell r="H126" t="str">
            <v>Martín del Río</v>
          </cell>
          <cell r="I126" t="str">
            <v>44144</v>
          </cell>
          <cell r="J126">
            <v>0</v>
          </cell>
          <cell r="K126">
            <v>2</v>
          </cell>
        </row>
        <row r="127">
          <cell r="A127" t="str">
            <v>44145</v>
          </cell>
          <cell r="B127" t="str">
            <v>02</v>
          </cell>
          <cell r="C127" t="str">
            <v>Aragón</v>
          </cell>
          <cell r="D127" t="str">
            <v>44</v>
          </cell>
          <cell r="E127" t="str">
            <v>Teruel</v>
          </cell>
          <cell r="F127" t="str">
            <v>145</v>
          </cell>
          <cell r="G127" t="str">
            <v>2</v>
          </cell>
          <cell r="H127" t="str">
            <v>Mas de las Matas</v>
          </cell>
          <cell r="I127" t="str">
            <v>44145</v>
          </cell>
          <cell r="J127">
            <v>0</v>
          </cell>
          <cell r="K127">
            <v>2</v>
          </cell>
        </row>
        <row r="128">
          <cell r="A128" t="str">
            <v>44148</v>
          </cell>
          <cell r="B128" t="str">
            <v>02</v>
          </cell>
          <cell r="C128" t="str">
            <v>Aragón</v>
          </cell>
          <cell r="D128" t="str">
            <v>44</v>
          </cell>
          <cell r="E128" t="str">
            <v>Teruel</v>
          </cell>
          <cell r="F128" t="str">
            <v>148</v>
          </cell>
          <cell r="G128" t="str">
            <v>7</v>
          </cell>
          <cell r="H128" t="str">
            <v>Mezquita de Jarque</v>
          </cell>
          <cell r="I128" t="str">
            <v>44148</v>
          </cell>
          <cell r="J128">
            <v>0</v>
          </cell>
          <cell r="K128">
            <v>2</v>
          </cell>
        </row>
        <row r="129">
          <cell r="A129" t="str">
            <v>44150</v>
          </cell>
          <cell r="B129" t="str">
            <v>02</v>
          </cell>
          <cell r="C129" t="str">
            <v>Aragón</v>
          </cell>
          <cell r="D129" t="str">
            <v>44</v>
          </cell>
          <cell r="E129" t="str">
            <v>Teruel</v>
          </cell>
          <cell r="F129" t="str">
            <v>150</v>
          </cell>
          <cell r="G129" t="str">
            <v>3</v>
          </cell>
          <cell r="H129" t="str">
            <v>Miravete de la Sierra</v>
          </cell>
          <cell r="I129" t="str">
            <v>44150</v>
          </cell>
          <cell r="J129">
            <v>0</v>
          </cell>
          <cell r="K129">
            <v>2</v>
          </cell>
        </row>
        <row r="130">
          <cell r="A130" t="str">
            <v>44154</v>
          </cell>
          <cell r="B130" t="str">
            <v>02</v>
          </cell>
          <cell r="C130" t="str">
            <v>Aragón</v>
          </cell>
          <cell r="D130" t="str">
            <v>44</v>
          </cell>
          <cell r="E130" t="str">
            <v>Teruel</v>
          </cell>
          <cell r="F130" t="str">
            <v>154</v>
          </cell>
          <cell r="G130" t="str">
            <v>6</v>
          </cell>
          <cell r="H130" t="str">
            <v>Monroyo</v>
          </cell>
          <cell r="I130" t="str">
            <v>44154</v>
          </cell>
          <cell r="J130">
            <v>0</v>
          </cell>
          <cell r="K130">
            <v>2</v>
          </cell>
        </row>
        <row r="131">
          <cell r="A131" t="str">
            <v>44161</v>
          </cell>
          <cell r="B131" t="str">
            <v>02</v>
          </cell>
          <cell r="C131" t="str">
            <v>Aragón</v>
          </cell>
          <cell r="D131" t="str">
            <v>44</v>
          </cell>
          <cell r="E131" t="str">
            <v>Teruel</v>
          </cell>
          <cell r="F131" t="str">
            <v>161</v>
          </cell>
          <cell r="G131" t="str">
            <v>8</v>
          </cell>
          <cell r="H131" t="str">
            <v>Muniesa</v>
          </cell>
          <cell r="I131" t="str">
            <v>44161</v>
          </cell>
          <cell r="J131">
            <v>0</v>
          </cell>
          <cell r="K131">
            <v>2</v>
          </cell>
        </row>
        <row r="132">
          <cell r="A132" t="str">
            <v>44167</v>
          </cell>
          <cell r="B132" t="str">
            <v>02</v>
          </cell>
          <cell r="C132" t="str">
            <v>Aragón</v>
          </cell>
          <cell r="D132" t="str">
            <v>44</v>
          </cell>
          <cell r="E132" t="str">
            <v>Teruel</v>
          </cell>
          <cell r="F132" t="str">
            <v>167</v>
          </cell>
          <cell r="G132" t="str">
            <v>6</v>
          </cell>
          <cell r="H132" t="str">
            <v>Obón</v>
          </cell>
          <cell r="I132" t="str">
            <v>44167</v>
          </cell>
          <cell r="J132">
            <v>0</v>
          </cell>
          <cell r="K132">
            <v>2</v>
          </cell>
        </row>
        <row r="133">
          <cell r="A133" t="str">
            <v>44177</v>
          </cell>
          <cell r="B133" t="str">
            <v>02</v>
          </cell>
          <cell r="C133" t="str">
            <v>Aragón</v>
          </cell>
          <cell r="D133" t="str">
            <v>44</v>
          </cell>
          <cell r="E133" t="str">
            <v>Teruel</v>
          </cell>
          <cell r="F133" t="str">
            <v>177</v>
          </cell>
          <cell r="G133" t="str">
            <v>4</v>
          </cell>
          <cell r="H133" t="str">
            <v>Pancrudo</v>
          </cell>
          <cell r="I133" t="str">
            <v>44177</v>
          </cell>
          <cell r="J133">
            <v>0</v>
          </cell>
          <cell r="K133">
            <v>2</v>
          </cell>
        </row>
        <row r="134">
          <cell r="A134" t="str">
            <v>44178</v>
          </cell>
          <cell r="B134" t="str">
            <v>02</v>
          </cell>
          <cell r="C134" t="str">
            <v>Aragón</v>
          </cell>
          <cell r="D134" t="str">
            <v>44</v>
          </cell>
          <cell r="E134" t="str">
            <v>Teruel</v>
          </cell>
          <cell r="F134" t="str">
            <v>178</v>
          </cell>
          <cell r="G134" t="str">
            <v>0</v>
          </cell>
          <cell r="H134" t="str">
            <v>Parras de Castellote, Las</v>
          </cell>
          <cell r="I134" t="str">
            <v>44178</v>
          </cell>
          <cell r="J134">
            <v>0</v>
          </cell>
          <cell r="K134">
            <v>2</v>
          </cell>
        </row>
        <row r="135">
          <cell r="A135" t="str">
            <v>44182</v>
          </cell>
          <cell r="B135" t="str">
            <v>02</v>
          </cell>
          <cell r="C135" t="str">
            <v>Aragón</v>
          </cell>
          <cell r="D135" t="str">
            <v>44</v>
          </cell>
          <cell r="E135" t="str">
            <v>Teruel</v>
          </cell>
          <cell r="F135" t="str">
            <v>182</v>
          </cell>
          <cell r="G135" t="str">
            <v>9</v>
          </cell>
          <cell r="H135" t="str">
            <v>Perales del Alfambra</v>
          </cell>
          <cell r="I135" t="str">
            <v>44182</v>
          </cell>
          <cell r="J135">
            <v>0</v>
          </cell>
          <cell r="K135">
            <v>2</v>
          </cell>
        </row>
        <row r="136">
          <cell r="A136" t="str">
            <v>44183</v>
          </cell>
          <cell r="B136" t="str">
            <v>02</v>
          </cell>
          <cell r="C136" t="str">
            <v>Aragón</v>
          </cell>
          <cell r="D136" t="str">
            <v>44</v>
          </cell>
          <cell r="E136" t="str">
            <v>Teruel</v>
          </cell>
          <cell r="F136" t="str">
            <v>183</v>
          </cell>
          <cell r="G136" t="str">
            <v>5</v>
          </cell>
          <cell r="H136" t="str">
            <v>Pitarque</v>
          </cell>
          <cell r="I136" t="str">
            <v>44183</v>
          </cell>
          <cell r="J136">
            <v>0</v>
          </cell>
          <cell r="K136">
            <v>2</v>
          </cell>
        </row>
        <row r="137">
          <cell r="A137" t="str">
            <v>44194</v>
          </cell>
          <cell r="B137" t="str">
            <v>02</v>
          </cell>
          <cell r="C137" t="str">
            <v>Aragón</v>
          </cell>
          <cell r="D137" t="str">
            <v>44</v>
          </cell>
          <cell r="E137" t="str">
            <v>Teruel</v>
          </cell>
          <cell r="F137" t="str">
            <v>194</v>
          </cell>
          <cell r="G137" t="str">
            <v>8</v>
          </cell>
          <cell r="H137" t="str">
            <v>Ráfales</v>
          </cell>
          <cell r="I137" t="str">
            <v>44194</v>
          </cell>
          <cell r="J137">
            <v>0</v>
          </cell>
          <cell r="K137">
            <v>2</v>
          </cell>
        </row>
        <row r="138">
          <cell r="A138" t="str">
            <v>44195</v>
          </cell>
          <cell r="B138" t="str">
            <v>02</v>
          </cell>
          <cell r="C138" t="str">
            <v>Aragón</v>
          </cell>
          <cell r="D138" t="str">
            <v>44</v>
          </cell>
          <cell r="E138" t="str">
            <v>Teruel</v>
          </cell>
          <cell r="F138" t="str">
            <v>195</v>
          </cell>
          <cell r="G138" t="str">
            <v>1</v>
          </cell>
          <cell r="H138" t="str">
            <v>Rillo</v>
          </cell>
          <cell r="I138" t="str">
            <v>44195</v>
          </cell>
          <cell r="J138">
            <v>0</v>
          </cell>
          <cell r="K138">
            <v>2</v>
          </cell>
        </row>
        <row r="139">
          <cell r="A139" t="str">
            <v>44203</v>
          </cell>
          <cell r="B139" t="str">
            <v>02</v>
          </cell>
          <cell r="C139" t="str">
            <v>Aragón</v>
          </cell>
          <cell r="D139" t="str">
            <v>44</v>
          </cell>
          <cell r="E139" t="str">
            <v>Teruel</v>
          </cell>
          <cell r="F139" t="str">
            <v>203</v>
          </cell>
          <cell r="G139" t="str">
            <v>1</v>
          </cell>
          <cell r="H139" t="str">
            <v>Salcedillo</v>
          </cell>
          <cell r="I139" t="str">
            <v>44203</v>
          </cell>
          <cell r="J139">
            <v>0</v>
          </cell>
          <cell r="K139">
            <v>2</v>
          </cell>
        </row>
        <row r="140">
          <cell r="A140" t="str">
            <v>44211</v>
          </cell>
          <cell r="B140" t="str">
            <v>02</v>
          </cell>
          <cell r="C140" t="str">
            <v>Aragón</v>
          </cell>
          <cell r="D140" t="str">
            <v>44</v>
          </cell>
          <cell r="E140" t="str">
            <v>Teruel</v>
          </cell>
          <cell r="F140" t="str">
            <v>211</v>
          </cell>
          <cell r="G140" t="str">
            <v>8</v>
          </cell>
          <cell r="H140" t="str">
            <v>Segura de los Baños</v>
          </cell>
          <cell r="I140" t="str">
            <v>44211</v>
          </cell>
          <cell r="J140">
            <v>0</v>
          </cell>
          <cell r="K140">
            <v>2</v>
          </cell>
        </row>
        <row r="141">
          <cell r="A141" t="str">
            <v>44222</v>
          </cell>
          <cell r="B141" t="str">
            <v>02</v>
          </cell>
          <cell r="C141" t="str">
            <v>Aragón</v>
          </cell>
          <cell r="D141" t="str">
            <v>44</v>
          </cell>
          <cell r="E141" t="str">
            <v>Teruel</v>
          </cell>
          <cell r="F141" t="str">
            <v>222</v>
          </cell>
          <cell r="G141" t="str">
            <v>1</v>
          </cell>
          <cell r="H141" t="str">
            <v>Torrecilla del Rebollar</v>
          </cell>
          <cell r="I141" t="str">
            <v>44222</v>
          </cell>
          <cell r="J141">
            <v>0</v>
          </cell>
          <cell r="K141">
            <v>2</v>
          </cell>
        </row>
        <row r="142">
          <cell r="A142" t="str">
            <v>44224</v>
          </cell>
          <cell r="B142" t="str">
            <v>02</v>
          </cell>
          <cell r="C142" t="str">
            <v>Aragón</v>
          </cell>
          <cell r="D142" t="str">
            <v>44</v>
          </cell>
          <cell r="E142" t="str">
            <v>Teruel</v>
          </cell>
          <cell r="F142" t="str">
            <v>224</v>
          </cell>
          <cell r="G142" t="str">
            <v>2</v>
          </cell>
          <cell r="H142" t="str">
            <v>Torre de las Arcas</v>
          </cell>
          <cell r="I142" t="str">
            <v>44224</v>
          </cell>
          <cell r="J142">
            <v>0</v>
          </cell>
          <cell r="K142">
            <v>2</v>
          </cell>
        </row>
        <row r="143">
          <cell r="A143" t="str">
            <v>44227</v>
          </cell>
          <cell r="B143" t="str">
            <v>02</v>
          </cell>
          <cell r="C143" t="str">
            <v>Aragón</v>
          </cell>
          <cell r="D143" t="str">
            <v>44</v>
          </cell>
          <cell r="E143" t="str">
            <v>Teruel</v>
          </cell>
          <cell r="F143" t="str">
            <v>227</v>
          </cell>
          <cell r="G143" t="str">
            <v>4</v>
          </cell>
          <cell r="H143" t="str">
            <v>Torre los Negros</v>
          </cell>
          <cell r="I143" t="str">
            <v>44227</v>
          </cell>
          <cell r="J143">
            <v>0</v>
          </cell>
          <cell r="K143">
            <v>2</v>
          </cell>
        </row>
        <row r="144">
          <cell r="A144" t="str">
            <v>44230</v>
          </cell>
          <cell r="B144" t="str">
            <v>02</v>
          </cell>
          <cell r="C144" t="str">
            <v>Aragón</v>
          </cell>
          <cell r="D144" t="str">
            <v>44</v>
          </cell>
          <cell r="E144" t="str">
            <v>Teruel</v>
          </cell>
          <cell r="F144" t="str">
            <v>230</v>
          </cell>
          <cell r="G144" t="str">
            <v>7</v>
          </cell>
          <cell r="H144" t="str">
            <v>Torrevelilla</v>
          </cell>
          <cell r="I144" t="str">
            <v>44230</v>
          </cell>
          <cell r="J144">
            <v>0</v>
          </cell>
          <cell r="K144">
            <v>2</v>
          </cell>
        </row>
        <row r="145">
          <cell r="A145" t="str">
            <v>44256</v>
          </cell>
          <cell r="B145" t="str">
            <v>02</v>
          </cell>
          <cell r="C145" t="str">
            <v>Aragón</v>
          </cell>
          <cell r="D145" t="str">
            <v>44</v>
          </cell>
          <cell r="E145" t="str">
            <v>Teruel</v>
          </cell>
          <cell r="F145" t="str">
            <v>256</v>
          </cell>
          <cell r="G145" t="str">
            <v>1</v>
          </cell>
          <cell r="H145" t="str">
            <v>Villanueva del Rebollar de la Sierra</v>
          </cell>
          <cell r="I145" t="str">
            <v>44256</v>
          </cell>
          <cell r="J145">
            <v>0</v>
          </cell>
          <cell r="K145">
            <v>2</v>
          </cell>
        </row>
        <row r="146">
          <cell r="A146" t="str">
            <v>44260</v>
          </cell>
          <cell r="B146" t="str">
            <v>02</v>
          </cell>
          <cell r="C146" t="str">
            <v>Aragón</v>
          </cell>
          <cell r="D146" t="str">
            <v>44</v>
          </cell>
          <cell r="E146" t="str">
            <v>Teruel</v>
          </cell>
          <cell r="F146" t="str">
            <v>260</v>
          </cell>
          <cell r="G146" t="str">
            <v>0</v>
          </cell>
          <cell r="H146" t="str">
            <v>Villarluengo</v>
          </cell>
          <cell r="I146" t="str">
            <v>44260</v>
          </cell>
          <cell r="J146">
            <v>0</v>
          </cell>
          <cell r="K146">
            <v>2</v>
          </cell>
        </row>
        <row r="147">
          <cell r="A147" t="str">
            <v>44262</v>
          </cell>
          <cell r="B147" t="str">
            <v>02</v>
          </cell>
          <cell r="C147" t="str">
            <v>Aragón</v>
          </cell>
          <cell r="D147" t="str">
            <v>44</v>
          </cell>
          <cell r="E147" t="str">
            <v>Teruel</v>
          </cell>
          <cell r="F147" t="str">
            <v>262</v>
          </cell>
          <cell r="G147" t="str">
            <v>2</v>
          </cell>
          <cell r="H147" t="str">
            <v>Villarroya de los Pinares</v>
          </cell>
          <cell r="I147" t="str">
            <v>44262</v>
          </cell>
          <cell r="J147">
            <v>0</v>
          </cell>
          <cell r="K147">
            <v>2</v>
          </cell>
        </row>
        <row r="148">
          <cell r="A148" t="str">
            <v>44266</v>
          </cell>
          <cell r="B148" t="str">
            <v>02</v>
          </cell>
          <cell r="C148" t="str">
            <v>Aragón</v>
          </cell>
          <cell r="D148" t="str">
            <v>44</v>
          </cell>
          <cell r="E148" t="str">
            <v>Teruel</v>
          </cell>
          <cell r="F148" t="str">
            <v>266</v>
          </cell>
          <cell r="G148" t="str">
            <v>9</v>
          </cell>
          <cell r="H148" t="str">
            <v>Visiedo</v>
          </cell>
          <cell r="I148" t="str">
            <v>44266</v>
          </cell>
          <cell r="J148">
            <v>0</v>
          </cell>
          <cell r="K148">
            <v>2</v>
          </cell>
        </row>
        <row r="149">
          <cell r="A149" t="str">
            <v>44267</v>
          </cell>
          <cell r="B149" t="str">
            <v>02</v>
          </cell>
          <cell r="C149" t="str">
            <v>Aragón</v>
          </cell>
          <cell r="D149" t="str">
            <v>44</v>
          </cell>
          <cell r="E149" t="str">
            <v>Teruel</v>
          </cell>
          <cell r="F149" t="str">
            <v>267</v>
          </cell>
          <cell r="G149" t="str">
            <v>5</v>
          </cell>
          <cell r="H149" t="str">
            <v>Vivel del Río Martín</v>
          </cell>
          <cell r="I149" t="str">
            <v>44267</v>
          </cell>
          <cell r="J149">
            <v>0</v>
          </cell>
          <cell r="K149">
            <v>2</v>
          </cell>
        </row>
        <row r="150">
          <cell r="A150" t="str">
            <v>44268</v>
          </cell>
          <cell r="B150" t="str">
            <v>02</v>
          </cell>
          <cell r="C150" t="str">
            <v>Aragón</v>
          </cell>
          <cell r="D150" t="str">
            <v>44</v>
          </cell>
          <cell r="E150" t="str">
            <v>Teruel</v>
          </cell>
          <cell r="F150" t="str">
            <v>268</v>
          </cell>
          <cell r="G150" t="str">
            <v>1</v>
          </cell>
          <cell r="H150" t="str">
            <v>Zoma, La</v>
          </cell>
          <cell r="I150" t="str">
            <v>44268</v>
          </cell>
          <cell r="J150">
            <v>0</v>
          </cell>
          <cell r="K150">
            <v>2</v>
          </cell>
        </row>
        <row r="151">
          <cell r="A151" t="str">
            <v>50074</v>
          </cell>
          <cell r="B151" t="str">
            <v>02</v>
          </cell>
          <cell r="C151" t="str">
            <v>Aragón</v>
          </cell>
          <cell r="D151" t="str">
            <v>50</v>
          </cell>
          <cell r="E151" t="str">
            <v>Zaragoza</v>
          </cell>
          <cell r="F151" t="str">
            <v>074</v>
          </cell>
          <cell r="G151" t="str">
            <v>7</v>
          </cell>
          <cell r="H151" t="str">
            <v>Caspe</v>
          </cell>
          <cell r="I151" t="str">
            <v>50074</v>
          </cell>
          <cell r="J151">
            <v>0</v>
          </cell>
          <cell r="K151">
            <v>2</v>
          </cell>
        </row>
        <row r="152">
          <cell r="A152" t="str">
            <v>50102</v>
          </cell>
          <cell r="B152" t="str">
            <v>02</v>
          </cell>
          <cell r="C152" t="str">
            <v>Aragón</v>
          </cell>
          <cell r="D152" t="str">
            <v>50</v>
          </cell>
          <cell r="E152" t="str">
            <v>Zaragoza</v>
          </cell>
          <cell r="F152" t="str">
            <v>102</v>
          </cell>
          <cell r="G152" t="str">
            <v>0</v>
          </cell>
          <cell r="H152" t="str">
            <v>Fabara</v>
          </cell>
          <cell r="I152" t="str">
            <v>50102</v>
          </cell>
          <cell r="J152">
            <v>0</v>
          </cell>
          <cell r="K152">
            <v>2</v>
          </cell>
        </row>
        <row r="153">
          <cell r="A153" t="str">
            <v>50105</v>
          </cell>
          <cell r="B153" t="str">
            <v>02</v>
          </cell>
          <cell r="C153" t="str">
            <v>Aragón</v>
          </cell>
          <cell r="D153" t="str">
            <v>50</v>
          </cell>
          <cell r="E153" t="str">
            <v>Zaragoza</v>
          </cell>
          <cell r="F153" t="str">
            <v>105</v>
          </cell>
          <cell r="G153" t="str">
            <v>4</v>
          </cell>
          <cell r="H153" t="str">
            <v>Fayón</v>
          </cell>
          <cell r="I153" t="str">
            <v>50105</v>
          </cell>
          <cell r="J153">
            <v>0</v>
          </cell>
          <cell r="K153">
            <v>2</v>
          </cell>
        </row>
        <row r="154">
          <cell r="A154" t="str">
            <v>50136</v>
          </cell>
          <cell r="B154" t="str">
            <v>02</v>
          </cell>
          <cell r="C154" t="str">
            <v>Aragón</v>
          </cell>
          <cell r="D154" t="str">
            <v>50</v>
          </cell>
          <cell r="E154" t="str">
            <v>Zaragoza</v>
          </cell>
          <cell r="F154" t="str">
            <v>136</v>
          </cell>
          <cell r="G154" t="str">
            <v>1</v>
          </cell>
          <cell r="H154" t="str">
            <v>Lécera</v>
          </cell>
          <cell r="I154" t="str">
            <v>50136</v>
          </cell>
          <cell r="J154">
            <v>0</v>
          </cell>
          <cell r="K154">
            <v>2</v>
          </cell>
        </row>
        <row r="155">
          <cell r="A155" t="str">
            <v>50165</v>
          </cell>
          <cell r="B155" t="str">
            <v>02</v>
          </cell>
          <cell r="C155" t="str">
            <v>Aragón</v>
          </cell>
          <cell r="D155" t="str">
            <v>50</v>
          </cell>
          <cell r="E155" t="str">
            <v>Zaragoza</v>
          </cell>
          <cell r="F155" t="str">
            <v>165</v>
          </cell>
          <cell r="G155" t="str">
            <v>1</v>
          </cell>
          <cell r="H155" t="str">
            <v>Mequinenza</v>
          </cell>
          <cell r="I155" t="str">
            <v>50165</v>
          </cell>
          <cell r="J155">
            <v>0</v>
          </cell>
          <cell r="K155">
            <v>1</v>
          </cell>
        </row>
        <row r="156">
          <cell r="A156" t="str">
            <v>50189</v>
          </cell>
          <cell r="B156" t="str">
            <v>02</v>
          </cell>
          <cell r="C156" t="str">
            <v>Aragón</v>
          </cell>
          <cell r="D156" t="str">
            <v>50</v>
          </cell>
          <cell r="E156" t="str">
            <v>Zaragoza</v>
          </cell>
          <cell r="F156" t="str">
            <v>189</v>
          </cell>
          <cell r="G156" t="str">
            <v>5</v>
          </cell>
          <cell r="H156" t="str">
            <v>Nonaspe</v>
          </cell>
          <cell r="I156" t="str">
            <v>50189</v>
          </cell>
          <cell r="J156">
            <v>0</v>
          </cell>
          <cell r="K156">
            <v>2</v>
          </cell>
        </row>
        <row r="157">
          <cell r="A157" t="str">
            <v>07001</v>
          </cell>
          <cell r="B157" t="str">
            <v>04</v>
          </cell>
          <cell r="C157" t="str">
            <v>Balears, Illes</v>
          </cell>
          <cell r="D157" t="str">
            <v>07</v>
          </cell>
          <cell r="E157" t="str">
            <v>Balears, Illes</v>
          </cell>
          <cell r="F157" t="str">
            <v>001</v>
          </cell>
          <cell r="G157" t="str">
            <v>2</v>
          </cell>
          <cell r="H157" t="str">
            <v>Alaró</v>
          </cell>
          <cell r="I157" t="str">
            <v>07001</v>
          </cell>
          <cell r="J157" t="str">
            <v>Alcudia</v>
          </cell>
          <cell r="K157">
            <v>0</v>
          </cell>
        </row>
        <row r="158">
          <cell r="A158" t="str">
            <v>07003</v>
          </cell>
          <cell r="B158" t="str">
            <v>04</v>
          </cell>
          <cell r="C158" t="str">
            <v>Balears, Illes</v>
          </cell>
          <cell r="D158" t="str">
            <v>07</v>
          </cell>
          <cell r="E158" t="str">
            <v>Balears, Illes</v>
          </cell>
          <cell r="F158" t="str">
            <v>003</v>
          </cell>
          <cell r="G158" t="str">
            <v>3</v>
          </cell>
          <cell r="H158" t="str">
            <v>Alcúdia</v>
          </cell>
          <cell r="I158" t="str">
            <v>07003</v>
          </cell>
          <cell r="J158" t="str">
            <v>Alcudia</v>
          </cell>
          <cell r="K158">
            <v>0</v>
          </cell>
        </row>
        <row r="159">
          <cell r="A159" t="str">
            <v>07009</v>
          </cell>
          <cell r="B159" t="str">
            <v>04</v>
          </cell>
          <cell r="C159" t="str">
            <v>Balears, Illes</v>
          </cell>
          <cell r="D159" t="str">
            <v>07</v>
          </cell>
          <cell r="E159" t="str">
            <v>Balears, Illes</v>
          </cell>
          <cell r="F159" t="str">
            <v>009</v>
          </cell>
          <cell r="G159" t="str">
            <v>9</v>
          </cell>
          <cell r="H159" t="str">
            <v>Búger</v>
          </cell>
          <cell r="I159" t="str">
            <v>07009</v>
          </cell>
          <cell r="J159" t="str">
            <v>Alcudia</v>
          </cell>
          <cell r="K159">
            <v>0</v>
          </cell>
        </row>
        <row r="160">
          <cell r="A160" t="str">
            <v>07012</v>
          </cell>
          <cell r="B160" t="str">
            <v>04</v>
          </cell>
          <cell r="C160" t="str">
            <v>Balears, Illes</v>
          </cell>
          <cell r="D160" t="str">
            <v>07</v>
          </cell>
          <cell r="E160" t="str">
            <v>Balears, Illes</v>
          </cell>
          <cell r="F160" t="str">
            <v>012</v>
          </cell>
          <cell r="G160" t="str">
            <v>5</v>
          </cell>
          <cell r="H160" t="str">
            <v>Campanet</v>
          </cell>
          <cell r="I160" t="str">
            <v>07012</v>
          </cell>
          <cell r="J160" t="str">
            <v>Alcudia</v>
          </cell>
          <cell r="K160">
            <v>0</v>
          </cell>
        </row>
        <row r="161">
          <cell r="A161" t="str">
            <v>07016</v>
          </cell>
          <cell r="B161" t="str">
            <v>04</v>
          </cell>
          <cell r="C161" t="str">
            <v>Balears, Illes</v>
          </cell>
          <cell r="D161" t="str">
            <v>07</v>
          </cell>
          <cell r="E161" t="str">
            <v>Balears, Illes</v>
          </cell>
          <cell r="F161" t="str">
            <v>016</v>
          </cell>
          <cell r="G161" t="str">
            <v>2</v>
          </cell>
          <cell r="H161" t="str">
            <v>Consell</v>
          </cell>
          <cell r="I161" t="str">
            <v>07016</v>
          </cell>
          <cell r="J161" t="str">
            <v>Alcudia</v>
          </cell>
          <cell r="K161">
            <v>0</v>
          </cell>
        </row>
        <row r="162">
          <cell r="A162" t="str">
            <v>07029</v>
          </cell>
          <cell r="B162" t="str">
            <v>04</v>
          </cell>
          <cell r="C162" t="str">
            <v>Balears, Illes</v>
          </cell>
          <cell r="D162" t="str">
            <v>07</v>
          </cell>
          <cell r="E162" t="str">
            <v>Balears, Illes</v>
          </cell>
          <cell r="F162" t="str">
            <v>029</v>
          </cell>
          <cell r="G162" t="str">
            <v>5</v>
          </cell>
          <cell r="H162" t="str">
            <v>Lloseta</v>
          </cell>
          <cell r="I162" t="str">
            <v>07029</v>
          </cell>
          <cell r="J162" t="str">
            <v>Alcudia</v>
          </cell>
          <cell r="K162">
            <v>0</v>
          </cell>
        </row>
        <row r="163">
          <cell r="A163" t="str">
            <v>07030</v>
          </cell>
          <cell r="B163" t="str">
            <v>04</v>
          </cell>
          <cell r="C163" t="str">
            <v>Balears, Illes</v>
          </cell>
          <cell r="D163" t="str">
            <v>07</v>
          </cell>
          <cell r="E163" t="str">
            <v>Balears, Illes</v>
          </cell>
          <cell r="F163" t="str">
            <v>030</v>
          </cell>
          <cell r="G163" t="str">
            <v>9</v>
          </cell>
          <cell r="H163" t="str">
            <v>Llubí</v>
          </cell>
          <cell r="I163" t="str">
            <v>07030</v>
          </cell>
          <cell r="J163" t="str">
            <v>Alcudia</v>
          </cell>
          <cell r="K163">
            <v>0</v>
          </cell>
        </row>
        <row r="164">
          <cell r="A164" t="str">
            <v>07034</v>
          </cell>
          <cell r="B164" t="str">
            <v>04</v>
          </cell>
          <cell r="C164" t="str">
            <v>Balears, Illes</v>
          </cell>
          <cell r="D164" t="str">
            <v>07</v>
          </cell>
          <cell r="E164" t="str">
            <v>Balears, Illes</v>
          </cell>
          <cell r="F164" t="str">
            <v>034</v>
          </cell>
          <cell r="G164" t="str">
            <v>2</v>
          </cell>
          <cell r="H164" t="str">
            <v>Mancor de la Vall</v>
          </cell>
          <cell r="I164" t="str">
            <v>07034</v>
          </cell>
          <cell r="J164" t="str">
            <v>Alcudia</v>
          </cell>
          <cell r="K164">
            <v>0</v>
          </cell>
        </row>
        <row r="165">
          <cell r="A165" t="str">
            <v>07035</v>
          </cell>
          <cell r="B165" t="str">
            <v>04</v>
          </cell>
          <cell r="C165" t="str">
            <v>Balears, Illes</v>
          </cell>
          <cell r="D165" t="str">
            <v>07</v>
          </cell>
          <cell r="E165" t="str">
            <v>Balears, Illes</v>
          </cell>
          <cell r="F165" t="str">
            <v>035</v>
          </cell>
          <cell r="G165" t="str">
            <v>5</v>
          </cell>
          <cell r="H165" t="str">
            <v>Maria de la Salut</v>
          </cell>
          <cell r="I165" t="str">
            <v>07035</v>
          </cell>
          <cell r="J165" t="str">
            <v>Alcudia</v>
          </cell>
          <cell r="K165">
            <v>0</v>
          </cell>
        </row>
        <row r="166">
          <cell r="A166" t="str">
            <v>07039</v>
          </cell>
          <cell r="B166" t="str">
            <v>04</v>
          </cell>
          <cell r="C166" t="str">
            <v>Balears, Illes</v>
          </cell>
          <cell r="D166" t="str">
            <v>07</v>
          </cell>
          <cell r="E166" t="str">
            <v>Balears, Illes</v>
          </cell>
          <cell r="F166" t="str">
            <v>039</v>
          </cell>
          <cell r="G166" t="str">
            <v>3</v>
          </cell>
          <cell r="H166" t="str">
            <v>Muro</v>
          </cell>
          <cell r="I166" t="str">
            <v>07039</v>
          </cell>
          <cell r="J166" t="str">
            <v>Alcudia</v>
          </cell>
          <cell r="K166">
            <v>0</v>
          </cell>
        </row>
        <row r="167">
          <cell r="A167" t="str">
            <v>07042</v>
          </cell>
          <cell r="B167" t="str">
            <v>04</v>
          </cell>
          <cell r="C167" t="str">
            <v>Balears, Illes</v>
          </cell>
          <cell r="D167" t="str">
            <v>07</v>
          </cell>
          <cell r="E167" t="str">
            <v>Balears, Illes</v>
          </cell>
          <cell r="F167" t="str">
            <v>042</v>
          </cell>
          <cell r="G167" t="str">
            <v>9</v>
          </cell>
          <cell r="H167" t="str">
            <v>Pollença</v>
          </cell>
          <cell r="I167" t="str">
            <v>07042</v>
          </cell>
          <cell r="J167" t="str">
            <v>Alcudia</v>
          </cell>
          <cell r="K167">
            <v>0</v>
          </cell>
        </row>
        <row r="168">
          <cell r="A168" t="str">
            <v>07058</v>
          </cell>
          <cell r="B168" t="str">
            <v>04</v>
          </cell>
          <cell r="C168" t="str">
            <v>Balears, Illes</v>
          </cell>
          <cell r="D168" t="str">
            <v>07</v>
          </cell>
          <cell r="E168" t="str">
            <v>Balears, Illes</v>
          </cell>
          <cell r="F168" t="str">
            <v>058</v>
          </cell>
          <cell r="G168" t="str">
            <v>5</v>
          </cell>
          <cell r="H168" t="str">
            <v>Selva</v>
          </cell>
          <cell r="I168" t="str">
            <v>07058</v>
          </cell>
          <cell r="J168" t="str">
            <v>Alcudia</v>
          </cell>
          <cell r="K168">
            <v>0</v>
          </cell>
        </row>
        <row r="169">
          <cell r="A169" t="str">
            <v>07901</v>
          </cell>
          <cell r="B169" t="str">
            <v>04</v>
          </cell>
          <cell r="C169" t="str">
            <v>Balears, Illes</v>
          </cell>
          <cell r="D169" t="str">
            <v>07</v>
          </cell>
          <cell r="E169" t="str">
            <v>Balears, Illes</v>
          </cell>
          <cell r="F169" t="str">
            <v>901</v>
          </cell>
          <cell r="G169" t="str">
            <v>3</v>
          </cell>
          <cell r="H169" t="str">
            <v>Ariany</v>
          </cell>
          <cell r="I169" t="str">
            <v>07901</v>
          </cell>
          <cell r="J169" t="str">
            <v>Alcudia</v>
          </cell>
          <cell r="K169">
            <v>0</v>
          </cell>
        </row>
        <row r="170">
          <cell r="A170" t="str">
            <v>44006</v>
          </cell>
          <cell r="B170" t="str">
            <v>02</v>
          </cell>
          <cell r="C170" t="str">
            <v>Aragón</v>
          </cell>
          <cell r="D170" t="str">
            <v>44</v>
          </cell>
          <cell r="E170" t="str">
            <v>Teruel</v>
          </cell>
          <cell r="F170" t="str">
            <v>006</v>
          </cell>
          <cell r="G170" t="str">
            <v>4</v>
          </cell>
          <cell r="H170" t="str">
            <v>Alacón</v>
          </cell>
          <cell r="I170" t="str">
            <v>44006</v>
          </cell>
          <cell r="J170" t="str">
            <v>Aragón</v>
          </cell>
          <cell r="K170">
            <v>2</v>
          </cell>
        </row>
        <row r="171">
          <cell r="A171" t="str">
            <v>44008</v>
          </cell>
          <cell r="B171" t="str">
            <v>02</v>
          </cell>
          <cell r="C171" t="str">
            <v>Aragón</v>
          </cell>
          <cell r="D171" t="str">
            <v>44</v>
          </cell>
          <cell r="E171" t="str">
            <v>Teruel</v>
          </cell>
          <cell r="F171" t="str">
            <v>008</v>
          </cell>
          <cell r="G171" t="str">
            <v>6</v>
          </cell>
          <cell r="H171" t="str">
            <v>Albalate del Arzobispo</v>
          </cell>
          <cell r="I171" t="str">
            <v>44008</v>
          </cell>
          <cell r="J171" t="str">
            <v>Aragón</v>
          </cell>
          <cell r="K171">
            <v>1</v>
          </cell>
        </row>
        <row r="172">
          <cell r="A172" t="str">
            <v>44014</v>
          </cell>
          <cell r="B172" t="str">
            <v>02</v>
          </cell>
          <cell r="C172" t="str">
            <v>Aragón</v>
          </cell>
          <cell r="D172" t="str">
            <v>44</v>
          </cell>
          <cell r="E172" t="str">
            <v>Teruel</v>
          </cell>
          <cell r="F172" t="str">
            <v>014</v>
          </cell>
          <cell r="G172" t="str">
            <v>6</v>
          </cell>
          <cell r="H172" t="str">
            <v>Alcorisa</v>
          </cell>
          <cell r="I172" t="str">
            <v>44014</v>
          </cell>
          <cell r="J172" t="str">
            <v>Aragón</v>
          </cell>
          <cell r="K172">
            <v>1</v>
          </cell>
        </row>
        <row r="173">
          <cell r="A173" t="str">
            <v>44022</v>
          </cell>
          <cell r="B173" t="str">
            <v>02</v>
          </cell>
          <cell r="C173" t="str">
            <v>Aragón</v>
          </cell>
          <cell r="D173" t="str">
            <v>44</v>
          </cell>
          <cell r="E173" t="str">
            <v>Teruel</v>
          </cell>
          <cell r="F173" t="str">
            <v>022</v>
          </cell>
          <cell r="G173" t="str">
            <v>3</v>
          </cell>
          <cell r="H173" t="str">
            <v>Alloza</v>
          </cell>
          <cell r="I173" t="str">
            <v>44022</v>
          </cell>
          <cell r="J173" t="str">
            <v>Aragón</v>
          </cell>
          <cell r="K173">
            <v>1</v>
          </cell>
        </row>
        <row r="174">
          <cell r="A174" t="str">
            <v>44025</v>
          </cell>
          <cell r="B174" t="str">
            <v>02</v>
          </cell>
          <cell r="C174" t="str">
            <v>Aragón</v>
          </cell>
          <cell r="D174" t="str">
            <v>44</v>
          </cell>
          <cell r="E174" t="str">
            <v>Teruel</v>
          </cell>
          <cell r="F174" t="str">
            <v>025</v>
          </cell>
          <cell r="G174" t="str">
            <v>7</v>
          </cell>
          <cell r="H174" t="str">
            <v>Andorra</v>
          </cell>
          <cell r="I174" t="str">
            <v>44025</v>
          </cell>
          <cell r="J174" t="str">
            <v>Aragón</v>
          </cell>
          <cell r="K174">
            <v>1</v>
          </cell>
        </row>
        <row r="175">
          <cell r="A175" t="str">
            <v>44029</v>
          </cell>
          <cell r="B175" t="str">
            <v>02</v>
          </cell>
          <cell r="C175" t="str">
            <v>Aragón</v>
          </cell>
          <cell r="D175" t="str">
            <v>44</v>
          </cell>
          <cell r="E175" t="str">
            <v>Teruel</v>
          </cell>
          <cell r="F175" t="str">
            <v>029</v>
          </cell>
          <cell r="G175" t="str">
            <v>5</v>
          </cell>
          <cell r="H175" t="str">
            <v>Ariño</v>
          </cell>
          <cell r="I175" t="str">
            <v>44029</v>
          </cell>
          <cell r="J175" t="str">
            <v>Aragón</v>
          </cell>
          <cell r="K175">
            <v>1</v>
          </cell>
        </row>
        <row r="176">
          <cell r="A176" t="str">
            <v>44031</v>
          </cell>
          <cell r="B176" t="str">
            <v>02</v>
          </cell>
          <cell r="C176" t="str">
            <v>Aragón</v>
          </cell>
          <cell r="D176" t="str">
            <v>44</v>
          </cell>
          <cell r="E176" t="str">
            <v>Teruel</v>
          </cell>
          <cell r="F176" t="str">
            <v>031</v>
          </cell>
          <cell r="G176" t="str">
            <v>6</v>
          </cell>
          <cell r="H176" t="str">
            <v>Azaila</v>
          </cell>
          <cell r="I176" t="str">
            <v>44031</v>
          </cell>
          <cell r="J176" t="str">
            <v>Aragón</v>
          </cell>
          <cell r="K176">
            <v>0</v>
          </cell>
        </row>
        <row r="177">
          <cell r="A177" t="str">
            <v>44040</v>
          </cell>
          <cell r="B177" t="str">
            <v>02</v>
          </cell>
          <cell r="C177" t="str">
            <v>Aragón</v>
          </cell>
          <cell r="D177" t="str">
            <v>44</v>
          </cell>
          <cell r="E177" t="str">
            <v>Teruel</v>
          </cell>
          <cell r="F177" t="str">
            <v>040</v>
          </cell>
          <cell r="G177" t="str">
            <v>7</v>
          </cell>
          <cell r="H177" t="str">
            <v>Berge</v>
          </cell>
          <cell r="I177" t="str">
            <v>44040</v>
          </cell>
          <cell r="J177" t="str">
            <v>Aragón</v>
          </cell>
          <cell r="K177">
            <v>2</v>
          </cell>
        </row>
        <row r="178">
          <cell r="A178" t="str">
            <v>44051</v>
          </cell>
          <cell r="B178" t="str">
            <v>02</v>
          </cell>
          <cell r="C178" t="str">
            <v>Aragón</v>
          </cell>
          <cell r="D178" t="str">
            <v>44</v>
          </cell>
          <cell r="E178" t="str">
            <v>Teruel</v>
          </cell>
          <cell r="F178" t="str">
            <v>051</v>
          </cell>
          <cell r="G178" t="str">
            <v>1</v>
          </cell>
          <cell r="H178" t="str">
            <v>Calanda</v>
          </cell>
          <cell r="I178" t="str">
            <v>44051</v>
          </cell>
          <cell r="J178" t="str">
            <v>Aragón</v>
          </cell>
          <cell r="K178">
            <v>1</v>
          </cell>
        </row>
        <row r="179">
          <cell r="A179" t="str">
            <v>44063</v>
          </cell>
          <cell r="B179" t="str">
            <v>02</v>
          </cell>
          <cell r="C179" t="str">
            <v>Aragón</v>
          </cell>
          <cell r="D179" t="str">
            <v>44</v>
          </cell>
          <cell r="E179" t="str">
            <v>Teruel</v>
          </cell>
          <cell r="F179" t="str">
            <v>063</v>
          </cell>
          <cell r="G179" t="str">
            <v>0</v>
          </cell>
          <cell r="H179" t="str">
            <v>Cañizar del Olivar</v>
          </cell>
          <cell r="I179" t="str">
            <v>44063</v>
          </cell>
          <cell r="J179" t="str">
            <v>Aragón</v>
          </cell>
          <cell r="K179">
            <v>1</v>
          </cell>
        </row>
        <row r="180">
          <cell r="A180" t="str">
            <v>44066</v>
          </cell>
          <cell r="B180" t="str">
            <v>02</v>
          </cell>
          <cell r="C180" t="str">
            <v>Aragón</v>
          </cell>
          <cell r="D180" t="str">
            <v>44</v>
          </cell>
          <cell r="E180" t="str">
            <v>Teruel</v>
          </cell>
          <cell r="F180" t="str">
            <v>066</v>
          </cell>
          <cell r="G180" t="str">
            <v>1</v>
          </cell>
          <cell r="H180" t="str">
            <v>Castel de Cabra</v>
          </cell>
          <cell r="I180" t="str">
            <v>44066</v>
          </cell>
          <cell r="J180" t="str">
            <v>Aragón</v>
          </cell>
          <cell r="K180">
            <v>2</v>
          </cell>
        </row>
        <row r="181">
          <cell r="A181" t="str">
            <v>44067</v>
          </cell>
          <cell r="B181" t="str">
            <v>02</v>
          </cell>
          <cell r="C181" t="str">
            <v>Aragón</v>
          </cell>
          <cell r="D181" t="str">
            <v>44</v>
          </cell>
          <cell r="E181" t="str">
            <v>Teruel</v>
          </cell>
          <cell r="F181" t="str">
            <v>067</v>
          </cell>
          <cell r="G181" t="str">
            <v>7</v>
          </cell>
          <cell r="H181" t="str">
            <v>Castelnou</v>
          </cell>
          <cell r="I181" t="str">
            <v>44067</v>
          </cell>
          <cell r="J181" t="str">
            <v>Aragón</v>
          </cell>
          <cell r="K181">
            <v>0</v>
          </cell>
        </row>
        <row r="182">
          <cell r="A182" t="str">
            <v>44071</v>
          </cell>
          <cell r="B182" t="str">
            <v>02</v>
          </cell>
          <cell r="C182" t="str">
            <v>Aragón</v>
          </cell>
          <cell r="D182" t="str">
            <v>44</v>
          </cell>
          <cell r="E182" t="str">
            <v>Teruel</v>
          </cell>
          <cell r="F182" t="str">
            <v>071</v>
          </cell>
          <cell r="G182" t="str">
            <v>7</v>
          </cell>
          <cell r="H182" t="str">
            <v>Castellote</v>
          </cell>
          <cell r="I182" t="str">
            <v>44071</v>
          </cell>
          <cell r="J182" t="str">
            <v>Aragón</v>
          </cell>
          <cell r="K182">
            <v>1</v>
          </cell>
        </row>
        <row r="183">
          <cell r="A183" t="str">
            <v>44087</v>
          </cell>
          <cell r="B183" t="str">
            <v>02</v>
          </cell>
          <cell r="C183" t="str">
            <v>Aragón</v>
          </cell>
          <cell r="D183" t="str">
            <v>44</v>
          </cell>
          <cell r="E183" t="str">
            <v>Teruel</v>
          </cell>
          <cell r="F183" t="str">
            <v>087</v>
          </cell>
          <cell r="G183" t="str">
            <v>3</v>
          </cell>
          <cell r="H183" t="str">
            <v>Crivillén</v>
          </cell>
          <cell r="I183" t="str">
            <v>44087</v>
          </cell>
          <cell r="J183" t="str">
            <v>Aragón</v>
          </cell>
          <cell r="K183">
            <v>2</v>
          </cell>
        </row>
        <row r="184">
          <cell r="A184" t="str">
            <v>44096</v>
          </cell>
          <cell r="B184" t="str">
            <v>02</v>
          </cell>
          <cell r="C184" t="str">
            <v>Aragón</v>
          </cell>
          <cell r="D184" t="str">
            <v>44</v>
          </cell>
          <cell r="E184" t="str">
            <v>Teruel</v>
          </cell>
          <cell r="F184" t="str">
            <v>096</v>
          </cell>
          <cell r="G184" t="str">
            <v>5</v>
          </cell>
          <cell r="H184" t="str">
            <v>Ejulve</v>
          </cell>
          <cell r="I184" t="str">
            <v>44096</v>
          </cell>
          <cell r="J184" t="str">
            <v>Aragón</v>
          </cell>
          <cell r="K184">
            <v>2</v>
          </cell>
        </row>
        <row r="185">
          <cell r="A185" t="str">
            <v>44099</v>
          </cell>
          <cell r="B185" t="str">
            <v>02</v>
          </cell>
          <cell r="C185" t="str">
            <v>Aragón</v>
          </cell>
          <cell r="D185" t="str">
            <v>44</v>
          </cell>
          <cell r="E185" t="str">
            <v>Teruel</v>
          </cell>
          <cell r="F185" t="str">
            <v>099</v>
          </cell>
          <cell r="G185" t="str">
            <v>0</v>
          </cell>
          <cell r="H185" t="str">
            <v>Escucha</v>
          </cell>
          <cell r="I185" t="str">
            <v>44099</v>
          </cell>
          <cell r="J185" t="str">
            <v>Aragón</v>
          </cell>
          <cell r="K185">
            <v>1</v>
          </cell>
        </row>
        <row r="186">
          <cell r="A186" t="str">
            <v>44100</v>
          </cell>
          <cell r="B186" t="str">
            <v>02</v>
          </cell>
          <cell r="C186" t="str">
            <v>Aragón</v>
          </cell>
          <cell r="D186" t="str">
            <v>44</v>
          </cell>
          <cell r="E186" t="str">
            <v>Teruel</v>
          </cell>
          <cell r="F186" t="str">
            <v>100</v>
          </cell>
          <cell r="G186" t="str">
            <v>4</v>
          </cell>
          <cell r="H186" t="str">
            <v>Estercuel</v>
          </cell>
          <cell r="I186" t="str">
            <v>44100</v>
          </cell>
          <cell r="J186" t="str">
            <v>Aragón</v>
          </cell>
          <cell r="K186">
            <v>1</v>
          </cell>
        </row>
        <row r="187">
          <cell r="A187" t="str">
            <v>44107</v>
          </cell>
          <cell r="B187" t="str">
            <v>02</v>
          </cell>
          <cell r="C187" t="str">
            <v>Aragón</v>
          </cell>
          <cell r="D187" t="str">
            <v>44</v>
          </cell>
          <cell r="E187" t="str">
            <v>Teruel</v>
          </cell>
          <cell r="F187" t="str">
            <v>107</v>
          </cell>
          <cell r="G187" t="str">
            <v>9</v>
          </cell>
          <cell r="H187" t="str">
            <v>Foz-Calanda</v>
          </cell>
          <cell r="I187" t="str">
            <v>44107</v>
          </cell>
          <cell r="J187" t="str">
            <v>Aragón</v>
          </cell>
          <cell r="K187">
            <v>1</v>
          </cell>
        </row>
        <row r="188">
          <cell r="A188" t="str">
            <v>44116</v>
          </cell>
          <cell r="B188" t="str">
            <v>02</v>
          </cell>
          <cell r="C188" t="str">
            <v>Aragón</v>
          </cell>
          <cell r="D188" t="str">
            <v>44</v>
          </cell>
          <cell r="E188" t="str">
            <v>Teruel</v>
          </cell>
          <cell r="F188" t="str">
            <v>116</v>
          </cell>
          <cell r="G188" t="str">
            <v>1</v>
          </cell>
          <cell r="H188" t="str">
            <v>Gargallo</v>
          </cell>
          <cell r="I188" t="str">
            <v>44116</v>
          </cell>
          <cell r="J188" t="str">
            <v>Aragón</v>
          </cell>
          <cell r="K188">
            <v>1</v>
          </cell>
        </row>
        <row r="189">
          <cell r="A189" t="str">
            <v>44122</v>
          </cell>
          <cell r="B189" t="str">
            <v>02</v>
          </cell>
          <cell r="C189" t="str">
            <v>Aragón</v>
          </cell>
          <cell r="D189" t="str">
            <v>44</v>
          </cell>
          <cell r="E189" t="str">
            <v>Teruel</v>
          </cell>
          <cell r="F189" t="str">
            <v>122</v>
          </cell>
          <cell r="G189" t="str">
            <v>2</v>
          </cell>
          <cell r="H189" t="str">
            <v>Híjar</v>
          </cell>
          <cell r="I189" t="str">
            <v>44122</v>
          </cell>
          <cell r="J189" t="str">
            <v>Aragón</v>
          </cell>
          <cell r="K189">
            <v>2</v>
          </cell>
        </row>
        <row r="190">
          <cell r="A190" t="str">
            <v>44129</v>
          </cell>
          <cell r="B190" t="str">
            <v>02</v>
          </cell>
          <cell r="C190" t="str">
            <v>Aragón</v>
          </cell>
          <cell r="D190" t="str">
            <v>44</v>
          </cell>
          <cell r="E190" t="str">
            <v>Teruel</v>
          </cell>
          <cell r="F190" t="str">
            <v>129</v>
          </cell>
          <cell r="G190" t="str">
            <v>4</v>
          </cell>
          <cell r="H190" t="str">
            <v>Jatiel</v>
          </cell>
          <cell r="I190" t="str">
            <v>44129</v>
          </cell>
          <cell r="J190" t="str">
            <v>Aragón</v>
          </cell>
          <cell r="K190">
            <v>0</v>
          </cell>
        </row>
        <row r="191">
          <cell r="A191" t="str">
            <v>44146</v>
          </cell>
          <cell r="B191" t="str">
            <v>02</v>
          </cell>
          <cell r="C191" t="str">
            <v>Aragón</v>
          </cell>
          <cell r="D191" t="str">
            <v>44</v>
          </cell>
          <cell r="E191" t="str">
            <v>Teruel</v>
          </cell>
          <cell r="F191" t="str">
            <v>146</v>
          </cell>
          <cell r="G191" t="str">
            <v>5</v>
          </cell>
          <cell r="H191" t="str">
            <v>Mata de los Olmos, La</v>
          </cell>
          <cell r="I191" t="str">
            <v>44146</v>
          </cell>
          <cell r="J191" t="str">
            <v>Aragón</v>
          </cell>
          <cell r="K191">
            <v>2</v>
          </cell>
        </row>
        <row r="192">
          <cell r="A192" t="str">
            <v>44151</v>
          </cell>
          <cell r="B192" t="str">
            <v>02</v>
          </cell>
          <cell r="C192" t="str">
            <v>Aragón</v>
          </cell>
          <cell r="D192" t="str">
            <v>44</v>
          </cell>
          <cell r="E192" t="str">
            <v>Teruel</v>
          </cell>
          <cell r="F192" t="str">
            <v>151</v>
          </cell>
          <cell r="G192" t="str">
            <v>0</v>
          </cell>
          <cell r="H192" t="str">
            <v>Molinos</v>
          </cell>
          <cell r="I192" t="str">
            <v>44151</v>
          </cell>
          <cell r="J192" t="str">
            <v>Aragón</v>
          </cell>
          <cell r="K192">
            <v>2</v>
          </cell>
        </row>
        <row r="193">
          <cell r="A193" t="str">
            <v>44155</v>
          </cell>
          <cell r="B193" t="str">
            <v>02</v>
          </cell>
          <cell r="C193" t="str">
            <v>Aragón</v>
          </cell>
          <cell r="D193" t="str">
            <v>44</v>
          </cell>
          <cell r="E193" t="str">
            <v>Teruel</v>
          </cell>
          <cell r="F193" t="str">
            <v>155</v>
          </cell>
          <cell r="G193" t="str">
            <v>9</v>
          </cell>
          <cell r="H193" t="str">
            <v>Montalbán</v>
          </cell>
          <cell r="I193" t="str">
            <v>44155</v>
          </cell>
          <cell r="J193" t="str">
            <v>Aragón</v>
          </cell>
          <cell r="K193">
            <v>2</v>
          </cell>
        </row>
        <row r="194">
          <cell r="A194" t="str">
            <v>44172</v>
          </cell>
          <cell r="B194" t="str">
            <v>02</v>
          </cell>
          <cell r="C194" t="str">
            <v>Aragón</v>
          </cell>
          <cell r="D194" t="str">
            <v>44</v>
          </cell>
          <cell r="E194" t="str">
            <v>Teruel</v>
          </cell>
          <cell r="F194" t="str">
            <v>172</v>
          </cell>
          <cell r="G194" t="str">
            <v>1</v>
          </cell>
          <cell r="H194" t="str">
            <v>Oliete</v>
          </cell>
          <cell r="I194" t="str">
            <v>44172</v>
          </cell>
          <cell r="J194" t="str">
            <v>Aragón</v>
          </cell>
          <cell r="K194">
            <v>2</v>
          </cell>
        </row>
        <row r="195">
          <cell r="A195" t="str">
            <v>44173</v>
          </cell>
          <cell r="B195" t="str">
            <v>02</v>
          </cell>
          <cell r="C195" t="str">
            <v>Aragón</v>
          </cell>
          <cell r="D195" t="str">
            <v>44</v>
          </cell>
          <cell r="E195" t="str">
            <v>Teruel</v>
          </cell>
          <cell r="F195" t="str">
            <v>173</v>
          </cell>
          <cell r="G195" t="str">
            <v>7</v>
          </cell>
          <cell r="H195" t="str">
            <v>Olmos, Los</v>
          </cell>
          <cell r="I195" t="str">
            <v>44173</v>
          </cell>
          <cell r="J195" t="str">
            <v>Aragón</v>
          </cell>
          <cell r="K195">
            <v>2</v>
          </cell>
        </row>
        <row r="196">
          <cell r="A196" t="str">
            <v>44176</v>
          </cell>
          <cell r="B196" t="str">
            <v>02</v>
          </cell>
          <cell r="C196" t="str">
            <v>Aragón</v>
          </cell>
          <cell r="D196" t="str">
            <v>44</v>
          </cell>
          <cell r="E196" t="str">
            <v>Teruel</v>
          </cell>
          <cell r="F196" t="str">
            <v>176</v>
          </cell>
          <cell r="G196" t="str">
            <v>8</v>
          </cell>
          <cell r="H196" t="str">
            <v>Palomar de Arroyos</v>
          </cell>
          <cell r="I196" t="str">
            <v>44176</v>
          </cell>
          <cell r="J196" t="str">
            <v>Aragón</v>
          </cell>
          <cell r="K196">
            <v>1</v>
          </cell>
        </row>
        <row r="197">
          <cell r="A197" t="str">
            <v>44191</v>
          </cell>
          <cell r="B197" t="str">
            <v>02</v>
          </cell>
          <cell r="C197" t="str">
            <v>Aragón</v>
          </cell>
          <cell r="D197" t="str">
            <v>44</v>
          </cell>
          <cell r="E197" t="str">
            <v>Teruel</v>
          </cell>
          <cell r="F197" t="str">
            <v>191</v>
          </cell>
          <cell r="G197" t="str">
            <v>2</v>
          </cell>
          <cell r="H197" t="str">
            <v>Puebla de Híjar, La</v>
          </cell>
          <cell r="I197" t="str">
            <v>44191</v>
          </cell>
          <cell r="J197" t="str">
            <v>Aragón</v>
          </cell>
          <cell r="K197">
            <v>0</v>
          </cell>
        </row>
        <row r="198">
          <cell r="A198" t="str">
            <v>44205</v>
          </cell>
          <cell r="B198" t="str">
            <v>02</v>
          </cell>
          <cell r="C198" t="str">
            <v>Aragón</v>
          </cell>
          <cell r="D198" t="str">
            <v>44</v>
          </cell>
          <cell r="E198" t="str">
            <v>Teruel</v>
          </cell>
          <cell r="F198" t="str">
            <v>205</v>
          </cell>
          <cell r="G198" t="str">
            <v>9</v>
          </cell>
          <cell r="H198" t="str">
            <v>Samper de Calanda</v>
          </cell>
          <cell r="I198" t="str">
            <v>44205</v>
          </cell>
          <cell r="J198" t="str">
            <v>Aragón</v>
          </cell>
          <cell r="K198">
            <v>0</v>
          </cell>
        </row>
        <row r="199">
          <cell r="A199" t="str">
            <v>44212</v>
          </cell>
          <cell r="B199" t="str">
            <v>02</v>
          </cell>
          <cell r="C199" t="str">
            <v>Aragón</v>
          </cell>
          <cell r="D199" t="str">
            <v>44</v>
          </cell>
          <cell r="E199" t="str">
            <v>Teruel</v>
          </cell>
          <cell r="F199" t="str">
            <v>212</v>
          </cell>
          <cell r="G199" t="str">
            <v>3</v>
          </cell>
          <cell r="H199" t="str">
            <v>Seno</v>
          </cell>
          <cell r="I199" t="str">
            <v>44212</v>
          </cell>
          <cell r="J199" t="str">
            <v>Aragón</v>
          </cell>
          <cell r="K199">
            <v>0</v>
          </cell>
        </row>
        <row r="200">
          <cell r="A200" t="str">
            <v>44237</v>
          </cell>
          <cell r="B200" t="str">
            <v>02</v>
          </cell>
          <cell r="C200" t="str">
            <v>Aragón</v>
          </cell>
          <cell r="D200" t="str">
            <v>44</v>
          </cell>
          <cell r="E200" t="str">
            <v>Teruel</v>
          </cell>
          <cell r="F200" t="str">
            <v>237</v>
          </cell>
          <cell r="G200" t="str">
            <v>2</v>
          </cell>
          <cell r="H200" t="str">
            <v>Urrea de Gaén</v>
          </cell>
          <cell r="I200" t="str">
            <v>44237</v>
          </cell>
          <cell r="J200" t="str">
            <v>Aragón</v>
          </cell>
          <cell r="K200">
            <v>2</v>
          </cell>
        </row>
        <row r="201">
          <cell r="A201" t="str">
            <v>44238</v>
          </cell>
          <cell r="B201" t="str">
            <v>02</v>
          </cell>
          <cell r="C201" t="str">
            <v>Aragón</v>
          </cell>
          <cell r="D201" t="str">
            <v>44</v>
          </cell>
          <cell r="E201" t="str">
            <v>Teruel</v>
          </cell>
          <cell r="F201" t="str">
            <v>238</v>
          </cell>
          <cell r="G201" t="str">
            <v>8</v>
          </cell>
          <cell r="H201" t="str">
            <v>Utrillas</v>
          </cell>
          <cell r="I201" t="str">
            <v>44238</v>
          </cell>
          <cell r="J201" t="str">
            <v>Aragón</v>
          </cell>
          <cell r="K201">
            <v>1</v>
          </cell>
        </row>
        <row r="202">
          <cell r="A202" t="str">
            <v>44265</v>
          </cell>
          <cell r="B202" t="str">
            <v>02</v>
          </cell>
          <cell r="C202" t="str">
            <v>Aragón</v>
          </cell>
          <cell r="D202" t="str">
            <v>44</v>
          </cell>
          <cell r="E202" t="str">
            <v>Teruel</v>
          </cell>
          <cell r="F202" t="str">
            <v>265</v>
          </cell>
          <cell r="G202" t="str">
            <v>6</v>
          </cell>
          <cell r="H202" t="str">
            <v>Vinaceite</v>
          </cell>
          <cell r="I202" t="str">
            <v>44265</v>
          </cell>
          <cell r="J202" t="str">
            <v>Aragón</v>
          </cell>
          <cell r="K202">
            <v>0</v>
          </cell>
        </row>
        <row r="203">
          <cell r="A203" t="str">
            <v>50101</v>
          </cell>
          <cell r="B203" t="str">
            <v>02</v>
          </cell>
          <cell r="C203" t="str">
            <v>Aragón</v>
          </cell>
          <cell r="D203" t="str">
            <v>50</v>
          </cell>
          <cell r="E203" t="str">
            <v>Zaragoza</v>
          </cell>
          <cell r="F203" t="str">
            <v>101</v>
          </cell>
          <cell r="G203" t="str">
            <v>5</v>
          </cell>
          <cell r="H203" t="str">
            <v>Escatrón</v>
          </cell>
          <cell r="I203" t="str">
            <v>50101</v>
          </cell>
          <cell r="J203" t="str">
            <v>Aragón</v>
          </cell>
          <cell r="K203">
            <v>0</v>
          </cell>
        </row>
        <row r="204">
          <cell r="A204" t="str">
            <v>15015</v>
          </cell>
          <cell r="B204" t="str">
            <v>12</v>
          </cell>
          <cell r="C204" t="str">
            <v>Galicia</v>
          </cell>
          <cell r="D204" t="str">
            <v>15</v>
          </cell>
          <cell r="E204" t="str">
            <v>Coruña, A</v>
          </cell>
          <cell r="F204" t="str">
            <v>015</v>
          </cell>
          <cell r="G204" t="str">
            <v>8</v>
          </cell>
          <cell r="H204" t="str">
            <v>Cabanas</v>
          </cell>
          <cell r="I204" t="str">
            <v>15015</v>
          </cell>
          <cell r="J204" t="str">
            <v>As Pontes</v>
          </cell>
          <cell r="K204">
            <v>0</v>
          </cell>
        </row>
        <row r="205">
          <cell r="A205" t="str">
            <v>15018</v>
          </cell>
          <cell r="B205" t="str">
            <v>12</v>
          </cell>
          <cell r="C205" t="str">
            <v>Galicia</v>
          </cell>
          <cell r="D205" t="str">
            <v>15</v>
          </cell>
          <cell r="E205" t="str">
            <v>Coruña, A</v>
          </cell>
          <cell r="F205" t="str">
            <v>018</v>
          </cell>
          <cell r="G205" t="str">
            <v>3</v>
          </cell>
          <cell r="H205" t="str">
            <v>Capela, A</v>
          </cell>
          <cell r="I205" t="str">
            <v>15018</v>
          </cell>
          <cell r="J205" t="str">
            <v>As Pontes</v>
          </cell>
          <cell r="K205">
            <v>0</v>
          </cell>
        </row>
        <row r="206">
          <cell r="A206" t="str">
            <v>15025</v>
          </cell>
          <cell r="B206" t="str">
            <v>12</v>
          </cell>
          <cell r="C206" t="str">
            <v>Galicia</v>
          </cell>
          <cell r="D206" t="str">
            <v>15</v>
          </cell>
          <cell r="E206" t="str">
            <v>Coruña, A</v>
          </cell>
          <cell r="F206" t="str">
            <v>025</v>
          </cell>
          <cell r="G206" t="str">
            <v>6</v>
          </cell>
          <cell r="H206" t="str">
            <v>Cerdido</v>
          </cell>
          <cell r="I206" t="str">
            <v>15025</v>
          </cell>
          <cell r="J206" t="str">
            <v>As Pontes</v>
          </cell>
          <cell r="K206">
            <v>0</v>
          </cell>
        </row>
        <row r="207">
          <cell r="A207" t="str">
            <v>15036</v>
          </cell>
          <cell r="B207" t="str">
            <v>12</v>
          </cell>
          <cell r="C207" t="str">
            <v>Galicia</v>
          </cell>
          <cell r="D207" t="str">
            <v>15</v>
          </cell>
          <cell r="E207" t="str">
            <v>Coruña, A</v>
          </cell>
          <cell r="F207" t="str">
            <v>036</v>
          </cell>
          <cell r="G207" t="str">
            <v>7</v>
          </cell>
          <cell r="H207" t="str">
            <v>Ferrol</v>
          </cell>
          <cell r="I207" t="str">
            <v>15036</v>
          </cell>
          <cell r="J207" t="str">
            <v>As Pontes</v>
          </cell>
          <cell r="K207">
            <v>0</v>
          </cell>
        </row>
        <row r="208">
          <cell r="A208" t="str">
            <v>15044</v>
          </cell>
          <cell r="B208" t="str">
            <v>12</v>
          </cell>
          <cell r="C208" t="str">
            <v>Galicia</v>
          </cell>
          <cell r="D208" t="str">
            <v>15</v>
          </cell>
          <cell r="E208" t="str">
            <v>Coruña, A</v>
          </cell>
          <cell r="F208" t="str">
            <v>044</v>
          </cell>
          <cell r="G208" t="str">
            <v>9</v>
          </cell>
          <cell r="H208" t="str">
            <v>Mañón</v>
          </cell>
          <cell r="I208" t="str">
            <v>15044</v>
          </cell>
          <cell r="J208" t="str">
            <v>As Pontes</v>
          </cell>
          <cell r="K208">
            <v>0</v>
          </cell>
        </row>
        <row r="209">
          <cell r="A209" t="str">
            <v>15049</v>
          </cell>
          <cell r="B209" t="str">
            <v>12</v>
          </cell>
          <cell r="C209" t="str">
            <v>Galicia</v>
          </cell>
          <cell r="D209" t="str">
            <v>15</v>
          </cell>
          <cell r="E209" t="str">
            <v>Coruña, A</v>
          </cell>
          <cell r="F209" t="str">
            <v>049</v>
          </cell>
          <cell r="G209" t="str">
            <v>0</v>
          </cell>
          <cell r="H209" t="str">
            <v>Moeche</v>
          </cell>
          <cell r="I209" t="str">
            <v>15049</v>
          </cell>
          <cell r="J209" t="str">
            <v>As Pontes</v>
          </cell>
          <cell r="K209">
            <v>0</v>
          </cell>
        </row>
        <row r="210">
          <cell r="A210" t="str">
            <v>15050</v>
          </cell>
          <cell r="B210" t="str">
            <v>12</v>
          </cell>
          <cell r="C210" t="str">
            <v>Galicia</v>
          </cell>
          <cell r="D210" t="str">
            <v>15</v>
          </cell>
          <cell r="E210" t="str">
            <v>Coruña, A</v>
          </cell>
          <cell r="F210" t="str">
            <v>050</v>
          </cell>
          <cell r="G210" t="str">
            <v>3</v>
          </cell>
          <cell r="H210" t="str">
            <v>Monfero</v>
          </cell>
          <cell r="I210" t="str">
            <v>15050</v>
          </cell>
          <cell r="J210" t="str">
            <v>As Pontes</v>
          </cell>
          <cell r="K210">
            <v>0</v>
          </cell>
        </row>
        <row r="211">
          <cell r="A211" t="str">
            <v>15061</v>
          </cell>
          <cell r="B211" t="str">
            <v>12</v>
          </cell>
          <cell r="C211" t="str">
            <v>Galicia</v>
          </cell>
          <cell r="D211" t="str">
            <v>15</v>
          </cell>
          <cell r="E211" t="str">
            <v>Coruña, A</v>
          </cell>
          <cell r="F211" t="str">
            <v>061</v>
          </cell>
          <cell r="G211" t="str">
            <v>8</v>
          </cell>
          <cell r="H211" t="str">
            <v>Ortigueira</v>
          </cell>
          <cell r="I211" t="str">
            <v>15061</v>
          </cell>
          <cell r="J211" t="str">
            <v>As Pontes</v>
          </cell>
          <cell r="K211">
            <v>0</v>
          </cell>
        </row>
        <row r="212">
          <cell r="A212" t="str">
            <v>15070</v>
          </cell>
          <cell r="B212" t="str">
            <v>12</v>
          </cell>
          <cell r="C212" t="str">
            <v>Galicia</v>
          </cell>
          <cell r="D212" t="str">
            <v>15</v>
          </cell>
          <cell r="E212" t="str">
            <v>Coruña, A</v>
          </cell>
          <cell r="F212" t="str">
            <v>070</v>
          </cell>
          <cell r="G212" t="str">
            <v>9</v>
          </cell>
          <cell r="H212" t="str">
            <v>Pontes de García Rodríguez, As</v>
          </cell>
          <cell r="I212" t="str">
            <v>15070</v>
          </cell>
          <cell r="J212" t="str">
            <v>As Pontes</v>
          </cell>
          <cell r="K212">
            <v>0</v>
          </cell>
        </row>
        <row r="213">
          <cell r="A213" t="str">
            <v>15076</v>
          </cell>
          <cell r="B213" t="str">
            <v>12</v>
          </cell>
          <cell r="C213" t="str">
            <v>Galicia</v>
          </cell>
          <cell r="D213" t="str">
            <v>15</v>
          </cell>
          <cell r="E213" t="str">
            <v>Coruña, A</v>
          </cell>
          <cell r="F213" t="str">
            <v>076</v>
          </cell>
          <cell r="G213" t="str">
            <v>8</v>
          </cell>
          <cell r="H213" t="str">
            <v>San Sadurniño</v>
          </cell>
          <cell r="I213" t="str">
            <v>15076</v>
          </cell>
          <cell r="J213" t="str">
            <v>As Pontes</v>
          </cell>
          <cell r="K213">
            <v>0</v>
          </cell>
        </row>
        <row r="214">
          <cell r="A214" t="str">
            <v>15081</v>
          </cell>
          <cell r="B214" t="str">
            <v>12</v>
          </cell>
          <cell r="C214" t="str">
            <v>Galicia</v>
          </cell>
          <cell r="D214" t="str">
            <v>15</v>
          </cell>
          <cell r="E214" t="str">
            <v>Coruña, A</v>
          </cell>
          <cell r="F214" t="str">
            <v>081</v>
          </cell>
          <cell r="G214" t="str">
            <v>4</v>
          </cell>
          <cell r="H214" t="str">
            <v>Somozas, As</v>
          </cell>
          <cell r="I214" t="str">
            <v>15081</v>
          </cell>
          <cell r="J214" t="str">
            <v>As Pontes</v>
          </cell>
          <cell r="K214">
            <v>0</v>
          </cell>
        </row>
        <row r="215">
          <cell r="A215" t="str">
            <v>27021</v>
          </cell>
          <cell r="B215" t="str">
            <v>12</v>
          </cell>
          <cell r="C215" t="str">
            <v>Galicia</v>
          </cell>
          <cell r="D215" t="str">
            <v>27</v>
          </cell>
          <cell r="E215" t="str">
            <v>Lugo</v>
          </cell>
          <cell r="F215" t="str">
            <v>021</v>
          </cell>
          <cell r="G215" t="str">
            <v>4</v>
          </cell>
          <cell r="H215" t="str">
            <v>Xermade</v>
          </cell>
          <cell r="I215" t="str">
            <v>27021</v>
          </cell>
          <cell r="J215" t="str">
            <v>As Pontes</v>
          </cell>
          <cell r="K215">
            <v>0</v>
          </cell>
        </row>
        <row r="216">
          <cell r="A216" t="str">
            <v>27033</v>
          </cell>
          <cell r="B216" t="str">
            <v>12</v>
          </cell>
          <cell r="C216" t="str">
            <v>Galicia</v>
          </cell>
          <cell r="D216" t="str">
            <v>27</v>
          </cell>
          <cell r="E216" t="str">
            <v>Lugo</v>
          </cell>
          <cell r="F216" t="str">
            <v>033</v>
          </cell>
          <cell r="G216" t="str">
            <v>3</v>
          </cell>
          <cell r="H216" t="str">
            <v>Muras</v>
          </cell>
          <cell r="I216" t="str">
            <v>27033</v>
          </cell>
          <cell r="J216" t="str">
            <v>As Pontes</v>
          </cell>
          <cell r="K216">
            <v>0</v>
          </cell>
        </row>
        <row r="217">
          <cell r="A217" t="str">
            <v>27065</v>
          </cell>
          <cell r="B217" t="str">
            <v>12</v>
          </cell>
          <cell r="C217" t="str">
            <v>Galicia</v>
          </cell>
          <cell r="D217" t="str">
            <v>27</v>
          </cell>
          <cell r="E217" t="str">
            <v>Lugo</v>
          </cell>
          <cell r="F217" t="str">
            <v>065</v>
          </cell>
          <cell r="G217" t="str">
            <v>4</v>
          </cell>
          <cell r="H217" t="str">
            <v>Vilalba</v>
          </cell>
          <cell r="I217" t="str">
            <v>27065</v>
          </cell>
          <cell r="J217" t="str">
            <v>As Pontes</v>
          </cell>
          <cell r="K217">
            <v>0</v>
          </cell>
        </row>
        <row r="218">
          <cell r="A218" t="str">
            <v>24014</v>
          </cell>
          <cell r="B218" t="str">
            <v>07</v>
          </cell>
          <cell r="C218" t="str">
            <v>Castilla y León</v>
          </cell>
          <cell r="D218" t="str">
            <v>24</v>
          </cell>
          <cell r="E218" t="str">
            <v>León</v>
          </cell>
          <cell r="F218" t="str">
            <v>014</v>
          </cell>
          <cell r="G218" t="str">
            <v>0</v>
          </cell>
          <cell r="H218" t="str">
            <v>Bembibre</v>
          </cell>
          <cell r="I218" t="str">
            <v>24014</v>
          </cell>
          <cell r="J218" t="str">
            <v>Bierzo-Laciana</v>
          </cell>
          <cell r="K218">
            <v>1</v>
          </cell>
        </row>
        <row r="219">
          <cell r="A219" t="str">
            <v>24019</v>
          </cell>
          <cell r="B219" t="str">
            <v>07</v>
          </cell>
          <cell r="C219" t="str">
            <v>Castilla y León</v>
          </cell>
          <cell r="D219" t="str">
            <v>24</v>
          </cell>
          <cell r="E219" t="str">
            <v>León</v>
          </cell>
          <cell r="F219" t="str">
            <v>019</v>
          </cell>
          <cell r="G219" t="str">
            <v>1</v>
          </cell>
          <cell r="H219" t="str">
            <v>Berlanga del Bierzo</v>
          </cell>
          <cell r="I219" t="str">
            <v>24019</v>
          </cell>
          <cell r="J219" t="str">
            <v>Bierzo-Laciana</v>
          </cell>
          <cell r="K219">
            <v>1</v>
          </cell>
        </row>
        <row r="220">
          <cell r="A220" t="str">
            <v>24029</v>
          </cell>
          <cell r="B220" t="str">
            <v>07</v>
          </cell>
          <cell r="C220" t="str">
            <v>Castilla y León</v>
          </cell>
          <cell r="D220" t="str">
            <v>24</v>
          </cell>
          <cell r="E220" t="str">
            <v>León</v>
          </cell>
          <cell r="F220" t="str">
            <v>029</v>
          </cell>
          <cell r="G220" t="str">
            <v>9</v>
          </cell>
          <cell r="H220" t="str">
            <v>Cabrillanes</v>
          </cell>
          <cell r="I220" t="str">
            <v>24029</v>
          </cell>
          <cell r="J220" t="str">
            <v>Bierzo-Laciana</v>
          </cell>
          <cell r="K220">
            <v>1</v>
          </cell>
        </row>
        <row r="221">
          <cell r="A221" t="str">
            <v>24064</v>
          </cell>
          <cell r="B221" t="str">
            <v>07</v>
          </cell>
          <cell r="C221" t="str">
            <v>Castilla y León</v>
          </cell>
          <cell r="D221" t="str">
            <v>24</v>
          </cell>
          <cell r="E221" t="str">
            <v>León</v>
          </cell>
          <cell r="F221" t="str">
            <v>064</v>
          </cell>
          <cell r="G221" t="str">
            <v>9</v>
          </cell>
          <cell r="H221" t="str">
            <v>Cubillos del Sil</v>
          </cell>
          <cell r="I221" t="str">
            <v>24064</v>
          </cell>
          <cell r="J221" t="str">
            <v>Bierzo-Laciana</v>
          </cell>
          <cell r="K221">
            <v>2</v>
          </cell>
        </row>
        <row r="222">
          <cell r="A222" t="str">
            <v>24070</v>
          </cell>
          <cell r="B222" t="str">
            <v>07</v>
          </cell>
          <cell r="C222" t="str">
            <v>Castilla y León</v>
          </cell>
          <cell r="D222" t="str">
            <v>24</v>
          </cell>
          <cell r="E222" t="str">
            <v>León</v>
          </cell>
          <cell r="F222" t="str">
            <v>070</v>
          </cell>
          <cell r="G222" t="str">
            <v>4</v>
          </cell>
          <cell r="H222" t="str">
            <v>Fabero</v>
          </cell>
          <cell r="I222" t="str">
            <v>24070</v>
          </cell>
          <cell r="J222" t="str">
            <v>Bierzo-Laciana</v>
          </cell>
          <cell r="K222">
            <v>1</v>
          </cell>
        </row>
        <row r="223">
          <cell r="A223" t="str">
            <v>24071</v>
          </cell>
          <cell r="B223" t="str">
            <v>07</v>
          </cell>
          <cell r="C223" t="str">
            <v>Castilla y León</v>
          </cell>
          <cell r="D223" t="str">
            <v>24</v>
          </cell>
          <cell r="E223" t="str">
            <v>León</v>
          </cell>
          <cell r="F223" t="str">
            <v>071</v>
          </cell>
          <cell r="G223" t="str">
            <v>1</v>
          </cell>
          <cell r="H223" t="str">
            <v>Folgoso de la Ribera</v>
          </cell>
          <cell r="I223" t="str">
            <v>24071</v>
          </cell>
          <cell r="J223" t="str">
            <v>Bierzo-Laciana</v>
          </cell>
          <cell r="K223">
            <v>1</v>
          </cell>
        </row>
        <row r="224">
          <cell r="A224" t="str">
            <v>24083</v>
          </cell>
          <cell r="B224" t="str">
            <v>07</v>
          </cell>
          <cell r="C224" t="str">
            <v>Castilla y León</v>
          </cell>
          <cell r="D224" t="str">
            <v>24</v>
          </cell>
          <cell r="E224" t="str">
            <v>León</v>
          </cell>
          <cell r="F224" t="str">
            <v>083</v>
          </cell>
          <cell r="G224" t="str">
            <v>0</v>
          </cell>
          <cell r="H224" t="str">
            <v>Igüeña</v>
          </cell>
          <cell r="I224" t="str">
            <v>24083</v>
          </cell>
          <cell r="J224" t="str">
            <v>Bierzo-Laciana</v>
          </cell>
          <cell r="K224">
            <v>1</v>
          </cell>
        </row>
        <row r="225">
          <cell r="A225" t="str">
            <v>24102</v>
          </cell>
          <cell r="B225" t="str">
            <v>07</v>
          </cell>
          <cell r="C225" t="str">
            <v>Castilla y León</v>
          </cell>
          <cell r="D225" t="str">
            <v>24</v>
          </cell>
          <cell r="E225" t="str">
            <v>León</v>
          </cell>
          <cell r="F225" t="str">
            <v>102</v>
          </cell>
          <cell r="G225" t="str">
            <v>0</v>
          </cell>
          <cell r="H225" t="str">
            <v>Noceda del Bierzo</v>
          </cell>
          <cell r="I225" t="str">
            <v>24102</v>
          </cell>
          <cell r="J225" t="str">
            <v>Bierzo-Laciana</v>
          </cell>
          <cell r="K225">
            <v>1</v>
          </cell>
        </row>
        <row r="226">
          <cell r="A226" t="str">
            <v>24109</v>
          </cell>
          <cell r="B226" t="str">
            <v>07</v>
          </cell>
          <cell r="C226" t="str">
            <v>Castilla y León</v>
          </cell>
          <cell r="D226" t="str">
            <v>24</v>
          </cell>
          <cell r="E226" t="str">
            <v>León</v>
          </cell>
          <cell r="F226" t="str">
            <v>109</v>
          </cell>
          <cell r="G226" t="str">
            <v>2</v>
          </cell>
          <cell r="H226" t="str">
            <v>Palacios del Sil</v>
          </cell>
          <cell r="I226" t="str">
            <v>24109</v>
          </cell>
          <cell r="J226" t="str">
            <v>Bierzo-Laciana</v>
          </cell>
          <cell r="K226">
            <v>1</v>
          </cell>
        </row>
        <row r="227">
          <cell r="A227" t="str">
            <v>24110</v>
          </cell>
          <cell r="B227" t="str">
            <v>07</v>
          </cell>
          <cell r="C227" t="str">
            <v>Castilla y León</v>
          </cell>
          <cell r="D227" t="str">
            <v>24</v>
          </cell>
          <cell r="E227" t="str">
            <v>León</v>
          </cell>
          <cell r="F227" t="str">
            <v>110</v>
          </cell>
          <cell r="G227" t="str">
            <v>6</v>
          </cell>
          <cell r="H227" t="str">
            <v>Páramo del Sil</v>
          </cell>
          <cell r="I227" t="str">
            <v>24110</v>
          </cell>
          <cell r="J227" t="str">
            <v>Bierzo-Laciana</v>
          </cell>
          <cell r="K227">
            <v>1</v>
          </cell>
        </row>
        <row r="228">
          <cell r="A228" t="str">
            <v>24115</v>
          </cell>
          <cell r="B228" t="str">
            <v>07</v>
          </cell>
          <cell r="C228" t="str">
            <v>Castilla y León</v>
          </cell>
          <cell r="D228" t="str">
            <v>24</v>
          </cell>
          <cell r="E228" t="str">
            <v>León</v>
          </cell>
          <cell r="F228" t="str">
            <v>115</v>
          </cell>
          <cell r="G228" t="str">
            <v>2</v>
          </cell>
          <cell r="H228" t="str">
            <v>Ponferrada</v>
          </cell>
          <cell r="I228" t="str">
            <v>24115</v>
          </cell>
          <cell r="J228" t="str">
            <v>Bierzo-Laciana</v>
          </cell>
          <cell r="K228">
            <v>2</v>
          </cell>
        </row>
        <row r="229">
          <cell r="A229" t="str">
            <v>24145</v>
          </cell>
          <cell r="B229" t="str">
            <v>07</v>
          </cell>
          <cell r="C229" t="str">
            <v>Castilla y León</v>
          </cell>
          <cell r="D229" t="str">
            <v>24</v>
          </cell>
          <cell r="E229" t="str">
            <v>León</v>
          </cell>
          <cell r="F229" t="str">
            <v>145</v>
          </cell>
          <cell r="G229" t="str">
            <v>6</v>
          </cell>
          <cell r="H229" t="str">
            <v>San Emiliano</v>
          </cell>
          <cell r="I229" t="str">
            <v>24145</v>
          </cell>
          <cell r="J229" t="str">
            <v>Bierzo-Laciana</v>
          </cell>
          <cell r="K229">
            <v>1</v>
          </cell>
        </row>
        <row r="230">
          <cell r="A230" t="str">
            <v>24169</v>
          </cell>
          <cell r="B230" t="str">
            <v>07</v>
          </cell>
          <cell r="C230" t="str">
            <v>Castilla y León</v>
          </cell>
          <cell r="D230" t="str">
            <v>24</v>
          </cell>
          <cell r="E230" t="str">
            <v>León</v>
          </cell>
          <cell r="F230" t="str">
            <v>169</v>
          </cell>
          <cell r="G230" t="str">
            <v>9</v>
          </cell>
          <cell r="H230" t="str">
            <v>Toreno</v>
          </cell>
          <cell r="I230" t="str">
            <v>24169</v>
          </cell>
          <cell r="J230" t="str">
            <v>Bierzo-Laciana</v>
          </cell>
          <cell r="K230">
            <v>1</v>
          </cell>
        </row>
        <row r="231">
          <cell r="A231" t="str">
            <v>24170</v>
          </cell>
          <cell r="B231" t="str">
            <v>07</v>
          </cell>
          <cell r="C231" t="str">
            <v>Castilla y León</v>
          </cell>
          <cell r="D231" t="str">
            <v>24</v>
          </cell>
          <cell r="E231" t="str">
            <v>León</v>
          </cell>
          <cell r="F231" t="str">
            <v>170</v>
          </cell>
          <cell r="G231" t="str">
            <v>3</v>
          </cell>
          <cell r="H231" t="str">
            <v>Torre del Bierzo</v>
          </cell>
          <cell r="I231" t="str">
            <v>24170</v>
          </cell>
          <cell r="J231" t="str">
            <v>Bierzo-Laciana</v>
          </cell>
          <cell r="K231">
            <v>1</v>
          </cell>
        </row>
        <row r="232">
          <cell r="A232" t="str">
            <v>24184</v>
          </cell>
          <cell r="B232" t="str">
            <v>07</v>
          </cell>
          <cell r="C232" t="str">
            <v>Castilla y León</v>
          </cell>
          <cell r="D232" t="str">
            <v>24</v>
          </cell>
          <cell r="E232" t="str">
            <v>León</v>
          </cell>
          <cell r="F232" t="str">
            <v>184</v>
          </cell>
          <cell r="G232" t="str">
            <v>4</v>
          </cell>
          <cell r="H232" t="str">
            <v>Valdesamario</v>
          </cell>
          <cell r="I232" t="str">
            <v>24184</v>
          </cell>
          <cell r="J232" t="str">
            <v>Bierzo-Laciana</v>
          </cell>
          <cell r="K232">
            <v>1</v>
          </cell>
        </row>
        <row r="233">
          <cell r="A233" t="str">
            <v>24196</v>
          </cell>
          <cell r="B233" t="str">
            <v>07</v>
          </cell>
          <cell r="C233" t="str">
            <v>Castilla y León</v>
          </cell>
          <cell r="D233" t="str">
            <v>24</v>
          </cell>
          <cell r="E233" t="str">
            <v>León</v>
          </cell>
          <cell r="F233" t="str">
            <v>196</v>
          </cell>
          <cell r="G233" t="str">
            <v>8</v>
          </cell>
          <cell r="H233" t="str">
            <v>Vega de Espinareda</v>
          </cell>
          <cell r="I233" t="str">
            <v>24196</v>
          </cell>
          <cell r="J233" t="str">
            <v>Bierzo-Laciana</v>
          </cell>
          <cell r="K233">
            <v>1</v>
          </cell>
        </row>
        <row r="234">
          <cell r="A234" t="str">
            <v>24202</v>
          </cell>
          <cell r="B234" t="str">
            <v>07</v>
          </cell>
          <cell r="C234" t="str">
            <v>Castilla y León</v>
          </cell>
          <cell r="D234" t="str">
            <v>24</v>
          </cell>
          <cell r="E234" t="str">
            <v>León</v>
          </cell>
          <cell r="F234" t="str">
            <v>202</v>
          </cell>
          <cell r="G234" t="str">
            <v>9</v>
          </cell>
          <cell r="H234" t="str">
            <v>Villablino</v>
          </cell>
          <cell r="I234" t="str">
            <v>24202</v>
          </cell>
          <cell r="J234" t="str">
            <v>Bierzo-Laciana</v>
          </cell>
          <cell r="K234">
            <v>1</v>
          </cell>
        </row>
        <row r="235">
          <cell r="A235" t="str">
            <v>24210</v>
          </cell>
          <cell r="B235" t="str">
            <v>07</v>
          </cell>
          <cell r="C235" t="str">
            <v>Castilla y León</v>
          </cell>
          <cell r="D235" t="str">
            <v>24</v>
          </cell>
          <cell r="E235" t="str">
            <v>León</v>
          </cell>
          <cell r="F235" t="str">
            <v>210</v>
          </cell>
          <cell r="G235" t="str">
            <v>5</v>
          </cell>
          <cell r="H235" t="str">
            <v>Villagatón</v>
          </cell>
          <cell r="I235" t="str">
            <v>24210</v>
          </cell>
          <cell r="J235" t="str">
            <v>Bierzo-Laciana</v>
          </cell>
          <cell r="K235">
            <v>1</v>
          </cell>
        </row>
        <row r="236">
          <cell r="A236" t="str">
            <v>04032</v>
          </cell>
          <cell r="B236" t="str">
            <v>01</v>
          </cell>
          <cell r="C236" t="str">
            <v>Andalucía</v>
          </cell>
          <cell r="D236" t="str">
            <v>04</v>
          </cell>
          <cell r="E236" t="str">
            <v>Almería</v>
          </cell>
          <cell r="F236" t="str">
            <v>032</v>
          </cell>
          <cell r="G236" t="str">
            <v>9</v>
          </cell>
          <cell r="H236" t="str">
            <v>Carboneras</v>
          </cell>
          <cell r="I236" t="str">
            <v>04032</v>
          </cell>
          <cell r="J236" t="str">
            <v>Carboneras</v>
          </cell>
          <cell r="K236">
            <v>0</v>
          </cell>
        </row>
        <row r="237">
          <cell r="A237" t="str">
            <v>33002</v>
          </cell>
          <cell r="B237" t="str">
            <v>03</v>
          </cell>
          <cell r="C237" t="str">
            <v>Asturias, Principado de</v>
          </cell>
          <cell r="D237" t="str">
            <v>33</v>
          </cell>
          <cell r="E237" t="str">
            <v>Asturias</v>
          </cell>
          <cell r="F237" t="str">
            <v>002</v>
          </cell>
          <cell r="G237" t="str">
            <v>4</v>
          </cell>
          <cell r="H237" t="str">
            <v>Aller</v>
          </cell>
          <cell r="I237" t="str">
            <v>33002</v>
          </cell>
          <cell r="J237" t="str">
            <v>Caudal-Aboño</v>
          </cell>
          <cell r="K237">
            <v>1</v>
          </cell>
        </row>
        <row r="238">
          <cell r="A238" t="str">
            <v>33014</v>
          </cell>
          <cell r="B238" t="str">
            <v>03</v>
          </cell>
          <cell r="C238" t="str">
            <v>Asturias, Principado de</v>
          </cell>
          <cell r="D238" t="str">
            <v>33</v>
          </cell>
          <cell r="E238" t="str">
            <v>Asturias</v>
          </cell>
          <cell r="F238" t="str">
            <v>014</v>
          </cell>
          <cell r="G238" t="str">
            <v>3</v>
          </cell>
          <cell r="H238" t="str">
            <v>Carreño</v>
          </cell>
          <cell r="I238" t="str">
            <v>33014</v>
          </cell>
          <cell r="J238" t="str">
            <v>Caudal-Aboño</v>
          </cell>
          <cell r="K238">
            <v>2</v>
          </cell>
        </row>
        <row r="239">
          <cell r="A239" t="str">
            <v>33020</v>
          </cell>
          <cell r="B239" t="str">
            <v>03</v>
          </cell>
          <cell r="C239" t="str">
            <v>Asturias, Principado de</v>
          </cell>
          <cell r="D239" t="str">
            <v>33</v>
          </cell>
          <cell r="E239" t="str">
            <v>Asturias</v>
          </cell>
          <cell r="F239" t="str">
            <v>020</v>
          </cell>
          <cell r="G239" t="str">
            <v>8</v>
          </cell>
          <cell r="H239" t="str">
            <v>Corvera de Asturias</v>
          </cell>
          <cell r="I239" t="str">
            <v>33020</v>
          </cell>
          <cell r="J239" t="str">
            <v>Caudal-Aboño</v>
          </cell>
          <cell r="K239">
            <v>2</v>
          </cell>
        </row>
        <row r="240">
          <cell r="A240" t="str">
            <v>33024</v>
          </cell>
          <cell r="B240" t="str">
            <v>03</v>
          </cell>
          <cell r="C240" t="str">
            <v>Asturias, Principado de</v>
          </cell>
          <cell r="D240" t="str">
            <v>33</v>
          </cell>
          <cell r="E240" t="str">
            <v>Asturias</v>
          </cell>
          <cell r="F240" t="str">
            <v>024</v>
          </cell>
          <cell r="G240" t="str">
            <v>1</v>
          </cell>
          <cell r="H240" t="str">
            <v>Gijón</v>
          </cell>
          <cell r="I240" t="str">
            <v>33024</v>
          </cell>
          <cell r="J240" t="str">
            <v>Caudal-Aboño</v>
          </cell>
          <cell r="K240">
            <v>2</v>
          </cell>
        </row>
        <row r="241">
          <cell r="A241" t="str">
            <v>33025</v>
          </cell>
          <cell r="B241" t="str">
            <v>03</v>
          </cell>
          <cell r="C241" t="str">
            <v>Asturias, Principado de</v>
          </cell>
          <cell r="D241" t="str">
            <v>33</v>
          </cell>
          <cell r="E241" t="str">
            <v>Asturias</v>
          </cell>
          <cell r="F241" t="str">
            <v>025</v>
          </cell>
          <cell r="G241" t="str">
            <v>4</v>
          </cell>
          <cell r="H241" t="str">
            <v>Gozón</v>
          </cell>
          <cell r="I241" t="str">
            <v>33025</v>
          </cell>
          <cell r="J241" t="str">
            <v>Caudal-Aboño</v>
          </cell>
          <cell r="K241">
            <v>2</v>
          </cell>
        </row>
        <row r="242">
          <cell r="A242" t="str">
            <v>33033</v>
          </cell>
          <cell r="B242" t="str">
            <v>03</v>
          </cell>
          <cell r="C242" t="str">
            <v>Asturias, Principado de</v>
          </cell>
          <cell r="D242" t="str">
            <v>33</v>
          </cell>
          <cell r="E242" t="str">
            <v>Asturias</v>
          </cell>
          <cell r="F242" t="str">
            <v>033</v>
          </cell>
          <cell r="G242" t="str">
            <v>4</v>
          </cell>
          <cell r="H242" t="str">
            <v>Lena</v>
          </cell>
          <cell r="I242" t="str">
            <v>33033</v>
          </cell>
          <cell r="J242" t="str">
            <v>Caudal-Aboño</v>
          </cell>
          <cell r="K242">
            <v>1</v>
          </cell>
        </row>
        <row r="243">
          <cell r="A243" t="str">
            <v>33035</v>
          </cell>
          <cell r="B243" t="str">
            <v>03</v>
          </cell>
          <cell r="C243" t="str">
            <v>Asturias, Principado de</v>
          </cell>
          <cell r="D243" t="str">
            <v>33</v>
          </cell>
          <cell r="E243" t="str">
            <v>Asturias</v>
          </cell>
          <cell r="F243" t="str">
            <v>035</v>
          </cell>
          <cell r="G243" t="str">
            <v>2</v>
          </cell>
          <cell r="H243" t="str">
            <v>Llanera</v>
          </cell>
          <cell r="I243" t="str">
            <v>33035</v>
          </cell>
          <cell r="J243" t="str">
            <v>Caudal-Aboño</v>
          </cell>
          <cell r="K243">
            <v>2</v>
          </cell>
        </row>
        <row r="244">
          <cell r="A244" t="str">
            <v>33037</v>
          </cell>
          <cell r="B244" t="str">
            <v>03</v>
          </cell>
          <cell r="C244" t="str">
            <v>Asturias, Principado de</v>
          </cell>
          <cell r="D244" t="str">
            <v>33</v>
          </cell>
          <cell r="E244" t="str">
            <v>Asturias</v>
          </cell>
          <cell r="F244" t="str">
            <v>037</v>
          </cell>
          <cell r="G244" t="str">
            <v>1</v>
          </cell>
          <cell r="H244" t="str">
            <v>Mieres</v>
          </cell>
          <cell r="I244" t="str">
            <v>33037</v>
          </cell>
          <cell r="J244" t="str">
            <v>Caudal-Aboño</v>
          </cell>
          <cell r="K244">
            <v>1</v>
          </cell>
        </row>
        <row r="245">
          <cell r="A245" t="str">
            <v>33038</v>
          </cell>
          <cell r="B245" t="str">
            <v>03</v>
          </cell>
          <cell r="C245" t="str">
            <v>Asturias, Principado de</v>
          </cell>
          <cell r="D245" t="str">
            <v>33</v>
          </cell>
          <cell r="E245" t="str">
            <v>Asturias</v>
          </cell>
          <cell r="F245" t="str">
            <v>038</v>
          </cell>
          <cell r="G245" t="str">
            <v>7</v>
          </cell>
          <cell r="H245" t="str">
            <v>Morcín</v>
          </cell>
          <cell r="I245" t="str">
            <v>33038</v>
          </cell>
          <cell r="J245" t="str">
            <v>Caudal-Aboño</v>
          </cell>
          <cell r="K245">
            <v>1</v>
          </cell>
        </row>
        <row r="246">
          <cell r="A246" t="str">
            <v>33053</v>
          </cell>
          <cell r="B246" t="str">
            <v>03</v>
          </cell>
          <cell r="C246" t="str">
            <v>Asturias, Principado de</v>
          </cell>
          <cell r="D246" t="str">
            <v>33</v>
          </cell>
          <cell r="E246" t="str">
            <v>Asturias</v>
          </cell>
          <cell r="F246" t="str">
            <v>053</v>
          </cell>
          <cell r="G246" t="str">
            <v>9</v>
          </cell>
          <cell r="H246" t="str">
            <v>Quirós</v>
          </cell>
          <cell r="I246" t="str">
            <v>33053</v>
          </cell>
          <cell r="J246" t="str">
            <v>Caudal-Aboño</v>
          </cell>
          <cell r="K246">
            <v>1</v>
          </cell>
        </row>
        <row r="247">
          <cell r="A247" t="str">
            <v>33057</v>
          </cell>
          <cell r="B247" t="str">
            <v>03</v>
          </cell>
          <cell r="C247" t="str">
            <v>Asturias, Principado de</v>
          </cell>
          <cell r="D247" t="str">
            <v>33</v>
          </cell>
          <cell r="E247" t="str">
            <v>Asturias</v>
          </cell>
          <cell r="F247" t="str">
            <v>057</v>
          </cell>
          <cell r="G247" t="str">
            <v>6</v>
          </cell>
          <cell r="H247" t="str">
            <v>Ribera de Arriba</v>
          </cell>
          <cell r="I247" t="str">
            <v>33057</v>
          </cell>
          <cell r="J247" t="str">
            <v>Caudal-Aboño</v>
          </cell>
          <cell r="K247">
            <v>1</v>
          </cell>
        </row>
        <row r="248">
          <cell r="A248" t="str">
            <v>33058</v>
          </cell>
          <cell r="B248" t="str">
            <v>03</v>
          </cell>
          <cell r="C248" t="str">
            <v>Asturias, Principado de</v>
          </cell>
          <cell r="D248" t="str">
            <v>33</v>
          </cell>
          <cell r="E248" t="str">
            <v>Asturias</v>
          </cell>
          <cell r="F248" t="str">
            <v>058</v>
          </cell>
          <cell r="G248" t="str">
            <v>2</v>
          </cell>
          <cell r="H248" t="str">
            <v>Riosa</v>
          </cell>
          <cell r="I248" t="str">
            <v>33058</v>
          </cell>
          <cell r="J248" t="str">
            <v>Caudal-Aboño</v>
          </cell>
          <cell r="K248">
            <v>1</v>
          </cell>
        </row>
        <row r="249">
          <cell r="A249" t="str">
            <v>33072</v>
          </cell>
          <cell r="B249" t="str">
            <v>03</v>
          </cell>
          <cell r="C249" t="str">
            <v>Asturias, Principado de</v>
          </cell>
          <cell r="D249" t="str">
            <v>33</v>
          </cell>
          <cell r="E249" t="str">
            <v>Asturias</v>
          </cell>
          <cell r="F249" t="str">
            <v>072</v>
          </cell>
          <cell r="G249" t="str">
            <v>9</v>
          </cell>
          <cell r="H249" t="str">
            <v>Teverga</v>
          </cell>
          <cell r="I249" t="str">
            <v>33072</v>
          </cell>
          <cell r="J249" t="str">
            <v>Caudal-Aboño</v>
          </cell>
          <cell r="K249">
            <v>1</v>
          </cell>
        </row>
        <row r="250">
          <cell r="A250" t="str">
            <v>33076</v>
          </cell>
          <cell r="B250" t="str">
            <v>03</v>
          </cell>
          <cell r="C250" t="str">
            <v>Asturias, Principado de</v>
          </cell>
          <cell r="D250" t="str">
            <v>33</v>
          </cell>
          <cell r="E250" t="str">
            <v>Asturias</v>
          </cell>
          <cell r="F250" t="str">
            <v>076</v>
          </cell>
          <cell r="G250" t="str">
            <v>6</v>
          </cell>
          <cell r="H250" t="str">
            <v>Villaviciosa</v>
          </cell>
          <cell r="I250" t="str">
            <v>33076</v>
          </cell>
          <cell r="J250" t="str">
            <v>Caudal-Aboño</v>
          </cell>
          <cell r="K250">
            <v>2</v>
          </cell>
        </row>
        <row r="251">
          <cell r="A251" t="str">
            <v>01047</v>
          </cell>
          <cell r="B251" t="str">
            <v>16</v>
          </cell>
          <cell r="C251" t="str">
            <v>País Vasco</v>
          </cell>
          <cell r="D251" t="str">
            <v>01</v>
          </cell>
          <cell r="E251" t="str">
            <v>Araba/Álava</v>
          </cell>
          <cell r="F251" t="str">
            <v>047</v>
          </cell>
          <cell r="G251" t="str">
            <v>4</v>
          </cell>
          <cell r="H251" t="str">
            <v>Ribera Baja/Erriberabeitia</v>
          </cell>
          <cell r="I251" t="str">
            <v>01047</v>
          </cell>
          <cell r="J251" t="str">
            <v>Garoña</v>
          </cell>
          <cell r="K251">
            <v>0</v>
          </cell>
        </row>
        <row r="252">
          <cell r="A252" t="str">
            <v>01055</v>
          </cell>
          <cell r="B252" t="str">
            <v>16</v>
          </cell>
          <cell r="C252" t="str">
            <v>País Vasco</v>
          </cell>
          <cell r="D252" t="str">
            <v>01</v>
          </cell>
          <cell r="E252" t="str">
            <v>Araba/Álava</v>
          </cell>
          <cell r="F252" t="str">
            <v>055</v>
          </cell>
          <cell r="G252" t="str">
            <v>2</v>
          </cell>
          <cell r="H252" t="str">
            <v>Valdegovía/Gaubea</v>
          </cell>
          <cell r="I252" t="str">
            <v>01055</v>
          </cell>
          <cell r="J252" t="str">
            <v>Garoña</v>
          </cell>
          <cell r="K252">
            <v>0</v>
          </cell>
        </row>
        <row r="253">
          <cell r="A253" t="str">
            <v>01902</v>
          </cell>
          <cell r="B253" t="str">
            <v>16</v>
          </cell>
          <cell r="C253" t="str">
            <v>País Vasco</v>
          </cell>
          <cell r="D253" t="str">
            <v>01</v>
          </cell>
          <cell r="E253" t="str">
            <v>Araba/Álava</v>
          </cell>
          <cell r="F253" t="str">
            <v>902</v>
          </cell>
          <cell r="G253" t="str">
            <v>0</v>
          </cell>
          <cell r="H253" t="str">
            <v>Lantarón</v>
          </cell>
          <cell r="I253" t="str">
            <v>01902</v>
          </cell>
          <cell r="J253" t="str">
            <v>Garoña</v>
          </cell>
          <cell r="K253">
            <v>0</v>
          </cell>
        </row>
        <row r="254">
          <cell r="A254" t="str">
            <v>09016</v>
          </cell>
          <cell r="B254" t="str">
            <v>07</v>
          </cell>
          <cell r="C254" t="str">
            <v>Castilla y León</v>
          </cell>
          <cell r="D254" t="str">
            <v>09</v>
          </cell>
          <cell r="E254" t="str">
            <v>Burgos</v>
          </cell>
          <cell r="F254" t="str">
            <v>016</v>
          </cell>
          <cell r="G254" t="str">
            <v>1</v>
          </cell>
          <cell r="H254" t="str">
            <v>Ameyugo</v>
          </cell>
          <cell r="I254" t="str">
            <v>09016</v>
          </cell>
          <cell r="J254" t="str">
            <v>Garoña</v>
          </cell>
          <cell r="K254">
            <v>0</v>
          </cell>
        </row>
        <row r="255">
          <cell r="A255" t="str">
            <v>09050</v>
          </cell>
          <cell r="B255" t="str">
            <v>07</v>
          </cell>
          <cell r="C255" t="str">
            <v>Castilla y León</v>
          </cell>
          <cell r="D255" t="str">
            <v>09</v>
          </cell>
          <cell r="E255" t="str">
            <v>Burgos</v>
          </cell>
          <cell r="F255" t="str">
            <v>050</v>
          </cell>
          <cell r="G255" t="str">
            <v>3</v>
          </cell>
          <cell r="H255" t="str">
            <v>Berberana</v>
          </cell>
          <cell r="I255" t="str">
            <v>09050</v>
          </cell>
          <cell r="J255" t="str">
            <v>Garoña</v>
          </cell>
          <cell r="K255">
            <v>0</v>
          </cell>
        </row>
        <row r="256">
          <cell r="A256" t="str">
            <v>09054</v>
          </cell>
          <cell r="B256" t="str">
            <v>07</v>
          </cell>
          <cell r="C256" t="str">
            <v>Castilla y León</v>
          </cell>
          <cell r="D256" t="str">
            <v>09</v>
          </cell>
          <cell r="E256" t="str">
            <v>Burgos</v>
          </cell>
          <cell r="F256" t="str">
            <v>054</v>
          </cell>
          <cell r="G256" t="str">
            <v>6</v>
          </cell>
          <cell r="H256" t="str">
            <v>Bozoó</v>
          </cell>
          <cell r="I256" t="str">
            <v>09054</v>
          </cell>
          <cell r="J256" t="str">
            <v>Garoña</v>
          </cell>
          <cell r="K256">
            <v>0</v>
          </cell>
        </row>
        <row r="257">
          <cell r="A257" t="str">
            <v>09060</v>
          </cell>
          <cell r="B257" t="str">
            <v>07</v>
          </cell>
          <cell r="C257" t="str">
            <v>Castilla y León</v>
          </cell>
          <cell r="D257" t="str">
            <v>09</v>
          </cell>
          <cell r="E257" t="str">
            <v>Burgos</v>
          </cell>
          <cell r="F257" t="str">
            <v>060</v>
          </cell>
          <cell r="G257" t="str">
            <v>1</v>
          </cell>
          <cell r="H257" t="str">
            <v>Busto de Bureba</v>
          </cell>
          <cell r="I257" t="str">
            <v>09060</v>
          </cell>
          <cell r="J257" t="str">
            <v>Garoña</v>
          </cell>
          <cell r="K257">
            <v>0</v>
          </cell>
        </row>
        <row r="258">
          <cell r="A258" t="str">
            <v>09077</v>
          </cell>
          <cell r="B258" t="str">
            <v>07</v>
          </cell>
          <cell r="C258" t="str">
            <v>Castilla y León</v>
          </cell>
          <cell r="D258" t="str">
            <v>09</v>
          </cell>
          <cell r="E258" t="str">
            <v>Burgos</v>
          </cell>
          <cell r="F258" t="str">
            <v>077</v>
          </cell>
          <cell r="G258" t="str">
            <v>4</v>
          </cell>
          <cell r="H258" t="str">
            <v>Cascajares de Bureba</v>
          </cell>
          <cell r="I258" t="str">
            <v>09077</v>
          </cell>
          <cell r="J258" t="str">
            <v>Garoña</v>
          </cell>
          <cell r="K258">
            <v>0</v>
          </cell>
        </row>
        <row r="259">
          <cell r="A259" t="str">
            <v>09102</v>
          </cell>
          <cell r="B259" t="str">
            <v>07</v>
          </cell>
          <cell r="C259" t="str">
            <v>Castilla y León</v>
          </cell>
          <cell r="D259" t="str">
            <v>09</v>
          </cell>
          <cell r="E259" t="str">
            <v>Burgos</v>
          </cell>
          <cell r="F259" t="str">
            <v>102</v>
          </cell>
          <cell r="G259" t="str">
            <v>5</v>
          </cell>
          <cell r="H259" t="str">
            <v>Cillaperlata</v>
          </cell>
          <cell r="I259" t="str">
            <v>09102</v>
          </cell>
          <cell r="J259" t="str">
            <v>Garoña</v>
          </cell>
          <cell r="K259">
            <v>0</v>
          </cell>
        </row>
        <row r="260">
          <cell r="A260" t="str">
            <v>09115</v>
          </cell>
          <cell r="B260" t="str">
            <v>07</v>
          </cell>
          <cell r="C260" t="str">
            <v>Castilla y León</v>
          </cell>
          <cell r="D260" t="str">
            <v>09</v>
          </cell>
          <cell r="E260" t="str">
            <v>Burgos</v>
          </cell>
          <cell r="F260" t="str">
            <v>115</v>
          </cell>
          <cell r="G260" t="str">
            <v>7</v>
          </cell>
          <cell r="H260" t="str">
            <v>Cubo de Bureba</v>
          </cell>
          <cell r="I260" t="str">
            <v>09115</v>
          </cell>
          <cell r="J260" t="str">
            <v>Garoña</v>
          </cell>
          <cell r="K260">
            <v>0</v>
          </cell>
        </row>
        <row r="261">
          <cell r="A261" t="str">
            <v>09120</v>
          </cell>
          <cell r="B261" t="str">
            <v>07</v>
          </cell>
          <cell r="C261" t="str">
            <v>Castilla y León</v>
          </cell>
          <cell r="D261" t="str">
            <v>09</v>
          </cell>
          <cell r="E261" t="str">
            <v>Burgos</v>
          </cell>
          <cell r="F261" t="str">
            <v>120</v>
          </cell>
          <cell r="G261" t="str">
            <v>9</v>
          </cell>
          <cell r="H261" t="str">
            <v>Encío</v>
          </cell>
          <cell r="I261" t="str">
            <v>09120</v>
          </cell>
          <cell r="J261" t="str">
            <v>Garoña</v>
          </cell>
          <cell r="K261">
            <v>0</v>
          </cell>
        </row>
        <row r="262">
          <cell r="A262" t="str">
            <v>09134</v>
          </cell>
          <cell r="B262" t="str">
            <v>07</v>
          </cell>
          <cell r="C262" t="str">
            <v>Castilla y León</v>
          </cell>
          <cell r="D262" t="str">
            <v>09</v>
          </cell>
          <cell r="E262" t="str">
            <v>Burgos</v>
          </cell>
          <cell r="F262" t="str">
            <v>134</v>
          </cell>
          <cell r="G262" t="str">
            <v>0</v>
          </cell>
          <cell r="H262" t="str">
            <v>Frías</v>
          </cell>
          <cell r="I262" t="str">
            <v>09134</v>
          </cell>
          <cell r="J262" t="str">
            <v>Garoña</v>
          </cell>
          <cell r="K262">
            <v>0</v>
          </cell>
        </row>
        <row r="263">
          <cell r="A263" t="str">
            <v>09192</v>
          </cell>
          <cell r="B263" t="str">
            <v>07</v>
          </cell>
          <cell r="C263" t="str">
            <v>Castilla y León</v>
          </cell>
          <cell r="D263" t="str">
            <v>09</v>
          </cell>
          <cell r="E263" t="str">
            <v>Burgos</v>
          </cell>
          <cell r="F263" t="str">
            <v>192</v>
          </cell>
          <cell r="G263" t="str">
            <v>6</v>
          </cell>
          <cell r="H263" t="str">
            <v>Jurisdicción de San Zadornil</v>
          </cell>
          <cell r="I263" t="str">
            <v>09192</v>
          </cell>
          <cell r="J263" t="str">
            <v>Garoña</v>
          </cell>
          <cell r="K263">
            <v>0</v>
          </cell>
        </row>
        <row r="264">
          <cell r="A264" t="str">
            <v>09209</v>
          </cell>
          <cell r="B264" t="str">
            <v>07</v>
          </cell>
          <cell r="C264" t="str">
            <v>Castilla y León</v>
          </cell>
          <cell r="D264" t="str">
            <v>09</v>
          </cell>
          <cell r="E264" t="str">
            <v>Burgos</v>
          </cell>
          <cell r="F264" t="str">
            <v>209</v>
          </cell>
          <cell r="G264" t="str">
            <v>6</v>
          </cell>
          <cell r="H264" t="str">
            <v>Medina de Pomar</v>
          </cell>
          <cell r="I264" t="str">
            <v>09209</v>
          </cell>
          <cell r="J264" t="str">
            <v>Garoña</v>
          </cell>
          <cell r="K264">
            <v>0</v>
          </cell>
        </row>
        <row r="265">
          <cell r="A265" t="str">
            <v>09213</v>
          </cell>
          <cell r="B265" t="str">
            <v>07</v>
          </cell>
          <cell r="C265" t="str">
            <v>Castilla y León</v>
          </cell>
          <cell r="D265" t="str">
            <v>09</v>
          </cell>
          <cell r="E265" t="str">
            <v>Burgos</v>
          </cell>
          <cell r="F265" t="str">
            <v>213</v>
          </cell>
          <cell r="G265" t="str">
            <v>8</v>
          </cell>
          <cell r="H265" t="str">
            <v>Merindad de Cuesta-Urria</v>
          </cell>
          <cell r="I265" t="str">
            <v>09213</v>
          </cell>
          <cell r="J265" t="str">
            <v>Garoña</v>
          </cell>
          <cell r="K265">
            <v>0</v>
          </cell>
        </row>
        <row r="266">
          <cell r="A266" t="str">
            <v>09219</v>
          </cell>
          <cell r="B266" t="str">
            <v>07</v>
          </cell>
          <cell r="C266" t="str">
            <v>Castilla y León</v>
          </cell>
          <cell r="D266" t="str">
            <v>09</v>
          </cell>
          <cell r="E266" t="str">
            <v>Burgos</v>
          </cell>
          <cell r="F266" t="str">
            <v>219</v>
          </cell>
          <cell r="G266" t="str">
            <v>4</v>
          </cell>
          <cell r="H266" t="str">
            <v>Miranda de Ebro</v>
          </cell>
          <cell r="I266" t="str">
            <v>09219</v>
          </cell>
          <cell r="J266" t="str">
            <v>Garoña</v>
          </cell>
          <cell r="K266">
            <v>0</v>
          </cell>
        </row>
        <row r="267">
          <cell r="A267" t="str">
            <v>09220</v>
          </cell>
          <cell r="B267" t="str">
            <v>07</v>
          </cell>
          <cell r="C267" t="str">
            <v>Castilla y León</v>
          </cell>
          <cell r="D267" t="str">
            <v>09</v>
          </cell>
          <cell r="E267" t="str">
            <v>Burgos</v>
          </cell>
          <cell r="F267" t="str">
            <v>220</v>
          </cell>
          <cell r="G267" t="str">
            <v>8</v>
          </cell>
          <cell r="H267" t="str">
            <v>Miraveche</v>
          </cell>
          <cell r="I267" t="str">
            <v>09220</v>
          </cell>
          <cell r="J267" t="str">
            <v>Garoña</v>
          </cell>
          <cell r="K267">
            <v>0</v>
          </cell>
        </row>
        <row r="268">
          <cell r="A268" t="str">
            <v>09230</v>
          </cell>
          <cell r="B268" t="str">
            <v>07</v>
          </cell>
          <cell r="C268" t="str">
            <v>Castilla y León</v>
          </cell>
          <cell r="D268" t="str">
            <v>09</v>
          </cell>
          <cell r="E268" t="str">
            <v>Burgos</v>
          </cell>
          <cell r="F268" t="str">
            <v>230</v>
          </cell>
          <cell r="G268" t="str">
            <v>6</v>
          </cell>
          <cell r="H268" t="str">
            <v>Navas de Bureba</v>
          </cell>
          <cell r="I268" t="str">
            <v>09230</v>
          </cell>
          <cell r="J268" t="str">
            <v>Garoña</v>
          </cell>
          <cell r="K268">
            <v>0</v>
          </cell>
        </row>
        <row r="269">
          <cell r="A269" t="str">
            <v>09238</v>
          </cell>
          <cell r="B269" t="str">
            <v>07</v>
          </cell>
          <cell r="C269" t="str">
            <v>Castilla y León</v>
          </cell>
          <cell r="D269" t="str">
            <v>09</v>
          </cell>
          <cell r="E269" t="str">
            <v>Burgos</v>
          </cell>
          <cell r="F269" t="str">
            <v>238</v>
          </cell>
          <cell r="G269" t="str">
            <v>7</v>
          </cell>
          <cell r="H269" t="str">
            <v>Oña</v>
          </cell>
          <cell r="I269" t="str">
            <v>09238</v>
          </cell>
          <cell r="J269" t="str">
            <v>Garoña</v>
          </cell>
          <cell r="K269">
            <v>0</v>
          </cell>
        </row>
        <row r="270">
          <cell r="A270" t="str">
            <v>09251</v>
          </cell>
          <cell r="B270" t="str">
            <v>07</v>
          </cell>
          <cell r="C270" t="str">
            <v>Castilla y León</v>
          </cell>
          <cell r="D270" t="str">
            <v>09</v>
          </cell>
          <cell r="E270" t="str">
            <v>Burgos</v>
          </cell>
          <cell r="F270" t="str">
            <v>251</v>
          </cell>
          <cell r="G270" t="str">
            <v>8</v>
          </cell>
          <cell r="H270" t="str">
            <v>Pancorbo</v>
          </cell>
          <cell r="I270" t="str">
            <v>09251</v>
          </cell>
          <cell r="J270" t="str">
            <v>Garoña</v>
          </cell>
          <cell r="K270">
            <v>0</v>
          </cell>
        </row>
        <row r="271">
          <cell r="A271" t="str">
            <v>09255</v>
          </cell>
          <cell r="B271" t="str">
            <v>07</v>
          </cell>
          <cell r="C271" t="str">
            <v>Castilla y León</v>
          </cell>
          <cell r="D271" t="str">
            <v>09</v>
          </cell>
          <cell r="E271" t="str">
            <v>Burgos</v>
          </cell>
          <cell r="F271" t="str">
            <v>255</v>
          </cell>
          <cell r="G271" t="str">
            <v>7</v>
          </cell>
          <cell r="H271" t="str">
            <v>Partido de la Sierra en Tobalina</v>
          </cell>
          <cell r="I271" t="str">
            <v>09255</v>
          </cell>
          <cell r="J271" t="str">
            <v>Garoña</v>
          </cell>
          <cell r="K271">
            <v>0</v>
          </cell>
        </row>
        <row r="272">
          <cell r="A272" t="str">
            <v>09283</v>
          </cell>
          <cell r="B272" t="str">
            <v>07</v>
          </cell>
          <cell r="C272" t="str">
            <v>Castilla y León</v>
          </cell>
          <cell r="D272" t="str">
            <v>09</v>
          </cell>
          <cell r="E272" t="str">
            <v>Burgos</v>
          </cell>
          <cell r="F272" t="str">
            <v>283</v>
          </cell>
          <cell r="G272" t="str">
            <v>3</v>
          </cell>
          <cell r="H272" t="str">
            <v>Quintanaélez</v>
          </cell>
          <cell r="I272" t="str">
            <v>09283</v>
          </cell>
          <cell r="J272" t="str">
            <v>Garoña</v>
          </cell>
          <cell r="K272">
            <v>0</v>
          </cell>
        </row>
        <row r="273">
          <cell r="A273" t="str">
            <v>09347</v>
          </cell>
          <cell r="B273" t="str">
            <v>07</v>
          </cell>
          <cell r="C273" t="str">
            <v>Castilla y León</v>
          </cell>
          <cell r="D273" t="str">
            <v>09</v>
          </cell>
          <cell r="E273" t="str">
            <v>Burgos</v>
          </cell>
          <cell r="F273" t="str">
            <v>347</v>
          </cell>
          <cell r="G273" t="str">
            <v>8</v>
          </cell>
          <cell r="H273" t="str">
            <v>Santa Gadea del Cid</v>
          </cell>
          <cell r="I273" t="str">
            <v>09347</v>
          </cell>
          <cell r="J273" t="str">
            <v>Garoña</v>
          </cell>
          <cell r="K273">
            <v>0</v>
          </cell>
        </row>
        <row r="274">
          <cell r="A274" t="str">
            <v>09353</v>
          </cell>
          <cell r="B274" t="str">
            <v>07</v>
          </cell>
          <cell r="C274" t="str">
            <v>Castilla y León</v>
          </cell>
          <cell r="D274" t="str">
            <v>09</v>
          </cell>
          <cell r="E274" t="str">
            <v>Burgos</v>
          </cell>
          <cell r="F274" t="str">
            <v>353</v>
          </cell>
          <cell r="G274" t="str">
            <v>8</v>
          </cell>
          <cell r="H274" t="str">
            <v>Santa María Ribarredonda</v>
          </cell>
          <cell r="I274" t="str">
            <v>09353</v>
          </cell>
          <cell r="J274" t="str">
            <v>Garoña</v>
          </cell>
          <cell r="K274">
            <v>0</v>
          </cell>
        </row>
        <row r="275">
          <cell r="A275" t="str">
            <v>09394</v>
          </cell>
          <cell r="B275" t="str">
            <v>07</v>
          </cell>
          <cell r="C275" t="str">
            <v>Castilla y León</v>
          </cell>
          <cell r="D275" t="str">
            <v>09</v>
          </cell>
          <cell r="E275" t="str">
            <v>Burgos</v>
          </cell>
          <cell r="F275" t="str">
            <v>394</v>
          </cell>
          <cell r="G275" t="str">
            <v>5</v>
          </cell>
          <cell r="H275" t="str">
            <v>Trespaderne</v>
          </cell>
          <cell r="I275" t="str">
            <v>09394</v>
          </cell>
          <cell r="J275" t="str">
            <v>Garoña</v>
          </cell>
          <cell r="K275">
            <v>0</v>
          </cell>
        </row>
        <row r="276">
          <cell r="A276" t="str">
            <v>09412</v>
          </cell>
          <cell r="B276" t="str">
            <v>07</v>
          </cell>
          <cell r="C276" t="str">
            <v>Castilla y León</v>
          </cell>
          <cell r="D276" t="str">
            <v>09</v>
          </cell>
          <cell r="E276" t="str">
            <v>Burgos</v>
          </cell>
          <cell r="F276" t="str">
            <v>412</v>
          </cell>
          <cell r="G276" t="str">
            <v>0</v>
          </cell>
          <cell r="H276" t="str">
            <v>Valle de Tobalina</v>
          </cell>
          <cell r="I276" t="str">
            <v>09412</v>
          </cell>
          <cell r="J276" t="str">
            <v>Garoña</v>
          </cell>
          <cell r="K276">
            <v>0</v>
          </cell>
        </row>
        <row r="277">
          <cell r="A277" t="str">
            <v>09454</v>
          </cell>
          <cell r="B277" t="str">
            <v>07</v>
          </cell>
          <cell r="C277" t="str">
            <v>Castilla y León</v>
          </cell>
          <cell r="D277" t="str">
            <v>09</v>
          </cell>
          <cell r="E277" t="str">
            <v>Burgos</v>
          </cell>
          <cell r="F277" t="str">
            <v>454</v>
          </cell>
          <cell r="G277" t="str">
            <v>2</v>
          </cell>
          <cell r="H277" t="str">
            <v>Villanueva de Teba</v>
          </cell>
          <cell r="I277" t="str">
            <v>09454</v>
          </cell>
          <cell r="J277" t="str">
            <v>Garoña</v>
          </cell>
          <cell r="K277">
            <v>0</v>
          </cell>
        </row>
        <row r="278">
          <cell r="A278" t="str">
            <v>14009</v>
          </cell>
          <cell r="B278" t="str">
            <v>01</v>
          </cell>
          <cell r="C278" t="str">
            <v>Andalucía</v>
          </cell>
          <cell r="D278" t="str">
            <v>14</v>
          </cell>
          <cell r="E278" t="str">
            <v>Córdoba</v>
          </cell>
          <cell r="F278" t="str">
            <v>009</v>
          </cell>
          <cell r="G278" t="str">
            <v>5</v>
          </cell>
          <cell r="H278" t="str">
            <v>Belmez</v>
          </cell>
          <cell r="I278" t="str">
            <v>14009</v>
          </cell>
          <cell r="J278" t="str">
            <v>Guadiato</v>
          </cell>
          <cell r="K278">
            <v>0</v>
          </cell>
        </row>
        <row r="279">
          <cell r="A279" t="str">
            <v>14011</v>
          </cell>
          <cell r="B279" t="str">
            <v>01</v>
          </cell>
          <cell r="C279" t="str">
            <v>Andalucía</v>
          </cell>
          <cell r="D279" t="str">
            <v>14</v>
          </cell>
          <cell r="E279" t="str">
            <v>Córdoba</v>
          </cell>
          <cell r="F279" t="str">
            <v>011</v>
          </cell>
          <cell r="G279" t="str">
            <v>6</v>
          </cell>
          <cell r="H279" t="str">
            <v>Blázquez, Los</v>
          </cell>
          <cell r="I279" t="str">
            <v>14011</v>
          </cell>
          <cell r="J279" t="str">
            <v>Guadiato</v>
          </cell>
          <cell r="K279">
            <v>0</v>
          </cell>
        </row>
        <row r="280">
          <cell r="A280" t="str">
            <v>14026</v>
          </cell>
          <cell r="B280" t="str">
            <v>01</v>
          </cell>
          <cell r="C280" t="str">
            <v>Andalucía</v>
          </cell>
          <cell r="D280" t="str">
            <v>14</v>
          </cell>
          <cell r="E280" t="str">
            <v>Córdoba</v>
          </cell>
          <cell r="F280" t="str">
            <v>026</v>
          </cell>
          <cell r="G280" t="str">
            <v>6</v>
          </cell>
          <cell r="H280" t="str">
            <v>Espiel</v>
          </cell>
          <cell r="I280" t="str">
            <v>14026</v>
          </cell>
          <cell r="J280" t="str">
            <v>Guadiato</v>
          </cell>
          <cell r="K280">
            <v>0</v>
          </cell>
        </row>
        <row r="281">
          <cell r="A281" t="str">
            <v>14029</v>
          </cell>
          <cell r="B281" t="str">
            <v>01</v>
          </cell>
          <cell r="C281" t="str">
            <v>Andalucía</v>
          </cell>
          <cell r="D281" t="str">
            <v>14</v>
          </cell>
          <cell r="E281" t="str">
            <v>Córdoba</v>
          </cell>
          <cell r="F281" t="str">
            <v>029</v>
          </cell>
          <cell r="G281" t="str">
            <v>1</v>
          </cell>
          <cell r="H281" t="str">
            <v>Fuente Obejuna</v>
          </cell>
          <cell r="I281" t="str">
            <v>14029</v>
          </cell>
          <cell r="J281" t="str">
            <v>Guadiato</v>
          </cell>
          <cell r="K281">
            <v>0</v>
          </cell>
        </row>
        <row r="282">
          <cell r="A282" t="str">
            <v>14032</v>
          </cell>
          <cell r="B282" t="str">
            <v>01</v>
          </cell>
          <cell r="C282" t="str">
            <v>Andalucía</v>
          </cell>
          <cell r="D282" t="str">
            <v>14</v>
          </cell>
          <cell r="E282" t="str">
            <v>Córdoba</v>
          </cell>
          <cell r="F282" t="str">
            <v>032</v>
          </cell>
          <cell r="G282" t="str">
            <v>7</v>
          </cell>
          <cell r="H282" t="str">
            <v>Granjuela, La</v>
          </cell>
          <cell r="I282" t="str">
            <v>14032</v>
          </cell>
          <cell r="J282" t="str">
            <v>Guadiato</v>
          </cell>
          <cell r="K282">
            <v>0</v>
          </cell>
        </row>
        <row r="283">
          <cell r="A283" t="str">
            <v>14047</v>
          </cell>
          <cell r="B283" t="str">
            <v>01</v>
          </cell>
          <cell r="C283" t="str">
            <v>Andalucía</v>
          </cell>
          <cell r="D283" t="str">
            <v>14</v>
          </cell>
          <cell r="E283" t="str">
            <v>Córdoba</v>
          </cell>
          <cell r="F283" t="str">
            <v>047</v>
          </cell>
          <cell r="G283" t="str">
            <v>8</v>
          </cell>
          <cell r="H283" t="str">
            <v>Obejo</v>
          </cell>
          <cell r="I283" t="str">
            <v>14047</v>
          </cell>
          <cell r="J283" t="str">
            <v>Guadiato</v>
          </cell>
          <cell r="K283">
            <v>0</v>
          </cell>
        </row>
        <row r="284">
          <cell r="A284" t="str">
            <v>14052</v>
          </cell>
          <cell r="B284" t="str">
            <v>01</v>
          </cell>
          <cell r="C284" t="str">
            <v>Andalucía</v>
          </cell>
          <cell r="D284" t="str">
            <v>14</v>
          </cell>
          <cell r="E284" t="str">
            <v>Córdoba</v>
          </cell>
          <cell r="F284" t="str">
            <v>052</v>
          </cell>
          <cell r="G284" t="str">
            <v>2</v>
          </cell>
          <cell r="H284" t="str">
            <v>Peñarroya-Pueblonuevo</v>
          </cell>
          <cell r="I284" t="str">
            <v>14052</v>
          </cell>
          <cell r="J284" t="str">
            <v>Guadiato</v>
          </cell>
          <cell r="K284">
            <v>0</v>
          </cell>
        </row>
        <row r="285">
          <cell r="A285" t="str">
            <v>14064</v>
          </cell>
          <cell r="B285" t="str">
            <v>01</v>
          </cell>
          <cell r="C285" t="str">
            <v>Andalucía</v>
          </cell>
          <cell r="D285" t="str">
            <v>14</v>
          </cell>
          <cell r="E285" t="str">
            <v>Córdoba</v>
          </cell>
          <cell r="F285" t="str">
            <v>064</v>
          </cell>
          <cell r="G285" t="str">
            <v>1</v>
          </cell>
          <cell r="H285" t="str">
            <v>Valsequillo</v>
          </cell>
          <cell r="I285" t="str">
            <v>14064</v>
          </cell>
          <cell r="J285" t="str">
            <v>Guadiato</v>
          </cell>
          <cell r="K285">
            <v>0</v>
          </cell>
        </row>
        <row r="286">
          <cell r="A286" t="str">
            <v>14068</v>
          </cell>
          <cell r="B286" t="str">
            <v>01</v>
          </cell>
          <cell r="C286" t="str">
            <v>Andalucía</v>
          </cell>
          <cell r="D286" t="str">
            <v>14</v>
          </cell>
          <cell r="E286" t="str">
            <v>Córdoba</v>
          </cell>
          <cell r="F286" t="str">
            <v>068</v>
          </cell>
          <cell r="G286" t="str">
            <v>9</v>
          </cell>
          <cell r="H286" t="str">
            <v>Villaharta</v>
          </cell>
          <cell r="I286" t="str">
            <v>14068</v>
          </cell>
          <cell r="J286" t="str">
            <v>Guadiato</v>
          </cell>
          <cell r="K286">
            <v>0</v>
          </cell>
        </row>
        <row r="287">
          <cell r="A287" t="str">
            <v>14071</v>
          </cell>
          <cell r="B287" t="str">
            <v>01</v>
          </cell>
          <cell r="C287" t="str">
            <v>Andalucía</v>
          </cell>
          <cell r="D287" t="str">
            <v>14</v>
          </cell>
          <cell r="E287" t="str">
            <v>Córdoba</v>
          </cell>
          <cell r="F287" t="str">
            <v>071</v>
          </cell>
          <cell r="G287" t="str">
            <v>3</v>
          </cell>
          <cell r="H287" t="str">
            <v>Villanueva del Rey</v>
          </cell>
          <cell r="I287" t="str">
            <v>14071</v>
          </cell>
          <cell r="J287" t="str">
            <v>Guadiato</v>
          </cell>
          <cell r="K287">
            <v>0</v>
          </cell>
        </row>
        <row r="288">
          <cell r="A288" t="str">
            <v>14073</v>
          </cell>
          <cell r="B288" t="str">
            <v>01</v>
          </cell>
          <cell r="C288" t="str">
            <v>Andalucía</v>
          </cell>
          <cell r="D288" t="str">
            <v>14</v>
          </cell>
          <cell r="E288" t="str">
            <v>Córdoba</v>
          </cell>
          <cell r="F288" t="str">
            <v>073</v>
          </cell>
          <cell r="G288" t="str">
            <v>4</v>
          </cell>
          <cell r="H288" t="str">
            <v>Villaviciosa de Córdoba</v>
          </cell>
          <cell r="I288" t="str">
            <v>14073</v>
          </cell>
          <cell r="J288" t="str">
            <v>Guadiato</v>
          </cell>
          <cell r="K288">
            <v>0</v>
          </cell>
        </row>
        <row r="289">
          <cell r="A289" t="str">
            <v>34027</v>
          </cell>
          <cell r="B289" t="str">
            <v>07</v>
          </cell>
          <cell r="C289" t="str">
            <v>Castilla y León</v>
          </cell>
          <cell r="D289" t="str">
            <v>34</v>
          </cell>
          <cell r="E289" t="str">
            <v>Palencia</v>
          </cell>
          <cell r="F289" t="str">
            <v>027</v>
          </cell>
          <cell r="G289" t="str">
            <v>8</v>
          </cell>
          <cell r="H289" t="str">
            <v>Barruelo de Santullán</v>
          </cell>
          <cell r="I289" t="str">
            <v>34027</v>
          </cell>
          <cell r="J289" t="str">
            <v>Guardo-Velilla</v>
          </cell>
          <cell r="K289">
            <v>1</v>
          </cell>
        </row>
        <row r="290">
          <cell r="A290" t="str">
            <v>34049</v>
          </cell>
          <cell r="B290" t="str">
            <v>07</v>
          </cell>
          <cell r="C290" t="str">
            <v>Castilla y León</v>
          </cell>
          <cell r="D290" t="str">
            <v>34</v>
          </cell>
          <cell r="E290" t="str">
            <v>Palencia</v>
          </cell>
          <cell r="F290" t="str">
            <v>049</v>
          </cell>
          <cell r="G290" t="str">
            <v>3</v>
          </cell>
          <cell r="H290" t="str">
            <v>Castrejón de la Peña</v>
          </cell>
          <cell r="I290" t="str">
            <v>34049</v>
          </cell>
          <cell r="J290" t="str">
            <v>Guardo-Velilla</v>
          </cell>
          <cell r="K290">
            <v>1</v>
          </cell>
        </row>
        <row r="291">
          <cell r="A291" t="str">
            <v>34056</v>
          </cell>
          <cell r="B291" t="str">
            <v>07</v>
          </cell>
          <cell r="C291" t="str">
            <v>Castilla y León</v>
          </cell>
          <cell r="D291" t="str">
            <v>34</v>
          </cell>
          <cell r="E291" t="str">
            <v>Palencia</v>
          </cell>
          <cell r="F291" t="str">
            <v>056</v>
          </cell>
          <cell r="G291" t="str">
            <v>5</v>
          </cell>
          <cell r="H291" t="str">
            <v>Cervera de Pisuerga</v>
          </cell>
          <cell r="I291" t="str">
            <v>34056</v>
          </cell>
          <cell r="J291" t="str">
            <v>Guardo-Velilla</v>
          </cell>
          <cell r="K291">
            <v>1</v>
          </cell>
        </row>
        <row r="292">
          <cell r="A292" t="str">
            <v>34080</v>
          </cell>
          <cell r="B292" t="str">
            <v>07</v>
          </cell>
          <cell r="C292" t="str">
            <v>Castilla y León</v>
          </cell>
          <cell r="D292" t="str">
            <v>34</v>
          </cell>
          <cell r="E292" t="str">
            <v>Palencia</v>
          </cell>
          <cell r="F292" t="str">
            <v>080</v>
          </cell>
          <cell r="G292" t="str">
            <v>0</v>
          </cell>
          <cell r="H292" t="str">
            <v>Guardo</v>
          </cell>
          <cell r="I292" t="str">
            <v>34080</v>
          </cell>
          <cell r="J292" t="str">
            <v>Guardo-Velilla</v>
          </cell>
          <cell r="K292">
            <v>1</v>
          </cell>
        </row>
        <row r="293">
          <cell r="A293" t="str">
            <v>34100</v>
          </cell>
          <cell r="B293" t="str">
            <v>07</v>
          </cell>
          <cell r="C293" t="str">
            <v>Castilla y León</v>
          </cell>
          <cell r="D293" t="str">
            <v>34</v>
          </cell>
          <cell r="E293" t="str">
            <v>Palencia</v>
          </cell>
          <cell r="F293" t="str">
            <v>100</v>
          </cell>
          <cell r="G293" t="str">
            <v>6</v>
          </cell>
          <cell r="H293" t="str">
            <v>Mantinos</v>
          </cell>
          <cell r="I293" t="str">
            <v>34100</v>
          </cell>
          <cell r="J293" t="str">
            <v>Guardo-Velilla</v>
          </cell>
          <cell r="K293">
            <v>2</v>
          </cell>
        </row>
        <row r="294">
          <cell r="A294" t="str">
            <v>34110</v>
          </cell>
          <cell r="B294" t="str">
            <v>07</v>
          </cell>
          <cell r="C294" t="str">
            <v>Castilla y León</v>
          </cell>
          <cell r="D294" t="str">
            <v>34</v>
          </cell>
          <cell r="E294" t="str">
            <v>Palencia</v>
          </cell>
          <cell r="F294" t="str">
            <v>110</v>
          </cell>
          <cell r="G294" t="str">
            <v>4</v>
          </cell>
          <cell r="H294" t="str">
            <v>Mudá</v>
          </cell>
          <cell r="I294" t="str">
            <v>34110</v>
          </cell>
          <cell r="J294" t="str">
            <v>Guardo-Velilla</v>
          </cell>
          <cell r="K294">
            <v>2</v>
          </cell>
        </row>
        <row r="295">
          <cell r="A295" t="str">
            <v>34134</v>
          </cell>
          <cell r="B295" t="str">
            <v>07</v>
          </cell>
          <cell r="C295" t="str">
            <v>Castilla y León</v>
          </cell>
          <cell r="D295" t="str">
            <v>34</v>
          </cell>
          <cell r="E295" t="str">
            <v>Palencia</v>
          </cell>
          <cell r="F295" t="str">
            <v>134</v>
          </cell>
          <cell r="G295" t="str">
            <v>3</v>
          </cell>
          <cell r="H295" t="str">
            <v>Polentinos</v>
          </cell>
          <cell r="I295" t="str">
            <v>34134</v>
          </cell>
          <cell r="J295" t="str">
            <v>Guardo-Velilla</v>
          </cell>
          <cell r="K295">
            <v>2</v>
          </cell>
        </row>
        <row r="296">
          <cell r="A296" t="str">
            <v>34158</v>
          </cell>
          <cell r="B296" t="str">
            <v>07</v>
          </cell>
          <cell r="C296" t="str">
            <v>Castilla y León</v>
          </cell>
          <cell r="D296" t="str">
            <v>34</v>
          </cell>
          <cell r="E296" t="str">
            <v>Palencia</v>
          </cell>
          <cell r="F296" t="str">
            <v>158</v>
          </cell>
          <cell r="G296" t="str">
            <v>6</v>
          </cell>
          <cell r="H296" t="str">
            <v>Salinas de Pisuerga</v>
          </cell>
          <cell r="I296" t="str">
            <v>34158</v>
          </cell>
          <cell r="J296" t="str">
            <v>Guardo-Velilla</v>
          </cell>
          <cell r="K296">
            <v>2</v>
          </cell>
        </row>
        <row r="297">
          <cell r="A297" t="str">
            <v>34160</v>
          </cell>
          <cell r="B297" t="str">
            <v>07</v>
          </cell>
          <cell r="C297" t="str">
            <v>Castilla y León</v>
          </cell>
          <cell r="D297" t="str">
            <v>34</v>
          </cell>
          <cell r="E297" t="str">
            <v>Palencia</v>
          </cell>
          <cell r="F297" t="str">
            <v>160</v>
          </cell>
          <cell r="G297" t="str">
            <v>3</v>
          </cell>
          <cell r="H297" t="str">
            <v>San Cebrián de Mudá</v>
          </cell>
          <cell r="I297" t="str">
            <v>34160</v>
          </cell>
          <cell r="J297" t="str">
            <v>Guardo-Velilla</v>
          </cell>
          <cell r="K297">
            <v>2</v>
          </cell>
        </row>
        <row r="298">
          <cell r="A298" t="str">
            <v>34171</v>
          </cell>
          <cell r="B298" t="str">
            <v>07</v>
          </cell>
          <cell r="C298" t="str">
            <v>Castilla y León</v>
          </cell>
          <cell r="D298" t="str">
            <v>34</v>
          </cell>
          <cell r="E298" t="str">
            <v>Palencia</v>
          </cell>
          <cell r="F298" t="str">
            <v>171</v>
          </cell>
          <cell r="G298" t="str">
            <v>8</v>
          </cell>
          <cell r="H298" t="str">
            <v>Santibáñez de la Peña</v>
          </cell>
          <cell r="I298" t="str">
            <v>34171</v>
          </cell>
          <cell r="J298" t="str">
            <v>Guardo-Velilla</v>
          </cell>
          <cell r="K298">
            <v>1</v>
          </cell>
        </row>
        <row r="299">
          <cell r="A299" t="str">
            <v>34185</v>
          </cell>
          <cell r="B299" t="str">
            <v>07</v>
          </cell>
          <cell r="C299" t="str">
            <v>Castilla y León</v>
          </cell>
          <cell r="D299" t="str">
            <v>34</v>
          </cell>
          <cell r="E299" t="str">
            <v>Palencia</v>
          </cell>
          <cell r="F299" t="str">
            <v>185</v>
          </cell>
          <cell r="G299" t="str">
            <v>5</v>
          </cell>
          <cell r="H299" t="str">
            <v>Triollo</v>
          </cell>
          <cell r="I299" t="str">
            <v>34185</v>
          </cell>
          <cell r="J299" t="str">
            <v>Guardo-Velilla</v>
          </cell>
          <cell r="K299">
            <v>2</v>
          </cell>
        </row>
        <row r="300">
          <cell r="A300" t="str">
            <v>34199</v>
          </cell>
          <cell r="B300" t="str">
            <v>07</v>
          </cell>
          <cell r="C300" t="str">
            <v>Castilla y León</v>
          </cell>
          <cell r="D300" t="str">
            <v>34</v>
          </cell>
          <cell r="E300" t="str">
            <v>Palencia</v>
          </cell>
          <cell r="F300" t="str">
            <v>199</v>
          </cell>
          <cell r="G300" t="str">
            <v>1</v>
          </cell>
          <cell r="H300" t="str">
            <v>Velilla del Río Carrión</v>
          </cell>
          <cell r="I300" t="str">
            <v>34199</v>
          </cell>
          <cell r="J300" t="str">
            <v>Guardo-Velilla</v>
          </cell>
          <cell r="K300">
            <v>1</v>
          </cell>
        </row>
        <row r="301">
          <cell r="A301" t="str">
            <v>34214</v>
          </cell>
          <cell r="B301" t="str">
            <v>07</v>
          </cell>
          <cell r="C301" t="str">
            <v>Castilla y León</v>
          </cell>
          <cell r="D301" t="str">
            <v>34</v>
          </cell>
          <cell r="E301" t="str">
            <v>Palencia</v>
          </cell>
          <cell r="F301" t="str">
            <v>214</v>
          </cell>
          <cell r="G301" t="str">
            <v>6</v>
          </cell>
          <cell r="H301" t="str">
            <v>Villalba de Guardo</v>
          </cell>
          <cell r="I301" t="str">
            <v>34214</v>
          </cell>
          <cell r="J301" t="str">
            <v>Guardo-Velilla</v>
          </cell>
          <cell r="K301">
            <v>2</v>
          </cell>
        </row>
        <row r="302">
          <cell r="A302" t="str">
            <v>34904</v>
          </cell>
          <cell r="B302" t="str">
            <v>07</v>
          </cell>
          <cell r="C302" t="str">
            <v>Castilla y León</v>
          </cell>
          <cell r="D302" t="str">
            <v>34</v>
          </cell>
          <cell r="E302" t="str">
            <v>Palencia</v>
          </cell>
          <cell r="F302" t="str">
            <v>904</v>
          </cell>
          <cell r="G302" t="str">
            <v>1</v>
          </cell>
          <cell r="H302" t="str">
            <v>Pernía, La</v>
          </cell>
          <cell r="I302" t="str">
            <v>34904</v>
          </cell>
          <cell r="J302" t="str">
            <v>Guardo-Velilla</v>
          </cell>
          <cell r="K302">
            <v>1</v>
          </cell>
        </row>
        <row r="303">
          <cell r="A303" t="str">
            <v>24012</v>
          </cell>
          <cell r="B303" t="str">
            <v>07</v>
          </cell>
          <cell r="C303" t="str">
            <v>Castilla y León</v>
          </cell>
          <cell r="D303" t="str">
            <v>24</v>
          </cell>
          <cell r="E303" t="str">
            <v>León</v>
          </cell>
          <cell r="F303" t="str">
            <v>012</v>
          </cell>
          <cell r="G303" t="str">
            <v>9</v>
          </cell>
          <cell r="H303" t="str">
            <v>Barrios de Luna, Los</v>
          </cell>
          <cell r="I303" t="str">
            <v>24012</v>
          </cell>
          <cell r="J303" t="str">
            <v>La Robla</v>
          </cell>
          <cell r="K303">
            <v>2</v>
          </cell>
        </row>
        <row r="304">
          <cell r="A304" t="str">
            <v>24021</v>
          </cell>
          <cell r="B304" t="str">
            <v>07</v>
          </cell>
          <cell r="C304" t="str">
            <v>Castilla y León</v>
          </cell>
          <cell r="D304" t="str">
            <v>24</v>
          </cell>
          <cell r="E304" t="str">
            <v>León</v>
          </cell>
          <cell r="F304" t="str">
            <v>021</v>
          </cell>
          <cell r="G304" t="str">
            <v>2</v>
          </cell>
          <cell r="H304" t="str">
            <v>Boñar</v>
          </cell>
          <cell r="I304" t="str">
            <v>24021</v>
          </cell>
          <cell r="J304" t="str">
            <v>La Robla</v>
          </cell>
          <cell r="K304">
            <v>2</v>
          </cell>
        </row>
        <row r="305">
          <cell r="A305" t="str">
            <v>24056</v>
          </cell>
          <cell r="B305" t="str">
            <v>07</v>
          </cell>
          <cell r="C305" t="str">
            <v>Castilla y León</v>
          </cell>
          <cell r="D305" t="str">
            <v>24</v>
          </cell>
          <cell r="E305" t="str">
            <v>León</v>
          </cell>
          <cell r="F305" t="str">
            <v>056</v>
          </cell>
          <cell r="G305" t="str">
            <v>7</v>
          </cell>
          <cell r="H305" t="str">
            <v>Cistierna</v>
          </cell>
          <cell r="I305" t="str">
            <v>24056</v>
          </cell>
          <cell r="J305" t="str">
            <v>La Robla</v>
          </cell>
          <cell r="K305">
            <v>1</v>
          </cell>
        </row>
        <row r="306">
          <cell r="A306" t="str">
            <v>24098</v>
          </cell>
          <cell r="B306" t="str">
            <v>07</v>
          </cell>
          <cell r="C306" t="str">
            <v>Castilla y León</v>
          </cell>
          <cell r="D306" t="str">
            <v>24</v>
          </cell>
          <cell r="E306" t="str">
            <v>León</v>
          </cell>
          <cell r="F306" t="str">
            <v>098</v>
          </cell>
          <cell r="G306" t="str">
            <v>1</v>
          </cell>
          <cell r="H306" t="str">
            <v>Matallana de Torío</v>
          </cell>
          <cell r="I306" t="str">
            <v>24098</v>
          </cell>
          <cell r="J306" t="str">
            <v>La Robla</v>
          </cell>
          <cell r="K306">
            <v>1</v>
          </cell>
        </row>
        <row r="307">
          <cell r="A307" t="str">
            <v>24114</v>
          </cell>
          <cell r="B307" t="str">
            <v>07</v>
          </cell>
          <cell r="C307" t="str">
            <v>Castilla y León</v>
          </cell>
          <cell r="D307" t="str">
            <v>24</v>
          </cell>
          <cell r="E307" t="str">
            <v>León</v>
          </cell>
          <cell r="F307" t="str">
            <v>114</v>
          </cell>
          <cell r="G307" t="str">
            <v>9</v>
          </cell>
          <cell r="H307" t="str">
            <v>Pola de Gordón, La</v>
          </cell>
          <cell r="I307" t="str">
            <v>24114</v>
          </cell>
          <cell r="J307" t="str">
            <v>La Robla</v>
          </cell>
          <cell r="K307">
            <v>1</v>
          </cell>
        </row>
        <row r="308">
          <cell r="A308" t="str">
            <v>24134</v>
          </cell>
          <cell r="B308" t="str">
            <v>07</v>
          </cell>
          <cell r="C308" t="str">
            <v>Castilla y León</v>
          </cell>
          <cell r="D308" t="str">
            <v>24</v>
          </cell>
          <cell r="E308" t="str">
            <v>León</v>
          </cell>
          <cell r="F308" t="str">
            <v>134</v>
          </cell>
          <cell r="G308" t="str">
            <v>5</v>
          </cell>
          <cell r="H308" t="str">
            <v>Robla, La</v>
          </cell>
          <cell r="I308" t="str">
            <v>24134</v>
          </cell>
          <cell r="J308" t="str">
            <v>La Robla</v>
          </cell>
          <cell r="K308">
            <v>1</v>
          </cell>
        </row>
        <row r="309">
          <cell r="A309" t="str">
            <v>24137</v>
          </cell>
          <cell r="B309" t="str">
            <v>07</v>
          </cell>
          <cell r="C309" t="str">
            <v>Castilla y León</v>
          </cell>
          <cell r="D309" t="str">
            <v>24</v>
          </cell>
          <cell r="E309" t="str">
            <v>León</v>
          </cell>
          <cell r="F309" t="str">
            <v>137</v>
          </cell>
          <cell r="G309" t="str">
            <v>7</v>
          </cell>
          <cell r="H309" t="str">
            <v>Sabero</v>
          </cell>
          <cell r="I309" t="str">
            <v>24137</v>
          </cell>
          <cell r="J309" t="str">
            <v>La Robla</v>
          </cell>
          <cell r="K309">
            <v>1</v>
          </cell>
        </row>
        <row r="310">
          <cell r="A310" t="str">
            <v>24179</v>
          </cell>
          <cell r="B310" t="str">
            <v>07</v>
          </cell>
          <cell r="C310" t="str">
            <v>Castilla y León</v>
          </cell>
          <cell r="D310" t="str">
            <v>24</v>
          </cell>
          <cell r="E310" t="str">
            <v>León</v>
          </cell>
          <cell r="F310" t="str">
            <v>179</v>
          </cell>
          <cell r="G310" t="str">
            <v>7</v>
          </cell>
          <cell r="H310" t="str">
            <v>Valdepiélago</v>
          </cell>
          <cell r="I310" t="str">
            <v>24179</v>
          </cell>
          <cell r="J310" t="str">
            <v>La Robla</v>
          </cell>
          <cell r="K310">
            <v>1</v>
          </cell>
        </row>
        <row r="311">
          <cell r="A311" t="str">
            <v>24183</v>
          </cell>
          <cell r="B311" t="str">
            <v>07</v>
          </cell>
          <cell r="C311" t="str">
            <v>Castilla y León</v>
          </cell>
          <cell r="D311" t="str">
            <v>24</v>
          </cell>
          <cell r="E311" t="str">
            <v>León</v>
          </cell>
          <cell r="F311" t="str">
            <v>183</v>
          </cell>
          <cell r="G311" t="str">
            <v>9</v>
          </cell>
          <cell r="H311" t="str">
            <v>Valderrueda</v>
          </cell>
          <cell r="I311" t="str">
            <v>24183</v>
          </cell>
          <cell r="J311" t="str">
            <v>La Robla</v>
          </cell>
          <cell r="K311">
            <v>1</v>
          </cell>
        </row>
        <row r="312">
          <cell r="A312" t="str">
            <v>24194</v>
          </cell>
          <cell r="B312" t="str">
            <v>07</v>
          </cell>
          <cell r="C312" t="str">
            <v>Castilla y León</v>
          </cell>
          <cell r="D312" t="str">
            <v>24</v>
          </cell>
          <cell r="E312" t="str">
            <v>León</v>
          </cell>
          <cell r="F312" t="str">
            <v>194</v>
          </cell>
          <cell r="G312" t="str">
            <v>2</v>
          </cell>
          <cell r="H312" t="str">
            <v>Vegacervera</v>
          </cell>
          <cell r="I312" t="str">
            <v>24194</v>
          </cell>
          <cell r="J312" t="str">
            <v>La Robla</v>
          </cell>
          <cell r="K312">
            <v>1</v>
          </cell>
        </row>
        <row r="313">
          <cell r="A313" t="str">
            <v>24901</v>
          </cell>
          <cell r="B313" t="str">
            <v>07</v>
          </cell>
          <cell r="C313" t="str">
            <v>Castilla y León</v>
          </cell>
          <cell r="D313" t="str">
            <v>24</v>
          </cell>
          <cell r="E313" t="str">
            <v>León</v>
          </cell>
          <cell r="F313" t="str">
            <v>901</v>
          </cell>
          <cell r="G313" t="str">
            <v>7</v>
          </cell>
          <cell r="H313" t="str">
            <v>Villamanín</v>
          </cell>
          <cell r="I313" t="str">
            <v>24901</v>
          </cell>
          <cell r="J313" t="str">
            <v>La Robla</v>
          </cell>
          <cell r="K313">
            <v>2</v>
          </cell>
        </row>
        <row r="314">
          <cell r="A314" t="str">
            <v>11004</v>
          </cell>
          <cell r="B314" t="str">
            <v>01</v>
          </cell>
          <cell r="C314" t="str">
            <v>Andalucía</v>
          </cell>
          <cell r="D314" t="str">
            <v>11</v>
          </cell>
          <cell r="E314" t="str">
            <v>Cádiz</v>
          </cell>
          <cell r="F314" t="str">
            <v>004</v>
          </cell>
          <cell r="G314" t="str">
            <v>8</v>
          </cell>
          <cell r="H314" t="str">
            <v>Algeciras</v>
          </cell>
          <cell r="I314" t="str">
            <v>11004</v>
          </cell>
          <cell r="J314" t="str">
            <v>Los Barrios</v>
          </cell>
          <cell r="K314">
            <v>0</v>
          </cell>
        </row>
        <row r="315">
          <cell r="A315" t="str">
            <v>11008</v>
          </cell>
          <cell r="B315" t="str">
            <v>01</v>
          </cell>
          <cell r="C315" t="str">
            <v>Andalucía</v>
          </cell>
          <cell r="D315" t="str">
            <v>11</v>
          </cell>
          <cell r="E315" t="str">
            <v>Cádiz</v>
          </cell>
          <cell r="F315" t="str">
            <v>008</v>
          </cell>
          <cell r="G315" t="str">
            <v>6</v>
          </cell>
          <cell r="H315" t="str">
            <v>Barrios, Los</v>
          </cell>
          <cell r="I315" t="str">
            <v>11008</v>
          </cell>
          <cell r="J315" t="str">
            <v>Los Barrios</v>
          </cell>
          <cell r="K315">
            <v>0</v>
          </cell>
        </row>
        <row r="316">
          <cell r="A316" t="str">
            <v>11022</v>
          </cell>
          <cell r="B316" t="str">
            <v>01</v>
          </cell>
          <cell r="C316" t="str">
            <v>Andalucía</v>
          </cell>
          <cell r="D316" t="str">
            <v>11</v>
          </cell>
          <cell r="E316" t="str">
            <v>Cádiz</v>
          </cell>
          <cell r="F316" t="str">
            <v>022</v>
          </cell>
          <cell r="G316" t="str">
            <v>3</v>
          </cell>
          <cell r="H316" t="str">
            <v>Línea de la Concepción, La</v>
          </cell>
          <cell r="I316" t="str">
            <v>11022</v>
          </cell>
          <cell r="J316" t="str">
            <v>Los Barrios</v>
          </cell>
          <cell r="K316">
            <v>0</v>
          </cell>
        </row>
        <row r="317">
          <cell r="A317" t="str">
            <v>11033</v>
          </cell>
          <cell r="B317" t="str">
            <v>01</v>
          </cell>
          <cell r="C317" t="str">
            <v>Andalucía</v>
          </cell>
          <cell r="D317" t="str">
            <v>11</v>
          </cell>
          <cell r="E317" t="str">
            <v>Cádiz</v>
          </cell>
          <cell r="F317" t="str">
            <v>033</v>
          </cell>
          <cell r="G317" t="str">
            <v>7</v>
          </cell>
          <cell r="H317" t="str">
            <v>San Roque</v>
          </cell>
          <cell r="I317" t="str">
            <v>11033</v>
          </cell>
          <cell r="J317" t="str">
            <v>Los Barrios</v>
          </cell>
          <cell r="K317">
            <v>0</v>
          </cell>
        </row>
        <row r="318">
          <cell r="A318" t="str">
            <v>15021</v>
          </cell>
          <cell r="B318" t="str">
            <v>12</v>
          </cell>
          <cell r="C318" t="str">
            <v>Galicia</v>
          </cell>
          <cell r="D318" t="str">
            <v>15</v>
          </cell>
          <cell r="E318" t="str">
            <v>Coruña, A</v>
          </cell>
          <cell r="F318" t="str">
            <v>021</v>
          </cell>
          <cell r="G318" t="str">
            <v>7</v>
          </cell>
          <cell r="H318" t="str">
            <v>Carral</v>
          </cell>
          <cell r="I318" t="str">
            <v>15021</v>
          </cell>
          <cell r="J318" t="str">
            <v>Meirama</v>
          </cell>
          <cell r="K318">
            <v>0</v>
          </cell>
        </row>
        <row r="319">
          <cell r="A319" t="str">
            <v>15024</v>
          </cell>
          <cell r="B319" t="str">
            <v>12</v>
          </cell>
          <cell r="C319" t="str">
            <v>Galicia</v>
          </cell>
          <cell r="D319" t="str">
            <v>15</v>
          </cell>
          <cell r="E319" t="str">
            <v>Coruña, A</v>
          </cell>
          <cell r="F319" t="str">
            <v>024</v>
          </cell>
          <cell r="G319" t="str">
            <v>3</v>
          </cell>
          <cell r="H319" t="str">
            <v>Cerceda</v>
          </cell>
          <cell r="I319" t="str">
            <v>15024</v>
          </cell>
          <cell r="J319" t="str">
            <v>Meirama</v>
          </cell>
          <cell r="K319">
            <v>0</v>
          </cell>
        </row>
        <row r="320">
          <cell r="A320" t="str">
            <v>15041</v>
          </cell>
          <cell r="B320" t="str">
            <v>12</v>
          </cell>
          <cell r="C320" t="str">
            <v>Galicia</v>
          </cell>
          <cell r="D320" t="str">
            <v>15</v>
          </cell>
          <cell r="E320" t="str">
            <v>Coruña, A</v>
          </cell>
          <cell r="F320" t="str">
            <v>041</v>
          </cell>
          <cell r="G320" t="str">
            <v>3</v>
          </cell>
          <cell r="H320" t="str">
            <v>Laracha, A</v>
          </cell>
          <cell r="I320" t="str">
            <v>15041</v>
          </cell>
          <cell r="J320" t="str">
            <v>Meirama</v>
          </cell>
          <cell r="K320">
            <v>0</v>
          </cell>
        </row>
        <row r="321">
          <cell r="A321" t="str">
            <v>15059</v>
          </cell>
          <cell r="B321" t="str">
            <v>12</v>
          </cell>
          <cell r="C321" t="str">
            <v>Galicia</v>
          </cell>
          <cell r="D321" t="str">
            <v>15</v>
          </cell>
          <cell r="E321" t="str">
            <v>Coruña, A</v>
          </cell>
          <cell r="F321" t="str">
            <v>059</v>
          </cell>
          <cell r="G321" t="str">
            <v>7</v>
          </cell>
          <cell r="H321" t="str">
            <v>Ordes</v>
          </cell>
          <cell r="I321" t="str">
            <v>15059</v>
          </cell>
          <cell r="J321" t="str">
            <v>Meirama</v>
          </cell>
          <cell r="K321">
            <v>0</v>
          </cell>
        </row>
        <row r="322">
          <cell r="A322" t="str">
            <v>15084</v>
          </cell>
          <cell r="B322" t="str">
            <v>12</v>
          </cell>
          <cell r="C322" t="str">
            <v>Galicia</v>
          </cell>
          <cell r="D322" t="str">
            <v>15</v>
          </cell>
          <cell r="E322" t="str">
            <v>Coruña, A</v>
          </cell>
          <cell r="F322" t="str">
            <v>084</v>
          </cell>
          <cell r="G322" t="str">
            <v>0</v>
          </cell>
          <cell r="H322" t="str">
            <v>Tordoia</v>
          </cell>
          <cell r="I322" t="str">
            <v>15084</v>
          </cell>
          <cell r="J322" t="str">
            <v>Meirama</v>
          </cell>
          <cell r="K322">
            <v>0</v>
          </cell>
        </row>
        <row r="323">
          <cell r="A323" t="str">
            <v>33006</v>
          </cell>
          <cell r="B323" t="str">
            <v>03</v>
          </cell>
          <cell r="C323" t="str">
            <v>Asturias, Principado de</v>
          </cell>
          <cell r="D323" t="str">
            <v>33</v>
          </cell>
          <cell r="E323" t="str">
            <v>Asturias</v>
          </cell>
          <cell r="F323" t="str">
            <v>006</v>
          </cell>
          <cell r="G323" t="str">
            <v>1</v>
          </cell>
          <cell r="H323" t="str">
            <v>Bimenes</v>
          </cell>
          <cell r="I323" t="str">
            <v>33006</v>
          </cell>
          <cell r="J323" t="str">
            <v>Nalón</v>
          </cell>
          <cell r="K323">
            <v>1</v>
          </cell>
        </row>
        <row r="324">
          <cell r="A324" t="str">
            <v>33015</v>
          </cell>
          <cell r="B324" t="str">
            <v>03</v>
          </cell>
          <cell r="C324" t="str">
            <v>Asturias, Principado de</v>
          </cell>
          <cell r="D324" t="str">
            <v>33</v>
          </cell>
          <cell r="E324" t="str">
            <v>Asturias</v>
          </cell>
          <cell r="F324" t="str">
            <v>015</v>
          </cell>
          <cell r="G324" t="str">
            <v>6</v>
          </cell>
          <cell r="H324" t="str">
            <v>Caso</v>
          </cell>
          <cell r="I324" t="str">
            <v>33015</v>
          </cell>
          <cell r="J324" t="str">
            <v>Nalón</v>
          </cell>
          <cell r="K324">
            <v>1</v>
          </cell>
        </row>
        <row r="325">
          <cell r="A325" t="str">
            <v>33031</v>
          </cell>
          <cell r="B325" t="str">
            <v>03</v>
          </cell>
          <cell r="C325" t="str">
            <v>Asturias, Principado de</v>
          </cell>
          <cell r="D325" t="str">
            <v>33</v>
          </cell>
          <cell r="E325" t="str">
            <v>Asturias</v>
          </cell>
          <cell r="F325" t="str">
            <v>031</v>
          </cell>
          <cell r="G325" t="str">
            <v>3</v>
          </cell>
          <cell r="H325" t="str">
            <v>Langreo</v>
          </cell>
          <cell r="I325" t="str">
            <v>33031</v>
          </cell>
          <cell r="J325" t="str">
            <v>Nalón</v>
          </cell>
          <cell r="K325">
            <v>1</v>
          </cell>
        </row>
        <row r="326">
          <cell r="A326" t="str">
            <v>33032</v>
          </cell>
          <cell r="B326" t="str">
            <v>03</v>
          </cell>
          <cell r="C326" t="str">
            <v>Asturias, Principado de</v>
          </cell>
          <cell r="D326" t="str">
            <v>33</v>
          </cell>
          <cell r="E326" t="str">
            <v>Asturias</v>
          </cell>
          <cell r="F326" t="str">
            <v>032</v>
          </cell>
          <cell r="G326" t="str">
            <v>8</v>
          </cell>
          <cell r="H326" t="str">
            <v>Laviana</v>
          </cell>
          <cell r="I326" t="str">
            <v>33032</v>
          </cell>
          <cell r="J326" t="str">
            <v>Nalón</v>
          </cell>
          <cell r="K326">
            <v>1</v>
          </cell>
        </row>
        <row r="327">
          <cell r="A327" t="str">
            <v>33049</v>
          </cell>
          <cell r="B327" t="str">
            <v>03</v>
          </cell>
          <cell r="C327" t="str">
            <v>Asturias, Principado de</v>
          </cell>
          <cell r="D327" t="str">
            <v>33</v>
          </cell>
          <cell r="E327" t="str">
            <v>Asturias</v>
          </cell>
          <cell r="F327" t="str">
            <v>049</v>
          </cell>
          <cell r="G327" t="str">
            <v>8</v>
          </cell>
          <cell r="H327" t="str">
            <v>Piloña</v>
          </cell>
          <cell r="I327" t="str">
            <v>33049</v>
          </cell>
          <cell r="J327" t="str">
            <v>Nalón</v>
          </cell>
          <cell r="K327">
            <v>1</v>
          </cell>
        </row>
        <row r="328">
          <cell r="A328" t="str">
            <v>33060</v>
          </cell>
          <cell r="B328" t="str">
            <v>03</v>
          </cell>
          <cell r="C328" t="str">
            <v>Asturias, Principado de</v>
          </cell>
          <cell r="D328" t="str">
            <v>33</v>
          </cell>
          <cell r="E328" t="str">
            <v>Asturias</v>
          </cell>
          <cell r="F328" t="str">
            <v>060</v>
          </cell>
          <cell r="G328" t="str">
            <v>9</v>
          </cell>
          <cell r="H328" t="str">
            <v>San Martín del Rey Aurelio</v>
          </cell>
          <cell r="I328" t="str">
            <v>33060</v>
          </cell>
          <cell r="J328" t="str">
            <v>Nalón</v>
          </cell>
          <cell r="K328">
            <v>1</v>
          </cell>
        </row>
        <row r="329">
          <cell r="A329" t="str">
            <v>33067</v>
          </cell>
          <cell r="B329" t="str">
            <v>03</v>
          </cell>
          <cell r="C329" t="str">
            <v>Asturias, Principado de</v>
          </cell>
          <cell r="D329" t="str">
            <v>33</v>
          </cell>
          <cell r="E329" t="str">
            <v>Asturias</v>
          </cell>
          <cell r="F329" t="str">
            <v>067</v>
          </cell>
          <cell r="G329" t="str">
            <v>4</v>
          </cell>
          <cell r="H329" t="str">
            <v>Sobrescobio</v>
          </cell>
          <cell r="I329" t="str">
            <v>33067</v>
          </cell>
          <cell r="J329" t="str">
            <v>Nalón</v>
          </cell>
          <cell r="K329">
            <v>1</v>
          </cell>
        </row>
        <row r="330">
          <cell r="A330" t="str">
            <v>33001</v>
          </cell>
          <cell r="B330" t="str">
            <v>03</v>
          </cell>
          <cell r="C330" t="str">
            <v>Asturias, Principado de</v>
          </cell>
          <cell r="D330" t="str">
            <v>33</v>
          </cell>
          <cell r="E330" t="str">
            <v>Asturias</v>
          </cell>
          <cell r="F330" t="str">
            <v>001</v>
          </cell>
          <cell r="G330" t="str">
            <v>9</v>
          </cell>
          <cell r="H330" t="str">
            <v>Allande</v>
          </cell>
          <cell r="I330" t="str">
            <v>33001</v>
          </cell>
          <cell r="J330" t="str">
            <v>Suroccidente Asturiano</v>
          </cell>
          <cell r="K330">
            <v>2</v>
          </cell>
        </row>
        <row r="331">
          <cell r="A331" t="str">
            <v>33011</v>
          </cell>
          <cell r="B331" t="str">
            <v>03</v>
          </cell>
          <cell r="C331" t="str">
            <v>Asturias, Principado de</v>
          </cell>
          <cell r="D331" t="str">
            <v>33</v>
          </cell>
          <cell r="E331" t="str">
            <v>Asturias</v>
          </cell>
          <cell r="F331" t="str">
            <v>011</v>
          </cell>
          <cell r="G331" t="str">
            <v>7</v>
          </cell>
          <cell r="H331" t="str">
            <v>Cangas del Narcea</v>
          </cell>
          <cell r="I331" t="str">
            <v>33011</v>
          </cell>
          <cell r="J331" t="str">
            <v>Suroccidente Asturiano</v>
          </cell>
          <cell r="K331">
            <v>1</v>
          </cell>
        </row>
        <row r="332">
          <cell r="A332" t="str">
            <v>33022</v>
          </cell>
          <cell r="B332" t="str">
            <v>03</v>
          </cell>
          <cell r="C332" t="str">
            <v>Asturias, Principado de</v>
          </cell>
          <cell r="D332" t="str">
            <v>33</v>
          </cell>
          <cell r="E332" t="str">
            <v>Asturias</v>
          </cell>
          <cell r="F332" t="str">
            <v>022</v>
          </cell>
          <cell r="G332" t="str">
            <v>0</v>
          </cell>
          <cell r="H332" t="str">
            <v>Degaña</v>
          </cell>
          <cell r="I332" t="str">
            <v>33022</v>
          </cell>
          <cell r="J332" t="str">
            <v>Suroccidente Asturiano</v>
          </cell>
          <cell r="K332">
            <v>1</v>
          </cell>
        </row>
        <row r="333">
          <cell r="A333" t="str">
            <v>33028</v>
          </cell>
          <cell r="B333" t="str">
            <v>03</v>
          </cell>
          <cell r="C333" t="str">
            <v>Asturias, Principado de</v>
          </cell>
          <cell r="D333" t="str">
            <v>33</v>
          </cell>
          <cell r="E333" t="str">
            <v>Asturias</v>
          </cell>
          <cell r="F333" t="str">
            <v>028</v>
          </cell>
          <cell r="G333" t="str">
            <v>9</v>
          </cell>
          <cell r="H333" t="str">
            <v>Ibias</v>
          </cell>
          <cell r="I333" t="str">
            <v>33028</v>
          </cell>
          <cell r="J333" t="str">
            <v>Suroccidente Asturiano</v>
          </cell>
          <cell r="K333">
            <v>1</v>
          </cell>
        </row>
        <row r="334">
          <cell r="A334" t="str">
            <v>33059</v>
          </cell>
          <cell r="B334" t="str">
            <v>03</v>
          </cell>
          <cell r="C334" t="str">
            <v>Asturias, Principado de</v>
          </cell>
          <cell r="D334" t="str">
            <v>33</v>
          </cell>
          <cell r="E334" t="str">
            <v>Asturias</v>
          </cell>
          <cell r="F334" t="str">
            <v>059</v>
          </cell>
          <cell r="G334" t="str">
            <v>5</v>
          </cell>
          <cell r="H334" t="str">
            <v>Salas</v>
          </cell>
          <cell r="I334" t="str">
            <v>33059</v>
          </cell>
          <cell r="J334" t="str">
            <v>Suroccidente Asturiano</v>
          </cell>
          <cell r="K334">
            <v>2</v>
          </cell>
        </row>
        <row r="335">
          <cell r="A335" t="str">
            <v>33073</v>
          </cell>
          <cell r="B335" t="str">
            <v>03</v>
          </cell>
          <cell r="C335" t="str">
            <v>Asturias, Principado de</v>
          </cell>
          <cell r="D335" t="str">
            <v>33</v>
          </cell>
          <cell r="E335" t="str">
            <v>Asturias</v>
          </cell>
          <cell r="F335" t="str">
            <v>073</v>
          </cell>
          <cell r="G335" t="str">
            <v>5</v>
          </cell>
          <cell r="H335" t="str">
            <v>Tineo</v>
          </cell>
          <cell r="I335" t="str">
            <v>33073</v>
          </cell>
          <cell r="J335" t="str">
            <v>Suroccidente Asturiano</v>
          </cell>
          <cell r="K335">
            <v>1</v>
          </cell>
        </row>
        <row r="336">
          <cell r="A336" t="str">
            <v>16041</v>
          </cell>
          <cell r="B336" t="str">
            <v>08</v>
          </cell>
          <cell r="C336" t="str">
            <v>Castilla-La Mancha</v>
          </cell>
          <cell r="D336" t="str">
            <v>16</v>
          </cell>
          <cell r="E336" t="str">
            <v>Cuenca</v>
          </cell>
          <cell r="F336" t="str">
            <v>041</v>
          </cell>
          <cell r="G336" t="str">
            <v>6</v>
          </cell>
          <cell r="H336" t="str">
            <v>Buendía</v>
          </cell>
          <cell r="I336" t="str">
            <v>16041</v>
          </cell>
          <cell r="J336" t="str">
            <v>Zorita</v>
          </cell>
          <cell r="K336">
            <v>0</v>
          </cell>
        </row>
        <row r="337">
          <cell r="A337" t="str">
            <v>16173</v>
          </cell>
          <cell r="B337" t="str">
            <v>08</v>
          </cell>
          <cell r="C337" t="str">
            <v>Castilla-La Mancha</v>
          </cell>
          <cell r="D337" t="str">
            <v>16</v>
          </cell>
          <cell r="E337" t="str">
            <v>Cuenca</v>
          </cell>
          <cell r="F337" t="str">
            <v>173</v>
          </cell>
          <cell r="G337" t="str">
            <v>9</v>
          </cell>
          <cell r="H337" t="str">
            <v>Valle de Altomira, El</v>
          </cell>
          <cell r="I337" t="str">
            <v>16173</v>
          </cell>
          <cell r="J337" t="str">
            <v>Zorita</v>
          </cell>
          <cell r="K337">
            <v>0</v>
          </cell>
        </row>
        <row r="338">
          <cell r="A338" t="str">
            <v>19006</v>
          </cell>
          <cell r="B338" t="str">
            <v>08</v>
          </cell>
          <cell r="C338" t="str">
            <v>Castilla-La Mancha</v>
          </cell>
          <cell r="D338" t="str">
            <v>19</v>
          </cell>
          <cell r="E338" t="str">
            <v>Guadalajara</v>
          </cell>
          <cell r="F338" t="str">
            <v>006</v>
          </cell>
          <cell r="G338" t="str">
            <v>1</v>
          </cell>
          <cell r="H338" t="str">
            <v>Albalate de Zorita</v>
          </cell>
          <cell r="I338" t="str">
            <v>19006</v>
          </cell>
          <cell r="J338" t="str">
            <v>Zorita</v>
          </cell>
          <cell r="K338">
            <v>0</v>
          </cell>
        </row>
        <row r="339">
          <cell r="A339" t="str">
            <v>19007</v>
          </cell>
          <cell r="B339" t="str">
            <v>08</v>
          </cell>
          <cell r="C339" t="str">
            <v>Castilla-La Mancha</v>
          </cell>
          <cell r="D339" t="str">
            <v>19</v>
          </cell>
          <cell r="E339" t="str">
            <v>Guadalajara</v>
          </cell>
          <cell r="F339" t="str">
            <v>007</v>
          </cell>
          <cell r="G339" t="str">
            <v>7</v>
          </cell>
          <cell r="H339" t="str">
            <v>Albares</v>
          </cell>
          <cell r="I339" t="str">
            <v>19007</v>
          </cell>
          <cell r="J339" t="str">
            <v>Zorita</v>
          </cell>
          <cell r="K339">
            <v>0</v>
          </cell>
        </row>
        <row r="340">
          <cell r="A340" t="str">
            <v>19021</v>
          </cell>
          <cell r="B340" t="str">
            <v>08</v>
          </cell>
          <cell r="C340" t="str">
            <v>Castilla-La Mancha</v>
          </cell>
          <cell r="D340" t="str">
            <v>19</v>
          </cell>
          <cell r="E340" t="str">
            <v>Guadalajara</v>
          </cell>
          <cell r="F340" t="str">
            <v>021</v>
          </cell>
          <cell r="G340" t="str">
            <v>5</v>
          </cell>
          <cell r="H340" t="str">
            <v>Almoguera</v>
          </cell>
          <cell r="I340" t="str">
            <v>19021</v>
          </cell>
          <cell r="J340" t="str">
            <v>Zorita</v>
          </cell>
          <cell r="K340">
            <v>0</v>
          </cell>
        </row>
        <row r="341">
          <cell r="A341" t="str">
            <v>19022</v>
          </cell>
          <cell r="B341" t="str">
            <v>08</v>
          </cell>
          <cell r="C341" t="str">
            <v>Castilla-La Mancha</v>
          </cell>
          <cell r="D341" t="str">
            <v>19</v>
          </cell>
          <cell r="E341" t="str">
            <v>Guadalajara</v>
          </cell>
          <cell r="F341" t="str">
            <v>022</v>
          </cell>
          <cell r="G341" t="str">
            <v>0</v>
          </cell>
          <cell r="H341" t="str">
            <v>Almonacid de Zorita</v>
          </cell>
          <cell r="I341" t="str">
            <v>19022</v>
          </cell>
          <cell r="J341" t="str">
            <v>Zorita</v>
          </cell>
          <cell r="K341">
            <v>0</v>
          </cell>
        </row>
        <row r="342">
          <cell r="A342" t="str">
            <v>19107</v>
          </cell>
          <cell r="B342" t="str">
            <v>08</v>
          </cell>
          <cell r="C342" t="str">
            <v>Castilla-La Mancha</v>
          </cell>
          <cell r="D342" t="str">
            <v>19</v>
          </cell>
          <cell r="E342" t="str">
            <v>Guadalajara</v>
          </cell>
          <cell r="F342" t="str">
            <v>107</v>
          </cell>
          <cell r="G342" t="str">
            <v>6</v>
          </cell>
          <cell r="H342" t="str">
            <v>Driebes</v>
          </cell>
          <cell r="I342" t="str">
            <v>19107</v>
          </cell>
          <cell r="J342" t="str">
            <v>Zorita</v>
          </cell>
          <cell r="K342">
            <v>0</v>
          </cell>
        </row>
        <row r="343">
          <cell r="A343" t="str">
            <v>19112</v>
          </cell>
          <cell r="B343" t="str">
            <v>08</v>
          </cell>
          <cell r="C343" t="str">
            <v>Castilla-La Mancha</v>
          </cell>
          <cell r="D343" t="str">
            <v>19</v>
          </cell>
          <cell r="E343" t="str">
            <v>Guadalajara</v>
          </cell>
          <cell r="F343" t="str">
            <v>112</v>
          </cell>
          <cell r="G343" t="str">
            <v>1</v>
          </cell>
          <cell r="H343" t="str">
            <v>Escopete</v>
          </cell>
          <cell r="I343" t="str">
            <v>19112</v>
          </cell>
          <cell r="J343" t="str">
            <v>Zorita</v>
          </cell>
          <cell r="K343">
            <v>0</v>
          </cell>
        </row>
        <row r="344">
          <cell r="A344" t="str">
            <v>19150</v>
          </cell>
          <cell r="B344" t="str">
            <v>08</v>
          </cell>
          <cell r="C344" t="str">
            <v>Castilla-La Mancha</v>
          </cell>
          <cell r="D344" t="str">
            <v>19</v>
          </cell>
          <cell r="E344" t="str">
            <v>Guadalajara</v>
          </cell>
          <cell r="F344" t="str">
            <v>150</v>
          </cell>
          <cell r="G344" t="str">
            <v>0</v>
          </cell>
          <cell r="H344" t="str">
            <v>Hueva</v>
          </cell>
          <cell r="I344" t="str">
            <v>19150</v>
          </cell>
          <cell r="J344" t="str">
            <v>Zorita</v>
          </cell>
          <cell r="K344">
            <v>0</v>
          </cell>
        </row>
        <row r="345">
          <cell r="A345" t="str">
            <v>19152</v>
          </cell>
          <cell r="B345" t="str">
            <v>08</v>
          </cell>
          <cell r="C345" t="str">
            <v>Castilla-La Mancha</v>
          </cell>
          <cell r="D345" t="str">
            <v>19</v>
          </cell>
          <cell r="E345" t="str">
            <v>Guadalajara</v>
          </cell>
          <cell r="F345" t="str">
            <v>152</v>
          </cell>
          <cell r="G345" t="str">
            <v>2</v>
          </cell>
          <cell r="H345" t="str">
            <v>Illana</v>
          </cell>
          <cell r="I345" t="str">
            <v>19152</v>
          </cell>
          <cell r="J345" t="str">
            <v>Zorita</v>
          </cell>
          <cell r="K345">
            <v>0</v>
          </cell>
        </row>
        <row r="346">
          <cell r="A346" t="str">
            <v>19176</v>
          </cell>
          <cell r="B346" t="str">
            <v>08</v>
          </cell>
          <cell r="C346" t="str">
            <v>Castilla-La Mancha</v>
          </cell>
          <cell r="D346" t="str">
            <v>19</v>
          </cell>
          <cell r="E346" t="str">
            <v>Guadalajara</v>
          </cell>
          <cell r="F346" t="str">
            <v>176</v>
          </cell>
          <cell r="G346" t="str">
            <v>5</v>
          </cell>
          <cell r="H346" t="str">
            <v>Mazuecos</v>
          </cell>
          <cell r="I346" t="str">
            <v>19176</v>
          </cell>
          <cell r="J346" t="str">
            <v>Zorita</v>
          </cell>
          <cell r="K346">
            <v>0</v>
          </cell>
        </row>
        <row r="347">
          <cell r="A347" t="str">
            <v>19192</v>
          </cell>
          <cell r="B347" t="str">
            <v>08</v>
          </cell>
          <cell r="C347" t="str">
            <v>Castilla-La Mancha</v>
          </cell>
          <cell r="D347" t="str">
            <v>19</v>
          </cell>
          <cell r="E347" t="str">
            <v>Guadalajara</v>
          </cell>
          <cell r="F347" t="str">
            <v>192</v>
          </cell>
          <cell r="G347" t="str">
            <v>4</v>
          </cell>
          <cell r="H347" t="str">
            <v>Mondéjar</v>
          </cell>
          <cell r="I347" t="str">
            <v>19192</v>
          </cell>
          <cell r="J347" t="str">
            <v>Zorita</v>
          </cell>
          <cell r="K347">
            <v>0</v>
          </cell>
        </row>
        <row r="348">
          <cell r="A348" t="str">
            <v>19212</v>
          </cell>
          <cell r="B348" t="str">
            <v>08</v>
          </cell>
          <cell r="C348" t="str">
            <v>Castilla-La Mancha</v>
          </cell>
          <cell r="D348" t="str">
            <v>19</v>
          </cell>
          <cell r="E348" t="str">
            <v>Guadalajara</v>
          </cell>
          <cell r="F348" t="str">
            <v>212</v>
          </cell>
          <cell r="G348" t="str">
            <v>0</v>
          </cell>
          <cell r="H348" t="str">
            <v>Pastrana</v>
          </cell>
          <cell r="I348" t="str">
            <v>19212</v>
          </cell>
          <cell r="J348" t="str">
            <v>Zorita</v>
          </cell>
          <cell r="K348">
            <v>0</v>
          </cell>
        </row>
        <row r="349">
          <cell r="A349" t="str">
            <v>19224</v>
          </cell>
          <cell r="B349" t="str">
            <v>08</v>
          </cell>
          <cell r="C349" t="str">
            <v>Castilla-La Mancha</v>
          </cell>
          <cell r="D349" t="str">
            <v>19</v>
          </cell>
          <cell r="E349" t="str">
            <v>Guadalajara</v>
          </cell>
          <cell r="F349" t="str">
            <v>224</v>
          </cell>
          <cell r="G349" t="str">
            <v>9</v>
          </cell>
          <cell r="H349" t="str">
            <v>Pozo de Almoguera</v>
          </cell>
          <cell r="I349" t="str">
            <v>19224</v>
          </cell>
          <cell r="J349" t="str">
            <v>Zorita</v>
          </cell>
          <cell r="K349">
            <v>0</v>
          </cell>
        </row>
        <row r="350">
          <cell r="A350" t="str">
            <v>19252</v>
          </cell>
          <cell r="B350" t="str">
            <v>08</v>
          </cell>
          <cell r="C350" t="str">
            <v>Castilla-La Mancha</v>
          </cell>
          <cell r="D350" t="str">
            <v>19</v>
          </cell>
          <cell r="E350" t="str">
            <v>Guadalajara</v>
          </cell>
          <cell r="F350" t="str">
            <v>252</v>
          </cell>
          <cell r="G350" t="str">
            <v>1</v>
          </cell>
          <cell r="H350" t="str">
            <v>Sayatón</v>
          </cell>
          <cell r="I350" t="str">
            <v>19252</v>
          </cell>
          <cell r="J350" t="str">
            <v>Zorita</v>
          </cell>
          <cell r="K350">
            <v>0</v>
          </cell>
        </row>
        <row r="351">
          <cell r="A351" t="str">
            <v>19301</v>
          </cell>
          <cell r="B351" t="str">
            <v>08</v>
          </cell>
          <cell r="C351" t="str">
            <v>Castilla-La Mancha</v>
          </cell>
          <cell r="D351" t="str">
            <v>19</v>
          </cell>
          <cell r="E351" t="str">
            <v>Guadalajara</v>
          </cell>
          <cell r="F351" t="str">
            <v>301</v>
          </cell>
          <cell r="G351" t="str">
            <v>6</v>
          </cell>
          <cell r="H351" t="str">
            <v>Valdeconcha</v>
          </cell>
          <cell r="I351" t="str">
            <v>19301</v>
          </cell>
          <cell r="J351" t="str">
            <v>Zorita</v>
          </cell>
          <cell r="K351">
            <v>0</v>
          </cell>
        </row>
        <row r="352">
          <cell r="A352" t="str">
            <v>19327</v>
          </cell>
          <cell r="B352" t="str">
            <v>08</v>
          </cell>
          <cell r="C352" t="str">
            <v>Castilla-La Mancha</v>
          </cell>
          <cell r="D352" t="str">
            <v>19</v>
          </cell>
          <cell r="E352" t="str">
            <v>Guadalajara</v>
          </cell>
          <cell r="F352" t="str">
            <v>327</v>
          </cell>
          <cell r="G352" t="str">
            <v>0</v>
          </cell>
          <cell r="H352" t="str">
            <v>Yebra</v>
          </cell>
          <cell r="I352" t="str">
            <v>19327</v>
          </cell>
          <cell r="J352" t="str">
            <v>Zorita</v>
          </cell>
          <cell r="K352">
            <v>0</v>
          </cell>
        </row>
        <row r="353">
          <cell r="A353" t="str">
            <v>19335</v>
          </cell>
          <cell r="B353" t="str">
            <v>08</v>
          </cell>
          <cell r="C353" t="str">
            <v>Castilla-La Mancha</v>
          </cell>
          <cell r="D353" t="str">
            <v>19</v>
          </cell>
          <cell r="E353" t="str">
            <v>Guadalajara</v>
          </cell>
          <cell r="F353" t="str">
            <v>335</v>
          </cell>
          <cell r="G353" t="str">
            <v>9</v>
          </cell>
          <cell r="H353" t="str">
            <v>Zorita de los Canes</v>
          </cell>
          <cell r="I353" t="str">
            <v>19335</v>
          </cell>
          <cell r="J353" t="str">
            <v>Zorita</v>
          </cell>
          <cell r="K353">
            <v>0</v>
          </cell>
        </row>
        <row r="354">
          <cell r="D354" t="str">
            <v>01</v>
          </cell>
          <cell r="E354" t="str">
            <v>Araba/Álava</v>
          </cell>
          <cell r="F354" t="str">
            <v>001</v>
          </cell>
          <cell r="G354" t="str">
            <v>4</v>
          </cell>
          <cell r="H354" t="str">
            <v>Alegría-Dulantzi</v>
          </cell>
        </row>
        <row r="355">
          <cell r="D355" t="str">
            <v>01</v>
          </cell>
          <cell r="E355" t="str">
            <v>Araba/Álava</v>
          </cell>
          <cell r="F355" t="str">
            <v>002</v>
          </cell>
          <cell r="G355" t="str">
            <v>9</v>
          </cell>
          <cell r="H355" t="str">
            <v>Amurrio</v>
          </cell>
        </row>
        <row r="356">
          <cell r="D356" t="str">
            <v>01</v>
          </cell>
          <cell r="E356" t="str">
            <v>Araba/Álava</v>
          </cell>
          <cell r="F356" t="str">
            <v>003</v>
          </cell>
          <cell r="G356" t="str">
            <v>5</v>
          </cell>
          <cell r="H356" t="str">
            <v>Aramaio</v>
          </cell>
        </row>
        <row r="357">
          <cell r="D357" t="str">
            <v>01</v>
          </cell>
          <cell r="E357" t="str">
            <v>Araba/Álava</v>
          </cell>
          <cell r="F357" t="str">
            <v>004</v>
          </cell>
          <cell r="G357" t="str">
            <v>0</v>
          </cell>
          <cell r="H357" t="str">
            <v>Artziniega</v>
          </cell>
        </row>
        <row r="358">
          <cell r="D358" t="str">
            <v>01</v>
          </cell>
          <cell r="E358" t="str">
            <v>Araba/Álava</v>
          </cell>
          <cell r="F358" t="str">
            <v>006</v>
          </cell>
          <cell r="G358" t="str">
            <v>6</v>
          </cell>
          <cell r="H358" t="str">
            <v>Armiñón</v>
          </cell>
        </row>
        <row r="359">
          <cell r="D359" t="str">
            <v>01</v>
          </cell>
          <cell r="E359" t="str">
            <v>Araba/Álava</v>
          </cell>
          <cell r="F359" t="str">
            <v>008</v>
          </cell>
          <cell r="G359" t="str">
            <v>8</v>
          </cell>
          <cell r="H359" t="str">
            <v>Arratzua-Ubarrundia</v>
          </cell>
        </row>
        <row r="360">
          <cell r="D360" t="str">
            <v>01</v>
          </cell>
          <cell r="E360" t="str">
            <v>Araba/Álava</v>
          </cell>
          <cell r="F360" t="str">
            <v>009</v>
          </cell>
          <cell r="G360" t="str">
            <v>1</v>
          </cell>
          <cell r="H360" t="str">
            <v>Asparrena</v>
          </cell>
        </row>
        <row r="361">
          <cell r="D361" t="str">
            <v>01</v>
          </cell>
          <cell r="E361" t="str">
            <v>Araba/Álava</v>
          </cell>
          <cell r="F361" t="str">
            <v>010</v>
          </cell>
          <cell r="G361" t="str">
            <v>5</v>
          </cell>
          <cell r="H361" t="str">
            <v>Ayala/Aiara</v>
          </cell>
        </row>
        <row r="362">
          <cell r="D362" t="str">
            <v>01</v>
          </cell>
          <cell r="E362" t="str">
            <v>Araba/Álava</v>
          </cell>
          <cell r="F362" t="str">
            <v>011</v>
          </cell>
          <cell r="G362" t="str">
            <v>2</v>
          </cell>
          <cell r="H362" t="str">
            <v>Baños de Ebro/Mañueta</v>
          </cell>
        </row>
        <row r="363">
          <cell r="D363" t="str">
            <v>01</v>
          </cell>
          <cell r="E363" t="str">
            <v>Araba/Álava</v>
          </cell>
          <cell r="F363" t="str">
            <v>013</v>
          </cell>
          <cell r="G363" t="str">
            <v>3</v>
          </cell>
          <cell r="H363" t="str">
            <v>Barrundia</v>
          </cell>
        </row>
        <row r="364">
          <cell r="D364" t="str">
            <v>01</v>
          </cell>
          <cell r="E364" t="str">
            <v>Araba/Álava</v>
          </cell>
          <cell r="F364" t="str">
            <v>014</v>
          </cell>
          <cell r="G364" t="str">
            <v>8</v>
          </cell>
          <cell r="H364" t="str">
            <v>Berantevilla</v>
          </cell>
        </row>
        <row r="365">
          <cell r="D365" t="str">
            <v>01</v>
          </cell>
          <cell r="E365" t="str">
            <v>Araba/Álava</v>
          </cell>
          <cell r="F365" t="str">
            <v>016</v>
          </cell>
          <cell r="G365" t="str">
            <v>4</v>
          </cell>
          <cell r="H365" t="str">
            <v>Bernedo</v>
          </cell>
        </row>
        <row r="366">
          <cell r="D366" t="str">
            <v>01</v>
          </cell>
          <cell r="E366" t="str">
            <v>Araba/Álava</v>
          </cell>
          <cell r="F366" t="str">
            <v>017</v>
          </cell>
          <cell r="G366" t="str">
            <v>0</v>
          </cell>
          <cell r="H366" t="str">
            <v>Campezo/Kanpezu</v>
          </cell>
        </row>
        <row r="367">
          <cell r="D367" t="str">
            <v>01</v>
          </cell>
          <cell r="E367" t="str">
            <v>Araba/Álava</v>
          </cell>
          <cell r="F367" t="str">
            <v>018</v>
          </cell>
          <cell r="G367" t="str">
            <v>6</v>
          </cell>
          <cell r="H367" t="str">
            <v>Zigoitia</v>
          </cell>
        </row>
        <row r="368">
          <cell r="D368" t="str">
            <v>01</v>
          </cell>
          <cell r="E368" t="str">
            <v>Araba/Álava</v>
          </cell>
          <cell r="F368" t="str">
            <v>019</v>
          </cell>
          <cell r="G368" t="str">
            <v>9</v>
          </cell>
          <cell r="H368" t="str">
            <v>Kripan</v>
          </cell>
        </row>
        <row r="369">
          <cell r="D369" t="str">
            <v>01</v>
          </cell>
          <cell r="E369" t="str">
            <v>Araba/Álava</v>
          </cell>
          <cell r="F369" t="str">
            <v>020</v>
          </cell>
          <cell r="G369" t="str">
            <v>3</v>
          </cell>
          <cell r="H369" t="str">
            <v>Kuartango</v>
          </cell>
        </row>
        <row r="370">
          <cell r="D370" t="str">
            <v>01</v>
          </cell>
          <cell r="E370" t="str">
            <v>Araba/Álava</v>
          </cell>
          <cell r="F370" t="str">
            <v>021</v>
          </cell>
          <cell r="G370" t="str">
            <v>0</v>
          </cell>
          <cell r="H370" t="str">
            <v>Elburgo/Burgelu</v>
          </cell>
        </row>
        <row r="371">
          <cell r="D371" t="str">
            <v>01</v>
          </cell>
          <cell r="E371" t="str">
            <v>Araba/Álava</v>
          </cell>
          <cell r="F371" t="str">
            <v>022</v>
          </cell>
          <cell r="G371" t="str">
            <v>5</v>
          </cell>
          <cell r="H371" t="str">
            <v>Elciego</v>
          </cell>
        </row>
        <row r="372">
          <cell r="D372" t="str">
            <v>01</v>
          </cell>
          <cell r="E372" t="str">
            <v>Araba/Álava</v>
          </cell>
          <cell r="F372" t="str">
            <v>023</v>
          </cell>
          <cell r="G372" t="str">
            <v>1</v>
          </cell>
          <cell r="H372" t="str">
            <v>Elvillar/Bilar</v>
          </cell>
        </row>
        <row r="373">
          <cell r="D373" t="str">
            <v>01</v>
          </cell>
          <cell r="E373" t="str">
            <v>Araba/Álava</v>
          </cell>
          <cell r="F373" t="str">
            <v>027</v>
          </cell>
          <cell r="G373" t="str">
            <v>8</v>
          </cell>
          <cell r="H373" t="str">
            <v>Iruraiz-Gauna</v>
          </cell>
        </row>
        <row r="374">
          <cell r="D374" t="str">
            <v>01</v>
          </cell>
          <cell r="E374" t="str">
            <v>Araba/Álava</v>
          </cell>
          <cell r="F374" t="str">
            <v>028</v>
          </cell>
          <cell r="G374" t="str">
            <v>4</v>
          </cell>
          <cell r="H374" t="str">
            <v>Labastida/Bastida</v>
          </cell>
        </row>
        <row r="375">
          <cell r="D375" t="str">
            <v>01</v>
          </cell>
          <cell r="E375" t="str">
            <v>Araba/Álava</v>
          </cell>
          <cell r="F375" t="str">
            <v>030</v>
          </cell>
          <cell r="G375" t="str">
            <v>1</v>
          </cell>
          <cell r="H375" t="str">
            <v>Lagrán</v>
          </cell>
        </row>
        <row r="376">
          <cell r="D376" t="str">
            <v>01</v>
          </cell>
          <cell r="E376" t="str">
            <v>Araba/Álava</v>
          </cell>
          <cell r="F376" t="str">
            <v>031</v>
          </cell>
          <cell r="G376" t="str">
            <v>8</v>
          </cell>
          <cell r="H376" t="str">
            <v>Laguardia</v>
          </cell>
        </row>
        <row r="377">
          <cell r="D377" t="str">
            <v>01</v>
          </cell>
          <cell r="E377" t="str">
            <v>Araba/Álava</v>
          </cell>
          <cell r="F377" t="str">
            <v>032</v>
          </cell>
          <cell r="G377" t="str">
            <v>3</v>
          </cell>
          <cell r="H377" t="str">
            <v>Lanciego/Lantziego</v>
          </cell>
        </row>
        <row r="378">
          <cell r="D378" t="str">
            <v>01</v>
          </cell>
          <cell r="E378" t="str">
            <v>Araba/Álava</v>
          </cell>
          <cell r="F378" t="str">
            <v>033</v>
          </cell>
          <cell r="G378" t="str">
            <v>9</v>
          </cell>
          <cell r="H378" t="str">
            <v>Lapuebla de Labarca</v>
          </cell>
        </row>
        <row r="379">
          <cell r="D379" t="str">
            <v>01</v>
          </cell>
          <cell r="E379" t="str">
            <v>Araba/Álava</v>
          </cell>
          <cell r="F379" t="str">
            <v>034</v>
          </cell>
          <cell r="G379" t="str">
            <v>4</v>
          </cell>
          <cell r="H379" t="str">
            <v>Leza</v>
          </cell>
        </row>
        <row r="380">
          <cell r="D380" t="str">
            <v>01</v>
          </cell>
          <cell r="E380" t="str">
            <v>Araba/Álava</v>
          </cell>
          <cell r="F380" t="str">
            <v>036</v>
          </cell>
          <cell r="G380" t="str">
            <v>0</v>
          </cell>
          <cell r="H380" t="str">
            <v>Laudio/Llodio</v>
          </cell>
        </row>
        <row r="381">
          <cell r="D381" t="str">
            <v>01</v>
          </cell>
          <cell r="E381" t="str">
            <v>Araba/Álava</v>
          </cell>
          <cell r="F381" t="str">
            <v>037</v>
          </cell>
          <cell r="G381" t="str">
            <v>6</v>
          </cell>
          <cell r="H381" t="str">
            <v>Arraia-Maeztu</v>
          </cell>
        </row>
        <row r="382">
          <cell r="D382" t="str">
            <v>01</v>
          </cell>
          <cell r="E382" t="str">
            <v>Araba/Álava</v>
          </cell>
          <cell r="F382" t="str">
            <v>039</v>
          </cell>
          <cell r="G382" t="str">
            <v>5</v>
          </cell>
          <cell r="H382" t="str">
            <v>Moreda de Álava/Moreda Araba</v>
          </cell>
        </row>
        <row r="383">
          <cell r="D383" t="str">
            <v>01</v>
          </cell>
          <cell r="E383" t="str">
            <v>Araba/Álava</v>
          </cell>
          <cell r="F383" t="str">
            <v>041</v>
          </cell>
          <cell r="G383" t="str">
            <v>6</v>
          </cell>
          <cell r="H383" t="str">
            <v>Navaridas</v>
          </cell>
        </row>
        <row r="384">
          <cell r="D384" t="str">
            <v>01</v>
          </cell>
          <cell r="E384" t="str">
            <v>Araba/Álava</v>
          </cell>
          <cell r="F384" t="str">
            <v>042</v>
          </cell>
          <cell r="G384" t="str">
            <v>1</v>
          </cell>
          <cell r="H384" t="str">
            <v>Okondo</v>
          </cell>
        </row>
        <row r="385">
          <cell r="D385" t="str">
            <v>01</v>
          </cell>
          <cell r="E385" t="str">
            <v>Araba/Álava</v>
          </cell>
          <cell r="F385" t="str">
            <v>043</v>
          </cell>
          <cell r="G385" t="str">
            <v>7</v>
          </cell>
          <cell r="H385" t="str">
            <v>Oyón-Oion</v>
          </cell>
        </row>
        <row r="386">
          <cell r="D386" t="str">
            <v>01</v>
          </cell>
          <cell r="E386" t="str">
            <v>Araba/Álava</v>
          </cell>
          <cell r="F386" t="str">
            <v>044</v>
          </cell>
          <cell r="G386" t="str">
            <v>2</v>
          </cell>
          <cell r="H386" t="str">
            <v>Peñacerrada-Urizaharra</v>
          </cell>
        </row>
        <row r="387">
          <cell r="D387" t="str">
            <v>01</v>
          </cell>
          <cell r="E387" t="str">
            <v>Araba/Álava</v>
          </cell>
          <cell r="F387" t="str">
            <v>046</v>
          </cell>
          <cell r="G387" t="str">
            <v>8</v>
          </cell>
          <cell r="H387" t="str">
            <v>Erriberagoitia/Ribera Alta</v>
          </cell>
        </row>
        <row r="388">
          <cell r="D388" t="str">
            <v>01</v>
          </cell>
          <cell r="E388" t="str">
            <v>Araba/Álava</v>
          </cell>
          <cell r="F388" t="str">
            <v>049</v>
          </cell>
          <cell r="G388" t="str">
            <v>3</v>
          </cell>
          <cell r="H388" t="str">
            <v>Añana</v>
          </cell>
        </row>
        <row r="389">
          <cell r="D389" t="str">
            <v>01</v>
          </cell>
          <cell r="E389" t="str">
            <v>Araba/Álava</v>
          </cell>
          <cell r="F389" t="str">
            <v>051</v>
          </cell>
          <cell r="G389" t="str">
            <v>3</v>
          </cell>
          <cell r="H389" t="str">
            <v>Agurain/Salvatierra</v>
          </cell>
        </row>
        <row r="390">
          <cell r="D390" t="str">
            <v>01</v>
          </cell>
          <cell r="E390" t="str">
            <v>Araba/Álava</v>
          </cell>
          <cell r="F390" t="str">
            <v>052</v>
          </cell>
          <cell r="G390" t="str">
            <v>8</v>
          </cell>
          <cell r="H390" t="str">
            <v>Samaniego</v>
          </cell>
        </row>
        <row r="391">
          <cell r="D391" t="str">
            <v>01</v>
          </cell>
          <cell r="E391" t="str">
            <v>Araba/Álava</v>
          </cell>
          <cell r="F391" t="str">
            <v>053</v>
          </cell>
          <cell r="G391" t="str">
            <v>4</v>
          </cell>
          <cell r="H391" t="str">
            <v>San Millán/Donemiliaga</v>
          </cell>
        </row>
        <row r="392">
          <cell r="D392" t="str">
            <v>01</v>
          </cell>
          <cell r="E392" t="str">
            <v>Araba/Álava</v>
          </cell>
          <cell r="F392" t="str">
            <v>054</v>
          </cell>
          <cell r="G392" t="str">
            <v>9</v>
          </cell>
          <cell r="H392" t="str">
            <v>Urkabustaiz</v>
          </cell>
        </row>
        <row r="393">
          <cell r="D393" t="str">
            <v>01</v>
          </cell>
          <cell r="E393" t="str">
            <v>Araba/Álava</v>
          </cell>
          <cell r="F393" t="str">
            <v>056</v>
          </cell>
          <cell r="G393" t="str">
            <v>5</v>
          </cell>
          <cell r="H393" t="str">
            <v>Harana/Valle de Arana</v>
          </cell>
        </row>
        <row r="394">
          <cell r="D394" t="str">
            <v>01</v>
          </cell>
          <cell r="E394" t="str">
            <v>Araba/Álava</v>
          </cell>
          <cell r="F394" t="str">
            <v>057</v>
          </cell>
          <cell r="G394" t="str">
            <v>1</v>
          </cell>
          <cell r="H394" t="str">
            <v>Villabuena de Álava/Eskuernaga</v>
          </cell>
        </row>
        <row r="395">
          <cell r="D395" t="str">
            <v>01</v>
          </cell>
          <cell r="E395" t="str">
            <v>Araba/Álava</v>
          </cell>
          <cell r="F395" t="str">
            <v>058</v>
          </cell>
          <cell r="G395" t="str">
            <v>7</v>
          </cell>
          <cell r="H395" t="str">
            <v>Legutio</v>
          </cell>
        </row>
        <row r="396">
          <cell r="D396" t="str">
            <v>01</v>
          </cell>
          <cell r="E396" t="str">
            <v>Araba/Álava</v>
          </cell>
          <cell r="F396" t="str">
            <v>059</v>
          </cell>
          <cell r="G396" t="str">
            <v>0</v>
          </cell>
          <cell r="H396" t="str">
            <v>Vitoria-Gasteiz</v>
          </cell>
        </row>
        <row r="397">
          <cell r="D397" t="str">
            <v>01</v>
          </cell>
          <cell r="E397" t="str">
            <v>Araba/Álava</v>
          </cell>
          <cell r="F397" t="str">
            <v>060</v>
          </cell>
          <cell r="G397" t="str">
            <v>4</v>
          </cell>
          <cell r="H397" t="str">
            <v>Yécora/Iekora</v>
          </cell>
        </row>
        <row r="398">
          <cell r="D398" t="str">
            <v>01</v>
          </cell>
          <cell r="E398" t="str">
            <v>Araba/Álava</v>
          </cell>
          <cell r="F398" t="str">
            <v>061</v>
          </cell>
          <cell r="G398" t="str">
            <v>1</v>
          </cell>
          <cell r="H398" t="str">
            <v>Zalduondo</v>
          </cell>
        </row>
        <row r="399">
          <cell r="D399" t="str">
            <v>01</v>
          </cell>
          <cell r="E399" t="str">
            <v>Araba/Álava</v>
          </cell>
          <cell r="F399" t="str">
            <v>062</v>
          </cell>
          <cell r="G399" t="str">
            <v>6</v>
          </cell>
          <cell r="H399" t="str">
            <v>Zambrana</v>
          </cell>
        </row>
        <row r="400">
          <cell r="D400" t="str">
            <v>01</v>
          </cell>
          <cell r="E400" t="str">
            <v>Araba/Álava</v>
          </cell>
          <cell r="F400" t="str">
            <v>063</v>
          </cell>
          <cell r="G400" t="str">
            <v>2</v>
          </cell>
          <cell r="H400" t="str">
            <v>Zuia</v>
          </cell>
        </row>
        <row r="401">
          <cell r="D401" t="str">
            <v>01</v>
          </cell>
          <cell r="E401" t="str">
            <v>Araba/Álava</v>
          </cell>
          <cell r="F401" t="str">
            <v>901</v>
          </cell>
          <cell r="G401" t="str">
            <v>5</v>
          </cell>
          <cell r="H401" t="str">
            <v>Iruña Oka/Iruña de Oca</v>
          </cell>
        </row>
        <row r="402">
          <cell r="D402" t="str">
            <v>02</v>
          </cell>
          <cell r="E402" t="str">
            <v>Albacete</v>
          </cell>
          <cell r="F402" t="str">
            <v>001</v>
          </cell>
          <cell r="G402" t="str">
            <v>9</v>
          </cell>
          <cell r="H402" t="str">
            <v>Abengibre</v>
          </cell>
        </row>
        <row r="403">
          <cell r="D403" t="str">
            <v>02</v>
          </cell>
          <cell r="E403" t="str">
            <v>Albacete</v>
          </cell>
          <cell r="F403" t="str">
            <v>002</v>
          </cell>
          <cell r="G403" t="str">
            <v>4</v>
          </cell>
          <cell r="H403" t="str">
            <v>Alatoz</v>
          </cell>
        </row>
        <row r="404">
          <cell r="D404" t="str">
            <v>02</v>
          </cell>
          <cell r="E404" t="str">
            <v>Albacete</v>
          </cell>
          <cell r="F404" t="str">
            <v>003</v>
          </cell>
          <cell r="G404" t="str">
            <v>0</v>
          </cell>
          <cell r="H404" t="str">
            <v>Albacete</v>
          </cell>
        </row>
        <row r="405">
          <cell r="D405" t="str">
            <v>02</v>
          </cell>
          <cell r="E405" t="str">
            <v>Albacete</v>
          </cell>
          <cell r="F405" t="str">
            <v>004</v>
          </cell>
          <cell r="G405" t="str">
            <v>5</v>
          </cell>
          <cell r="H405" t="str">
            <v>Albatana</v>
          </cell>
        </row>
        <row r="406">
          <cell r="D406" t="str">
            <v>02</v>
          </cell>
          <cell r="E406" t="str">
            <v>Albacete</v>
          </cell>
          <cell r="F406" t="str">
            <v>005</v>
          </cell>
          <cell r="G406" t="str">
            <v>8</v>
          </cell>
          <cell r="H406" t="str">
            <v>Alborea</v>
          </cell>
        </row>
        <row r="407">
          <cell r="D407" t="str">
            <v>02</v>
          </cell>
          <cell r="E407" t="str">
            <v>Albacete</v>
          </cell>
          <cell r="F407" t="str">
            <v>006</v>
          </cell>
          <cell r="G407" t="str">
            <v>1</v>
          </cell>
          <cell r="H407" t="str">
            <v>Alcadozo</v>
          </cell>
        </row>
        <row r="408">
          <cell r="D408" t="str">
            <v>02</v>
          </cell>
          <cell r="E408" t="str">
            <v>Albacete</v>
          </cell>
          <cell r="F408" t="str">
            <v>007</v>
          </cell>
          <cell r="G408" t="str">
            <v>7</v>
          </cell>
          <cell r="H408" t="str">
            <v>Alcalá del Júcar</v>
          </cell>
        </row>
        <row r="409">
          <cell r="D409" t="str">
            <v>02</v>
          </cell>
          <cell r="E409" t="str">
            <v>Albacete</v>
          </cell>
          <cell r="F409" t="str">
            <v>008</v>
          </cell>
          <cell r="G409" t="str">
            <v>3</v>
          </cell>
          <cell r="H409" t="str">
            <v>Alcaraz</v>
          </cell>
        </row>
        <row r="410">
          <cell r="D410" t="str">
            <v>02</v>
          </cell>
          <cell r="E410" t="str">
            <v>Albacete</v>
          </cell>
          <cell r="F410" t="str">
            <v>009</v>
          </cell>
          <cell r="G410" t="str">
            <v>6</v>
          </cell>
          <cell r="H410" t="str">
            <v>Almansa</v>
          </cell>
        </row>
        <row r="411">
          <cell r="D411" t="str">
            <v>02</v>
          </cell>
          <cell r="E411" t="str">
            <v>Albacete</v>
          </cell>
          <cell r="F411" t="str">
            <v>010</v>
          </cell>
          <cell r="G411" t="str">
            <v>0</v>
          </cell>
          <cell r="H411" t="str">
            <v>Alpera</v>
          </cell>
        </row>
        <row r="412">
          <cell r="D412" t="str">
            <v>02</v>
          </cell>
          <cell r="E412" t="str">
            <v>Albacete</v>
          </cell>
          <cell r="F412" t="str">
            <v>011</v>
          </cell>
          <cell r="G412" t="str">
            <v>7</v>
          </cell>
          <cell r="H412" t="str">
            <v>Ayna</v>
          </cell>
        </row>
        <row r="413">
          <cell r="D413" t="str">
            <v>02</v>
          </cell>
          <cell r="E413" t="str">
            <v>Albacete</v>
          </cell>
          <cell r="F413" t="str">
            <v>012</v>
          </cell>
          <cell r="G413" t="str">
            <v>2</v>
          </cell>
          <cell r="H413" t="str">
            <v>Balazote</v>
          </cell>
        </row>
        <row r="414">
          <cell r="D414" t="str">
            <v>02</v>
          </cell>
          <cell r="E414" t="str">
            <v>Albacete</v>
          </cell>
          <cell r="F414" t="str">
            <v>013</v>
          </cell>
          <cell r="G414" t="str">
            <v>8</v>
          </cell>
          <cell r="H414" t="str">
            <v>Balsa de Ves</v>
          </cell>
        </row>
        <row r="415">
          <cell r="D415" t="str">
            <v>02</v>
          </cell>
          <cell r="E415" t="str">
            <v>Albacete</v>
          </cell>
          <cell r="F415" t="str">
            <v>014</v>
          </cell>
          <cell r="G415" t="str">
            <v>3</v>
          </cell>
          <cell r="H415" t="str">
            <v>Ballestero, El</v>
          </cell>
        </row>
        <row r="416">
          <cell r="D416" t="str">
            <v>02</v>
          </cell>
          <cell r="E416" t="str">
            <v>Albacete</v>
          </cell>
          <cell r="F416" t="str">
            <v>015</v>
          </cell>
          <cell r="G416" t="str">
            <v>6</v>
          </cell>
          <cell r="H416" t="str">
            <v>Barrax</v>
          </cell>
        </row>
        <row r="417">
          <cell r="D417" t="str">
            <v>02</v>
          </cell>
          <cell r="E417" t="str">
            <v>Albacete</v>
          </cell>
          <cell r="F417" t="str">
            <v>016</v>
          </cell>
          <cell r="G417" t="str">
            <v>9</v>
          </cell>
          <cell r="H417" t="str">
            <v>Bienservida</v>
          </cell>
        </row>
        <row r="418">
          <cell r="D418" t="str">
            <v>02</v>
          </cell>
          <cell r="E418" t="str">
            <v>Albacete</v>
          </cell>
          <cell r="F418" t="str">
            <v>017</v>
          </cell>
          <cell r="G418" t="str">
            <v>5</v>
          </cell>
          <cell r="H418" t="str">
            <v>Bogarra</v>
          </cell>
        </row>
        <row r="419">
          <cell r="D419" t="str">
            <v>02</v>
          </cell>
          <cell r="E419" t="str">
            <v>Albacete</v>
          </cell>
          <cell r="F419" t="str">
            <v>018</v>
          </cell>
          <cell r="G419" t="str">
            <v>1</v>
          </cell>
          <cell r="H419" t="str">
            <v>Bonete</v>
          </cell>
        </row>
        <row r="420">
          <cell r="D420" t="str">
            <v>02</v>
          </cell>
          <cell r="E420" t="str">
            <v>Albacete</v>
          </cell>
          <cell r="F420" t="str">
            <v>019</v>
          </cell>
          <cell r="G420" t="str">
            <v>4</v>
          </cell>
          <cell r="H420" t="str">
            <v>Bonillo, El</v>
          </cell>
        </row>
        <row r="421">
          <cell r="D421" t="str">
            <v>02</v>
          </cell>
          <cell r="E421" t="str">
            <v>Albacete</v>
          </cell>
          <cell r="F421" t="str">
            <v>020</v>
          </cell>
          <cell r="G421" t="str">
            <v>8</v>
          </cell>
          <cell r="H421" t="str">
            <v>Carcelén</v>
          </cell>
        </row>
        <row r="422">
          <cell r="D422" t="str">
            <v>02</v>
          </cell>
          <cell r="E422" t="str">
            <v>Albacete</v>
          </cell>
          <cell r="F422" t="str">
            <v>021</v>
          </cell>
          <cell r="G422" t="str">
            <v>5</v>
          </cell>
          <cell r="H422" t="str">
            <v>Casas de Juan Núñez</v>
          </cell>
        </row>
        <row r="423">
          <cell r="D423" t="str">
            <v>02</v>
          </cell>
          <cell r="E423" t="str">
            <v>Albacete</v>
          </cell>
          <cell r="F423" t="str">
            <v>022</v>
          </cell>
          <cell r="G423" t="str">
            <v>0</v>
          </cell>
          <cell r="H423" t="str">
            <v>Casas de Lázaro</v>
          </cell>
        </row>
        <row r="424">
          <cell r="D424" t="str">
            <v>02</v>
          </cell>
          <cell r="E424" t="str">
            <v>Albacete</v>
          </cell>
          <cell r="F424" t="str">
            <v>023</v>
          </cell>
          <cell r="G424" t="str">
            <v>6</v>
          </cell>
          <cell r="H424" t="str">
            <v>Casas de Ves</v>
          </cell>
        </row>
        <row r="425">
          <cell r="D425" t="str">
            <v>02</v>
          </cell>
          <cell r="E425" t="str">
            <v>Albacete</v>
          </cell>
          <cell r="F425" t="str">
            <v>024</v>
          </cell>
          <cell r="G425" t="str">
            <v>1</v>
          </cell>
          <cell r="H425" t="str">
            <v>Casas-Ibáñez</v>
          </cell>
        </row>
        <row r="426">
          <cell r="D426" t="str">
            <v>02</v>
          </cell>
          <cell r="E426" t="str">
            <v>Albacete</v>
          </cell>
          <cell r="F426" t="str">
            <v>025</v>
          </cell>
          <cell r="G426" t="str">
            <v>4</v>
          </cell>
          <cell r="H426" t="str">
            <v>Caudete</v>
          </cell>
        </row>
        <row r="427">
          <cell r="D427" t="str">
            <v>02</v>
          </cell>
          <cell r="E427" t="str">
            <v>Albacete</v>
          </cell>
          <cell r="F427" t="str">
            <v>026</v>
          </cell>
          <cell r="G427" t="str">
            <v>7</v>
          </cell>
          <cell r="H427" t="str">
            <v>Cenizate</v>
          </cell>
        </row>
        <row r="428">
          <cell r="D428" t="str">
            <v>02</v>
          </cell>
          <cell r="E428" t="str">
            <v>Albacete</v>
          </cell>
          <cell r="F428" t="str">
            <v>027</v>
          </cell>
          <cell r="G428" t="str">
            <v>3</v>
          </cell>
          <cell r="H428" t="str">
            <v>Corral-Rubio</v>
          </cell>
        </row>
        <row r="429">
          <cell r="D429" t="str">
            <v>02</v>
          </cell>
          <cell r="E429" t="str">
            <v>Albacete</v>
          </cell>
          <cell r="F429" t="str">
            <v>028</v>
          </cell>
          <cell r="G429" t="str">
            <v>9</v>
          </cell>
          <cell r="H429" t="str">
            <v>Cotillas</v>
          </cell>
        </row>
        <row r="430">
          <cell r="D430" t="str">
            <v>02</v>
          </cell>
          <cell r="E430" t="str">
            <v>Albacete</v>
          </cell>
          <cell r="F430" t="str">
            <v>029</v>
          </cell>
          <cell r="G430" t="str">
            <v>2</v>
          </cell>
          <cell r="H430" t="str">
            <v>Chinchilla de Monte-Aragón</v>
          </cell>
        </row>
        <row r="431">
          <cell r="D431" t="str">
            <v>02</v>
          </cell>
          <cell r="E431" t="str">
            <v>Albacete</v>
          </cell>
          <cell r="F431" t="str">
            <v>030</v>
          </cell>
          <cell r="G431" t="str">
            <v>6</v>
          </cell>
          <cell r="H431" t="str">
            <v>Elche de la Sierra</v>
          </cell>
        </row>
        <row r="432">
          <cell r="D432" t="str">
            <v>02</v>
          </cell>
          <cell r="E432" t="str">
            <v>Albacete</v>
          </cell>
          <cell r="F432" t="str">
            <v>031</v>
          </cell>
          <cell r="G432" t="str">
            <v>3</v>
          </cell>
          <cell r="H432" t="str">
            <v>Férez</v>
          </cell>
        </row>
        <row r="433">
          <cell r="D433" t="str">
            <v>02</v>
          </cell>
          <cell r="E433" t="str">
            <v>Albacete</v>
          </cell>
          <cell r="F433" t="str">
            <v>032</v>
          </cell>
          <cell r="G433" t="str">
            <v>8</v>
          </cell>
          <cell r="H433" t="str">
            <v>Fuensanta</v>
          </cell>
        </row>
        <row r="434">
          <cell r="D434" t="str">
            <v>02</v>
          </cell>
          <cell r="E434" t="str">
            <v>Albacete</v>
          </cell>
          <cell r="F434" t="str">
            <v>033</v>
          </cell>
          <cell r="G434" t="str">
            <v>4</v>
          </cell>
          <cell r="H434" t="str">
            <v>Fuente-Álamo</v>
          </cell>
        </row>
        <row r="435">
          <cell r="D435" t="str">
            <v>02</v>
          </cell>
          <cell r="E435" t="str">
            <v>Albacete</v>
          </cell>
          <cell r="F435" t="str">
            <v>034</v>
          </cell>
          <cell r="G435" t="str">
            <v>9</v>
          </cell>
          <cell r="H435" t="str">
            <v>Fuentealbilla</v>
          </cell>
        </row>
        <row r="436">
          <cell r="D436" t="str">
            <v>02</v>
          </cell>
          <cell r="E436" t="str">
            <v>Albacete</v>
          </cell>
          <cell r="F436" t="str">
            <v>035</v>
          </cell>
          <cell r="G436" t="str">
            <v>2</v>
          </cell>
          <cell r="H436" t="str">
            <v>Gineta, La</v>
          </cell>
        </row>
        <row r="437">
          <cell r="D437" t="str">
            <v>02</v>
          </cell>
          <cell r="E437" t="str">
            <v>Albacete</v>
          </cell>
          <cell r="F437" t="str">
            <v>036</v>
          </cell>
          <cell r="G437" t="str">
            <v>5</v>
          </cell>
          <cell r="H437" t="str">
            <v>Golosalvo</v>
          </cell>
        </row>
        <row r="438">
          <cell r="D438" t="str">
            <v>02</v>
          </cell>
          <cell r="E438" t="str">
            <v>Albacete</v>
          </cell>
          <cell r="F438" t="str">
            <v>037</v>
          </cell>
          <cell r="G438" t="str">
            <v>1</v>
          </cell>
          <cell r="H438" t="str">
            <v>Hellín</v>
          </cell>
        </row>
        <row r="439">
          <cell r="D439" t="str">
            <v>02</v>
          </cell>
          <cell r="E439" t="str">
            <v>Albacete</v>
          </cell>
          <cell r="F439" t="str">
            <v>038</v>
          </cell>
          <cell r="G439" t="str">
            <v>7</v>
          </cell>
          <cell r="H439" t="str">
            <v>Herrera, La</v>
          </cell>
        </row>
        <row r="440">
          <cell r="D440" t="str">
            <v>02</v>
          </cell>
          <cell r="E440" t="str">
            <v>Albacete</v>
          </cell>
          <cell r="F440" t="str">
            <v>039</v>
          </cell>
          <cell r="G440" t="str">
            <v>0</v>
          </cell>
          <cell r="H440" t="str">
            <v>Higueruela</v>
          </cell>
        </row>
        <row r="441">
          <cell r="D441" t="str">
            <v>02</v>
          </cell>
          <cell r="E441" t="str">
            <v>Albacete</v>
          </cell>
          <cell r="F441" t="str">
            <v>040</v>
          </cell>
          <cell r="G441" t="str">
            <v>4</v>
          </cell>
          <cell r="H441" t="str">
            <v>Hoya-Gonzalo</v>
          </cell>
        </row>
        <row r="442">
          <cell r="D442" t="str">
            <v>02</v>
          </cell>
          <cell r="E442" t="str">
            <v>Albacete</v>
          </cell>
          <cell r="F442" t="str">
            <v>041</v>
          </cell>
          <cell r="G442" t="str">
            <v>1</v>
          </cell>
          <cell r="H442" t="str">
            <v>Jorquera</v>
          </cell>
        </row>
        <row r="443">
          <cell r="D443" t="str">
            <v>02</v>
          </cell>
          <cell r="E443" t="str">
            <v>Albacete</v>
          </cell>
          <cell r="F443" t="str">
            <v>042</v>
          </cell>
          <cell r="G443" t="str">
            <v>6</v>
          </cell>
          <cell r="H443" t="str">
            <v>Letur</v>
          </cell>
        </row>
        <row r="444">
          <cell r="D444" t="str">
            <v>02</v>
          </cell>
          <cell r="E444" t="str">
            <v>Albacete</v>
          </cell>
          <cell r="F444" t="str">
            <v>043</v>
          </cell>
          <cell r="G444" t="str">
            <v>2</v>
          </cell>
          <cell r="H444" t="str">
            <v>Lezuza</v>
          </cell>
        </row>
        <row r="445">
          <cell r="D445" t="str">
            <v>02</v>
          </cell>
          <cell r="E445" t="str">
            <v>Albacete</v>
          </cell>
          <cell r="F445" t="str">
            <v>044</v>
          </cell>
          <cell r="G445" t="str">
            <v>7</v>
          </cell>
          <cell r="H445" t="str">
            <v>Liétor</v>
          </cell>
        </row>
        <row r="446">
          <cell r="D446" t="str">
            <v>02</v>
          </cell>
          <cell r="E446" t="str">
            <v>Albacete</v>
          </cell>
          <cell r="F446" t="str">
            <v>045</v>
          </cell>
          <cell r="G446" t="str">
            <v>0</v>
          </cell>
          <cell r="H446" t="str">
            <v>Madrigueras</v>
          </cell>
        </row>
        <row r="447">
          <cell r="D447" t="str">
            <v>02</v>
          </cell>
          <cell r="E447" t="str">
            <v>Albacete</v>
          </cell>
          <cell r="F447" t="str">
            <v>046</v>
          </cell>
          <cell r="G447" t="str">
            <v>3</v>
          </cell>
          <cell r="H447" t="str">
            <v>Mahora</v>
          </cell>
        </row>
        <row r="448">
          <cell r="D448" t="str">
            <v>02</v>
          </cell>
          <cell r="E448" t="str">
            <v>Albacete</v>
          </cell>
          <cell r="F448" t="str">
            <v>047</v>
          </cell>
          <cell r="G448" t="str">
            <v>9</v>
          </cell>
          <cell r="H448" t="str">
            <v>Masegoso</v>
          </cell>
        </row>
        <row r="449">
          <cell r="D449" t="str">
            <v>02</v>
          </cell>
          <cell r="E449" t="str">
            <v>Albacete</v>
          </cell>
          <cell r="F449" t="str">
            <v>048</v>
          </cell>
          <cell r="G449" t="str">
            <v>5</v>
          </cell>
          <cell r="H449" t="str">
            <v>Minaya</v>
          </cell>
        </row>
        <row r="450">
          <cell r="D450" t="str">
            <v>02</v>
          </cell>
          <cell r="E450" t="str">
            <v>Albacete</v>
          </cell>
          <cell r="F450" t="str">
            <v>049</v>
          </cell>
          <cell r="G450" t="str">
            <v>8</v>
          </cell>
          <cell r="H450" t="str">
            <v>Molinicos</v>
          </cell>
        </row>
        <row r="451">
          <cell r="D451" t="str">
            <v>02</v>
          </cell>
          <cell r="E451" t="str">
            <v>Albacete</v>
          </cell>
          <cell r="F451" t="str">
            <v>050</v>
          </cell>
          <cell r="G451" t="str">
            <v>1</v>
          </cell>
          <cell r="H451" t="str">
            <v>Montalvos</v>
          </cell>
        </row>
        <row r="452">
          <cell r="D452" t="str">
            <v>02</v>
          </cell>
          <cell r="E452" t="str">
            <v>Albacete</v>
          </cell>
          <cell r="F452" t="str">
            <v>051</v>
          </cell>
          <cell r="G452" t="str">
            <v>8</v>
          </cell>
          <cell r="H452" t="str">
            <v>Montealegre del Castillo</v>
          </cell>
        </row>
        <row r="453">
          <cell r="D453" t="str">
            <v>02</v>
          </cell>
          <cell r="E453" t="str">
            <v>Albacete</v>
          </cell>
          <cell r="F453" t="str">
            <v>052</v>
          </cell>
          <cell r="G453" t="str">
            <v>3</v>
          </cell>
          <cell r="H453" t="str">
            <v>Motilleja</v>
          </cell>
        </row>
        <row r="454">
          <cell r="D454" t="str">
            <v>02</v>
          </cell>
          <cell r="E454" t="str">
            <v>Albacete</v>
          </cell>
          <cell r="F454" t="str">
            <v>053</v>
          </cell>
          <cell r="G454" t="str">
            <v>9</v>
          </cell>
          <cell r="H454" t="str">
            <v>Munera</v>
          </cell>
        </row>
        <row r="455">
          <cell r="D455" t="str">
            <v>02</v>
          </cell>
          <cell r="E455" t="str">
            <v>Albacete</v>
          </cell>
          <cell r="F455" t="str">
            <v>054</v>
          </cell>
          <cell r="G455" t="str">
            <v>4</v>
          </cell>
          <cell r="H455" t="str">
            <v>Navas de Jorquera</v>
          </cell>
        </row>
        <row r="456">
          <cell r="D456" t="str">
            <v>02</v>
          </cell>
          <cell r="E456" t="str">
            <v>Albacete</v>
          </cell>
          <cell r="F456" t="str">
            <v>055</v>
          </cell>
          <cell r="G456" t="str">
            <v>7</v>
          </cell>
          <cell r="H456" t="str">
            <v>Nerpio</v>
          </cell>
        </row>
        <row r="457">
          <cell r="D457" t="str">
            <v>02</v>
          </cell>
          <cell r="E457" t="str">
            <v>Albacete</v>
          </cell>
          <cell r="F457" t="str">
            <v>056</v>
          </cell>
          <cell r="G457" t="str">
            <v>0</v>
          </cell>
          <cell r="H457" t="str">
            <v>Ontur</v>
          </cell>
        </row>
        <row r="458">
          <cell r="D458" t="str">
            <v>02</v>
          </cell>
          <cell r="E458" t="str">
            <v>Albacete</v>
          </cell>
          <cell r="F458" t="str">
            <v>057</v>
          </cell>
          <cell r="G458" t="str">
            <v>6</v>
          </cell>
          <cell r="H458" t="str">
            <v>Ossa de Montiel</v>
          </cell>
        </row>
        <row r="459">
          <cell r="D459" t="str">
            <v>02</v>
          </cell>
          <cell r="E459" t="str">
            <v>Albacete</v>
          </cell>
          <cell r="F459" t="str">
            <v>058</v>
          </cell>
          <cell r="G459" t="str">
            <v>2</v>
          </cell>
          <cell r="H459" t="str">
            <v>Paterna del Madera</v>
          </cell>
        </row>
        <row r="460">
          <cell r="D460" t="str">
            <v>02</v>
          </cell>
          <cell r="E460" t="str">
            <v>Albacete</v>
          </cell>
          <cell r="F460" t="str">
            <v>059</v>
          </cell>
          <cell r="G460" t="str">
            <v>5</v>
          </cell>
          <cell r="H460" t="str">
            <v>Peñascosa</v>
          </cell>
        </row>
        <row r="461">
          <cell r="D461" t="str">
            <v>02</v>
          </cell>
          <cell r="E461" t="str">
            <v>Albacete</v>
          </cell>
          <cell r="F461" t="str">
            <v>060</v>
          </cell>
          <cell r="G461" t="str">
            <v>9</v>
          </cell>
          <cell r="H461" t="str">
            <v>Peñas de San Pedro</v>
          </cell>
        </row>
        <row r="462">
          <cell r="D462" t="str">
            <v>02</v>
          </cell>
          <cell r="E462" t="str">
            <v>Albacete</v>
          </cell>
          <cell r="F462" t="str">
            <v>061</v>
          </cell>
          <cell r="G462" t="str">
            <v>6</v>
          </cell>
          <cell r="H462" t="str">
            <v>Pétrola</v>
          </cell>
        </row>
        <row r="463">
          <cell r="D463" t="str">
            <v>02</v>
          </cell>
          <cell r="E463" t="str">
            <v>Albacete</v>
          </cell>
          <cell r="F463" t="str">
            <v>062</v>
          </cell>
          <cell r="G463" t="str">
            <v>1</v>
          </cell>
          <cell r="H463" t="str">
            <v>Povedilla</v>
          </cell>
        </row>
        <row r="464">
          <cell r="D464" t="str">
            <v>02</v>
          </cell>
          <cell r="E464" t="str">
            <v>Albacete</v>
          </cell>
          <cell r="F464" t="str">
            <v>063</v>
          </cell>
          <cell r="G464" t="str">
            <v>7</v>
          </cell>
          <cell r="H464" t="str">
            <v>Pozohondo</v>
          </cell>
        </row>
        <row r="465">
          <cell r="D465" t="str">
            <v>02</v>
          </cell>
          <cell r="E465" t="str">
            <v>Albacete</v>
          </cell>
          <cell r="F465" t="str">
            <v>064</v>
          </cell>
          <cell r="G465" t="str">
            <v>2</v>
          </cell>
          <cell r="H465" t="str">
            <v>Pozo-Lorente</v>
          </cell>
        </row>
        <row r="466">
          <cell r="D466" t="str">
            <v>02</v>
          </cell>
          <cell r="E466" t="str">
            <v>Albacete</v>
          </cell>
          <cell r="F466" t="str">
            <v>065</v>
          </cell>
          <cell r="G466" t="str">
            <v>5</v>
          </cell>
          <cell r="H466" t="str">
            <v>Pozuelo</v>
          </cell>
        </row>
        <row r="467">
          <cell r="D467" t="str">
            <v>02</v>
          </cell>
          <cell r="E467" t="str">
            <v>Albacete</v>
          </cell>
          <cell r="F467" t="str">
            <v>066</v>
          </cell>
          <cell r="G467" t="str">
            <v>8</v>
          </cell>
          <cell r="H467" t="str">
            <v>Recueja, La</v>
          </cell>
        </row>
        <row r="468">
          <cell r="D468" t="str">
            <v>02</v>
          </cell>
          <cell r="E468" t="str">
            <v>Albacete</v>
          </cell>
          <cell r="F468" t="str">
            <v>067</v>
          </cell>
          <cell r="G468" t="str">
            <v>4</v>
          </cell>
          <cell r="H468" t="str">
            <v>Riópar</v>
          </cell>
        </row>
        <row r="469">
          <cell r="D469" t="str">
            <v>02</v>
          </cell>
          <cell r="E469" t="str">
            <v>Albacete</v>
          </cell>
          <cell r="F469" t="str">
            <v>068</v>
          </cell>
          <cell r="G469" t="str">
            <v>0</v>
          </cell>
          <cell r="H469" t="str">
            <v>Robledo</v>
          </cell>
        </row>
        <row r="470">
          <cell r="D470" t="str">
            <v>02</v>
          </cell>
          <cell r="E470" t="str">
            <v>Albacete</v>
          </cell>
          <cell r="F470" t="str">
            <v>069</v>
          </cell>
          <cell r="G470" t="str">
            <v>3</v>
          </cell>
          <cell r="H470" t="str">
            <v>Roda, La</v>
          </cell>
        </row>
        <row r="471">
          <cell r="D471" t="str">
            <v>02</v>
          </cell>
          <cell r="E471" t="str">
            <v>Albacete</v>
          </cell>
          <cell r="F471" t="str">
            <v>070</v>
          </cell>
          <cell r="G471" t="str">
            <v>7</v>
          </cell>
          <cell r="H471" t="str">
            <v>Salobre</v>
          </cell>
        </row>
        <row r="472">
          <cell r="D472" t="str">
            <v>02</v>
          </cell>
          <cell r="E472" t="str">
            <v>Albacete</v>
          </cell>
          <cell r="F472" t="str">
            <v>071</v>
          </cell>
          <cell r="G472" t="str">
            <v>4</v>
          </cell>
          <cell r="H472" t="str">
            <v>San Pedro</v>
          </cell>
        </row>
        <row r="473">
          <cell r="D473" t="str">
            <v>02</v>
          </cell>
          <cell r="E473" t="str">
            <v>Albacete</v>
          </cell>
          <cell r="F473" t="str">
            <v>072</v>
          </cell>
          <cell r="G473" t="str">
            <v>9</v>
          </cell>
          <cell r="H473" t="str">
            <v>Socovos</v>
          </cell>
        </row>
        <row r="474">
          <cell r="D474" t="str">
            <v>02</v>
          </cell>
          <cell r="E474" t="str">
            <v>Albacete</v>
          </cell>
          <cell r="F474" t="str">
            <v>073</v>
          </cell>
          <cell r="G474" t="str">
            <v>5</v>
          </cell>
          <cell r="H474" t="str">
            <v>Tarazona de la Mancha</v>
          </cell>
        </row>
        <row r="475">
          <cell r="D475" t="str">
            <v>02</v>
          </cell>
          <cell r="E475" t="str">
            <v>Albacete</v>
          </cell>
          <cell r="F475" t="str">
            <v>074</v>
          </cell>
          <cell r="G475" t="str">
            <v>0</v>
          </cell>
          <cell r="H475" t="str">
            <v>Tobarra</v>
          </cell>
        </row>
        <row r="476">
          <cell r="D476" t="str">
            <v>02</v>
          </cell>
          <cell r="E476" t="str">
            <v>Albacete</v>
          </cell>
          <cell r="F476" t="str">
            <v>075</v>
          </cell>
          <cell r="G476" t="str">
            <v>3</v>
          </cell>
          <cell r="H476" t="str">
            <v>Valdeganga</v>
          </cell>
        </row>
        <row r="477">
          <cell r="D477" t="str">
            <v>02</v>
          </cell>
          <cell r="E477" t="str">
            <v>Albacete</v>
          </cell>
          <cell r="F477" t="str">
            <v>076</v>
          </cell>
          <cell r="G477" t="str">
            <v>6</v>
          </cell>
          <cell r="H477" t="str">
            <v>Vianos</v>
          </cell>
        </row>
        <row r="478">
          <cell r="D478" t="str">
            <v>02</v>
          </cell>
          <cell r="E478" t="str">
            <v>Albacete</v>
          </cell>
          <cell r="F478" t="str">
            <v>077</v>
          </cell>
          <cell r="G478" t="str">
            <v>2</v>
          </cell>
          <cell r="H478" t="str">
            <v>Villa de Ves</v>
          </cell>
        </row>
        <row r="479">
          <cell r="D479" t="str">
            <v>02</v>
          </cell>
          <cell r="E479" t="str">
            <v>Albacete</v>
          </cell>
          <cell r="F479" t="str">
            <v>078</v>
          </cell>
          <cell r="G479" t="str">
            <v>8</v>
          </cell>
          <cell r="H479" t="str">
            <v>Villalgordo del Júcar</v>
          </cell>
        </row>
        <row r="480">
          <cell r="D480" t="str">
            <v>02</v>
          </cell>
          <cell r="E480" t="str">
            <v>Albacete</v>
          </cell>
          <cell r="F480" t="str">
            <v>079</v>
          </cell>
          <cell r="G480" t="str">
            <v>1</v>
          </cell>
          <cell r="H480" t="str">
            <v>Villamalea</v>
          </cell>
        </row>
        <row r="481">
          <cell r="D481" t="str">
            <v>02</v>
          </cell>
          <cell r="E481" t="str">
            <v>Albacete</v>
          </cell>
          <cell r="F481" t="str">
            <v>080</v>
          </cell>
          <cell r="G481" t="str">
            <v>5</v>
          </cell>
          <cell r="H481" t="str">
            <v>Villapalacios</v>
          </cell>
        </row>
        <row r="482">
          <cell r="D482" t="str">
            <v>02</v>
          </cell>
          <cell r="E482" t="str">
            <v>Albacete</v>
          </cell>
          <cell r="F482" t="str">
            <v>081</v>
          </cell>
          <cell r="G482" t="str">
            <v>2</v>
          </cell>
          <cell r="H482" t="str">
            <v>Villarrobledo</v>
          </cell>
        </row>
        <row r="483">
          <cell r="D483" t="str">
            <v>02</v>
          </cell>
          <cell r="E483" t="str">
            <v>Albacete</v>
          </cell>
          <cell r="F483" t="str">
            <v>082</v>
          </cell>
          <cell r="G483" t="str">
            <v>7</v>
          </cell>
          <cell r="H483" t="str">
            <v>Villatoya</v>
          </cell>
        </row>
        <row r="484">
          <cell r="D484" t="str">
            <v>02</v>
          </cell>
          <cell r="E484" t="str">
            <v>Albacete</v>
          </cell>
          <cell r="F484" t="str">
            <v>083</v>
          </cell>
          <cell r="G484" t="str">
            <v>3</v>
          </cell>
          <cell r="H484" t="str">
            <v>Villavaliente</v>
          </cell>
        </row>
        <row r="485">
          <cell r="D485" t="str">
            <v>02</v>
          </cell>
          <cell r="E485" t="str">
            <v>Albacete</v>
          </cell>
          <cell r="F485" t="str">
            <v>084</v>
          </cell>
          <cell r="G485" t="str">
            <v>8</v>
          </cell>
          <cell r="H485" t="str">
            <v>Villaverde de Guadalimar</v>
          </cell>
        </row>
        <row r="486">
          <cell r="D486" t="str">
            <v>02</v>
          </cell>
          <cell r="E486" t="str">
            <v>Albacete</v>
          </cell>
          <cell r="F486" t="str">
            <v>085</v>
          </cell>
          <cell r="G486" t="str">
            <v>1</v>
          </cell>
          <cell r="H486" t="str">
            <v>Viveros</v>
          </cell>
        </row>
        <row r="487">
          <cell r="D487" t="str">
            <v>02</v>
          </cell>
          <cell r="E487" t="str">
            <v>Albacete</v>
          </cell>
          <cell r="F487" t="str">
            <v>086</v>
          </cell>
          <cell r="G487" t="str">
            <v>4</v>
          </cell>
          <cell r="H487" t="str">
            <v>Yeste</v>
          </cell>
        </row>
        <row r="488">
          <cell r="D488" t="str">
            <v>02</v>
          </cell>
          <cell r="E488" t="str">
            <v>Albacete</v>
          </cell>
          <cell r="F488" t="str">
            <v>901</v>
          </cell>
          <cell r="G488" t="str">
            <v>0</v>
          </cell>
          <cell r="H488" t="str">
            <v>Pozo Cañada</v>
          </cell>
        </row>
        <row r="489">
          <cell r="D489" t="str">
            <v>03</v>
          </cell>
          <cell r="E489" t="str">
            <v>Alicante/Alacant</v>
          </cell>
          <cell r="F489" t="str">
            <v>001</v>
          </cell>
          <cell r="G489" t="str">
            <v>5</v>
          </cell>
          <cell r="H489" t="str">
            <v>Atzúbia, l'</v>
          </cell>
        </row>
        <row r="490">
          <cell r="D490" t="str">
            <v>03</v>
          </cell>
          <cell r="E490" t="str">
            <v>Alicante/Alacant</v>
          </cell>
          <cell r="F490" t="str">
            <v>002</v>
          </cell>
          <cell r="G490" t="str">
            <v>0</v>
          </cell>
          <cell r="H490" t="str">
            <v>Agost</v>
          </cell>
        </row>
        <row r="491">
          <cell r="D491" t="str">
            <v>03</v>
          </cell>
          <cell r="E491" t="str">
            <v>Alicante/Alacant</v>
          </cell>
          <cell r="F491" t="str">
            <v>003</v>
          </cell>
          <cell r="G491" t="str">
            <v>6</v>
          </cell>
          <cell r="H491" t="str">
            <v>Agres</v>
          </cell>
        </row>
        <row r="492">
          <cell r="D492" t="str">
            <v>03</v>
          </cell>
          <cell r="E492" t="str">
            <v>Alicante/Alacant</v>
          </cell>
          <cell r="F492" t="str">
            <v>004</v>
          </cell>
          <cell r="G492" t="str">
            <v>1</v>
          </cell>
          <cell r="H492" t="str">
            <v>Aigües</v>
          </cell>
        </row>
        <row r="493">
          <cell r="D493" t="str">
            <v>03</v>
          </cell>
          <cell r="E493" t="str">
            <v>Alicante/Alacant</v>
          </cell>
          <cell r="F493" t="str">
            <v>005</v>
          </cell>
          <cell r="G493" t="str">
            <v>4</v>
          </cell>
          <cell r="H493" t="str">
            <v>Albatera</v>
          </cell>
        </row>
        <row r="494">
          <cell r="D494" t="str">
            <v>03</v>
          </cell>
          <cell r="E494" t="str">
            <v>Alicante/Alacant</v>
          </cell>
          <cell r="F494" t="str">
            <v>006</v>
          </cell>
          <cell r="G494" t="str">
            <v>7</v>
          </cell>
          <cell r="H494" t="str">
            <v>Alcalalí</v>
          </cell>
        </row>
        <row r="495">
          <cell r="D495" t="str">
            <v>03</v>
          </cell>
          <cell r="E495" t="str">
            <v>Alicante/Alacant</v>
          </cell>
          <cell r="F495" t="str">
            <v>007</v>
          </cell>
          <cell r="G495" t="str">
            <v>3</v>
          </cell>
          <cell r="H495" t="str">
            <v>Alcosser</v>
          </cell>
        </row>
        <row r="496">
          <cell r="D496" t="str">
            <v>03</v>
          </cell>
          <cell r="E496" t="str">
            <v>Alicante/Alacant</v>
          </cell>
          <cell r="F496" t="str">
            <v>008</v>
          </cell>
          <cell r="G496" t="str">
            <v>9</v>
          </cell>
          <cell r="H496" t="str">
            <v>Alcoleja</v>
          </cell>
        </row>
        <row r="497">
          <cell r="D497" t="str">
            <v>03</v>
          </cell>
          <cell r="E497" t="str">
            <v>Alicante/Alacant</v>
          </cell>
          <cell r="F497" t="str">
            <v>009</v>
          </cell>
          <cell r="G497" t="str">
            <v>2</v>
          </cell>
          <cell r="H497" t="str">
            <v>Alcoi/Alcoy</v>
          </cell>
        </row>
        <row r="498">
          <cell r="D498" t="str">
            <v>03</v>
          </cell>
          <cell r="E498" t="str">
            <v>Alicante/Alacant</v>
          </cell>
          <cell r="F498" t="str">
            <v>010</v>
          </cell>
          <cell r="G498" t="str">
            <v>6</v>
          </cell>
          <cell r="H498" t="str">
            <v>Alfafara</v>
          </cell>
        </row>
        <row r="499">
          <cell r="D499" t="str">
            <v>03</v>
          </cell>
          <cell r="E499" t="str">
            <v>Alicante/Alacant</v>
          </cell>
          <cell r="F499" t="str">
            <v>011</v>
          </cell>
          <cell r="G499" t="str">
            <v>3</v>
          </cell>
          <cell r="H499" t="str">
            <v>Alfàs del Pi, l'</v>
          </cell>
        </row>
        <row r="500">
          <cell r="D500" t="str">
            <v>03</v>
          </cell>
          <cell r="E500" t="str">
            <v>Alicante/Alacant</v>
          </cell>
          <cell r="F500" t="str">
            <v>012</v>
          </cell>
          <cell r="G500" t="str">
            <v>8</v>
          </cell>
          <cell r="H500" t="str">
            <v>Algorfa</v>
          </cell>
        </row>
        <row r="501">
          <cell r="D501" t="str">
            <v>03</v>
          </cell>
          <cell r="E501" t="str">
            <v>Alicante/Alacant</v>
          </cell>
          <cell r="F501" t="str">
            <v>013</v>
          </cell>
          <cell r="G501" t="str">
            <v>4</v>
          </cell>
          <cell r="H501" t="str">
            <v>Algueña</v>
          </cell>
        </row>
        <row r="502">
          <cell r="D502" t="str">
            <v>03</v>
          </cell>
          <cell r="E502" t="str">
            <v>Alicante/Alacant</v>
          </cell>
          <cell r="F502" t="str">
            <v>014</v>
          </cell>
          <cell r="G502" t="str">
            <v>9</v>
          </cell>
          <cell r="H502" t="str">
            <v>Alacant/Alicante</v>
          </cell>
        </row>
        <row r="503">
          <cell r="D503" t="str">
            <v>03</v>
          </cell>
          <cell r="E503" t="str">
            <v>Alicante/Alacant</v>
          </cell>
          <cell r="F503" t="str">
            <v>015</v>
          </cell>
          <cell r="G503" t="str">
            <v>2</v>
          </cell>
          <cell r="H503" t="str">
            <v>Almoradí</v>
          </cell>
        </row>
        <row r="504">
          <cell r="D504" t="str">
            <v>03</v>
          </cell>
          <cell r="E504" t="str">
            <v>Alicante/Alacant</v>
          </cell>
          <cell r="F504" t="str">
            <v>016</v>
          </cell>
          <cell r="G504" t="str">
            <v>5</v>
          </cell>
          <cell r="H504" t="str">
            <v>Almudaina</v>
          </cell>
        </row>
        <row r="505">
          <cell r="D505" t="str">
            <v>03</v>
          </cell>
          <cell r="E505" t="str">
            <v>Alicante/Alacant</v>
          </cell>
          <cell r="F505" t="str">
            <v>017</v>
          </cell>
          <cell r="G505" t="str">
            <v>1</v>
          </cell>
          <cell r="H505" t="str">
            <v>Alqueria d'Asnar, l'</v>
          </cell>
        </row>
        <row r="506">
          <cell r="D506" t="str">
            <v>03</v>
          </cell>
          <cell r="E506" t="str">
            <v>Alicante/Alacant</v>
          </cell>
          <cell r="F506" t="str">
            <v>018</v>
          </cell>
          <cell r="G506" t="str">
            <v>7</v>
          </cell>
          <cell r="H506" t="str">
            <v>Altea</v>
          </cell>
        </row>
        <row r="507">
          <cell r="D507" t="str">
            <v>03</v>
          </cell>
          <cell r="E507" t="str">
            <v>Alicante/Alacant</v>
          </cell>
          <cell r="F507" t="str">
            <v>019</v>
          </cell>
          <cell r="G507" t="str">
            <v>0</v>
          </cell>
          <cell r="H507" t="str">
            <v>Aspe</v>
          </cell>
        </row>
        <row r="508">
          <cell r="D508" t="str">
            <v>03</v>
          </cell>
          <cell r="E508" t="str">
            <v>Alicante/Alacant</v>
          </cell>
          <cell r="F508" t="str">
            <v>020</v>
          </cell>
          <cell r="G508" t="str">
            <v>4</v>
          </cell>
          <cell r="H508" t="str">
            <v>Balones</v>
          </cell>
        </row>
        <row r="509">
          <cell r="D509" t="str">
            <v>03</v>
          </cell>
          <cell r="E509" t="str">
            <v>Alicante/Alacant</v>
          </cell>
          <cell r="F509" t="str">
            <v>021</v>
          </cell>
          <cell r="G509" t="str">
            <v>1</v>
          </cell>
          <cell r="H509" t="str">
            <v>Banyeres de Mariola</v>
          </cell>
        </row>
        <row r="510">
          <cell r="D510" t="str">
            <v>03</v>
          </cell>
          <cell r="E510" t="str">
            <v>Alicante/Alacant</v>
          </cell>
          <cell r="F510" t="str">
            <v>022</v>
          </cell>
          <cell r="G510" t="str">
            <v>6</v>
          </cell>
          <cell r="H510" t="str">
            <v>Benasau</v>
          </cell>
        </row>
        <row r="511">
          <cell r="D511" t="str">
            <v>03</v>
          </cell>
          <cell r="E511" t="str">
            <v>Alicante/Alacant</v>
          </cell>
          <cell r="F511" t="str">
            <v>023</v>
          </cell>
          <cell r="G511" t="str">
            <v>2</v>
          </cell>
          <cell r="H511" t="str">
            <v>Beneixama</v>
          </cell>
        </row>
        <row r="512">
          <cell r="D512" t="str">
            <v>03</v>
          </cell>
          <cell r="E512" t="str">
            <v>Alicante/Alacant</v>
          </cell>
          <cell r="F512" t="str">
            <v>024</v>
          </cell>
          <cell r="G512" t="str">
            <v>7</v>
          </cell>
          <cell r="H512" t="str">
            <v>Benejúzar</v>
          </cell>
        </row>
        <row r="513">
          <cell r="D513" t="str">
            <v>03</v>
          </cell>
          <cell r="E513" t="str">
            <v>Alicante/Alacant</v>
          </cell>
          <cell r="F513" t="str">
            <v>025</v>
          </cell>
          <cell r="G513" t="str">
            <v>0</v>
          </cell>
          <cell r="H513" t="str">
            <v>Benferri</v>
          </cell>
        </row>
        <row r="514">
          <cell r="D514" t="str">
            <v>03</v>
          </cell>
          <cell r="E514" t="str">
            <v>Alicante/Alacant</v>
          </cell>
          <cell r="F514" t="str">
            <v>026</v>
          </cell>
          <cell r="G514" t="str">
            <v>3</v>
          </cell>
          <cell r="H514" t="str">
            <v>Beniarbeig</v>
          </cell>
        </row>
        <row r="515">
          <cell r="D515" t="str">
            <v>03</v>
          </cell>
          <cell r="E515" t="str">
            <v>Alicante/Alacant</v>
          </cell>
          <cell r="F515" t="str">
            <v>027</v>
          </cell>
          <cell r="G515" t="str">
            <v>9</v>
          </cell>
          <cell r="H515" t="str">
            <v>Beniardà</v>
          </cell>
        </row>
        <row r="516">
          <cell r="D516" t="str">
            <v>03</v>
          </cell>
          <cell r="E516" t="str">
            <v>Alicante/Alacant</v>
          </cell>
          <cell r="F516" t="str">
            <v>028</v>
          </cell>
          <cell r="G516" t="str">
            <v>5</v>
          </cell>
          <cell r="H516" t="str">
            <v>Beniarrés</v>
          </cell>
        </row>
        <row r="517">
          <cell r="D517" t="str">
            <v>03</v>
          </cell>
          <cell r="E517" t="str">
            <v>Alicante/Alacant</v>
          </cell>
          <cell r="F517" t="str">
            <v>029</v>
          </cell>
          <cell r="G517" t="str">
            <v>8</v>
          </cell>
          <cell r="H517" t="str">
            <v>Benigembla</v>
          </cell>
        </row>
        <row r="518">
          <cell r="D518" t="str">
            <v>03</v>
          </cell>
          <cell r="E518" t="str">
            <v>Alicante/Alacant</v>
          </cell>
          <cell r="F518" t="str">
            <v>030</v>
          </cell>
          <cell r="G518" t="str">
            <v>2</v>
          </cell>
          <cell r="H518" t="str">
            <v>Benidoleig</v>
          </cell>
        </row>
        <row r="519">
          <cell r="D519" t="str">
            <v>03</v>
          </cell>
          <cell r="E519" t="str">
            <v>Alicante/Alacant</v>
          </cell>
          <cell r="F519" t="str">
            <v>031</v>
          </cell>
          <cell r="G519" t="str">
            <v>9</v>
          </cell>
          <cell r="H519" t="str">
            <v>Benidorm</v>
          </cell>
        </row>
        <row r="520">
          <cell r="D520" t="str">
            <v>03</v>
          </cell>
          <cell r="E520" t="str">
            <v>Alicante/Alacant</v>
          </cell>
          <cell r="F520" t="str">
            <v>032</v>
          </cell>
          <cell r="G520" t="str">
            <v>4</v>
          </cell>
          <cell r="H520" t="str">
            <v>Benifallim</v>
          </cell>
        </row>
        <row r="521">
          <cell r="D521" t="str">
            <v>03</v>
          </cell>
          <cell r="E521" t="str">
            <v>Alicante/Alacant</v>
          </cell>
          <cell r="F521" t="str">
            <v>033</v>
          </cell>
          <cell r="G521" t="str">
            <v>0</v>
          </cell>
          <cell r="H521" t="str">
            <v>Benifato</v>
          </cell>
        </row>
        <row r="522">
          <cell r="D522" t="str">
            <v>03</v>
          </cell>
          <cell r="E522" t="str">
            <v>Alicante/Alacant</v>
          </cell>
          <cell r="F522" t="str">
            <v>034</v>
          </cell>
          <cell r="G522" t="str">
            <v>5</v>
          </cell>
          <cell r="H522" t="str">
            <v>Benijófar</v>
          </cell>
        </row>
        <row r="523">
          <cell r="D523" t="str">
            <v>03</v>
          </cell>
          <cell r="E523" t="str">
            <v>Alicante/Alacant</v>
          </cell>
          <cell r="F523" t="str">
            <v>035</v>
          </cell>
          <cell r="G523" t="str">
            <v>8</v>
          </cell>
          <cell r="H523" t="str">
            <v>Benilloba</v>
          </cell>
        </row>
        <row r="524">
          <cell r="D524" t="str">
            <v>03</v>
          </cell>
          <cell r="E524" t="str">
            <v>Alicante/Alacant</v>
          </cell>
          <cell r="F524" t="str">
            <v>036</v>
          </cell>
          <cell r="G524" t="str">
            <v>1</v>
          </cell>
          <cell r="H524" t="str">
            <v>Benillup</v>
          </cell>
        </row>
        <row r="525">
          <cell r="D525" t="str">
            <v>03</v>
          </cell>
          <cell r="E525" t="str">
            <v>Alicante/Alacant</v>
          </cell>
          <cell r="F525" t="str">
            <v>037</v>
          </cell>
          <cell r="G525" t="str">
            <v>7</v>
          </cell>
          <cell r="H525" t="str">
            <v>Benimantell</v>
          </cell>
        </row>
        <row r="526">
          <cell r="D526" t="str">
            <v>03</v>
          </cell>
          <cell r="E526" t="str">
            <v>Alicante/Alacant</v>
          </cell>
          <cell r="F526" t="str">
            <v>038</v>
          </cell>
          <cell r="G526" t="str">
            <v>3</v>
          </cell>
          <cell r="H526" t="str">
            <v>Benimarfull</v>
          </cell>
        </row>
        <row r="527">
          <cell r="D527" t="str">
            <v>03</v>
          </cell>
          <cell r="E527" t="str">
            <v>Alicante/Alacant</v>
          </cell>
          <cell r="F527" t="str">
            <v>039</v>
          </cell>
          <cell r="G527" t="str">
            <v>6</v>
          </cell>
          <cell r="H527" t="str">
            <v>Benimassot</v>
          </cell>
        </row>
        <row r="528">
          <cell r="D528" t="str">
            <v>03</v>
          </cell>
          <cell r="E528" t="str">
            <v>Alicante/Alacant</v>
          </cell>
          <cell r="F528" t="str">
            <v>040</v>
          </cell>
          <cell r="G528" t="str">
            <v>0</v>
          </cell>
          <cell r="H528" t="str">
            <v>Benimeli</v>
          </cell>
        </row>
        <row r="529">
          <cell r="D529" t="str">
            <v>03</v>
          </cell>
          <cell r="E529" t="str">
            <v>Alicante/Alacant</v>
          </cell>
          <cell r="F529" t="str">
            <v>041</v>
          </cell>
          <cell r="G529" t="str">
            <v>7</v>
          </cell>
          <cell r="H529" t="str">
            <v>Benissa</v>
          </cell>
        </row>
        <row r="530">
          <cell r="D530" t="str">
            <v>03</v>
          </cell>
          <cell r="E530" t="str">
            <v>Alicante/Alacant</v>
          </cell>
          <cell r="F530" t="str">
            <v>042</v>
          </cell>
          <cell r="G530" t="str">
            <v>2</v>
          </cell>
          <cell r="H530" t="str">
            <v>Poble Nou de Benitatxell, el/Benitachell</v>
          </cell>
        </row>
        <row r="531">
          <cell r="D531" t="str">
            <v>03</v>
          </cell>
          <cell r="E531" t="str">
            <v>Alicante/Alacant</v>
          </cell>
          <cell r="F531" t="str">
            <v>043</v>
          </cell>
          <cell r="G531" t="str">
            <v>8</v>
          </cell>
          <cell r="H531" t="str">
            <v>Biar</v>
          </cell>
        </row>
        <row r="532">
          <cell r="D532" t="str">
            <v>03</v>
          </cell>
          <cell r="E532" t="str">
            <v>Alicante/Alacant</v>
          </cell>
          <cell r="F532" t="str">
            <v>044</v>
          </cell>
          <cell r="G532" t="str">
            <v>3</v>
          </cell>
          <cell r="H532" t="str">
            <v>Bigastro</v>
          </cell>
        </row>
        <row r="533">
          <cell r="D533" t="str">
            <v>03</v>
          </cell>
          <cell r="E533" t="str">
            <v>Alicante/Alacant</v>
          </cell>
          <cell r="F533" t="str">
            <v>045</v>
          </cell>
          <cell r="G533" t="str">
            <v>6</v>
          </cell>
          <cell r="H533" t="str">
            <v>Bolulla</v>
          </cell>
        </row>
        <row r="534">
          <cell r="D534" t="str">
            <v>03</v>
          </cell>
          <cell r="E534" t="str">
            <v>Alicante/Alacant</v>
          </cell>
          <cell r="F534" t="str">
            <v>046</v>
          </cell>
          <cell r="G534" t="str">
            <v>9</v>
          </cell>
          <cell r="H534" t="str">
            <v>Busot</v>
          </cell>
        </row>
        <row r="535">
          <cell r="D535" t="str">
            <v>03</v>
          </cell>
          <cell r="E535" t="str">
            <v>Alicante/Alacant</v>
          </cell>
          <cell r="F535" t="str">
            <v>047</v>
          </cell>
          <cell r="G535" t="str">
            <v>5</v>
          </cell>
          <cell r="H535" t="str">
            <v>Calp</v>
          </cell>
        </row>
        <row r="536">
          <cell r="D536" t="str">
            <v>03</v>
          </cell>
          <cell r="E536" t="str">
            <v>Alicante/Alacant</v>
          </cell>
          <cell r="F536" t="str">
            <v>048</v>
          </cell>
          <cell r="G536" t="str">
            <v>1</v>
          </cell>
          <cell r="H536" t="str">
            <v>Callosa d'en Sarrià</v>
          </cell>
        </row>
        <row r="537">
          <cell r="D537" t="str">
            <v>03</v>
          </cell>
          <cell r="E537" t="str">
            <v>Alicante/Alacant</v>
          </cell>
          <cell r="F537" t="str">
            <v>049</v>
          </cell>
          <cell r="G537" t="str">
            <v>4</v>
          </cell>
          <cell r="H537" t="str">
            <v>Callosa de Segura</v>
          </cell>
        </row>
        <row r="538">
          <cell r="D538" t="str">
            <v>03</v>
          </cell>
          <cell r="E538" t="str">
            <v>Alicante/Alacant</v>
          </cell>
          <cell r="F538" t="str">
            <v>050</v>
          </cell>
          <cell r="G538" t="str">
            <v>7</v>
          </cell>
          <cell r="H538" t="str">
            <v>Campello, el</v>
          </cell>
        </row>
        <row r="539">
          <cell r="D539" t="str">
            <v>03</v>
          </cell>
          <cell r="E539" t="str">
            <v>Alicante/Alacant</v>
          </cell>
          <cell r="F539" t="str">
            <v>051</v>
          </cell>
          <cell r="G539" t="str">
            <v>4</v>
          </cell>
          <cell r="H539" t="str">
            <v>Camp de Mirra, el/Campo de Mirra</v>
          </cell>
        </row>
        <row r="540">
          <cell r="D540" t="str">
            <v>03</v>
          </cell>
          <cell r="E540" t="str">
            <v>Alicante/Alacant</v>
          </cell>
          <cell r="F540" t="str">
            <v>052</v>
          </cell>
          <cell r="G540" t="str">
            <v>9</v>
          </cell>
          <cell r="H540" t="str">
            <v>Cañada</v>
          </cell>
        </row>
        <row r="541">
          <cell r="D541" t="str">
            <v>03</v>
          </cell>
          <cell r="E541" t="str">
            <v>Alicante/Alacant</v>
          </cell>
          <cell r="F541" t="str">
            <v>053</v>
          </cell>
          <cell r="G541" t="str">
            <v>5</v>
          </cell>
          <cell r="H541" t="str">
            <v>Castalla</v>
          </cell>
        </row>
        <row r="542">
          <cell r="D542" t="str">
            <v>03</v>
          </cell>
          <cell r="E542" t="str">
            <v>Alicante/Alacant</v>
          </cell>
          <cell r="F542" t="str">
            <v>054</v>
          </cell>
          <cell r="G542" t="str">
            <v>0</v>
          </cell>
          <cell r="H542" t="str">
            <v>Castell de Castells</v>
          </cell>
        </row>
        <row r="543">
          <cell r="D543" t="str">
            <v>03</v>
          </cell>
          <cell r="E543" t="str">
            <v>Alicante/Alacant</v>
          </cell>
          <cell r="F543" t="str">
            <v>055</v>
          </cell>
          <cell r="G543" t="str">
            <v>3</v>
          </cell>
          <cell r="H543" t="str">
            <v>Catral</v>
          </cell>
        </row>
        <row r="544">
          <cell r="D544" t="str">
            <v>03</v>
          </cell>
          <cell r="E544" t="str">
            <v>Alicante/Alacant</v>
          </cell>
          <cell r="F544" t="str">
            <v>056</v>
          </cell>
          <cell r="G544" t="str">
            <v>6</v>
          </cell>
          <cell r="H544" t="str">
            <v>Cocentaina</v>
          </cell>
        </row>
        <row r="545">
          <cell r="D545" t="str">
            <v>03</v>
          </cell>
          <cell r="E545" t="str">
            <v>Alicante/Alacant</v>
          </cell>
          <cell r="F545" t="str">
            <v>057</v>
          </cell>
          <cell r="G545" t="str">
            <v>2</v>
          </cell>
          <cell r="H545" t="str">
            <v>Confrides</v>
          </cell>
        </row>
        <row r="546">
          <cell r="D546" t="str">
            <v>03</v>
          </cell>
          <cell r="E546" t="str">
            <v>Alicante/Alacant</v>
          </cell>
          <cell r="F546" t="str">
            <v>058</v>
          </cell>
          <cell r="G546" t="str">
            <v>8</v>
          </cell>
          <cell r="H546" t="str">
            <v>Cox</v>
          </cell>
        </row>
        <row r="547">
          <cell r="D547" t="str">
            <v>03</v>
          </cell>
          <cell r="E547" t="str">
            <v>Alicante/Alacant</v>
          </cell>
          <cell r="F547" t="str">
            <v>059</v>
          </cell>
          <cell r="G547" t="str">
            <v>1</v>
          </cell>
          <cell r="H547" t="str">
            <v>Crevillent</v>
          </cell>
        </row>
        <row r="548">
          <cell r="D548" t="str">
            <v>03</v>
          </cell>
          <cell r="E548" t="str">
            <v>Alicante/Alacant</v>
          </cell>
          <cell r="F548" t="str">
            <v>060</v>
          </cell>
          <cell r="G548" t="str">
            <v>5</v>
          </cell>
          <cell r="H548" t="str">
            <v>Quatretondeta</v>
          </cell>
        </row>
        <row r="549">
          <cell r="D549" t="str">
            <v>03</v>
          </cell>
          <cell r="E549" t="str">
            <v>Alicante/Alacant</v>
          </cell>
          <cell r="F549" t="str">
            <v>061</v>
          </cell>
          <cell r="G549" t="str">
            <v>2</v>
          </cell>
          <cell r="H549" t="str">
            <v>Daya Nueva</v>
          </cell>
        </row>
        <row r="550">
          <cell r="D550" t="str">
            <v>03</v>
          </cell>
          <cell r="E550" t="str">
            <v>Alicante/Alacant</v>
          </cell>
          <cell r="F550" t="str">
            <v>062</v>
          </cell>
          <cell r="G550" t="str">
            <v>7</v>
          </cell>
          <cell r="H550" t="str">
            <v>Daya Vieja</v>
          </cell>
        </row>
        <row r="551">
          <cell r="D551" t="str">
            <v>03</v>
          </cell>
          <cell r="E551" t="str">
            <v>Alicante/Alacant</v>
          </cell>
          <cell r="F551" t="str">
            <v>063</v>
          </cell>
          <cell r="G551" t="str">
            <v>3</v>
          </cell>
          <cell r="H551" t="str">
            <v>Dénia</v>
          </cell>
        </row>
        <row r="552">
          <cell r="D552" t="str">
            <v>03</v>
          </cell>
          <cell r="E552" t="str">
            <v>Alicante/Alacant</v>
          </cell>
          <cell r="F552" t="str">
            <v>064</v>
          </cell>
          <cell r="G552" t="str">
            <v>8</v>
          </cell>
          <cell r="H552" t="str">
            <v>Dolores</v>
          </cell>
        </row>
        <row r="553">
          <cell r="D553" t="str">
            <v>03</v>
          </cell>
          <cell r="E553" t="str">
            <v>Alicante/Alacant</v>
          </cell>
          <cell r="F553" t="str">
            <v>065</v>
          </cell>
          <cell r="G553" t="str">
            <v>1</v>
          </cell>
          <cell r="H553" t="str">
            <v>Elx/Elche</v>
          </cell>
        </row>
        <row r="554">
          <cell r="D554" t="str">
            <v>03</v>
          </cell>
          <cell r="E554" t="str">
            <v>Alicante/Alacant</v>
          </cell>
          <cell r="F554" t="str">
            <v>066</v>
          </cell>
          <cell r="G554" t="str">
            <v>4</v>
          </cell>
          <cell r="H554" t="str">
            <v>Elda</v>
          </cell>
        </row>
        <row r="555">
          <cell r="D555" t="str">
            <v>03</v>
          </cell>
          <cell r="E555" t="str">
            <v>Alicante/Alacant</v>
          </cell>
          <cell r="F555" t="str">
            <v>067</v>
          </cell>
          <cell r="G555" t="str">
            <v>0</v>
          </cell>
          <cell r="H555" t="str">
            <v>Fageca</v>
          </cell>
        </row>
        <row r="556">
          <cell r="D556" t="str">
            <v>03</v>
          </cell>
          <cell r="E556" t="str">
            <v>Alicante/Alacant</v>
          </cell>
          <cell r="F556" t="str">
            <v>068</v>
          </cell>
          <cell r="G556" t="str">
            <v>6</v>
          </cell>
          <cell r="H556" t="str">
            <v>Famorca</v>
          </cell>
        </row>
        <row r="557">
          <cell r="D557" t="str">
            <v>03</v>
          </cell>
          <cell r="E557" t="str">
            <v>Alicante/Alacant</v>
          </cell>
          <cell r="F557" t="str">
            <v>069</v>
          </cell>
          <cell r="G557" t="str">
            <v>9</v>
          </cell>
          <cell r="H557" t="str">
            <v>Finestrat</v>
          </cell>
        </row>
        <row r="558">
          <cell r="D558" t="str">
            <v>03</v>
          </cell>
          <cell r="E558" t="str">
            <v>Alicante/Alacant</v>
          </cell>
          <cell r="F558" t="str">
            <v>070</v>
          </cell>
          <cell r="G558" t="str">
            <v>3</v>
          </cell>
          <cell r="H558" t="str">
            <v>Formentera del Segura</v>
          </cell>
        </row>
        <row r="559">
          <cell r="D559" t="str">
            <v>03</v>
          </cell>
          <cell r="E559" t="str">
            <v>Alicante/Alacant</v>
          </cell>
          <cell r="F559" t="str">
            <v>071</v>
          </cell>
          <cell r="G559" t="str">
            <v>0</v>
          </cell>
          <cell r="H559" t="str">
            <v>Gata de Gorgos</v>
          </cell>
        </row>
        <row r="560">
          <cell r="D560" t="str">
            <v>03</v>
          </cell>
          <cell r="E560" t="str">
            <v>Alicante/Alacant</v>
          </cell>
          <cell r="F560" t="str">
            <v>072</v>
          </cell>
          <cell r="G560" t="str">
            <v>5</v>
          </cell>
          <cell r="H560" t="str">
            <v>Gaianes</v>
          </cell>
        </row>
        <row r="561">
          <cell r="D561" t="str">
            <v>03</v>
          </cell>
          <cell r="E561" t="str">
            <v>Alicante/Alacant</v>
          </cell>
          <cell r="F561" t="str">
            <v>073</v>
          </cell>
          <cell r="G561" t="str">
            <v>1</v>
          </cell>
          <cell r="H561" t="str">
            <v>Gorga</v>
          </cell>
        </row>
        <row r="562">
          <cell r="D562" t="str">
            <v>03</v>
          </cell>
          <cell r="E562" t="str">
            <v>Alicante/Alacant</v>
          </cell>
          <cell r="F562" t="str">
            <v>074</v>
          </cell>
          <cell r="G562" t="str">
            <v>6</v>
          </cell>
          <cell r="H562" t="str">
            <v>Granja de Rocamora</v>
          </cell>
        </row>
        <row r="563">
          <cell r="D563" t="str">
            <v>03</v>
          </cell>
          <cell r="E563" t="str">
            <v>Alicante/Alacant</v>
          </cell>
          <cell r="F563" t="str">
            <v>075</v>
          </cell>
          <cell r="G563" t="str">
            <v>9</v>
          </cell>
          <cell r="H563" t="str">
            <v>Castell de Guadalest, el</v>
          </cell>
        </row>
        <row r="564">
          <cell r="D564" t="str">
            <v>03</v>
          </cell>
          <cell r="E564" t="str">
            <v>Alicante/Alacant</v>
          </cell>
          <cell r="F564" t="str">
            <v>076</v>
          </cell>
          <cell r="G564" t="str">
            <v>2</v>
          </cell>
          <cell r="H564" t="str">
            <v>Guardamar del Segura</v>
          </cell>
        </row>
        <row r="565">
          <cell r="D565" t="str">
            <v>03</v>
          </cell>
          <cell r="E565" t="str">
            <v>Alicante/Alacant</v>
          </cell>
          <cell r="F565" t="str">
            <v>077</v>
          </cell>
          <cell r="G565" t="str">
            <v>8</v>
          </cell>
          <cell r="H565" t="str">
            <v>Fondó de les Neus, el/Hondón de las Nieves</v>
          </cell>
        </row>
        <row r="566">
          <cell r="D566" t="str">
            <v>03</v>
          </cell>
          <cell r="E566" t="str">
            <v>Alicante/Alacant</v>
          </cell>
          <cell r="F566" t="str">
            <v>078</v>
          </cell>
          <cell r="G566" t="str">
            <v>4</v>
          </cell>
          <cell r="H566" t="str">
            <v>Hondón de los Frailes</v>
          </cell>
        </row>
        <row r="567">
          <cell r="D567" t="str">
            <v>03</v>
          </cell>
          <cell r="E567" t="str">
            <v>Alicante/Alacant</v>
          </cell>
          <cell r="F567" t="str">
            <v>079</v>
          </cell>
          <cell r="G567" t="str">
            <v>7</v>
          </cell>
          <cell r="H567" t="str">
            <v>Ibi</v>
          </cell>
        </row>
        <row r="568">
          <cell r="D568" t="str">
            <v>03</v>
          </cell>
          <cell r="E568" t="str">
            <v>Alicante/Alacant</v>
          </cell>
          <cell r="F568" t="str">
            <v>080</v>
          </cell>
          <cell r="G568" t="str">
            <v>1</v>
          </cell>
          <cell r="H568" t="str">
            <v>Jacarilla</v>
          </cell>
        </row>
        <row r="569">
          <cell r="D569" t="str">
            <v>03</v>
          </cell>
          <cell r="E569" t="str">
            <v>Alicante/Alacant</v>
          </cell>
          <cell r="F569" t="str">
            <v>081</v>
          </cell>
          <cell r="G569" t="str">
            <v>8</v>
          </cell>
          <cell r="H569" t="str">
            <v>Xaló</v>
          </cell>
        </row>
        <row r="570">
          <cell r="D570" t="str">
            <v>03</v>
          </cell>
          <cell r="E570" t="str">
            <v>Alicante/Alacant</v>
          </cell>
          <cell r="F570" t="str">
            <v>082</v>
          </cell>
          <cell r="G570" t="str">
            <v>3</v>
          </cell>
          <cell r="H570" t="str">
            <v>Xàbia/Jávea</v>
          </cell>
        </row>
        <row r="571">
          <cell r="D571" t="str">
            <v>03</v>
          </cell>
          <cell r="E571" t="str">
            <v>Alicante/Alacant</v>
          </cell>
          <cell r="F571" t="str">
            <v>083</v>
          </cell>
          <cell r="G571" t="str">
            <v>9</v>
          </cell>
          <cell r="H571" t="str">
            <v>Xixona/Jijona</v>
          </cell>
        </row>
        <row r="572">
          <cell r="D572" t="str">
            <v>03</v>
          </cell>
          <cell r="E572" t="str">
            <v>Alicante/Alacant</v>
          </cell>
          <cell r="F572" t="str">
            <v>084</v>
          </cell>
          <cell r="G572" t="str">
            <v>4</v>
          </cell>
          <cell r="H572" t="str">
            <v>Orxa, l'/Lorcha</v>
          </cell>
        </row>
        <row r="573">
          <cell r="D573" t="str">
            <v>03</v>
          </cell>
          <cell r="E573" t="str">
            <v>Alicante/Alacant</v>
          </cell>
          <cell r="F573" t="str">
            <v>085</v>
          </cell>
          <cell r="G573" t="str">
            <v>7</v>
          </cell>
          <cell r="H573" t="str">
            <v>Llíber</v>
          </cell>
        </row>
        <row r="574">
          <cell r="D574" t="str">
            <v>03</v>
          </cell>
          <cell r="E574" t="str">
            <v>Alicante/Alacant</v>
          </cell>
          <cell r="F574" t="str">
            <v>086</v>
          </cell>
          <cell r="G574" t="str">
            <v>0</v>
          </cell>
          <cell r="H574" t="str">
            <v>Millena</v>
          </cell>
        </row>
        <row r="575">
          <cell r="D575" t="str">
            <v>03</v>
          </cell>
          <cell r="E575" t="str">
            <v>Alicante/Alacant</v>
          </cell>
          <cell r="F575" t="str">
            <v>088</v>
          </cell>
          <cell r="G575" t="str">
            <v>2</v>
          </cell>
          <cell r="H575" t="str">
            <v>Monforte del Cid</v>
          </cell>
        </row>
        <row r="576">
          <cell r="D576" t="str">
            <v>03</v>
          </cell>
          <cell r="E576" t="str">
            <v>Alicante/Alacant</v>
          </cell>
          <cell r="F576" t="str">
            <v>089</v>
          </cell>
          <cell r="G576" t="str">
            <v>5</v>
          </cell>
          <cell r="H576" t="str">
            <v>Monòver/Monóvar</v>
          </cell>
        </row>
        <row r="577">
          <cell r="D577" t="str">
            <v>03</v>
          </cell>
          <cell r="E577" t="str">
            <v>Alicante/Alacant</v>
          </cell>
          <cell r="F577" t="str">
            <v>090</v>
          </cell>
          <cell r="G577" t="str">
            <v>9</v>
          </cell>
          <cell r="H577" t="str">
            <v>Mutxamel</v>
          </cell>
        </row>
        <row r="578">
          <cell r="D578" t="str">
            <v>03</v>
          </cell>
          <cell r="E578" t="str">
            <v>Alicante/Alacant</v>
          </cell>
          <cell r="F578" t="str">
            <v>091</v>
          </cell>
          <cell r="G578" t="str">
            <v>6</v>
          </cell>
          <cell r="H578" t="str">
            <v>Murla</v>
          </cell>
        </row>
        <row r="579">
          <cell r="D579" t="str">
            <v>03</v>
          </cell>
          <cell r="E579" t="str">
            <v>Alicante/Alacant</v>
          </cell>
          <cell r="F579" t="str">
            <v>092</v>
          </cell>
          <cell r="G579" t="str">
            <v>1</v>
          </cell>
          <cell r="H579" t="str">
            <v>Muro de Alcoy</v>
          </cell>
        </row>
        <row r="580">
          <cell r="D580" t="str">
            <v>03</v>
          </cell>
          <cell r="E580" t="str">
            <v>Alicante/Alacant</v>
          </cell>
          <cell r="F580" t="str">
            <v>093</v>
          </cell>
          <cell r="G580" t="str">
            <v>7</v>
          </cell>
          <cell r="H580" t="str">
            <v>Novelda</v>
          </cell>
        </row>
        <row r="581">
          <cell r="D581" t="str">
            <v>03</v>
          </cell>
          <cell r="E581" t="str">
            <v>Alicante/Alacant</v>
          </cell>
          <cell r="F581" t="str">
            <v>094</v>
          </cell>
          <cell r="G581" t="str">
            <v>2</v>
          </cell>
          <cell r="H581" t="str">
            <v>Nucia, la</v>
          </cell>
        </row>
        <row r="582">
          <cell r="D582" t="str">
            <v>03</v>
          </cell>
          <cell r="E582" t="str">
            <v>Alicante/Alacant</v>
          </cell>
          <cell r="F582" t="str">
            <v>095</v>
          </cell>
          <cell r="G582" t="str">
            <v>5</v>
          </cell>
          <cell r="H582" t="str">
            <v>Ondara</v>
          </cell>
        </row>
        <row r="583">
          <cell r="D583" t="str">
            <v>03</v>
          </cell>
          <cell r="E583" t="str">
            <v>Alicante/Alacant</v>
          </cell>
          <cell r="F583" t="str">
            <v>096</v>
          </cell>
          <cell r="G583" t="str">
            <v>8</v>
          </cell>
          <cell r="H583" t="str">
            <v>Onil</v>
          </cell>
        </row>
        <row r="584">
          <cell r="D584" t="str">
            <v>03</v>
          </cell>
          <cell r="E584" t="str">
            <v>Alicante/Alacant</v>
          </cell>
          <cell r="F584" t="str">
            <v>097</v>
          </cell>
          <cell r="G584" t="str">
            <v>4</v>
          </cell>
          <cell r="H584" t="str">
            <v>Orba</v>
          </cell>
        </row>
        <row r="585">
          <cell r="D585" t="str">
            <v>03</v>
          </cell>
          <cell r="E585" t="str">
            <v>Alicante/Alacant</v>
          </cell>
          <cell r="F585" t="str">
            <v>098</v>
          </cell>
          <cell r="G585" t="str">
            <v>0</v>
          </cell>
          <cell r="H585" t="str">
            <v>Orxeta</v>
          </cell>
        </row>
        <row r="586">
          <cell r="D586" t="str">
            <v>03</v>
          </cell>
          <cell r="E586" t="str">
            <v>Alicante/Alacant</v>
          </cell>
          <cell r="F586" t="str">
            <v>099</v>
          </cell>
          <cell r="G586" t="str">
            <v>3</v>
          </cell>
          <cell r="H586" t="str">
            <v>Orihuela</v>
          </cell>
        </row>
        <row r="587">
          <cell r="D587" t="str">
            <v>03</v>
          </cell>
          <cell r="E587" t="str">
            <v>Alicante/Alacant</v>
          </cell>
          <cell r="F587" t="str">
            <v>100</v>
          </cell>
          <cell r="G587" t="str">
            <v>7</v>
          </cell>
          <cell r="H587" t="str">
            <v>Parcent</v>
          </cell>
        </row>
        <row r="588">
          <cell r="D588" t="str">
            <v>03</v>
          </cell>
          <cell r="E588" t="str">
            <v>Alicante/Alacant</v>
          </cell>
          <cell r="F588" t="str">
            <v>101</v>
          </cell>
          <cell r="G588" t="str">
            <v>4</v>
          </cell>
          <cell r="H588" t="str">
            <v>Pedreguer</v>
          </cell>
        </row>
        <row r="589">
          <cell r="D589" t="str">
            <v>03</v>
          </cell>
          <cell r="E589" t="str">
            <v>Alicante/Alacant</v>
          </cell>
          <cell r="F589" t="str">
            <v>102</v>
          </cell>
          <cell r="G589" t="str">
            <v>9</v>
          </cell>
          <cell r="H589" t="str">
            <v>Pego</v>
          </cell>
        </row>
        <row r="590">
          <cell r="D590" t="str">
            <v>03</v>
          </cell>
          <cell r="E590" t="str">
            <v>Alicante/Alacant</v>
          </cell>
          <cell r="F590" t="str">
            <v>103</v>
          </cell>
          <cell r="G590" t="str">
            <v>5</v>
          </cell>
          <cell r="H590" t="str">
            <v>Penàguila</v>
          </cell>
        </row>
        <row r="591">
          <cell r="D591" t="str">
            <v>03</v>
          </cell>
          <cell r="E591" t="str">
            <v>Alicante/Alacant</v>
          </cell>
          <cell r="F591" t="str">
            <v>104</v>
          </cell>
          <cell r="G591" t="str">
            <v>0</v>
          </cell>
          <cell r="H591" t="str">
            <v>Petrer</v>
          </cell>
        </row>
        <row r="592">
          <cell r="D592" t="str">
            <v>03</v>
          </cell>
          <cell r="E592" t="str">
            <v>Alicante/Alacant</v>
          </cell>
          <cell r="F592" t="str">
            <v>105</v>
          </cell>
          <cell r="G592" t="str">
            <v>3</v>
          </cell>
          <cell r="H592" t="str">
            <v>Pinós, el/Pinoso</v>
          </cell>
        </row>
        <row r="593">
          <cell r="D593" t="str">
            <v>03</v>
          </cell>
          <cell r="E593" t="str">
            <v>Alicante/Alacant</v>
          </cell>
          <cell r="F593" t="str">
            <v>106</v>
          </cell>
          <cell r="G593" t="str">
            <v>6</v>
          </cell>
          <cell r="H593" t="str">
            <v>Planes</v>
          </cell>
        </row>
        <row r="594">
          <cell r="D594" t="str">
            <v>03</v>
          </cell>
          <cell r="E594" t="str">
            <v>Alicante/Alacant</v>
          </cell>
          <cell r="F594" t="str">
            <v>107</v>
          </cell>
          <cell r="G594" t="str">
            <v>2</v>
          </cell>
          <cell r="H594" t="str">
            <v>Polop</v>
          </cell>
        </row>
        <row r="595">
          <cell r="D595" t="str">
            <v>03</v>
          </cell>
          <cell r="E595" t="str">
            <v>Alicante/Alacant</v>
          </cell>
          <cell r="F595" t="str">
            <v>109</v>
          </cell>
          <cell r="G595" t="str">
            <v>1</v>
          </cell>
          <cell r="H595" t="str">
            <v>Rafal</v>
          </cell>
        </row>
        <row r="596">
          <cell r="D596" t="str">
            <v>03</v>
          </cell>
          <cell r="E596" t="str">
            <v>Alicante/Alacant</v>
          </cell>
          <cell r="F596" t="str">
            <v>110</v>
          </cell>
          <cell r="G596" t="str">
            <v>5</v>
          </cell>
          <cell r="H596" t="str">
            <v>Ràfol d'Almúnia, el</v>
          </cell>
        </row>
        <row r="597">
          <cell r="D597" t="str">
            <v>03</v>
          </cell>
          <cell r="E597" t="str">
            <v>Alicante/Alacant</v>
          </cell>
          <cell r="F597" t="str">
            <v>111</v>
          </cell>
          <cell r="G597" t="str">
            <v>2</v>
          </cell>
          <cell r="H597" t="str">
            <v>Redován</v>
          </cell>
        </row>
        <row r="598">
          <cell r="D598" t="str">
            <v>03</v>
          </cell>
          <cell r="E598" t="str">
            <v>Alicante/Alacant</v>
          </cell>
          <cell r="F598" t="str">
            <v>112</v>
          </cell>
          <cell r="G598" t="str">
            <v>7</v>
          </cell>
          <cell r="H598" t="str">
            <v>Relleu</v>
          </cell>
        </row>
        <row r="599">
          <cell r="D599" t="str">
            <v>03</v>
          </cell>
          <cell r="E599" t="str">
            <v>Alicante/Alacant</v>
          </cell>
          <cell r="F599" t="str">
            <v>113</v>
          </cell>
          <cell r="G599" t="str">
            <v>3</v>
          </cell>
          <cell r="H599" t="str">
            <v>Rojales</v>
          </cell>
        </row>
        <row r="600">
          <cell r="D600" t="str">
            <v>03</v>
          </cell>
          <cell r="E600" t="str">
            <v>Alicante/Alacant</v>
          </cell>
          <cell r="F600" t="str">
            <v>114</v>
          </cell>
          <cell r="G600" t="str">
            <v>8</v>
          </cell>
          <cell r="H600" t="str">
            <v>Romana, la</v>
          </cell>
        </row>
        <row r="601">
          <cell r="D601" t="str">
            <v>03</v>
          </cell>
          <cell r="E601" t="str">
            <v>Alicante/Alacant</v>
          </cell>
          <cell r="F601" t="str">
            <v>115</v>
          </cell>
          <cell r="G601" t="str">
            <v>1</v>
          </cell>
          <cell r="H601" t="str">
            <v>Sagra</v>
          </cell>
        </row>
        <row r="602">
          <cell r="D602" t="str">
            <v>03</v>
          </cell>
          <cell r="E602" t="str">
            <v>Alicante/Alacant</v>
          </cell>
          <cell r="F602" t="str">
            <v>116</v>
          </cell>
          <cell r="G602" t="str">
            <v>4</v>
          </cell>
          <cell r="H602" t="str">
            <v>Salinas</v>
          </cell>
        </row>
        <row r="603">
          <cell r="D603" t="str">
            <v>03</v>
          </cell>
          <cell r="E603" t="str">
            <v>Alicante/Alacant</v>
          </cell>
          <cell r="F603" t="str">
            <v>117</v>
          </cell>
          <cell r="G603" t="str">
            <v>0</v>
          </cell>
          <cell r="H603" t="str">
            <v>Sanet y Negrals</v>
          </cell>
        </row>
        <row r="604">
          <cell r="D604" t="str">
            <v>03</v>
          </cell>
          <cell r="E604" t="str">
            <v>Alicante/Alacant</v>
          </cell>
          <cell r="F604" t="str">
            <v>118</v>
          </cell>
          <cell r="G604" t="str">
            <v>6</v>
          </cell>
          <cell r="H604" t="str">
            <v>San Fulgencio</v>
          </cell>
        </row>
        <row r="605">
          <cell r="D605" t="str">
            <v>03</v>
          </cell>
          <cell r="E605" t="str">
            <v>Alicante/Alacant</v>
          </cell>
          <cell r="F605" t="str">
            <v>119</v>
          </cell>
          <cell r="G605" t="str">
            <v>9</v>
          </cell>
          <cell r="H605" t="str">
            <v>Sant Joan d'Alacant</v>
          </cell>
        </row>
        <row r="606">
          <cell r="D606" t="str">
            <v>03</v>
          </cell>
          <cell r="E606" t="str">
            <v>Alicante/Alacant</v>
          </cell>
          <cell r="F606" t="str">
            <v>120</v>
          </cell>
          <cell r="G606" t="str">
            <v>3</v>
          </cell>
          <cell r="H606" t="str">
            <v>San Miguel de Salinas</v>
          </cell>
        </row>
        <row r="607">
          <cell r="D607" t="str">
            <v>03</v>
          </cell>
          <cell r="E607" t="str">
            <v>Alicante/Alacant</v>
          </cell>
          <cell r="F607" t="str">
            <v>121</v>
          </cell>
          <cell r="G607" t="str">
            <v>0</v>
          </cell>
          <cell r="H607" t="str">
            <v>Santa Pola</v>
          </cell>
        </row>
        <row r="608">
          <cell r="D608" t="str">
            <v>03</v>
          </cell>
          <cell r="E608" t="str">
            <v>Alicante/Alacant</v>
          </cell>
          <cell r="F608" t="str">
            <v>122</v>
          </cell>
          <cell r="G608" t="str">
            <v>5</v>
          </cell>
          <cell r="H608" t="str">
            <v>Sant Vicent del Raspeig/San Vicente del Raspeig</v>
          </cell>
        </row>
        <row r="609">
          <cell r="D609" t="str">
            <v>03</v>
          </cell>
          <cell r="E609" t="str">
            <v>Alicante/Alacant</v>
          </cell>
          <cell r="F609" t="str">
            <v>123</v>
          </cell>
          <cell r="G609" t="str">
            <v>1</v>
          </cell>
          <cell r="H609" t="str">
            <v>Sax</v>
          </cell>
        </row>
        <row r="610">
          <cell r="D610" t="str">
            <v>03</v>
          </cell>
          <cell r="E610" t="str">
            <v>Alicante/Alacant</v>
          </cell>
          <cell r="F610" t="str">
            <v>124</v>
          </cell>
          <cell r="G610" t="str">
            <v>6</v>
          </cell>
          <cell r="H610" t="str">
            <v>Sella</v>
          </cell>
        </row>
        <row r="611">
          <cell r="D611" t="str">
            <v>03</v>
          </cell>
          <cell r="E611" t="str">
            <v>Alicante/Alacant</v>
          </cell>
          <cell r="F611" t="str">
            <v>125</v>
          </cell>
          <cell r="G611" t="str">
            <v>9</v>
          </cell>
          <cell r="H611" t="str">
            <v>Senija</v>
          </cell>
        </row>
        <row r="612">
          <cell r="D612" t="str">
            <v>03</v>
          </cell>
          <cell r="E612" t="str">
            <v>Alicante/Alacant</v>
          </cell>
          <cell r="F612" t="str">
            <v>127</v>
          </cell>
          <cell r="G612" t="str">
            <v>8</v>
          </cell>
          <cell r="H612" t="str">
            <v>Tàrbena</v>
          </cell>
        </row>
        <row r="613">
          <cell r="D613" t="str">
            <v>03</v>
          </cell>
          <cell r="E613" t="str">
            <v>Alicante/Alacant</v>
          </cell>
          <cell r="F613" t="str">
            <v>128</v>
          </cell>
          <cell r="G613" t="str">
            <v>4</v>
          </cell>
          <cell r="H613" t="str">
            <v>Teulada</v>
          </cell>
        </row>
        <row r="614">
          <cell r="D614" t="str">
            <v>03</v>
          </cell>
          <cell r="E614" t="str">
            <v>Alicante/Alacant</v>
          </cell>
          <cell r="F614" t="str">
            <v>129</v>
          </cell>
          <cell r="G614" t="str">
            <v>7</v>
          </cell>
          <cell r="H614" t="str">
            <v>Tibi</v>
          </cell>
        </row>
        <row r="615">
          <cell r="D615" t="str">
            <v>03</v>
          </cell>
          <cell r="E615" t="str">
            <v>Alicante/Alacant</v>
          </cell>
          <cell r="F615" t="str">
            <v>130</v>
          </cell>
          <cell r="G615" t="str">
            <v>1</v>
          </cell>
          <cell r="H615" t="str">
            <v>Tollos</v>
          </cell>
        </row>
        <row r="616">
          <cell r="D616" t="str">
            <v>03</v>
          </cell>
          <cell r="E616" t="str">
            <v>Alicante/Alacant</v>
          </cell>
          <cell r="F616" t="str">
            <v>131</v>
          </cell>
          <cell r="G616" t="str">
            <v>8</v>
          </cell>
          <cell r="H616" t="str">
            <v>Tormos</v>
          </cell>
        </row>
        <row r="617">
          <cell r="D617" t="str">
            <v>03</v>
          </cell>
          <cell r="E617" t="str">
            <v>Alicante/Alacant</v>
          </cell>
          <cell r="F617" t="str">
            <v>132</v>
          </cell>
          <cell r="G617" t="str">
            <v>3</v>
          </cell>
          <cell r="H617" t="str">
            <v>Torre de les Maçanes, la/Torremanzanas</v>
          </cell>
        </row>
        <row r="618">
          <cell r="D618" t="str">
            <v>03</v>
          </cell>
          <cell r="E618" t="str">
            <v>Alicante/Alacant</v>
          </cell>
          <cell r="F618" t="str">
            <v>133</v>
          </cell>
          <cell r="G618" t="str">
            <v>9</v>
          </cell>
          <cell r="H618" t="str">
            <v>Torrevieja</v>
          </cell>
        </row>
        <row r="619">
          <cell r="D619" t="str">
            <v>03</v>
          </cell>
          <cell r="E619" t="str">
            <v>Alicante/Alacant</v>
          </cell>
          <cell r="F619" t="str">
            <v>134</v>
          </cell>
          <cell r="G619" t="str">
            <v>4</v>
          </cell>
          <cell r="H619" t="str">
            <v>Vall d'Alcalà, la</v>
          </cell>
        </row>
        <row r="620">
          <cell r="D620" t="str">
            <v>03</v>
          </cell>
          <cell r="E620" t="str">
            <v>Alicante/Alacant</v>
          </cell>
          <cell r="F620" t="str">
            <v>135</v>
          </cell>
          <cell r="G620" t="str">
            <v>7</v>
          </cell>
          <cell r="H620" t="str">
            <v>Vall d'Ebo, la</v>
          </cell>
        </row>
        <row r="621">
          <cell r="D621" t="str">
            <v>03</v>
          </cell>
          <cell r="E621" t="str">
            <v>Alicante/Alacant</v>
          </cell>
          <cell r="F621" t="str">
            <v>136</v>
          </cell>
          <cell r="G621" t="str">
            <v>0</v>
          </cell>
          <cell r="H621" t="str">
            <v>Vall de Gallinera, la</v>
          </cell>
        </row>
        <row r="622">
          <cell r="D622" t="str">
            <v>03</v>
          </cell>
          <cell r="E622" t="str">
            <v>Alicante/Alacant</v>
          </cell>
          <cell r="F622" t="str">
            <v>137</v>
          </cell>
          <cell r="G622" t="str">
            <v>6</v>
          </cell>
          <cell r="H622" t="str">
            <v>Vall de Laguar, la</v>
          </cell>
        </row>
        <row r="623">
          <cell r="D623" t="str">
            <v>03</v>
          </cell>
          <cell r="E623" t="str">
            <v>Alicante/Alacant</v>
          </cell>
          <cell r="F623" t="str">
            <v>138</v>
          </cell>
          <cell r="G623" t="str">
            <v>2</v>
          </cell>
          <cell r="H623" t="str">
            <v>Verger, el</v>
          </cell>
        </row>
        <row r="624">
          <cell r="D624" t="str">
            <v>03</v>
          </cell>
          <cell r="E624" t="str">
            <v>Alicante/Alacant</v>
          </cell>
          <cell r="F624" t="str">
            <v>139</v>
          </cell>
          <cell r="G624" t="str">
            <v>5</v>
          </cell>
          <cell r="H624" t="str">
            <v>Vila Joiosa, la/Villajoyosa</v>
          </cell>
        </row>
        <row r="625">
          <cell r="D625" t="str">
            <v>03</v>
          </cell>
          <cell r="E625" t="str">
            <v>Alicante/Alacant</v>
          </cell>
          <cell r="F625" t="str">
            <v>140</v>
          </cell>
          <cell r="G625" t="str">
            <v>9</v>
          </cell>
          <cell r="H625" t="str">
            <v>Villena</v>
          </cell>
        </row>
        <row r="626">
          <cell r="D626" t="str">
            <v>03</v>
          </cell>
          <cell r="E626" t="str">
            <v>Alicante/Alacant</v>
          </cell>
          <cell r="F626" t="str">
            <v>901</v>
          </cell>
          <cell r="G626" t="str">
            <v>6</v>
          </cell>
          <cell r="H626" t="str">
            <v>Poblets, els</v>
          </cell>
        </row>
        <row r="627">
          <cell r="D627" t="str">
            <v>03</v>
          </cell>
          <cell r="E627" t="str">
            <v>Alicante/Alacant</v>
          </cell>
          <cell r="F627" t="str">
            <v>902</v>
          </cell>
          <cell r="G627" t="str">
            <v>1</v>
          </cell>
          <cell r="H627" t="str">
            <v>Pilar de la Horadada</v>
          </cell>
        </row>
        <row r="628">
          <cell r="D628" t="str">
            <v>03</v>
          </cell>
          <cell r="E628" t="str">
            <v>Alicante/Alacant</v>
          </cell>
          <cell r="F628" t="str">
            <v>903</v>
          </cell>
          <cell r="G628" t="str">
            <v>7</v>
          </cell>
          <cell r="H628" t="str">
            <v>Montesinos, Los</v>
          </cell>
        </row>
        <row r="629">
          <cell r="D629" t="str">
            <v>03</v>
          </cell>
          <cell r="E629" t="str">
            <v>Alicante/Alacant</v>
          </cell>
          <cell r="F629" t="str">
            <v>904</v>
          </cell>
          <cell r="G629" t="str">
            <v>2</v>
          </cell>
          <cell r="H629" t="str">
            <v>San Isidro</v>
          </cell>
        </row>
        <row r="630">
          <cell r="D630" t="str">
            <v>04</v>
          </cell>
          <cell r="E630" t="str">
            <v>Almería</v>
          </cell>
          <cell r="F630" t="str">
            <v>001</v>
          </cell>
          <cell r="G630" t="str">
            <v>0</v>
          </cell>
          <cell r="H630" t="str">
            <v>Abla</v>
          </cell>
        </row>
        <row r="631">
          <cell r="D631" t="str">
            <v>04</v>
          </cell>
          <cell r="E631" t="str">
            <v>Almería</v>
          </cell>
          <cell r="F631" t="str">
            <v>002</v>
          </cell>
          <cell r="G631" t="str">
            <v>5</v>
          </cell>
          <cell r="H631" t="str">
            <v>Abrucena</v>
          </cell>
        </row>
        <row r="632">
          <cell r="D632" t="str">
            <v>04</v>
          </cell>
          <cell r="E632" t="str">
            <v>Almería</v>
          </cell>
          <cell r="F632" t="str">
            <v>003</v>
          </cell>
          <cell r="G632" t="str">
            <v>1</v>
          </cell>
          <cell r="H632" t="str">
            <v>Adra</v>
          </cell>
        </row>
        <row r="633">
          <cell r="D633" t="str">
            <v>04</v>
          </cell>
          <cell r="E633" t="str">
            <v>Almería</v>
          </cell>
          <cell r="F633" t="str">
            <v>004</v>
          </cell>
          <cell r="G633" t="str">
            <v>6</v>
          </cell>
          <cell r="H633" t="str">
            <v>Albanchez</v>
          </cell>
        </row>
        <row r="634">
          <cell r="D634" t="str">
            <v>04</v>
          </cell>
          <cell r="E634" t="str">
            <v>Almería</v>
          </cell>
          <cell r="F634" t="str">
            <v>005</v>
          </cell>
          <cell r="G634" t="str">
            <v>9</v>
          </cell>
          <cell r="H634" t="str">
            <v>Alboloduy</v>
          </cell>
        </row>
        <row r="635">
          <cell r="D635" t="str">
            <v>04</v>
          </cell>
          <cell r="E635" t="str">
            <v>Almería</v>
          </cell>
          <cell r="F635" t="str">
            <v>006</v>
          </cell>
          <cell r="G635" t="str">
            <v>2</v>
          </cell>
          <cell r="H635" t="str">
            <v>Albox</v>
          </cell>
        </row>
        <row r="636">
          <cell r="D636" t="str">
            <v>04</v>
          </cell>
          <cell r="E636" t="str">
            <v>Almería</v>
          </cell>
          <cell r="F636" t="str">
            <v>007</v>
          </cell>
          <cell r="G636" t="str">
            <v>8</v>
          </cell>
          <cell r="H636" t="str">
            <v>Alcolea</v>
          </cell>
        </row>
        <row r="637">
          <cell r="D637" t="str">
            <v>04</v>
          </cell>
          <cell r="E637" t="str">
            <v>Almería</v>
          </cell>
          <cell r="F637" t="str">
            <v>008</v>
          </cell>
          <cell r="G637" t="str">
            <v>4</v>
          </cell>
          <cell r="H637" t="str">
            <v>Alcóntar</v>
          </cell>
        </row>
        <row r="638">
          <cell r="D638" t="str">
            <v>04</v>
          </cell>
          <cell r="E638" t="str">
            <v>Almería</v>
          </cell>
          <cell r="F638" t="str">
            <v>009</v>
          </cell>
          <cell r="G638" t="str">
            <v>7</v>
          </cell>
          <cell r="H638" t="str">
            <v>Alcudia de Monteagud</v>
          </cell>
        </row>
        <row r="639">
          <cell r="D639" t="str">
            <v>04</v>
          </cell>
          <cell r="E639" t="str">
            <v>Almería</v>
          </cell>
          <cell r="F639" t="str">
            <v>010</v>
          </cell>
          <cell r="G639" t="str">
            <v>1</v>
          </cell>
          <cell r="H639" t="str">
            <v>Alhabia</v>
          </cell>
        </row>
        <row r="640">
          <cell r="D640" t="str">
            <v>04</v>
          </cell>
          <cell r="E640" t="str">
            <v>Almería</v>
          </cell>
          <cell r="F640" t="str">
            <v>011</v>
          </cell>
          <cell r="G640" t="str">
            <v>8</v>
          </cell>
          <cell r="H640" t="str">
            <v>Alhama de Almería</v>
          </cell>
        </row>
        <row r="641">
          <cell r="D641" t="str">
            <v>04</v>
          </cell>
          <cell r="E641" t="str">
            <v>Almería</v>
          </cell>
          <cell r="F641" t="str">
            <v>012</v>
          </cell>
          <cell r="G641" t="str">
            <v>3</v>
          </cell>
          <cell r="H641" t="str">
            <v>Alicún</v>
          </cell>
        </row>
        <row r="642">
          <cell r="D642" t="str">
            <v>04</v>
          </cell>
          <cell r="E642" t="str">
            <v>Almería</v>
          </cell>
          <cell r="F642" t="str">
            <v>013</v>
          </cell>
          <cell r="G642" t="str">
            <v>9</v>
          </cell>
          <cell r="H642" t="str">
            <v>Almería</v>
          </cell>
        </row>
        <row r="643">
          <cell r="D643" t="str">
            <v>04</v>
          </cell>
          <cell r="E643" t="str">
            <v>Almería</v>
          </cell>
          <cell r="F643" t="str">
            <v>014</v>
          </cell>
          <cell r="G643" t="str">
            <v>4</v>
          </cell>
          <cell r="H643" t="str">
            <v>Almócita</v>
          </cell>
        </row>
        <row r="644">
          <cell r="D644" t="str">
            <v>04</v>
          </cell>
          <cell r="E644" t="str">
            <v>Almería</v>
          </cell>
          <cell r="F644" t="str">
            <v>015</v>
          </cell>
          <cell r="G644" t="str">
            <v>7</v>
          </cell>
          <cell r="H644" t="str">
            <v>Alsodux</v>
          </cell>
        </row>
        <row r="645">
          <cell r="D645" t="str">
            <v>04</v>
          </cell>
          <cell r="E645" t="str">
            <v>Almería</v>
          </cell>
          <cell r="F645" t="str">
            <v>016</v>
          </cell>
          <cell r="G645" t="str">
            <v>0</v>
          </cell>
          <cell r="H645" t="str">
            <v>Antas</v>
          </cell>
        </row>
        <row r="646">
          <cell r="D646" t="str">
            <v>04</v>
          </cell>
          <cell r="E646" t="str">
            <v>Almería</v>
          </cell>
          <cell r="F646" t="str">
            <v>017</v>
          </cell>
          <cell r="G646" t="str">
            <v>6</v>
          </cell>
          <cell r="H646" t="str">
            <v>Arboleas</v>
          </cell>
        </row>
        <row r="647">
          <cell r="D647" t="str">
            <v>04</v>
          </cell>
          <cell r="E647" t="str">
            <v>Almería</v>
          </cell>
          <cell r="F647" t="str">
            <v>018</v>
          </cell>
          <cell r="G647" t="str">
            <v>2</v>
          </cell>
          <cell r="H647" t="str">
            <v>Armuña de Almanzora</v>
          </cell>
        </row>
        <row r="648">
          <cell r="D648" t="str">
            <v>04</v>
          </cell>
          <cell r="E648" t="str">
            <v>Almería</v>
          </cell>
          <cell r="F648" t="str">
            <v>019</v>
          </cell>
          <cell r="G648" t="str">
            <v>5</v>
          </cell>
          <cell r="H648" t="str">
            <v>Bacares</v>
          </cell>
        </row>
        <row r="649">
          <cell r="D649" t="str">
            <v>04</v>
          </cell>
          <cell r="E649" t="str">
            <v>Almería</v>
          </cell>
          <cell r="F649" t="str">
            <v>020</v>
          </cell>
          <cell r="G649" t="str">
            <v>9</v>
          </cell>
          <cell r="H649" t="str">
            <v>Bayárcal</v>
          </cell>
        </row>
        <row r="650">
          <cell r="D650" t="str">
            <v>04</v>
          </cell>
          <cell r="E650" t="str">
            <v>Almería</v>
          </cell>
          <cell r="F650" t="str">
            <v>021</v>
          </cell>
          <cell r="G650" t="str">
            <v>6</v>
          </cell>
          <cell r="H650" t="str">
            <v>Bayarque</v>
          </cell>
        </row>
        <row r="651">
          <cell r="D651" t="str">
            <v>04</v>
          </cell>
          <cell r="E651" t="str">
            <v>Almería</v>
          </cell>
          <cell r="F651" t="str">
            <v>022</v>
          </cell>
          <cell r="G651" t="str">
            <v>1</v>
          </cell>
          <cell r="H651" t="str">
            <v>Bédar</v>
          </cell>
        </row>
        <row r="652">
          <cell r="D652" t="str">
            <v>04</v>
          </cell>
          <cell r="E652" t="str">
            <v>Almería</v>
          </cell>
          <cell r="F652" t="str">
            <v>023</v>
          </cell>
          <cell r="G652" t="str">
            <v>7</v>
          </cell>
          <cell r="H652" t="str">
            <v>Beires</v>
          </cell>
        </row>
        <row r="653">
          <cell r="D653" t="str">
            <v>04</v>
          </cell>
          <cell r="E653" t="str">
            <v>Almería</v>
          </cell>
          <cell r="F653" t="str">
            <v>024</v>
          </cell>
          <cell r="G653" t="str">
            <v>2</v>
          </cell>
          <cell r="H653" t="str">
            <v>Benahadux</v>
          </cell>
        </row>
        <row r="654">
          <cell r="D654" t="str">
            <v>04</v>
          </cell>
          <cell r="E654" t="str">
            <v>Almería</v>
          </cell>
          <cell r="F654" t="str">
            <v>026</v>
          </cell>
          <cell r="G654" t="str">
            <v>8</v>
          </cell>
          <cell r="H654" t="str">
            <v>Benitagla</v>
          </cell>
        </row>
        <row r="655">
          <cell r="D655" t="str">
            <v>04</v>
          </cell>
          <cell r="E655" t="str">
            <v>Almería</v>
          </cell>
          <cell r="F655" t="str">
            <v>027</v>
          </cell>
          <cell r="G655" t="str">
            <v>4</v>
          </cell>
          <cell r="H655" t="str">
            <v>Benizalón</v>
          </cell>
        </row>
        <row r="656">
          <cell r="D656" t="str">
            <v>04</v>
          </cell>
          <cell r="E656" t="str">
            <v>Almería</v>
          </cell>
          <cell r="F656" t="str">
            <v>028</v>
          </cell>
          <cell r="G656" t="str">
            <v>0</v>
          </cell>
          <cell r="H656" t="str">
            <v>Bentarique</v>
          </cell>
        </row>
        <row r="657">
          <cell r="D657" t="str">
            <v>04</v>
          </cell>
          <cell r="E657" t="str">
            <v>Almería</v>
          </cell>
          <cell r="F657" t="str">
            <v>029</v>
          </cell>
          <cell r="G657" t="str">
            <v>3</v>
          </cell>
          <cell r="H657" t="str">
            <v>Berja</v>
          </cell>
        </row>
        <row r="658">
          <cell r="D658" t="str">
            <v>04</v>
          </cell>
          <cell r="E658" t="str">
            <v>Almería</v>
          </cell>
          <cell r="F658" t="str">
            <v>030</v>
          </cell>
          <cell r="G658" t="str">
            <v>7</v>
          </cell>
          <cell r="H658" t="str">
            <v>Canjáyar</v>
          </cell>
        </row>
        <row r="659">
          <cell r="D659" t="str">
            <v>04</v>
          </cell>
          <cell r="E659" t="str">
            <v>Almería</v>
          </cell>
          <cell r="F659" t="str">
            <v>031</v>
          </cell>
          <cell r="G659" t="str">
            <v>4</v>
          </cell>
          <cell r="H659" t="str">
            <v>Cantoria</v>
          </cell>
        </row>
        <row r="660">
          <cell r="D660" t="str">
            <v>04</v>
          </cell>
          <cell r="E660" t="str">
            <v>Almería</v>
          </cell>
          <cell r="F660" t="str">
            <v>033</v>
          </cell>
          <cell r="G660" t="str">
            <v>5</v>
          </cell>
          <cell r="H660" t="str">
            <v>Castro de Filabres</v>
          </cell>
        </row>
        <row r="661">
          <cell r="D661" t="str">
            <v>04</v>
          </cell>
          <cell r="E661" t="str">
            <v>Almería</v>
          </cell>
          <cell r="F661" t="str">
            <v>034</v>
          </cell>
          <cell r="G661" t="str">
            <v>0</v>
          </cell>
          <cell r="H661" t="str">
            <v>Cóbdar</v>
          </cell>
        </row>
        <row r="662">
          <cell r="D662" t="str">
            <v>04</v>
          </cell>
          <cell r="E662" t="str">
            <v>Almería</v>
          </cell>
          <cell r="F662" t="str">
            <v>035</v>
          </cell>
          <cell r="G662" t="str">
            <v>3</v>
          </cell>
          <cell r="H662" t="str">
            <v>Cuevas del Almanzora</v>
          </cell>
        </row>
        <row r="663">
          <cell r="D663" t="str">
            <v>04</v>
          </cell>
          <cell r="E663" t="str">
            <v>Almería</v>
          </cell>
          <cell r="F663" t="str">
            <v>036</v>
          </cell>
          <cell r="G663" t="str">
            <v>6</v>
          </cell>
          <cell r="H663" t="str">
            <v>Chercos</v>
          </cell>
        </row>
        <row r="664">
          <cell r="D664" t="str">
            <v>04</v>
          </cell>
          <cell r="E664" t="str">
            <v>Almería</v>
          </cell>
          <cell r="F664" t="str">
            <v>037</v>
          </cell>
          <cell r="G664" t="str">
            <v>2</v>
          </cell>
          <cell r="H664" t="str">
            <v>Chirivel</v>
          </cell>
        </row>
        <row r="665">
          <cell r="D665" t="str">
            <v>04</v>
          </cell>
          <cell r="E665" t="str">
            <v>Almería</v>
          </cell>
          <cell r="F665" t="str">
            <v>038</v>
          </cell>
          <cell r="G665" t="str">
            <v>8</v>
          </cell>
          <cell r="H665" t="str">
            <v>Dalías</v>
          </cell>
        </row>
        <row r="666">
          <cell r="D666" t="str">
            <v>04</v>
          </cell>
          <cell r="E666" t="str">
            <v>Almería</v>
          </cell>
          <cell r="F666" t="str">
            <v>041</v>
          </cell>
          <cell r="G666" t="str">
            <v>2</v>
          </cell>
          <cell r="H666" t="str">
            <v>Enix</v>
          </cell>
        </row>
        <row r="667">
          <cell r="D667" t="str">
            <v>04</v>
          </cell>
          <cell r="E667" t="str">
            <v>Almería</v>
          </cell>
          <cell r="F667" t="str">
            <v>043</v>
          </cell>
          <cell r="G667" t="str">
            <v>3</v>
          </cell>
          <cell r="H667" t="str">
            <v>Felix</v>
          </cell>
        </row>
        <row r="668">
          <cell r="D668" t="str">
            <v>04</v>
          </cell>
          <cell r="E668" t="str">
            <v>Almería</v>
          </cell>
          <cell r="F668" t="str">
            <v>044</v>
          </cell>
          <cell r="G668" t="str">
            <v>8</v>
          </cell>
          <cell r="H668" t="str">
            <v>Fines</v>
          </cell>
        </row>
        <row r="669">
          <cell r="D669" t="str">
            <v>04</v>
          </cell>
          <cell r="E669" t="str">
            <v>Almería</v>
          </cell>
          <cell r="F669" t="str">
            <v>045</v>
          </cell>
          <cell r="G669" t="str">
            <v>1</v>
          </cell>
          <cell r="H669" t="str">
            <v>Fiñana</v>
          </cell>
        </row>
        <row r="670">
          <cell r="D670" t="str">
            <v>04</v>
          </cell>
          <cell r="E670" t="str">
            <v>Almería</v>
          </cell>
          <cell r="F670" t="str">
            <v>046</v>
          </cell>
          <cell r="G670" t="str">
            <v>4</v>
          </cell>
          <cell r="H670" t="str">
            <v>Fondón</v>
          </cell>
        </row>
        <row r="671">
          <cell r="D671" t="str">
            <v>04</v>
          </cell>
          <cell r="E671" t="str">
            <v>Almería</v>
          </cell>
          <cell r="F671" t="str">
            <v>047</v>
          </cell>
          <cell r="G671" t="str">
            <v>0</v>
          </cell>
          <cell r="H671" t="str">
            <v>Gádor</v>
          </cell>
        </row>
        <row r="672">
          <cell r="D672" t="str">
            <v>04</v>
          </cell>
          <cell r="E672" t="str">
            <v>Almería</v>
          </cell>
          <cell r="F672" t="str">
            <v>048</v>
          </cell>
          <cell r="G672" t="str">
            <v>6</v>
          </cell>
          <cell r="H672" t="str">
            <v>Gallardos, Los</v>
          </cell>
        </row>
        <row r="673">
          <cell r="D673" t="str">
            <v>04</v>
          </cell>
          <cell r="E673" t="str">
            <v>Almería</v>
          </cell>
          <cell r="F673" t="str">
            <v>049</v>
          </cell>
          <cell r="G673" t="str">
            <v>9</v>
          </cell>
          <cell r="H673" t="str">
            <v>Garrucha</v>
          </cell>
        </row>
        <row r="674">
          <cell r="D674" t="str">
            <v>04</v>
          </cell>
          <cell r="E674" t="str">
            <v>Almería</v>
          </cell>
          <cell r="F674" t="str">
            <v>050</v>
          </cell>
          <cell r="G674" t="str">
            <v>2</v>
          </cell>
          <cell r="H674" t="str">
            <v>Gérgal</v>
          </cell>
        </row>
        <row r="675">
          <cell r="D675" t="str">
            <v>04</v>
          </cell>
          <cell r="E675" t="str">
            <v>Almería</v>
          </cell>
          <cell r="F675" t="str">
            <v>051</v>
          </cell>
          <cell r="G675" t="str">
            <v>9</v>
          </cell>
          <cell r="H675" t="str">
            <v>Huécija</v>
          </cell>
        </row>
        <row r="676">
          <cell r="D676" t="str">
            <v>04</v>
          </cell>
          <cell r="E676" t="str">
            <v>Almería</v>
          </cell>
          <cell r="F676" t="str">
            <v>052</v>
          </cell>
          <cell r="G676" t="str">
            <v>4</v>
          </cell>
          <cell r="H676" t="str">
            <v>Huércal de Almería</v>
          </cell>
        </row>
        <row r="677">
          <cell r="D677" t="str">
            <v>04</v>
          </cell>
          <cell r="E677" t="str">
            <v>Almería</v>
          </cell>
          <cell r="F677" t="str">
            <v>053</v>
          </cell>
          <cell r="G677" t="str">
            <v>0</v>
          </cell>
          <cell r="H677" t="str">
            <v>Huércal-Overa</v>
          </cell>
        </row>
        <row r="678">
          <cell r="D678" t="str">
            <v>04</v>
          </cell>
          <cell r="E678" t="str">
            <v>Almería</v>
          </cell>
          <cell r="F678" t="str">
            <v>054</v>
          </cell>
          <cell r="G678" t="str">
            <v>5</v>
          </cell>
          <cell r="H678" t="str">
            <v>Íllar</v>
          </cell>
        </row>
        <row r="679">
          <cell r="D679" t="str">
            <v>04</v>
          </cell>
          <cell r="E679" t="str">
            <v>Almería</v>
          </cell>
          <cell r="F679" t="str">
            <v>055</v>
          </cell>
          <cell r="G679" t="str">
            <v>8</v>
          </cell>
          <cell r="H679" t="str">
            <v>Instinción</v>
          </cell>
        </row>
        <row r="680">
          <cell r="D680" t="str">
            <v>04</v>
          </cell>
          <cell r="E680" t="str">
            <v>Almería</v>
          </cell>
          <cell r="F680" t="str">
            <v>056</v>
          </cell>
          <cell r="G680" t="str">
            <v>1</v>
          </cell>
          <cell r="H680" t="str">
            <v>Laroya</v>
          </cell>
        </row>
        <row r="681">
          <cell r="D681" t="str">
            <v>04</v>
          </cell>
          <cell r="E681" t="str">
            <v>Almería</v>
          </cell>
          <cell r="F681" t="str">
            <v>057</v>
          </cell>
          <cell r="G681" t="str">
            <v>7</v>
          </cell>
          <cell r="H681" t="str">
            <v>Láujar de Andarax</v>
          </cell>
        </row>
        <row r="682">
          <cell r="D682" t="str">
            <v>04</v>
          </cell>
          <cell r="E682" t="str">
            <v>Almería</v>
          </cell>
          <cell r="F682" t="str">
            <v>058</v>
          </cell>
          <cell r="G682" t="str">
            <v>3</v>
          </cell>
          <cell r="H682" t="str">
            <v>Líjar</v>
          </cell>
        </row>
        <row r="683">
          <cell r="D683" t="str">
            <v>04</v>
          </cell>
          <cell r="E683" t="str">
            <v>Almería</v>
          </cell>
          <cell r="F683" t="str">
            <v>059</v>
          </cell>
          <cell r="G683" t="str">
            <v>6</v>
          </cell>
          <cell r="H683" t="str">
            <v>Lubrín</v>
          </cell>
        </row>
        <row r="684">
          <cell r="D684" t="str">
            <v>04</v>
          </cell>
          <cell r="E684" t="str">
            <v>Almería</v>
          </cell>
          <cell r="F684" t="str">
            <v>060</v>
          </cell>
          <cell r="G684" t="str">
            <v>0</v>
          </cell>
          <cell r="H684" t="str">
            <v>Lucainena de las Torres</v>
          </cell>
        </row>
        <row r="685">
          <cell r="D685" t="str">
            <v>04</v>
          </cell>
          <cell r="E685" t="str">
            <v>Almería</v>
          </cell>
          <cell r="F685" t="str">
            <v>061</v>
          </cell>
          <cell r="G685" t="str">
            <v>7</v>
          </cell>
          <cell r="H685" t="str">
            <v>Lúcar</v>
          </cell>
        </row>
        <row r="686">
          <cell r="D686" t="str">
            <v>04</v>
          </cell>
          <cell r="E686" t="str">
            <v>Almería</v>
          </cell>
          <cell r="F686" t="str">
            <v>062</v>
          </cell>
          <cell r="G686" t="str">
            <v>2</v>
          </cell>
          <cell r="H686" t="str">
            <v>Macael</v>
          </cell>
        </row>
        <row r="687">
          <cell r="D687" t="str">
            <v>04</v>
          </cell>
          <cell r="E687" t="str">
            <v>Almería</v>
          </cell>
          <cell r="F687" t="str">
            <v>063</v>
          </cell>
          <cell r="G687" t="str">
            <v>8</v>
          </cell>
          <cell r="H687" t="str">
            <v>María</v>
          </cell>
        </row>
        <row r="688">
          <cell r="D688" t="str">
            <v>04</v>
          </cell>
          <cell r="E688" t="str">
            <v>Almería</v>
          </cell>
          <cell r="F688" t="str">
            <v>064</v>
          </cell>
          <cell r="G688" t="str">
            <v>3</v>
          </cell>
          <cell r="H688" t="str">
            <v>Mojácar</v>
          </cell>
        </row>
        <row r="689">
          <cell r="D689" t="str">
            <v>04</v>
          </cell>
          <cell r="E689" t="str">
            <v>Almería</v>
          </cell>
          <cell r="F689" t="str">
            <v>065</v>
          </cell>
          <cell r="G689" t="str">
            <v>6</v>
          </cell>
          <cell r="H689" t="str">
            <v>Nacimiento</v>
          </cell>
        </row>
        <row r="690">
          <cell r="D690" t="str">
            <v>04</v>
          </cell>
          <cell r="E690" t="str">
            <v>Almería</v>
          </cell>
          <cell r="F690" t="str">
            <v>066</v>
          </cell>
          <cell r="G690" t="str">
            <v>9</v>
          </cell>
          <cell r="H690" t="str">
            <v>Níjar</v>
          </cell>
        </row>
        <row r="691">
          <cell r="D691" t="str">
            <v>04</v>
          </cell>
          <cell r="E691" t="str">
            <v>Almería</v>
          </cell>
          <cell r="F691" t="str">
            <v>067</v>
          </cell>
          <cell r="G691" t="str">
            <v>5</v>
          </cell>
          <cell r="H691" t="str">
            <v>Ohanes</v>
          </cell>
        </row>
        <row r="692">
          <cell r="D692" t="str">
            <v>04</v>
          </cell>
          <cell r="E692" t="str">
            <v>Almería</v>
          </cell>
          <cell r="F692" t="str">
            <v>068</v>
          </cell>
          <cell r="G692" t="str">
            <v>1</v>
          </cell>
          <cell r="H692" t="str">
            <v>Olula de Castro</v>
          </cell>
        </row>
        <row r="693">
          <cell r="D693" t="str">
            <v>04</v>
          </cell>
          <cell r="E693" t="str">
            <v>Almería</v>
          </cell>
          <cell r="F693" t="str">
            <v>069</v>
          </cell>
          <cell r="G693" t="str">
            <v>4</v>
          </cell>
          <cell r="H693" t="str">
            <v>Olula del Río</v>
          </cell>
        </row>
        <row r="694">
          <cell r="D694" t="str">
            <v>04</v>
          </cell>
          <cell r="E694" t="str">
            <v>Almería</v>
          </cell>
          <cell r="F694" t="str">
            <v>070</v>
          </cell>
          <cell r="G694" t="str">
            <v>8</v>
          </cell>
          <cell r="H694" t="str">
            <v>Oria</v>
          </cell>
        </row>
        <row r="695">
          <cell r="D695" t="str">
            <v>04</v>
          </cell>
          <cell r="E695" t="str">
            <v>Almería</v>
          </cell>
          <cell r="F695" t="str">
            <v>071</v>
          </cell>
          <cell r="G695" t="str">
            <v>5</v>
          </cell>
          <cell r="H695" t="str">
            <v>Padules</v>
          </cell>
        </row>
        <row r="696">
          <cell r="D696" t="str">
            <v>04</v>
          </cell>
          <cell r="E696" t="str">
            <v>Almería</v>
          </cell>
          <cell r="F696" t="str">
            <v>072</v>
          </cell>
          <cell r="G696" t="str">
            <v>0</v>
          </cell>
          <cell r="H696" t="str">
            <v>Partaloa</v>
          </cell>
        </row>
        <row r="697">
          <cell r="D697" t="str">
            <v>04</v>
          </cell>
          <cell r="E697" t="str">
            <v>Almería</v>
          </cell>
          <cell r="F697" t="str">
            <v>073</v>
          </cell>
          <cell r="G697" t="str">
            <v>6</v>
          </cell>
          <cell r="H697" t="str">
            <v>Paterna del Río</v>
          </cell>
        </row>
        <row r="698">
          <cell r="D698" t="str">
            <v>04</v>
          </cell>
          <cell r="E698" t="str">
            <v>Almería</v>
          </cell>
          <cell r="F698" t="str">
            <v>074</v>
          </cell>
          <cell r="G698" t="str">
            <v>1</v>
          </cell>
          <cell r="H698" t="str">
            <v>Pechina</v>
          </cell>
        </row>
        <row r="699">
          <cell r="D699" t="str">
            <v>04</v>
          </cell>
          <cell r="E699" t="str">
            <v>Almería</v>
          </cell>
          <cell r="F699" t="str">
            <v>075</v>
          </cell>
          <cell r="G699" t="str">
            <v>4</v>
          </cell>
          <cell r="H699" t="str">
            <v>Pulpí</v>
          </cell>
        </row>
        <row r="700">
          <cell r="D700" t="str">
            <v>04</v>
          </cell>
          <cell r="E700" t="str">
            <v>Almería</v>
          </cell>
          <cell r="F700" t="str">
            <v>076</v>
          </cell>
          <cell r="G700" t="str">
            <v>7</v>
          </cell>
          <cell r="H700" t="str">
            <v>Purchena</v>
          </cell>
        </row>
        <row r="701">
          <cell r="D701" t="str">
            <v>04</v>
          </cell>
          <cell r="E701" t="str">
            <v>Almería</v>
          </cell>
          <cell r="F701" t="str">
            <v>077</v>
          </cell>
          <cell r="G701" t="str">
            <v>3</v>
          </cell>
          <cell r="H701" t="str">
            <v>Rágol</v>
          </cell>
        </row>
        <row r="702">
          <cell r="D702" t="str">
            <v>04</v>
          </cell>
          <cell r="E702" t="str">
            <v>Almería</v>
          </cell>
          <cell r="F702" t="str">
            <v>078</v>
          </cell>
          <cell r="G702" t="str">
            <v>9</v>
          </cell>
          <cell r="H702" t="str">
            <v>Rioja</v>
          </cell>
        </row>
        <row r="703">
          <cell r="D703" t="str">
            <v>04</v>
          </cell>
          <cell r="E703" t="str">
            <v>Almería</v>
          </cell>
          <cell r="F703" t="str">
            <v>079</v>
          </cell>
          <cell r="G703" t="str">
            <v>2</v>
          </cell>
          <cell r="H703" t="str">
            <v>Roquetas de Mar</v>
          </cell>
        </row>
        <row r="704">
          <cell r="D704" t="str">
            <v>04</v>
          </cell>
          <cell r="E704" t="str">
            <v>Almería</v>
          </cell>
          <cell r="F704" t="str">
            <v>080</v>
          </cell>
          <cell r="G704" t="str">
            <v>6</v>
          </cell>
          <cell r="H704" t="str">
            <v>Santa Cruz de Marchena</v>
          </cell>
        </row>
        <row r="705">
          <cell r="D705" t="str">
            <v>04</v>
          </cell>
          <cell r="E705" t="str">
            <v>Almería</v>
          </cell>
          <cell r="F705" t="str">
            <v>081</v>
          </cell>
          <cell r="G705" t="str">
            <v>3</v>
          </cell>
          <cell r="H705" t="str">
            <v>Santa Fe de Mondújar</v>
          </cell>
        </row>
        <row r="706">
          <cell r="D706" t="str">
            <v>04</v>
          </cell>
          <cell r="E706" t="str">
            <v>Almería</v>
          </cell>
          <cell r="F706" t="str">
            <v>082</v>
          </cell>
          <cell r="G706" t="str">
            <v>8</v>
          </cell>
          <cell r="H706" t="str">
            <v>Senés</v>
          </cell>
        </row>
        <row r="707">
          <cell r="D707" t="str">
            <v>04</v>
          </cell>
          <cell r="E707" t="str">
            <v>Almería</v>
          </cell>
          <cell r="F707" t="str">
            <v>083</v>
          </cell>
          <cell r="G707" t="str">
            <v>4</v>
          </cell>
          <cell r="H707" t="str">
            <v>Serón</v>
          </cell>
        </row>
        <row r="708">
          <cell r="D708" t="str">
            <v>04</v>
          </cell>
          <cell r="E708" t="str">
            <v>Almería</v>
          </cell>
          <cell r="F708" t="str">
            <v>084</v>
          </cell>
          <cell r="G708" t="str">
            <v>9</v>
          </cell>
          <cell r="H708" t="str">
            <v>Sierro</v>
          </cell>
        </row>
        <row r="709">
          <cell r="D709" t="str">
            <v>04</v>
          </cell>
          <cell r="E709" t="str">
            <v>Almería</v>
          </cell>
          <cell r="F709" t="str">
            <v>085</v>
          </cell>
          <cell r="G709" t="str">
            <v>2</v>
          </cell>
          <cell r="H709" t="str">
            <v>Somontín</v>
          </cell>
        </row>
        <row r="710">
          <cell r="D710" t="str">
            <v>04</v>
          </cell>
          <cell r="E710" t="str">
            <v>Almería</v>
          </cell>
          <cell r="F710" t="str">
            <v>086</v>
          </cell>
          <cell r="G710" t="str">
            <v>5</v>
          </cell>
          <cell r="H710" t="str">
            <v>Sorbas</v>
          </cell>
        </row>
        <row r="711">
          <cell r="D711" t="str">
            <v>04</v>
          </cell>
          <cell r="E711" t="str">
            <v>Almería</v>
          </cell>
          <cell r="F711" t="str">
            <v>087</v>
          </cell>
          <cell r="G711" t="str">
            <v>1</v>
          </cell>
          <cell r="H711" t="str">
            <v>Suflí</v>
          </cell>
        </row>
        <row r="712">
          <cell r="D712" t="str">
            <v>04</v>
          </cell>
          <cell r="E712" t="str">
            <v>Almería</v>
          </cell>
          <cell r="F712" t="str">
            <v>088</v>
          </cell>
          <cell r="G712" t="str">
            <v>7</v>
          </cell>
          <cell r="H712" t="str">
            <v>Tabernas</v>
          </cell>
        </row>
        <row r="713">
          <cell r="D713" t="str">
            <v>04</v>
          </cell>
          <cell r="E713" t="str">
            <v>Almería</v>
          </cell>
          <cell r="F713" t="str">
            <v>089</v>
          </cell>
          <cell r="G713" t="str">
            <v>0</v>
          </cell>
          <cell r="H713" t="str">
            <v>Taberno</v>
          </cell>
        </row>
        <row r="714">
          <cell r="D714" t="str">
            <v>04</v>
          </cell>
          <cell r="E714" t="str">
            <v>Almería</v>
          </cell>
          <cell r="F714" t="str">
            <v>090</v>
          </cell>
          <cell r="G714" t="str">
            <v>4</v>
          </cell>
          <cell r="H714" t="str">
            <v>Tahal</v>
          </cell>
        </row>
        <row r="715">
          <cell r="D715" t="str">
            <v>04</v>
          </cell>
          <cell r="E715" t="str">
            <v>Almería</v>
          </cell>
          <cell r="F715" t="str">
            <v>091</v>
          </cell>
          <cell r="G715" t="str">
            <v>1</v>
          </cell>
          <cell r="H715" t="str">
            <v>Terque</v>
          </cell>
        </row>
        <row r="716">
          <cell r="D716" t="str">
            <v>04</v>
          </cell>
          <cell r="E716" t="str">
            <v>Almería</v>
          </cell>
          <cell r="F716" t="str">
            <v>092</v>
          </cell>
          <cell r="G716" t="str">
            <v>6</v>
          </cell>
          <cell r="H716" t="str">
            <v>Tíjola</v>
          </cell>
        </row>
        <row r="717">
          <cell r="D717" t="str">
            <v>04</v>
          </cell>
          <cell r="E717" t="str">
            <v>Almería</v>
          </cell>
          <cell r="F717" t="str">
            <v>093</v>
          </cell>
          <cell r="G717" t="str">
            <v>2</v>
          </cell>
          <cell r="H717" t="str">
            <v>Turre</v>
          </cell>
        </row>
        <row r="718">
          <cell r="D718" t="str">
            <v>04</v>
          </cell>
          <cell r="E718" t="str">
            <v>Almería</v>
          </cell>
          <cell r="F718" t="str">
            <v>094</v>
          </cell>
          <cell r="G718" t="str">
            <v>7</v>
          </cell>
          <cell r="H718" t="str">
            <v>Turrillas</v>
          </cell>
        </row>
        <row r="719">
          <cell r="D719" t="str">
            <v>04</v>
          </cell>
          <cell r="E719" t="str">
            <v>Almería</v>
          </cell>
          <cell r="F719" t="str">
            <v>095</v>
          </cell>
          <cell r="G719" t="str">
            <v>0</v>
          </cell>
          <cell r="H719" t="str">
            <v>Uleila del Campo</v>
          </cell>
        </row>
        <row r="720">
          <cell r="D720" t="str">
            <v>04</v>
          </cell>
          <cell r="E720" t="str">
            <v>Almería</v>
          </cell>
          <cell r="F720" t="str">
            <v>096</v>
          </cell>
          <cell r="G720" t="str">
            <v>3</v>
          </cell>
          <cell r="H720" t="str">
            <v>Urrácal</v>
          </cell>
        </row>
        <row r="721">
          <cell r="D721" t="str">
            <v>04</v>
          </cell>
          <cell r="E721" t="str">
            <v>Almería</v>
          </cell>
          <cell r="F721" t="str">
            <v>097</v>
          </cell>
          <cell r="G721" t="str">
            <v>9</v>
          </cell>
          <cell r="H721" t="str">
            <v>Velefique</v>
          </cell>
        </row>
        <row r="722">
          <cell r="D722" t="str">
            <v>04</v>
          </cell>
          <cell r="E722" t="str">
            <v>Almería</v>
          </cell>
          <cell r="F722" t="str">
            <v>098</v>
          </cell>
          <cell r="G722" t="str">
            <v>5</v>
          </cell>
          <cell r="H722" t="str">
            <v>Vélez-Blanco</v>
          </cell>
        </row>
        <row r="723">
          <cell r="D723" t="str">
            <v>04</v>
          </cell>
          <cell r="E723" t="str">
            <v>Almería</v>
          </cell>
          <cell r="F723" t="str">
            <v>099</v>
          </cell>
          <cell r="G723" t="str">
            <v>8</v>
          </cell>
          <cell r="H723" t="str">
            <v>Vélez-Rubio</v>
          </cell>
        </row>
        <row r="724">
          <cell r="D724" t="str">
            <v>04</v>
          </cell>
          <cell r="E724" t="str">
            <v>Almería</v>
          </cell>
          <cell r="F724" t="str">
            <v>100</v>
          </cell>
          <cell r="G724" t="str">
            <v>2</v>
          </cell>
          <cell r="H724" t="str">
            <v>Vera</v>
          </cell>
        </row>
        <row r="725">
          <cell r="D725" t="str">
            <v>04</v>
          </cell>
          <cell r="E725" t="str">
            <v>Almería</v>
          </cell>
          <cell r="F725" t="str">
            <v>101</v>
          </cell>
          <cell r="G725" t="str">
            <v>9</v>
          </cell>
          <cell r="H725" t="str">
            <v>Viator</v>
          </cell>
        </row>
        <row r="726">
          <cell r="D726" t="str">
            <v>04</v>
          </cell>
          <cell r="E726" t="str">
            <v>Almería</v>
          </cell>
          <cell r="F726" t="str">
            <v>102</v>
          </cell>
          <cell r="G726" t="str">
            <v>4</v>
          </cell>
          <cell r="H726" t="str">
            <v>Vícar</v>
          </cell>
        </row>
        <row r="727">
          <cell r="D727" t="str">
            <v>04</v>
          </cell>
          <cell r="E727" t="str">
            <v>Almería</v>
          </cell>
          <cell r="F727" t="str">
            <v>103</v>
          </cell>
          <cell r="G727" t="str">
            <v>0</v>
          </cell>
          <cell r="H727" t="str">
            <v>Zurgena</v>
          </cell>
        </row>
        <row r="728">
          <cell r="D728" t="str">
            <v>04</v>
          </cell>
          <cell r="E728" t="str">
            <v>Almería</v>
          </cell>
          <cell r="F728" t="str">
            <v>901</v>
          </cell>
          <cell r="G728" t="str">
            <v>1</v>
          </cell>
          <cell r="H728" t="str">
            <v>Tres Villas, Las</v>
          </cell>
        </row>
        <row r="729">
          <cell r="D729" t="str">
            <v>04</v>
          </cell>
          <cell r="E729" t="str">
            <v>Almería</v>
          </cell>
          <cell r="F729" t="str">
            <v>902</v>
          </cell>
          <cell r="G729" t="str">
            <v>6</v>
          </cell>
          <cell r="H729" t="str">
            <v>Ejido, El</v>
          </cell>
        </row>
        <row r="730">
          <cell r="D730" t="str">
            <v>04</v>
          </cell>
          <cell r="E730" t="str">
            <v>Almería</v>
          </cell>
          <cell r="F730" t="str">
            <v>903</v>
          </cell>
          <cell r="G730" t="str">
            <v>2</v>
          </cell>
          <cell r="H730" t="str">
            <v>Mojonera, La</v>
          </cell>
        </row>
        <row r="731">
          <cell r="D731" t="str">
            <v>04</v>
          </cell>
          <cell r="E731" t="str">
            <v>Almería</v>
          </cell>
          <cell r="F731" t="str">
            <v>904</v>
          </cell>
          <cell r="G731" t="str">
            <v>7</v>
          </cell>
          <cell r="H731" t="str">
            <v>Balanegra</v>
          </cell>
        </row>
        <row r="732">
          <cell r="D732" t="str">
            <v>05</v>
          </cell>
          <cell r="E732" t="str">
            <v>Ávila</v>
          </cell>
          <cell r="F732" t="str">
            <v>001</v>
          </cell>
          <cell r="G732" t="str">
            <v>3</v>
          </cell>
          <cell r="H732" t="str">
            <v>Adanero</v>
          </cell>
        </row>
        <row r="733">
          <cell r="D733" t="str">
            <v>05</v>
          </cell>
          <cell r="E733" t="str">
            <v>Ávila</v>
          </cell>
          <cell r="F733" t="str">
            <v>002</v>
          </cell>
          <cell r="G733" t="str">
            <v>8</v>
          </cell>
          <cell r="H733" t="str">
            <v>Adrada, La</v>
          </cell>
        </row>
        <row r="734">
          <cell r="D734" t="str">
            <v>05</v>
          </cell>
          <cell r="E734" t="str">
            <v>Ávila</v>
          </cell>
          <cell r="F734" t="str">
            <v>005</v>
          </cell>
          <cell r="G734" t="str">
            <v>2</v>
          </cell>
          <cell r="H734" t="str">
            <v>Albornos</v>
          </cell>
        </row>
        <row r="735">
          <cell r="D735" t="str">
            <v>05</v>
          </cell>
          <cell r="E735" t="str">
            <v>Ávila</v>
          </cell>
          <cell r="F735" t="str">
            <v>007</v>
          </cell>
          <cell r="G735" t="str">
            <v>1</v>
          </cell>
          <cell r="H735" t="str">
            <v>Aldeanueva de Santa Cruz</v>
          </cell>
        </row>
        <row r="736">
          <cell r="D736" t="str">
            <v>05</v>
          </cell>
          <cell r="E736" t="str">
            <v>Ávila</v>
          </cell>
          <cell r="F736" t="str">
            <v>008</v>
          </cell>
          <cell r="G736" t="str">
            <v>7</v>
          </cell>
          <cell r="H736" t="str">
            <v>Aldeaseca</v>
          </cell>
        </row>
        <row r="737">
          <cell r="D737" t="str">
            <v>05</v>
          </cell>
          <cell r="E737" t="str">
            <v>Ávila</v>
          </cell>
          <cell r="F737" t="str">
            <v>010</v>
          </cell>
          <cell r="G737" t="str">
            <v>4</v>
          </cell>
          <cell r="H737" t="str">
            <v>Aldehuela, La</v>
          </cell>
        </row>
        <row r="738">
          <cell r="D738" t="str">
            <v>05</v>
          </cell>
          <cell r="E738" t="str">
            <v>Ávila</v>
          </cell>
          <cell r="F738" t="str">
            <v>012</v>
          </cell>
          <cell r="G738" t="str">
            <v>6</v>
          </cell>
          <cell r="H738" t="str">
            <v>Amavida</v>
          </cell>
        </row>
        <row r="739">
          <cell r="D739" t="str">
            <v>05</v>
          </cell>
          <cell r="E739" t="str">
            <v>Ávila</v>
          </cell>
          <cell r="F739" t="str">
            <v>013</v>
          </cell>
          <cell r="G739" t="str">
            <v>2</v>
          </cell>
          <cell r="H739" t="str">
            <v>Arenal, El</v>
          </cell>
        </row>
        <row r="740">
          <cell r="D740" t="str">
            <v>05</v>
          </cell>
          <cell r="E740" t="str">
            <v>Ávila</v>
          </cell>
          <cell r="F740" t="str">
            <v>014</v>
          </cell>
          <cell r="G740" t="str">
            <v>7</v>
          </cell>
          <cell r="H740" t="str">
            <v>Arenas de San Pedro</v>
          </cell>
        </row>
        <row r="741">
          <cell r="D741" t="str">
            <v>05</v>
          </cell>
          <cell r="E741" t="str">
            <v>Ávila</v>
          </cell>
          <cell r="F741" t="str">
            <v>015</v>
          </cell>
          <cell r="G741" t="str">
            <v>0</v>
          </cell>
          <cell r="H741" t="str">
            <v>Arevalillo</v>
          </cell>
        </row>
        <row r="742">
          <cell r="D742" t="str">
            <v>05</v>
          </cell>
          <cell r="E742" t="str">
            <v>Ávila</v>
          </cell>
          <cell r="F742" t="str">
            <v>016</v>
          </cell>
          <cell r="G742" t="str">
            <v>3</v>
          </cell>
          <cell r="H742" t="str">
            <v>Arévalo</v>
          </cell>
        </row>
        <row r="743">
          <cell r="D743" t="str">
            <v>05</v>
          </cell>
          <cell r="E743" t="str">
            <v>Ávila</v>
          </cell>
          <cell r="F743" t="str">
            <v>017</v>
          </cell>
          <cell r="G743" t="str">
            <v>9</v>
          </cell>
          <cell r="H743" t="str">
            <v>Aveinte</v>
          </cell>
        </row>
        <row r="744">
          <cell r="D744" t="str">
            <v>05</v>
          </cell>
          <cell r="E744" t="str">
            <v>Ávila</v>
          </cell>
          <cell r="F744" t="str">
            <v>018</v>
          </cell>
          <cell r="G744" t="str">
            <v>5</v>
          </cell>
          <cell r="H744" t="str">
            <v>Avellaneda</v>
          </cell>
        </row>
        <row r="745">
          <cell r="D745" t="str">
            <v>05</v>
          </cell>
          <cell r="E745" t="str">
            <v>Ávila</v>
          </cell>
          <cell r="F745" t="str">
            <v>019</v>
          </cell>
          <cell r="G745" t="str">
            <v>8</v>
          </cell>
          <cell r="H745" t="str">
            <v>Ávila</v>
          </cell>
        </row>
        <row r="746">
          <cell r="D746" t="str">
            <v>05</v>
          </cell>
          <cell r="E746" t="str">
            <v>Ávila</v>
          </cell>
          <cell r="F746" t="str">
            <v>021</v>
          </cell>
          <cell r="G746" t="str">
            <v>9</v>
          </cell>
          <cell r="H746" t="str">
            <v>Barco de Ávila, El</v>
          </cell>
        </row>
        <row r="747">
          <cell r="D747" t="str">
            <v>05</v>
          </cell>
          <cell r="E747" t="str">
            <v>Ávila</v>
          </cell>
          <cell r="F747" t="str">
            <v>022</v>
          </cell>
          <cell r="G747" t="str">
            <v>4</v>
          </cell>
          <cell r="H747" t="str">
            <v>Barraco, El</v>
          </cell>
        </row>
        <row r="748">
          <cell r="D748" t="str">
            <v>05</v>
          </cell>
          <cell r="E748" t="str">
            <v>Ávila</v>
          </cell>
          <cell r="F748" t="str">
            <v>023</v>
          </cell>
          <cell r="G748" t="str">
            <v>0</v>
          </cell>
          <cell r="H748" t="str">
            <v>Barromán</v>
          </cell>
        </row>
        <row r="749">
          <cell r="D749" t="str">
            <v>05</v>
          </cell>
          <cell r="E749" t="str">
            <v>Ávila</v>
          </cell>
          <cell r="F749" t="str">
            <v>024</v>
          </cell>
          <cell r="G749" t="str">
            <v>5</v>
          </cell>
          <cell r="H749" t="str">
            <v>Becedas</v>
          </cell>
        </row>
        <row r="750">
          <cell r="D750" t="str">
            <v>05</v>
          </cell>
          <cell r="E750" t="str">
            <v>Ávila</v>
          </cell>
          <cell r="F750" t="str">
            <v>025</v>
          </cell>
          <cell r="G750" t="str">
            <v>8</v>
          </cell>
          <cell r="H750" t="str">
            <v>Becedillas</v>
          </cell>
        </row>
        <row r="751">
          <cell r="D751" t="str">
            <v>05</v>
          </cell>
          <cell r="E751" t="str">
            <v>Ávila</v>
          </cell>
          <cell r="F751" t="str">
            <v>026</v>
          </cell>
          <cell r="G751" t="str">
            <v>1</v>
          </cell>
          <cell r="H751" t="str">
            <v>Bercial de Zapardiel</v>
          </cell>
        </row>
        <row r="752">
          <cell r="D752" t="str">
            <v>05</v>
          </cell>
          <cell r="E752" t="str">
            <v>Ávila</v>
          </cell>
          <cell r="F752" t="str">
            <v>027</v>
          </cell>
          <cell r="G752" t="str">
            <v>7</v>
          </cell>
          <cell r="H752" t="str">
            <v>Berlanas, Las</v>
          </cell>
        </row>
        <row r="753">
          <cell r="D753" t="str">
            <v>05</v>
          </cell>
          <cell r="E753" t="str">
            <v>Ávila</v>
          </cell>
          <cell r="F753" t="str">
            <v>029</v>
          </cell>
          <cell r="G753" t="str">
            <v>6</v>
          </cell>
          <cell r="H753" t="str">
            <v>Bernuy-Zapardiel</v>
          </cell>
        </row>
        <row r="754">
          <cell r="D754" t="str">
            <v>05</v>
          </cell>
          <cell r="E754" t="str">
            <v>Ávila</v>
          </cell>
          <cell r="F754" t="str">
            <v>030</v>
          </cell>
          <cell r="G754" t="str">
            <v>0</v>
          </cell>
          <cell r="H754" t="str">
            <v>Berrocalejo de Aragona</v>
          </cell>
        </row>
        <row r="755">
          <cell r="D755" t="str">
            <v>05</v>
          </cell>
          <cell r="E755" t="str">
            <v>Ávila</v>
          </cell>
          <cell r="F755" t="str">
            <v>033</v>
          </cell>
          <cell r="G755" t="str">
            <v>8</v>
          </cell>
          <cell r="H755" t="str">
            <v>Blascomillán</v>
          </cell>
        </row>
        <row r="756">
          <cell r="D756" t="str">
            <v>05</v>
          </cell>
          <cell r="E756" t="str">
            <v>Ávila</v>
          </cell>
          <cell r="F756" t="str">
            <v>034</v>
          </cell>
          <cell r="G756" t="str">
            <v>3</v>
          </cell>
          <cell r="H756" t="str">
            <v>Blasconuño de Matacabras</v>
          </cell>
        </row>
        <row r="757">
          <cell r="D757" t="str">
            <v>05</v>
          </cell>
          <cell r="E757" t="str">
            <v>Ávila</v>
          </cell>
          <cell r="F757" t="str">
            <v>035</v>
          </cell>
          <cell r="G757" t="str">
            <v>6</v>
          </cell>
          <cell r="H757" t="str">
            <v>Blascosancho</v>
          </cell>
        </row>
        <row r="758">
          <cell r="D758" t="str">
            <v>05</v>
          </cell>
          <cell r="E758" t="str">
            <v>Ávila</v>
          </cell>
          <cell r="F758" t="str">
            <v>036</v>
          </cell>
          <cell r="G758" t="str">
            <v>9</v>
          </cell>
          <cell r="H758" t="str">
            <v>Bohodón, El</v>
          </cell>
        </row>
        <row r="759">
          <cell r="D759" t="str">
            <v>05</v>
          </cell>
          <cell r="E759" t="str">
            <v>Ávila</v>
          </cell>
          <cell r="F759" t="str">
            <v>037</v>
          </cell>
          <cell r="G759" t="str">
            <v>5</v>
          </cell>
          <cell r="H759" t="str">
            <v>Bohoyo</v>
          </cell>
        </row>
        <row r="760">
          <cell r="D760" t="str">
            <v>05</v>
          </cell>
          <cell r="E760" t="str">
            <v>Ávila</v>
          </cell>
          <cell r="F760" t="str">
            <v>038</v>
          </cell>
          <cell r="G760" t="str">
            <v>1</v>
          </cell>
          <cell r="H760" t="str">
            <v>Bonilla de la Sierra</v>
          </cell>
        </row>
        <row r="761">
          <cell r="D761" t="str">
            <v>05</v>
          </cell>
          <cell r="E761" t="str">
            <v>Ávila</v>
          </cell>
          <cell r="F761" t="str">
            <v>039</v>
          </cell>
          <cell r="G761" t="str">
            <v>4</v>
          </cell>
          <cell r="H761" t="str">
            <v>Brabos</v>
          </cell>
        </row>
        <row r="762">
          <cell r="D762" t="str">
            <v>05</v>
          </cell>
          <cell r="E762" t="str">
            <v>Ávila</v>
          </cell>
          <cell r="F762" t="str">
            <v>040</v>
          </cell>
          <cell r="G762" t="str">
            <v>8</v>
          </cell>
          <cell r="H762" t="str">
            <v>Bularros</v>
          </cell>
        </row>
        <row r="763">
          <cell r="D763" t="str">
            <v>05</v>
          </cell>
          <cell r="E763" t="str">
            <v>Ávila</v>
          </cell>
          <cell r="F763" t="str">
            <v>041</v>
          </cell>
          <cell r="G763" t="str">
            <v>5</v>
          </cell>
          <cell r="H763" t="str">
            <v>Burgohondo</v>
          </cell>
        </row>
        <row r="764">
          <cell r="D764" t="str">
            <v>05</v>
          </cell>
          <cell r="E764" t="str">
            <v>Ávila</v>
          </cell>
          <cell r="F764" t="str">
            <v>042</v>
          </cell>
          <cell r="G764" t="str">
            <v>0</v>
          </cell>
          <cell r="H764" t="str">
            <v>Cabezas de Alambre</v>
          </cell>
        </row>
        <row r="765">
          <cell r="D765" t="str">
            <v>05</v>
          </cell>
          <cell r="E765" t="str">
            <v>Ávila</v>
          </cell>
          <cell r="F765" t="str">
            <v>043</v>
          </cell>
          <cell r="G765" t="str">
            <v>6</v>
          </cell>
          <cell r="H765" t="str">
            <v>Cabezas del Pozo</v>
          </cell>
        </row>
        <row r="766">
          <cell r="D766" t="str">
            <v>05</v>
          </cell>
          <cell r="E766" t="str">
            <v>Ávila</v>
          </cell>
          <cell r="F766" t="str">
            <v>044</v>
          </cell>
          <cell r="G766" t="str">
            <v>1</v>
          </cell>
          <cell r="H766" t="str">
            <v>Cabezas del Villar</v>
          </cell>
        </row>
        <row r="767">
          <cell r="D767" t="str">
            <v>05</v>
          </cell>
          <cell r="E767" t="str">
            <v>Ávila</v>
          </cell>
          <cell r="F767" t="str">
            <v>045</v>
          </cell>
          <cell r="G767" t="str">
            <v>4</v>
          </cell>
          <cell r="H767" t="str">
            <v>Cabizuela</v>
          </cell>
        </row>
        <row r="768">
          <cell r="D768" t="str">
            <v>05</v>
          </cell>
          <cell r="E768" t="str">
            <v>Ávila</v>
          </cell>
          <cell r="F768" t="str">
            <v>046</v>
          </cell>
          <cell r="G768" t="str">
            <v>7</v>
          </cell>
          <cell r="H768" t="str">
            <v>Canales</v>
          </cell>
        </row>
        <row r="769">
          <cell r="D769" t="str">
            <v>05</v>
          </cell>
          <cell r="E769" t="str">
            <v>Ávila</v>
          </cell>
          <cell r="F769" t="str">
            <v>047</v>
          </cell>
          <cell r="G769" t="str">
            <v>3</v>
          </cell>
          <cell r="H769" t="str">
            <v>Candeleda</v>
          </cell>
        </row>
        <row r="770">
          <cell r="D770" t="str">
            <v>05</v>
          </cell>
          <cell r="E770" t="str">
            <v>Ávila</v>
          </cell>
          <cell r="F770" t="str">
            <v>048</v>
          </cell>
          <cell r="G770" t="str">
            <v>9</v>
          </cell>
          <cell r="H770" t="str">
            <v>Cantiveros</v>
          </cell>
        </row>
        <row r="771">
          <cell r="D771" t="str">
            <v>05</v>
          </cell>
          <cell r="E771" t="str">
            <v>Ávila</v>
          </cell>
          <cell r="F771" t="str">
            <v>049</v>
          </cell>
          <cell r="G771" t="str">
            <v>2</v>
          </cell>
          <cell r="H771" t="str">
            <v>Cardeñosa</v>
          </cell>
        </row>
        <row r="772">
          <cell r="D772" t="str">
            <v>05</v>
          </cell>
          <cell r="E772" t="str">
            <v>Ávila</v>
          </cell>
          <cell r="F772" t="str">
            <v>051</v>
          </cell>
          <cell r="G772" t="str">
            <v>2</v>
          </cell>
          <cell r="H772" t="str">
            <v>Carrera, La</v>
          </cell>
        </row>
        <row r="773">
          <cell r="D773" t="str">
            <v>05</v>
          </cell>
          <cell r="E773" t="str">
            <v>Ávila</v>
          </cell>
          <cell r="F773" t="str">
            <v>052</v>
          </cell>
          <cell r="G773" t="str">
            <v>7</v>
          </cell>
          <cell r="H773" t="str">
            <v>Casas del Puerto</v>
          </cell>
        </row>
        <row r="774">
          <cell r="D774" t="str">
            <v>05</v>
          </cell>
          <cell r="E774" t="str">
            <v>Ávila</v>
          </cell>
          <cell r="F774" t="str">
            <v>053</v>
          </cell>
          <cell r="G774" t="str">
            <v>3</v>
          </cell>
          <cell r="H774" t="str">
            <v>Casasola</v>
          </cell>
        </row>
        <row r="775">
          <cell r="D775" t="str">
            <v>05</v>
          </cell>
          <cell r="E775" t="str">
            <v>Ávila</v>
          </cell>
          <cell r="F775" t="str">
            <v>054</v>
          </cell>
          <cell r="G775" t="str">
            <v>8</v>
          </cell>
          <cell r="H775" t="str">
            <v>Casavieja</v>
          </cell>
        </row>
        <row r="776">
          <cell r="D776" t="str">
            <v>05</v>
          </cell>
          <cell r="E776" t="str">
            <v>Ávila</v>
          </cell>
          <cell r="F776" t="str">
            <v>055</v>
          </cell>
          <cell r="G776" t="str">
            <v>1</v>
          </cell>
          <cell r="H776" t="str">
            <v>Casillas</v>
          </cell>
        </row>
        <row r="777">
          <cell r="D777" t="str">
            <v>05</v>
          </cell>
          <cell r="E777" t="str">
            <v>Ávila</v>
          </cell>
          <cell r="F777" t="str">
            <v>056</v>
          </cell>
          <cell r="G777" t="str">
            <v>4</v>
          </cell>
          <cell r="H777" t="str">
            <v>Castellanos de Zapardiel</v>
          </cell>
        </row>
        <row r="778">
          <cell r="D778" t="str">
            <v>05</v>
          </cell>
          <cell r="E778" t="str">
            <v>Ávila</v>
          </cell>
          <cell r="F778" t="str">
            <v>057</v>
          </cell>
          <cell r="G778" t="str">
            <v>0</v>
          </cell>
          <cell r="H778" t="str">
            <v>Cebreros</v>
          </cell>
        </row>
        <row r="779">
          <cell r="D779" t="str">
            <v>05</v>
          </cell>
          <cell r="E779" t="str">
            <v>Ávila</v>
          </cell>
          <cell r="F779" t="str">
            <v>058</v>
          </cell>
          <cell r="G779" t="str">
            <v>6</v>
          </cell>
          <cell r="H779" t="str">
            <v>Cepeda la Mora</v>
          </cell>
        </row>
        <row r="780">
          <cell r="D780" t="str">
            <v>05</v>
          </cell>
          <cell r="E780" t="str">
            <v>Ávila</v>
          </cell>
          <cell r="F780" t="str">
            <v>059</v>
          </cell>
          <cell r="G780" t="str">
            <v>9</v>
          </cell>
          <cell r="H780" t="str">
            <v>Cillán</v>
          </cell>
        </row>
        <row r="781">
          <cell r="D781" t="str">
            <v>05</v>
          </cell>
          <cell r="E781" t="str">
            <v>Ávila</v>
          </cell>
          <cell r="F781" t="str">
            <v>060</v>
          </cell>
          <cell r="G781" t="str">
            <v>3</v>
          </cell>
          <cell r="H781" t="str">
            <v>Cisla</v>
          </cell>
        </row>
        <row r="782">
          <cell r="D782" t="str">
            <v>05</v>
          </cell>
          <cell r="E782" t="str">
            <v>Ávila</v>
          </cell>
          <cell r="F782" t="str">
            <v>061</v>
          </cell>
          <cell r="G782" t="str">
            <v>0</v>
          </cell>
          <cell r="H782" t="str">
            <v>Colilla, La</v>
          </cell>
        </row>
        <row r="783">
          <cell r="D783" t="str">
            <v>05</v>
          </cell>
          <cell r="E783" t="str">
            <v>Ávila</v>
          </cell>
          <cell r="F783" t="str">
            <v>062</v>
          </cell>
          <cell r="G783" t="str">
            <v>5</v>
          </cell>
          <cell r="H783" t="str">
            <v>Collado de Contreras</v>
          </cell>
        </row>
        <row r="784">
          <cell r="D784" t="str">
            <v>05</v>
          </cell>
          <cell r="E784" t="str">
            <v>Ávila</v>
          </cell>
          <cell r="F784" t="str">
            <v>063</v>
          </cell>
          <cell r="G784" t="str">
            <v>1</v>
          </cell>
          <cell r="H784" t="str">
            <v>Collado del Mirón</v>
          </cell>
        </row>
        <row r="785">
          <cell r="D785" t="str">
            <v>05</v>
          </cell>
          <cell r="E785" t="str">
            <v>Ávila</v>
          </cell>
          <cell r="F785" t="str">
            <v>064</v>
          </cell>
          <cell r="G785" t="str">
            <v>6</v>
          </cell>
          <cell r="H785" t="str">
            <v>Constanzana</v>
          </cell>
        </row>
        <row r="786">
          <cell r="D786" t="str">
            <v>05</v>
          </cell>
          <cell r="E786" t="str">
            <v>Ávila</v>
          </cell>
          <cell r="F786" t="str">
            <v>065</v>
          </cell>
          <cell r="G786" t="str">
            <v>9</v>
          </cell>
          <cell r="H786" t="str">
            <v>Crespos</v>
          </cell>
        </row>
        <row r="787">
          <cell r="D787" t="str">
            <v>05</v>
          </cell>
          <cell r="E787" t="str">
            <v>Ávila</v>
          </cell>
          <cell r="F787" t="str">
            <v>066</v>
          </cell>
          <cell r="G787" t="str">
            <v>2</v>
          </cell>
          <cell r="H787" t="str">
            <v>Cuevas del Valle</v>
          </cell>
        </row>
        <row r="788">
          <cell r="D788" t="str">
            <v>05</v>
          </cell>
          <cell r="E788" t="str">
            <v>Ávila</v>
          </cell>
          <cell r="F788" t="str">
            <v>067</v>
          </cell>
          <cell r="G788" t="str">
            <v>8</v>
          </cell>
          <cell r="H788" t="str">
            <v>Chamartín</v>
          </cell>
        </row>
        <row r="789">
          <cell r="D789" t="str">
            <v>05</v>
          </cell>
          <cell r="E789" t="str">
            <v>Ávila</v>
          </cell>
          <cell r="F789" t="str">
            <v>069</v>
          </cell>
          <cell r="G789" t="str">
            <v>7</v>
          </cell>
          <cell r="H789" t="str">
            <v>Donjimeno</v>
          </cell>
        </row>
        <row r="790">
          <cell r="D790" t="str">
            <v>05</v>
          </cell>
          <cell r="E790" t="str">
            <v>Ávila</v>
          </cell>
          <cell r="F790" t="str">
            <v>070</v>
          </cell>
          <cell r="G790" t="str">
            <v>1</v>
          </cell>
          <cell r="H790" t="str">
            <v>Donvidas</v>
          </cell>
        </row>
        <row r="791">
          <cell r="D791" t="str">
            <v>05</v>
          </cell>
          <cell r="E791" t="str">
            <v>Ávila</v>
          </cell>
          <cell r="F791" t="str">
            <v>072</v>
          </cell>
          <cell r="G791" t="str">
            <v>3</v>
          </cell>
          <cell r="H791" t="str">
            <v>Espinosa de los Caballeros</v>
          </cell>
        </row>
        <row r="792">
          <cell r="D792" t="str">
            <v>05</v>
          </cell>
          <cell r="E792" t="str">
            <v>Ávila</v>
          </cell>
          <cell r="F792" t="str">
            <v>073</v>
          </cell>
          <cell r="G792" t="str">
            <v>9</v>
          </cell>
          <cell r="H792" t="str">
            <v>Flores de Ávila</v>
          </cell>
        </row>
        <row r="793">
          <cell r="D793" t="str">
            <v>05</v>
          </cell>
          <cell r="E793" t="str">
            <v>Ávila</v>
          </cell>
          <cell r="F793" t="str">
            <v>074</v>
          </cell>
          <cell r="G793" t="str">
            <v>4</v>
          </cell>
          <cell r="H793" t="str">
            <v>Fontiveros</v>
          </cell>
        </row>
        <row r="794">
          <cell r="D794" t="str">
            <v>05</v>
          </cell>
          <cell r="E794" t="str">
            <v>Ávila</v>
          </cell>
          <cell r="F794" t="str">
            <v>075</v>
          </cell>
          <cell r="G794" t="str">
            <v>7</v>
          </cell>
          <cell r="H794" t="str">
            <v>Fresnedilla</v>
          </cell>
        </row>
        <row r="795">
          <cell r="D795" t="str">
            <v>05</v>
          </cell>
          <cell r="E795" t="str">
            <v>Ávila</v>
          </cell>
          <cell r="F795" t="str">
            <v>076</v>
          </cell>
          <cell r="G795" t="str">
            <v>0</v>
          </cell>
          <cell r="H795" t="str">
            <v>Fresno, El</v>
          </cell>
        </row>
        <row r="796">
          <cell r="D796" t="str">
            <v>05</v>
          </cell>
          <cell r="E796" t="str">
            <v>Ávila</v>
          </cell>
          <cell r="F796" t="str">
            <v>077</v>
          </cell>
          <cell r="G796" t="str">
            <v>6</v>
          </cell>
          <cell r="H796" t="str">
            <v>Fuente el Saúz</v>
          </cell>
        </row>
        <row r="797">
          <cell r="D797" t="str">
            <v>05</v>
          </cell>
          <cell r="E797" t="str">
            <v>Ávila</v>
          </cell>
          <cell r="F797" t="str">
            <v>078</v>
          </cell>
          <cell r="G797" t="str">
            <v>2</v>
          </cell>
          <cell r="H797" t="str">
            <v>Fuentes de Año</v>
          </cell>
        </row>
        <row r="798">
          <cell r="D798" t="str">
            <v>05</v>
          </cell>
          <cell r="E798" t="str">
            <v>Ávila</v>
          </cell>
          <cell r="F798" t="str">
            <v>079</v>
          </cell>
          <cell r="G798" t="str">
            <v>5</v>
          </cell>
          <cell r="H798" t="str">
            <v>Gallegos de Altamiros</v>
          </cell>
        </row>
        <row r="799">
          <cell r="D799" t="str">
            <v>05</v>
          </cell>
          <cell r="E799" t="str">
            <v>Ávila</v>
          </cell>
          <cell r="F799" t="str">
            <v>080</v>
          </cell>
          <cell r="G799" t="str">
            <v>9</v>
          </cell>
          <cell r="H799" t="str">
            <v>Gallegos de Sobrinos</v>
          </cell>
        </row>
        <row r="800">
          <cell r="D800" t="str">
            <v>05</v>
          </cell>
          <cell r="E800" t="str">
            <v>Ávila</v>
          </cell>
          <cell r="F800" t="str">
            <v>081</v>
          </cell>
          <cell r="G800" t="str">
            <v>6</v>
          </cell>
          <cell r="H800" t="str">
            <v>Garganta del Villar</v>
          </cell>
        </row>
        <row r="801">
          <cell r="D801" t="str">
            <v>05</v>
          </cell>
          <cell r="E801" t="str">
            <v>Ávila</v>
          </cell>
          <cell r="F801" t="str">
            <v>082</v>
          </cell>
          <cell r="G801" t="str">
            <v>1</v>
          </cell>
          <cell r="H801" t="str">
            <v>Gavilanes</v>
          </cell>
        </row>
        <row r="802">
          <cell r="D802" t="str">
            <v>05</v>
          </cell>
          <cell r="E802" t="str">
            <v>Ávila</v>
          </cell>
          <cell r="F802" t="str">
            <v>083</v>
          </cell>
          <cell r="G802" t="str">
            <v>7</v>
          </cell>
          <cell r="H802" t="str">
            <v>Gemuño</v>
          </cell>
        </row>
        <row r="803">
          <cell r="D803" t="str">
            <v>05</v>
          </cell>
          <cell r="E803" t="str">
            <v>Ávila</v>
          </cell>
          <cell r="F803" t="str">
            <v>084</v>
          </cell>
          <cell r="G803" t="str">
            <v>2</v>
          </cell>
          <cell r="H803" t="str">
            <v>Gilbuena</v>
          </cell>
        </row>
        <row r="804">
          <cell r="D804" t="str">
            <v>05</v>
          </cell>
          <cell r="E804" t="str">
            <v>Ávila</v>
          </cell>
          <cell r="F804" t="str">
            <v>085</v>
          </cell>
          <cell r="G804" t="str">
            <v>5</v>
          </cell>
          <cell r="H804" t="str">
            <v>Gil García</v>
          </cell>
        </row>
        <row r="805">
          <cell r="D805" t="str">
            <v>05</v>
          </cell>
          <cell r="E805" t="str">
            <v>Ávila</v>
          </cell>
          <cell r="F805" t="str">
            <v>086</v>
          </cell>
          <cell r="G805" t="str">
            <v>8</v>
          </cell>
          <cell r="H805" t="str">
            <v>Gimialcón</v>
          </cell>
        </row>
        <row r="806">
          <cell r="D806" t="str">
            <v>05</v>
          </cell>
          <cell r="E806" t="str">
            <v>Ávila</v>
          </cell>
          <cell r="F806" t="str">
            <v>087</v>
          </cell>
          <cell r="G806" t="str">
            <v>4</v>
          </cell>
          <cell r="H806" t="str">
            <v>Gotarrendura</v>
          </cell>
        </row>
        <row r="807">
          <cell r="D807" t="str">
            <v>05</v>
          </cell>
          <cell r="E807" t="str">
            <v>Ávila</v>
          </cell>
          <cell r="F807" t="str">
            <v>088</v>
          </cell>
          <cell r="G807" t="str">
            <v>0</v>
          </cell>
          <cell r="H807" t="str">
            <v>Grandes y San Martín</v>
          </cell>
        </row>
        <row r="808">
          <cell r="D808" t="str">
            <v>05</v>
          </cell>
          <cell r="E808" t="str">
            <v>Ávila</v>
          </cell>
          <cell r="F808" t="str">
            <v>089</v>
          </cell>
          <cell r="G808" t="str">
            <v>3</v>
          </cell>
          <cell r="H808" t="str">
            <v>Guisando</v>
          </cell>
        </row>
        <row r="809">
          <cell r="D809" t="str">
            <v>05</v>
          </cell>
          <cell r="E809" t="str">
            <v>Ávila</v>
          </cell>
          <cell r="F809" t="str">
            <v>090</v>
          </cell>
          <cell r="G809" t="str">
            <v>7</v>
          </cell>
          <cell r="H809" t="str">
            <v>Gutierre-Muñoz</v>
          </cell>
        </row>
        <row r="810">
          <cell r="D810" t="str">
            <v>05</v>
          </cell>
          <cell r="E810" t="str">
            <v>Ávila</v>
          </cell>
          <cell r="F810" t="str">
            <v>092</v>
          </cell>
          <cell r="G810" t="str">
            <v>9</v>
          </cell>
          <cell r="H810" t="str">
            <v>Hernansancho</v>
          </cell>
        </row>
        <row r="811">
          <cell r="D811" t="str">
            <v>05</v>
          </cell>
          <cell r="E811" t="str">
            <v>Ávila</v>
          </cell>
          <cell r="F811" t="str">
            <v>093</v>
          </cell>
          <cell r="G811" t="str">
            <v>5</v>
          </cell>
          <cell r="H811" t="str">
            <v>Herradón de Pinares</v>
          </cell>
        </row>
        <row r="812">
          <cell r="D812" t="str">
            <v>05</v>
          </cell>
          <cell r="E812" t="str">
            <v>Ávila</v>
          </cell>
          <cell r="F812" t="str">
            <v>094</v>
          </cell>
          <cell r="G812" t="str">
            <v>0</v>
          </cell>
          <cell r="H812" t="str">
            <v>Herreros de Suso</v>
          </cell>
        </row>
        <row r="813">
          <cell r="D813" t="str">
            <v>05</v>
          </cell>
          <cell r="E813" t="str">
            <v>Ávila</v>
          </cell>
          <cell r="F813" t="str">
            <v>095</v>
          </cell>
          <cell r="G813" t="str">
            <v>3</v>
          </cell>
          <cell r="H813" t="str">
            <v>Higuera de las Dueñas</v>
          </cell>
        </row>
        <row r="814">
          <cell r="D814" t="str">
            <v>05</v>
          </cell>
          <cell r="E814" t="str">
            <v>Ávila</v>
          </cell>
          <cell r="F814" t="str">
            <v>096</v>
          </cell>
          <cell r="G814" t="str">
            <v>6</v>
          </cell>
          <cell r="H814" t="str">
            <v>Hija de Dios, La</v>
          </cell>
        </row>
        <row r="815">
          <cell r="D815" t="str">
            <v>05</v>
          </cell>
          <cell r="E815" t="str">
            <v>Ávila</v>
          </cell>
          <cell r="F815" t="str">
            <v>097</v>
          </cell>
          <cell r="G815" t="str">
            <v>2</v>
          </cell>
          <cell r="H815" t="str">
            <v>Horcajada, La</v>
          </cell>
        </row>
        <row r="816">
          <cell r="D816" t="str">
            <v>05</v>
          </cell>
          <cell r="E816" t="str">
            <v>Ávila</v>
          </cell>
          <cell r="F816" t="str">
            <v>099</v>
          </cell>
          <cell r="G816" t="str">
            <v>1</v>
          </cell>
          <cell r="H816" t="str">
            <v>Horcajo de las Torres</v>
          </cell>
        </row>
        <row r="817">
          <cell r="D817" t="str">
            <v>05</v>
          </cell>
          <cell r="E817" t="str">
            <v>Ávila</v>
          </cell>
          <cell r="F817" t="str">
            <v>100</v>
          </cell>
          <cell r="G817" t="str">
            <v>5</v>
          </cell>
          <cell r="H817" t="str">
            <v>Hornillo, El</v>
          </cell>
        </row>
        <row r="818">
          <cell r="D818" t="str">
            <v>05</v>
          </cell>
          <cell r="E818" t="str">
            <v>Ávila</v>
          </cell>
          <cell r="F818" t="str">
            <v>101</v>
          </cell>
          <cell r="G818" t="str">
            <v>2</v>
          </cell>
          <cell r="H818" t="str">
            <v>Hoyocasero</v>
          </cell>
        </row>
        <row r="819">
          <cell r="D819" t="str">
            <v>05</v>
          </cell>
          <cell r="E819" t="str">
            <v>Ávila</v>
          </cell>
          <cell r="F819" t="str">
            <v>102</v>
          </cell>
          <cell r="G819" t="str">
            <v>7</v>
          </cell>
          <cell r="H819" t="str">
            <v>Hoyo de Pinares, El</v>
          </cell>
        </row>
        <row r="820">
          <cell r="D820" t="str">
            <v>05</v>
          </cell>
          <cell r="E820" t="str">
            <v>Ávila</v>
          </cell>
          <cell r="F820" t="str">
            <v>103</v>
          </cell>
          <cell r="G820" t="str">
            <v>3</v>
          </cell>
          <cell r="H820" t="str">
            <v>Hoyorredondo</v>
          </cell>
        </row>
        <row r="821">
          <cell r="D821" t="str">
            <v>05</v>
          </cell>
          <cell r="E821" t="str">
            <v>Ávila</v>
          </cell>
          <cell r="F821" t="str">
            <v>104</v>
          </cell>
          <cell r="G821" t="str">
            <v>8</v>
          </cell>
          <cell r="H821" t="str">
            <v>Hoyos del Collado</v>
          </cell>
        </row>
        <row r="822">
          <cell r="D822" t="str">
            <v>05</v>
          </cell>
          <cell r="E822" t="str">
            <v>Ávila</v>
          </cell>
          <cell r="F822" t="str">
            <v>105</v>
          </cell>
          <cell r="G822" t="str">
            <v>1</v>
          </cell>
          <cell r="H822" t="str">
            <v>Hoyos del Espino</v>
          </cell>
        </row>
        <row r="823">
          <cell r="D823" t="str">
            <v>05</v>
          </cell>
          <cell r="E823" t="str">
            <v>Ávila</v>
          </cell>
          <cell r="F823" t="str">
            <v>106</v>
          </cell>
          <cell r="G823" t="str">
            <v>4</v>
          </cell>
          <cell r="H823" t="str">
            <v>Hoyos de Miguel Muñoz</v>
          </cell>
        </row>
        <row r="824">
          <cell r="D824" t="str">
            <v>05</v>
          </cell>
          <cell r="E824" t="str">
            <v>Ávila</v>
          </cell>
          <cell r="F824" t="str">
            <v>107</v>
          </cell>
          <cell r="G824" t="str">
            <v>0</v>
          </cell>
          <cell r="H824" t="str">
            <v>Hurtumpascual</v>
          </cell>
        </row>
        <row r="825">
          <cell r="D825" t="str">
            <v>05</v>
          </cell>
          <cell r="E825" t="str">
            <v>Ávila</v>
          </cell>
          <cell r="F825" t="str">
            <v>108</v>
          </cell>
          <cell r="G825" t="str">
            <v>6</v>
          </cell>
          <cell r="H825" t="str">
            <v>Junciana</v>
          </cell>
        </row>
        <row r="826">
          <cell r="D826" t="str">
            <v>05</v>
          </cell>
          <cell r="E826" t="str">
            <v>Ávila</v>
          </cell>
          <cell r="F826" t="str">
            <v>109</v>
          </cell>
          <cell r="G826" t="str">
            <v>9</v>
          </cell>
          <cell r="H826" t="str">
            <v>Langa</v>
          </cell>
        </row>
        <row r="827">
          <cell r="D827" t="str">
            <v>05</v>
          </cell>
          <cell r="E827" t="str">
            <v>Ávila</v>
          </cell>
          <cell r="F827" t="str">
            <v>110</v>
          </cell>
          <cell r="G827" t="str">
            <v>3</v>
          </cell>
          <cell r="H827" t="str">
            <v>Lanzahíta</v>
          </cell>
        </row>
        <row r="828">
          <cell r="D828" t="str">
            <v>05</v>
          </cell>
          <cell r="E828" t="str">
            <v>Ávila</v>
          </cell>
          <cell r="F828" t="str">
            <v>112</v>
          </cell>
          <cell r="G828" t="str">
            <v>5</v>
          </cell>
          <cell r="H828" t="str">
            <v>Losar del Barco, El</v>
          </cell>
        </row>
        <row r="829">
          <cell r="D829" t="str">
            <v>05</v>
          </cell>
          <cell r="E829" t="str">
            <v>Ávila</v>
          </cell>
          <cell r="F829" t="str">
            <v>113</v>
          </cell>
          <cell r="G829" t="str">
            <v>1</v>
          </cell>
          <cell r="H829" t="str">
            <v>Llanos de Tormes, Los</v>
          </cell>
        </row>
        <row r="830">
          <cell r="D830" t="str">
            <v>05</v>
          </cell>
          <cell r="E830" t="str">
            <v>Ávila</v>
          </cell>
          <cell r="F830" t="str">
            <v>114</v>
          </cell>
          <cell r="G830" t="str">
            <v>6</v>
          </cell>
          <cell r="H830" t="str">
            <v>Madrigal de las Altas Torres</v>
          </cell>
        </row>
        <row r="831">
          <cell r="D831" t="str">
            <v>05</v>
          </cell>
          <cell r="E831" t="str">
            <v>Ávila</v>
          </cell>
          <cell r="F831" t="str">
            <v>115</v>
          </cell>
          <cell r="G831" t="str">
            <v>9</v>
          </cell>
          <cell r="H831" t="str">
            <v>Maello</v>
          </cell>
        </row>
        <row r="832">
          <cell r="D832" t="str">
            <v>05</v>
          </cell>
          <cell r="E832" t="str">
            <v>Ávila</v>
          </cell>
          <cell r="F832" t="str">
            <v>116</v>
          </cell>
          <cell r="G832" t="str">
            <v>2</v>
          </cell>
          <cell r="H832" t="str">
            <v>Malpartida de Corneja</v>
          </cell>
        </row>
        <row r="833">
          <cell r="D833" t="str">
            <v>05</v>
          </cell>
          <cell r="E833" t="str">
            <v>Ávila</v>
          </cell>
          <cell r="F833" t="str">
            <v>117</v>
          </cell>
          <cell r="G833" t="str">
            <v>8</v>
          </cell>
          <cell r="H833" t="str">
            <v>Mamblas</v>
          </cell>
        </row>
        <row r="834">
          <cell r="D834" t="str">
            <v>05</v>
          </cell>
          <cell r="E834" t="str">
            <v>Ávila</v>
          </cell>
          <cell r="F834" t="str">
            <v>118</v>
          </cell>
          <cell r="G834" t="str">
            <v>4</v>
          </cell>
          <cell r="H834" t="str">
            <v>Mancera de Arriba</v>
          </cell>
        </row>
        <row r="835">
          <cell r="D835" t="str">
            <v>05</v>
          </cell>
          <cell r="E835" t="str">
            <v>Ávila</v>
          </cell>
          <cell r="F835" t="str">
            <v>119</v>
          </cell>
          <cell r="G835" t="str">
            <v>7</v>
          </cell>
          <cell r="H835" t="str">
            <v>Manjabálago y Ortigosa de Rioalmar</v>
          </cell>
        </row>
        <row r="836">
          <cell r="D836" t="str">
            <v>05</v>
          </cell>
          <cell r="E836" t="str">
            <v>Ávila</v>
          </cell>
          <cell r="F836" t="str">
            <v>120</v>
          </cell>
          <cell r="G836" t="str">
            <v>1</v>
          </cell>
          <cell r="H836" t="str">
            <v>Marlín</v>
          </cell>
        </row>
        <row r="837">
          <cell r="D837" t="str">
            <v>05</v>
          </cell>
          <cell r="E837" t="str">
            <v>Ávila</v>
          </cell>
          <cell r="F837" t="str">
            <v>121</v>
          </cell>
          <cell r="G837" t="str">
            <v>8</v>
          </cell>
          <cell r="H837" t="str">
            <v>Martiherrero</v>
          </cell>
        </row>
        <row r="838">
          <cell r="D838" t="str">
            <v>05</v>
          </cell>
          <cell r="E838" t="str">
            <v>Ávila</v>
          </cell>
          <cell r="F838" t="str">
            <v>122</v>
          </cell>
          <cell r="G838" t="str">
            <v>3</v>
          </cell>
          <cell r="H838" t="str">
            <v>Martínez</v>
          </cell>
        </row>
        <row r="839">
          <cell r="D839" t="str">
            <v>05</v>
          </cell>
          <cell r="E839" t="str">
            <v>Ávila</v>
          </cell>
          <cell r="F839" t="str">
            <v>123</v>
          </cell>
          <cell r="G839" t="str">
            <v>9</v>
          </cell>
          <cell r="H839" t="str">
            <v>Mediana de Voltoya</v>
          </cell>
        </row>
        <row r="840">
          <cell r="D840" t="str">
            <v>05</v>
          </cell>
          <cell r="E840" t="str">
            <v>Ávila</v>
          </cell>
          <cell r="F840" t="str">
            <v>124</v>
          </cell>
          <cell r="G840" t="str">
            <v>4</v>
          </cell>
          <cell r="H840" t="str">
            <v>Medinilla</v>
          </cell>
        </row>
        <row r="841">
          <cell r="D841" t="str">
            <v>05</v>
          </cell>
          <cell r="E841" t="str">
            <v>Ávila</v>
          </cell>
          <cell r="F841" t="str">
            <v>125</v>
          </cell>
          <cell r="G841" t="str">
            <v>7</v>
          </cell>
          <cell r="H841" t="str">
            <v>Mengamuñoz</v>
          </cell>
        </row>
        <row r="842">
          <cell r="D842" t="str">
            <v>05</v>
          </cell>
          <cell r="E842" t="str">
            <v>Ávila</v>
          </cell>
          <cell r="F842" t="str">
            <v>126</v>
          </cell>
          <cell r="G842" t="str">
            <v>0</v>
          </cell>
          <cell r="H842" t="str">
            <v>Mesegar de Corneja</v>
          </cell>
        </row>
        <row r="843">
          <cell r="D843" t="str">
            <v>05</v>
          </cell>
          <cell r="E843" t="str">
            <v>Ávila</v>
          </cell>
          <cell r="F843" t="str">
            <v>127</v>
          </cell>
          <cell r="G843" t="str">
            <v>6</v>
          </cell>
          <cell r="H843" t="str">
            <v>Mijares</v>
          </cell>
        </row>
        <row r="844">
          <cell r="D844" t="str">
            <v>05</v>
          </cell>
          <cell r="E844" t="str">
            <v>Ávila</v>
          </cell>
          <cell r="F844" t="str">
            <v>128</v>
          </cell>
          <cell r="G844" t="str">
            <v>2</v>
          </cell>
          <cell r="H844" t="str">
            <v>Mingorría</v>
          </cell>
        </row>
        <row r="845">
          <cell r="D845" t="str">
            <v>05</v>
          </cell>
          <cell r="E845" t="str">
            <v>Ávila</v>
          </cell>
          <cell r="F845" t="str">
            <v>129</v>
          </cell>
          <cell r="G845" t="str">
            <v>5</v>
          </cell>
          <cell r="H845" t="str">
            <v>Mirón, El</v>
          </cell>
        </row>
        <row r="846">
          <cell r="D846" t="str">
            <v>05</v>
          </cell>
          <cell r="E846" t="str">
            <v>Ávila</v>
          </cell>
          <cell r="F846" t="str">
            <v>130</v>
          </cell>
          <cell r="G846" t="str">
            <v>9</v>
          </cell>
          <cell r="H846" t="str">
            <v>Mironcillo</v>
          </cell>
        </row>
        <row r="847">
          <cell r="D847" t="str">
            <v>05</v>
          </cell>
          <cell r="E847" t="str">
            <v>Ávila</v>
          </cell>
          <cell r="F847" t="str">
            <v>131</v>
          </cell>
          <cell r="G847" t="str">
            <v>6</v>
          </cell>
          <cell r="H847" t="str">
            <v>Mirueña de los Infanzones</v>
          </cell>
        </row>
        <row r="848">
          <cell r="D848" t="str">
            <v>05</v>
          </cell>
          <cell r="E848" t="str">
            <v>Ávila</v>
          </cell>
          <cell r="F848" t="str">
            <v>132</v>
          </cell>
          <cell r="G848" t="str">
            <v>1</v>
          </cell>
          <cell r="H848" t="str">
            <v>Mombeltrán</v>
          </cell>
        </row>
        <row r="849">
          <cell r="D849" t="str">
            <v>05</v>
          </cell>
          <cell r="E849" t="str">
            <v>Ávila</v>
          </cell>
          <cell r="F849" t="str">
            <v>133</v>
          </cell>
          <cell r="G849" t="str">
            <v>7</v>
          </cell>
          <cell r="H849" t="str">
            <v>Monsalupe</v>
          </cell>
        </row>
        <row r="850">
          <cell r="D850" t="str">
            <v>05</v>
          </cell>
          <cell r="E850" t="str">
            <v>Ávila</v>
          </cell>
          <cell r="F850" t="str">
            <v>134</v>
          </cell>
          <cell r="G850" t="str">
            <v>2</v>
          </cell>
          <cell r="H850" t="str">
            <v>Moraleja de Matacabras</v>
          </cell>
        </row>
        <row r="851">
          <cell r="D851" t="str">
            <v>05</v>
          </cell>
          <cell r="E851" t="str">
            <v>Ávila</v>
          </cell>
          <cell r="F851" t="str">
            <v>135</v>
          </cell>
          <cell r="G851" t="str">
            <v>5</v>
          </cell>
          <cell r="H851" t="str">
            <v>Muñana</v>
          </cell>
        </row>
        <row r="852">
          <cell r="D852" t="str">
            <v>05</v>
          </cell>
          <cell r="E852" t="str">
            <v>Ávila</v>
          </cell>
          <cell r="F852" t="str">
            <v>136</v>
          </cell>
          <cell r="G852" t="str">
            <v>8</v>
          </cell>
          <cell r="H852" t="str">
            <v>Muñico</v>
          </cell>
        </row>
        <row r="853">
          <cell r="D853" t="str">
            <v>05</v>
          </cell>
          <cell r="E853" t="str">
            <v>Ávila</v>
          </cell>
          <cell r="F853" t="str">
            <v>138</v>
          </cell>
          <cell r="G853" t="str">
            <v>0</v>
          </cell>
          <cell r="H853" t="str">
            <v>Muñogalindo</v>
          </cell>
        </row>
        <row r="854">
          <cell r="D854" t="str">
            <v>05</v>
          </cell>
          <cell r="E854" t="str">
            <v>Ávila</v>
          </cell>
          <cell r="F854" t="str">
            <v>139</v>
          </cell>
          <cell r="G854" t="str">
            <v>3</v>
          </cell>
          <cell r="H854" t="str">
            <v>Muñogrande</v>
          </cell>
        </row>
        <row r="855">
          <cell r="D855" t="str">
            <v>05</v>
          </cell>
          <cell r="E855" t="str">
            <v>Ávila</v>
          </cell>
          <cell r="F855" t="str">
            <v>140</v>
          </cell>
          <cell r="G855" t="str">
            <v>7</v>
          </cell>
          <cell r="H855" t="str">
            <v>Muñomer del Peco</v>
          </cell>
        </row>
        <row r="856">
          <cell r="D856" t="str">
            <v>05</v>
          </cell>
          <cell r="E856" t="str">
            <v>Ávila</v>
          </cell>
          <cell r="F856" t="str">
            <v>141</v>
          </cell>
          <cell r="G856" t="str">
            <v>4</v>
          </cell>
          <cell r="H856" t="str">
            <v>Muñopepe</v>
          </cell>
        </row>
        <row r="857">
          <cell r="D857" t="str">
            <v>05</v>
          </cell>
          <cell r="E857" t="str">
            <v>Ávila</v>
          </cell>
          <cell r="F857" t="str">
            <v>142</v>
          </cell>
          <cell r="G857" t="str">
            <v>9</v>
          </cell>
          <cell r="H857" t="str">
            <v>Muñosancho</v>
          </cell>
        </row>
        <row r="858">
          <cell r="D858" t="str">
            <v>05</v>
          </cell>
          <cell r="E858" t="str">
            <v>Ávila</v>
          </cell>
          <cell r="F858" t="str">
            <v>143</v>
          </cell>
          <cell r="G858" t="str">
            <v>5</v>
          </cell>
          <cell r="H858" t="str">
            <v>Muñotello</v>
          </cell>
        </row>
        <row r="859">
          <cell r="D859" t="str">
            <v>05</v>
          </cell>
          <cell r="E859" t="str">
            <v>Ávila</v>
          </cell>
          <cell r="F859" t="str">
            <v>144</v>
          </cell>
          <cell r="G859" t="str">
            <v>0</v>
          </cell>
          <cell r="H859" t="str">
            <v>Narrillos del Álamo</v>
          </cell>
        </row>
        <row r="860">
          <cell r="D860" t="str">
            <v>05</v>
          </cell>
          <cell r="E860" t="str">
            <v>Ávila</v>
          </cell>
          <cell r="F860" t="str">
            <v>145</v>
          </cell>
          <cell r="G860" t="str">
            <v>3</v>
          </cell>
          <cell r="H860" t="str">
            <v>Narrillos del Rebollar</v>
          </cell>
        </row>
        <row r="861">
          <cell r="D861" t="str">
            <v>05</v>
          </cell>
          <cell r="E861" t="str">
            <v>Ávila</v>
          </cell>
          <cell r="F861" t="str">
            <v>147</v>
          </cell>
          <cell r="G861" t="str">
            <v>2</v>
          </cell>
          <cell r="H861" t="str">
            <v>Narros del Castillo</v>
          </cell>
        </row>
        <row r="862">
          <cell r="D862" t="str">
            <v>05</v>
          </cell>
          <cell r="E862" t="str">
            <v>Ávila</v>
          </cell>
          <cell r="F862" t="str">
            <v>148</v>
          </cell>
          <cell r="G862" t="str">
            <v>8</v>
          </cell>
          <cell r="H862" t="str">
            <v>Narros del Puerto</v>
          </cell>
        </row>
        <row r="863">
          <cell r="D863" t="str">
            <v>05</v>
          </cell>
          <cell r="E863" t="str">
            <v>Ávila</v>
          </cell>
          <cell r="F863" t="str">
            <v>149</v>
          </cell>
          <cell r="G863" t="str">
            <v>1</v>
          </cell>
          <cell r="H863" t="str">
            <v>Narros de Saldueña</v>
          </cell>
        </row>
        <row r="864">
          <cell r="D864" t="str">
            <v>05</v>
          </cell>
          <cell r="E864" t="str">
            <v>Ávila</v>
          </cell>
          <cell r="F864" t="str">
            <v>151</v>
          </cell>
          <cell r="G864" t="str">
            <v>1</v>
          </cell>
          <cell r="H864" t="str">
            <v>Navacepedilla de Corneja</v>
          </cell>
        </row>
        <row r="865">
          <cell r="D865" t="str">
            <v>05</v>
          </cell>
          <cell r="E865" t="str">
            <v>Ávila</v>
          </cell>
          <cell r="F865" t="str">
            <v>152</v>
          </cell>
          <cell r="G865" t="str">
            <v>6</v>
          </cell>
          <cell r="H865" t="str">
            <v>Nava de Arévalo</v>
          </cell>
        </row>
        <row r="866">
          <cell r="D866" t="str">
            <v>05</v>
          </cell>
          <cell r="E866" t="str">
            <v>Ávila</v>
          </cell>
          <cell r="F866" t="str">
            <v>153</v>
          </cell>
          <cell r="G866" t="str">
            <v>2</v>
          </cell>
          <cell r="H866" t="str">
            <v>Nava del Barco</v>
          </cell>
        </row>
        <row r="867">
          <cell r="D867" t="str">
            <v>05</v>
          </cell>
          <cell r="E867" t="str">
            <v>Ávila</v>
          </cell>
          <cell r="F867" t="str">
            <v>154</v>
          </cell>
          <cell r="G867" t="str">
            <v>7</v>
          </cell>
          <cell r="H867" t="str">
            <v>Navadijos</v>
          </cell>
        </row>
        <row r="868">
          <cell r="D868" t="str">
            <v>05</v>
          </cell>
          <cell r="E868" t="str">
            <v>Ávila</v>
          </cell>
          <cell r="F868" t="str">
            <v>155</v>
          </cell>
          <cell r="G868" t="str">
            <v>0</v>
          </cell>
          <cell r="H868" t="str">
            <v>Navaescurial</v>
          </cell>
        </row>
        <row r="869">
          <cell r="D869" t="str">
            <v>05</v>
          </cell>
          <cell r="E869" t="str">
            <v>Ávila</v>
          </cell>
          <cell r="F869" t="str">
            <v>156</v>
          </cell>
          <cell r="G869" t="str">
            <v>3</v>
          </cell>
          <cell r="H869" t="str">
            <v>Navahondilla</v>
          </cell>
        </row>
        <row r="870">
          <cell r="D870" t="str">
            <v>05</v>
          </cell>
          <cell r="E870" t="str">
            <v>Ávila</v>
          </cell>
          <cell r="F870" t="str">
            <v>157</v>
          </cell>
          <cell r="G870" t="str">
            <v>9</v>
          </cell>
          <cell r="H870" t="str">
            <v>Navalacruz</v>
          </cell>
        </row>
        <row r="871">
          <cell r="D871" t="str">
            <v>05</v>
          </cell>
          <cell r="E871" t="str">
            <v>Ávila</v>
          </cell>
          <cell r="F871" t="str">
            <v>158</v>
          </cell>
          <cell r="G871" t="str">
            <v>5</v>
          </cell>
          <cell r="H871" t="str">
            <v>Navalmoral</v>
          </cell>
        </row>
        <row r="872">
          <cell r="D872" t="str">
            <v>05</v>
          </cell>
          <cell r="E872" t="str">
            <v>Ávila</v>
          </cell>
          <cell r="F872" t="str">
            <v>159</v>
          </cell>
          <cell r="G872" t="str">
            <v>8</v>
          </cell>
          <cell r="H872" t="str">
            <v>Navalonguilla</v>
          </cell>
        </row>
        <row r="873">
          <cell r="D873" t="str">
            <v>05</v>
          </cell>
          <cell r="E873" t="str">
            <v>Ávila</v>
          </cell>
          <cell r="F873" t="str">
            <v>160</v>
          </cell>
          <cell r="G873" t="str">
            <v>2</v>
          </cell>
          <cell r="H873" t="str">
            <v>Navalosa</v>
          </cell>
        </row>
        <row r="874">
          <cell r="D874" t="str">
            <v>05</v>
          </cell>
          <cell r="E874" t="str">
            <v>Ávila</v>
          </cell>
          <cell r="F874" t="str">
            <v>161</v>
          </cell>
          <cell r="G874" t="str">
            <v>9</v>
          </cell>
          <cell r="H874" t="str">
            <v>Navalperal de Pinares</v>
          </cell>
        </row>
        <row r="875">
          <cell r="D875" t="str">
            <v>05</v>
          </cell>
          <cell r="E875" t="str">
            <v>Ávila</v>
          </cell>
          <cell r="F875" t="str">
            <v>162</v>
          </cell>
          <cell r="G875" t="str">
            <v>4</v>
          </cell>
          <cell r="H875" t="str">
            <v>Navalperal de Tormes</v>
          </cell>
        </row>
        <row r="876">
          <cell r="D876" t="str">
            <v>05</v>
          </cell>
          <cell r="E876" t="str">
            <v>Ávila</v>
          </cell>
          <cell r="F876" t="str">
            <v>163</v>
          </cell>
          <cell r="G876" t="str">
            <v>0</v>
          </cell>
          <cell r="H876" t="str">
            <v>Navaluenga</v>
          </cell>
        </row>
        <row r="877">
          <cell r="D877" t="str">
            <v>05</v>
          </cell>
          <cell r="E877" t="str">
            <v>Ávila</v>
          </cell>
          <cell r="F877" t="str">
            <v>164</v>
          </cell>
          <cell r="G877" t="str">
            <v>5</v>
          </cell>
          <cell r="H877" t="str">
            <v>Navaquesera</v>
          </cell>
        </row>
        <row r="878">
          <cell r="D878" t="str">
            <v>05</v>
          </cell>
          <cell r="E878" t="str">
            <v>Ávila</v>
          </cell>
          <cell r="F878" t="str">
            <v>165</v>
          </cell>
          <cell r="G878" t="str">
            <v>8</v>
          </cell>
          <cell r="H878" t="str">
            <v>Navarredonda de Gredos</v>
          </cell>
        </row>
        <row r="879">
          <cell r="D879" t="str">
            <v>05</v>
          </cell>
          <cell r="E879" t="str">
            <v>Ávila</v>
          </cell>
          <cell r="F879" t="str">
            <v>166</v>
          </cell>
          <cell r="G879" t="str">
            <v>1</v>
          </cell>
          <cell r="H879" t="str">
            <v>Navarredondilla</v>
          </cell>
        </row>
        <row r="880">
          <cell r="D880" t="str">
            <v>05</v>
          </cell>
          <cell r="E880" t="str">
            <v>Ávila</v>
          </cell>
          <cell r="F880" t="str">
            <v>167</v>
          </cell>
          <cell r="G880" t="str">
            <v>7</v>
          </cell>
          <cell r="H880" t="str">
            <v>Navarrevisca</v>
          </cell>
        </row>
        <row r="881">
          <cell r="D881" t="str">
            <v>05</v>
          </cell>
          <cell r="E881" t="str">
            <v>Ávila</v>
          </cell>
          <cell r="F881" t="str">
            <v>168</v>
          </cell>
          <cell r="G881" t="str">
            <v>3</v>
          </cell>
          <cell r="H881" t="str">
            <v>Navas del Marqués, Las</v>
          </cell>
        </row>
        <row r="882">
          <cell r="D882" t="str">
            <v>05</v>
          </cell>
          <cell r="E882" t="str">
            <v>Ávila</v>
          </cell>
          <cell r="F882" t="str">
            <v>169</v>
          </cell>
          <cell r="G882" t="str">
            <v>6</v>
          </cell>
          <cell r="H882" t="str">
            <v>Navatalgordo</v>
          </cell>
        </row>
        <row r="883">
          <cell r="D883" t="str">
            <v>05</v>
          </cell>
          <cell r="E883" t="str">
            <v>Ávila</v>
          </cell>
          <cell r="F883" t="str">
            <v>170</v>
          </cell>
          <cell r="G883" t="str">
            <v>0</v>
          </cell>
          <cell r="H883" t="str">
            <v>Navatejares</v>
          </cell>
        </row>
        <row r="884">
          <cell r="D884" t="str">
            <v>05</v>
          </cell>
          <cell r="E884" t="str">
            <v>Ávila</v>
          </cell>
          <cell r="F884" t="str">
            <v>171</v>
          </cell>
          <cell r="G884" t="str">
            <v>7</v>
          </cell>
          <cell r="H884" t="str">
            <v>Neila de San Miguel</v>
          </cell>
        </row>
        <row r="885">
          <cell r="D885" t="str">
            <v>05</v>
          </cell>
          <cell r="E885" t="str">
            <v>Ávila</v>
          </cell>
          <cell r="F885" t="str">
            <v>172</v>
          </cell>
          <cell r="G885" t="str">
            <v>2</v>
          </cell>
          <cell r="H885" t="str">
            <v>Niharra</v>
          </cell>
        </row>
        <row r="886">
          <cell r="D886" t="str">
            <v>05</v>
          </cell>
          <cell r="E886" t="str">
            <v>Ávila</v>
          </cell>
          <cell r="F886" t="str">
            <v>173</v>
          </cell>
          <cell r="G886" t="str">
            <v>8</v>
          </cell>
          <cell r="H886" t="str">
            <v>Ojos-Albos</v>
          </cell>
        </row>
        <row r="887">
          <cell r="D887" t="str">
            <v>05</v>
          </cell>
          <cell r="E887" t="str">
            <v>Ávila</v>
          </cell>
          <cell r="F887" t="str">
            <v>174</v>
          </cell>
          <cell r="G887" t="str">
            <v>3</v>
          </cell>
          <cell r="H887" t="str">
            <v>Orbita</v>
          </cell>
        </row>
        <row r="888">
          <cell r="D888" t="str">
            <v>05</v>
          </cell>
          <cell r="E888" t="str">
            <v>Ávila</v>
          </cell>
          <cell r="F888" t="str">
            <v>175</v>
          </cell>
          <cell r="G888" t="str">
            <v>6</v>
          </cell>
          <cell r="H888" t="str">
            <v>Oso, El</v>
          </cell>
        </row>
        <row r="889">
          <cell r="D889" t="str">
            <v>05</v>
          </cell>
          <cell r="E889" t="str">
            <v>Ávila</v>
          </cell>
          <cell r="F889" t="str">
            <v>176</v>
          </cell>
          <cell r="G889" t="str">
            <v>9</v>
          </cell>
          <cell r="H889" t="str">
            <v>Padiernos</v>
          </cell>
        </row>
        <row r="890">
          <cell r="D890" t="str">
            <v>05</v>
          </cell>
          <cell r="E890" t="str">
            <v>Ávila</v>
          </cell>
          <cell r="F890" t="str">
            <v>177</v>
          </cell>
          <cell r="G890" t="str">
            <v>5</v>
          </cell>
          <cell r="H890" t="str">
            <v>Pajares de Adaja</v>
          </cell>
        </row>
        <row r="891">
          <cell r="D891" t="str">
            <v>05</v>
          </cell>
          <cell r="E891" t="str">
            <v>Ávila</v>
          </cell>
          <cell r="F891" t="str">
            <v>178</v>
          </cell>
          <cell r="G891" t="str">
            <v>1</v>
          </cell>
          <cell r="H891" t="str">
            <v>Palacios de Goda</v>
          </cell>
        </row>
        <row r="892">
          <cell r="D892" t="str">
            <v>05</v>
          </cell>
          <cell r="E892" t="str">
            <v>Ávila</v>
          </cell>
          <cell r="F892" t="str">
            <v>179</v>
          </cell>
          <cell r="G892" t="str">
            <v>4</v>
          </cell>
          <cell r="H892" t="str">
            <v>Papatrigo</v>
          </cell>
        </row>
        <row r="893">
          <cell r="D893" t="str">
            <v>05</v>
          </cell>
          <cell r="E893" t="str">
            <v>Ávila</v>
          </cell>
          <cell r="F893" t="str">
            <v>180</v>
          </cell>
          <cell r="G893" t="str">
            <v>8</v>
          </cell>
          <cell r="H893" t="str">
            <v>Parral, El</v>
          </cell>
        </row>
        <row r="894">
          <cell r="D894" t="str">
            <v>05</v>
          </cell>
          <cell r="E894" t="str">
            <v>Ávila</v>
          </cell>
          <cell r="F894" t="str">
            <v>181</v>
          </cell>
          <cell r="G894" t="str">
            <v>5</v>
          </cell>
          <cell r="H894" t="str">
            <v>Pascualcobo</v>
          </cell>
        </row>
        <row r="895">
          <cell r="D895" t="str">
            <v>05</v>
          </cell>
          <cell r="E895" t="str">
            <v>Ávila</v>
          </cell>
          <cell r="F895" t="str">
            <v>182</v>
          </cell>
          <cell r="G895" t="str">
            <v>0</v>
          </cell>
          <cell r="H895" t="str">
            <v>Pedro Bernardo</v>
          </cell>
        </row>
        <row r="896">
          <cell r="D896" t="str">
            <v>05</v>
          </cell>
          <cell r="E896" t="str">
            <v>Ávila</v>
          </cell>
          <cell r="F896" t="str">
            <v>183</v>
          </cell>
          <cell r="G896" t="str">
            <v>6</v>
          </cell>
          <cell r="H896" t="str">
            <v>Pedro-Rodríguez</v>
          </cell>
        </row>
        <row r="897">
          <cell r="D897" t="str">
            <v>05</v>
          </cell>
          <cell r="E897" t="str">
            <v>Ávila</v>
          </cell>
          <cell r="F897" t="str">
            <v>184</v>
          </cell>
          <cell r="G897" t="str">
            <v>1</v>
          </cell>
          <cell r="H897" t="str">
            <v>Peguerinos</v>
          </cell>
        </row>
        <row r="898">
          <cell r="D898" t="str">
            <v>05</v>
          </cell>
          <cell r="E898" t="str">
            <v>Ávila</v>
          </cell>
          <cell r="F898" t="str">
            <v>185</v>
          </cell>
          <cell r="G898" t="str">
            <v>4</v>
          </cell>
          <cell r="H898" t="str">
            <v>Peñalba de Ávila</v>
          </cell>
        </row>
        <row r="899">
          <cell r="D899" t="str">
            <v>05</v>
          </cell>
          <cell r="E899" t="str">
            <v>Ávila</v>
          </cell>
          <cell r="F899" t="str">
            <v>186</v>
          </cell>
          <cell r="G899" t="str">
            <v>7</v>
          </cell>
          <cell r="H899" t="str">
            <v>Piedrahíta</v>
          </cell>
        </row>
        <row r="900">
          <cell r="D900" t="str">
            <v>05</v>
          </cell>
          <cell r="E900" t="str">
            <v>Ávila</v>
          </cell>
          <cell r="F900" t="str">
            <v>187</v>
          </cell>
          <cell r="G900" t="str">
            <v>3</v>
          </cell>
          <cell r="H900" t="str">
            <v>Piedralaves</v>
          </cell>
        </row>
        <row r="901">
          <cell r="D901" t="str">
            <v>05</v>
          </cell>
          <cell r="E901" t="str">
            <v>Ávila</v>
          </cell>
          <cell r="F901" t="str">
            <v>188</v>
          </cell>
          <cell r="G901" t="str">
            <v>9</v>
          </cell>
          <cell r="H901" t="str">
            <v>Poveda</v>
          </cell>
        </row>
        <row r="902">
          <cell r="D902" t="str">
            <v>05</v>
          </cell>
          <cell r="E902" t="str">
            <v>Ávila</v>
          </cell>
          <cell r="F902" t="str">
            <v>189</v>
          </cell>
          <cell r="G902" t="str">
            <v>2</v>
          </cell>
          <cell r="H902" t="str">
            <v>Poyales del Hoyo</v>
          </cell>
        </row>
        <row r="903">
          <cell r="D903" t="str">
            <v>05</v>
          </cell>
          <cell r="E903" t="str">
            <v>Ávila</v>
          </cell>
          <cell r="F903" t="str">
            <v>190</v>
          </cell>
          <cell r="G903" t="str">
            <v>6</v>
          </cell>
          <cell r="H903" t="str">
            <v>Pozanco</v>
          </cell>
        </row>
        <row r="904">
          <cell r="D904" t="str">
            <v>05</v>
          </cell>
          <cell r="E904" t="str">
            <v>Ávila</v>
          </cell>
          <cell r="F904" t="str">
            <v>191</v>
          </cell>
          <cell r="G904" t="str">
            <v>3</v>
          </cell>
          <cell r="H904" t="str">
            <v>Pradosegar</v>
          </cell>
        </row>
        <row r="905">
          <cell r="D905" t="str">
            <v>05</v>
          </cell>
          <cell r="E905" t="str">
            <v>Ávila</v>
          </cell>
          <cell r="F905" t="str">
            <v>192</v>
          </cell>
          <cell r="G905" t="str">
            <v>8</v>
          </cell>
          <cell r="H905" t="str">
            <v>Puerto Castilla</v>
          </cell>
        </row>
        <row r="906">
          <cell r="D906" t="str">
            <v>05</v>
          </cell>
          <cell r="E906" t="str">
            <v>Ávila</v>
          </cell>
          <cell r="F906" t="str">
            <v>193</v>
          </cell>
          <cell r="G906" t="str">
            <v>4</v>
          </cell>
          <cell r="H906" t="str">
            <v>Rasueros</v>
          </cell>
        </row>
        <row r="907">
          <cell r="D907" t="str">
            <v>05</v>
          </cell>
          <cell r="E907" t="str">
            <v>Ávila</v>
          </cell>
          <cell r="F907" t="str">
            <v>194</v>
          </cell>
          <cell r="G907" t="str">
            <v>9</v>
          </cell>
          <cell r="H907" t="str">
            <v>Riocabado</v>
          </cell>
        </row>
        <row r="908">
          <cell r="D908" t="str">
            <v>05</v>
          </cell>
          <cell r="E908" t="str">
            <v>Ávila</v>
          </cell>
          <cell r="F908" t="str">
            <v>195</v>
          </cell>
          <cell r="G908" t="str">
            <v>2</v>
          </cell>
          <cell r="H908" t="str">
            <v>Riofrío</v>
          </cell>
        </row>
        <row r="909">
          <cell r="D909" t="str">
            <v>05</v>
          </cell>
          <cell r="E909" t="str">
            <v>Ávila</v>
          </cell>
          <cell r="F909" t="str">
            <v>196</v>
          </cell>
          <cell r="G909" t="str">
            <v>5</v>
          </cell>
          <cell r="H909" t="str">
            <v>Rivilla de Barajas</v>
          </cell>
        </row>
        <row r="910">
          <cell r="D910" t="str">
            <v>05</v>
          </cell>
          <cell r="E910" t="str">
            <v>Ávila</v>
          </cell>
          <cell r="F910" t="str">
            <v>197</v>
          </cell>
          <cell r="G910" t="str">
            <v>1</v>
          </cell>
          <cell r="H910" t="str">
            <v>Salobral</v>
          </cell>
        </row>
        <row r="911">
          <cell r="D911" t="str">
            <v>05</v>
          </cell>
          <cell r="E911" t="str">
            <v>Ávila</v>
          </cell>
          <cell r="F911" t="str">
            <v>198</v>
          </cell>
          <cell r="G911" t="str">
            <v>7</v>
          </cell>
          <cell r="H911" t="str">
            <v>Salvadiós</v>
          </cell>
        </row>
        <row r="912">
          <cell r="D912" t="str">
            <v>05</v>
          </cell>
          <cell r="E912" t="str">
            <v>Ávila</v>
          </cell>
          <cell r="F912" t="str">
            <v>199</v>
          </cell>
          <cell r="G912" t="str">
            <v>0</v>
          </cell>
          <cell r="H912" t="str">
            <v>San Bartolomé de Béjar</v>
          </cell>
        </row>
        <row r="913">
          <cell r="D913" t="str">
            <v>05</v>
          </cell>
          <cell r="E913" t="str">
            <v>Ávila</v>
          </cell>
          <cell r="F913" t="str">
            <v>200</v>
          </cell>
          <cell r="G913" t="str">
            <v>4</v>
          </cell>
          <cell r="H913" t="str">
            <v>San Bartolomé de Corneja</v>
          </cell>
        </row>
        <row r="914">
          <cell r="D914" t="str">
            <v>05</v>
          </cell>
          <cell r="E914" t="str">
            <v>Ávila</v>
          </cell>
          <cell r="F914" t="str">
            <v>201</v>
          </cell>
          <cell r="G914" t="str">
            <v>1</v>
          </cell>
          <cell r="H914" t="str">
            <v>San Bartolomé de Pinares</v>
          </cell>
        </row>
        <row r="915">
          <cell r="D915" t="str">
            <v>05</v>
          </cell>
          <cell r="E915" t="str">
            <v>Ávila</v>
          </cell>
          <cell r="F915" t="str">
            <v>204</v>
          </cell>
          <cell r="G915" t="str">
            <v>7</v>
          </cell>
          <cell r="H915" t="str">
            <v>Sanchidrián</v>
          </cell>
        </row>
        <row r="916">
          <cell r="D916" t="str">
            <v>05</v>
          </cell>
          <cell r="E916" t="str">
            <v>Ávila</v>
          </cell>
          <cell r="F916" t="str">
            <v>205</v>
          </cell>
          <cell r="G916" t="str">
            <v>0</v>
          </cell>
          <cell r="H916" t="str">
            <v>Sanchorreja</v>
          </cell>
        </row>
        <row r="917">
          <cell r="D917" t="str">
            <v>05</v>
          </cell>
          <cell r="E917" t="str">
            <v>Ávila</v>
          </cell>
          <cell r="F917" t="str">
            <v>206</v>
          </cell>
          <cell r="G917" t="str">
            <v>3</v>
          </cell>
          <cell r="H917" t="str">
            <v>San Esteban de los Patos</v>
          </cell>
        </row>
        <row r="918">
          <cell r="D918" t="str">
            <v>05</v>
          </cell>
          <cell r="E918" t="str">
            <v>Ávila</v>
          </cell>
          <cell r="F918" t="str">
            <v>207</v>
          </cell>
          <cell r="G918" t="str">
            <v>9</v>
          </cell>
          <cell r="H918" t="str">
            <v>San Esteban del Valle</v>
          </cell>
        </row>
        <row r="919">
          <cell r="D919" t="str">
            <v>05</v>
          </cell>
          <cell r="E919" t="str">
            <v>Ávila</v>
          </cell>
          <cell r="F919" t="str">
            <v>208</v>
          </cell>
          <cell r="G919" t="str">
            <v>5</v>
          </cell>
          <cell r="H919" t="str">
            <v>San Esteban de Zapardiel</v>
          </cell>
        </row>
        <row r="920">
          <cell r="D920" t="str">
            <v>05</v>
          </cell>
          <cell r="E920" t="str">
            <v>Ávila</v>
          </cell>
          <cell r="F920" t="str">
            <v>209</v>
          </cell>
          <cell r="G920" t="str">
            <v>8</v>
          </cell>
          <cell r="H920" t="str">
            <v>San García de Ingelmos</v>
          </cell>
        </row>
        <row r="921">
          <cell r="D921" t="str">
            <v>05</v>
          </cell>
          <cell r="E921" t="str">
            <v>Ávila</v>
          </cell>
          <cell r="F921" t="str">
            <v>210</v>
          </cell>
          <cell r="G921" t="str">
            <v>2</v>
          </cell>
          <cell r="H921" t="str">
            <v>San Juan de la Encinilla</v>
          </cell>
        </row>
        <row r="922">
          <cell r="D922" t="str">
            <v>05</v>
          </cell>
          <cell r="E922" t="str">
            <v>Ávila</v>
          </cell>
          <cell r="F922" t="str">
            <v>211</v>
          </cell>
          <cell r="G922" t="str">
            <v>9</v>
          </cell>
          <cell r="H922" t="str">
            <v>San Juan de la Nava</v>
          </cell>
        </row>
        <row r="923">
          <cell r="D923" t="str">
            <v>05</v>
          </cell>
          <cell r="E923" t="str">
            <v>Ávila</v>
          </cell>
          <cell r="F923" t="str">
            <v>212</v>
          </cell>
          <cell r="G923" t="str">
            <v>4</v>
          </cell>
          <cell r="H923" t="str">
            <v>San Juan del Molinillo</v>
          </cell>
        </row>
        <row r="924">
          <cell r="D924" t="str">
            <v>05</v>
          </cell>
          <cell r="E924" t="str">
            <v>Ávila</v>
          </cell>
          <cell r="F924" t="str">
            <v>213</v>
          </cell>
          <cell r="G924" t="str">
            <v>0</v>
          </cell>
          <cell r="H924" t="str">
            <v>San Juan del Olmo</v>
          </cell>
        </row>
        <row r="925">
          <cell r="D925" t="str">
            <v>05</v>
          </cell>
          <cell r="E925" t="str">
            <v>Ávila</v>
          </cell>
          <cell r="F925" t="str">
            <v>214</v>
          </cell>
          <cell r="G925" t="str">
            <v>5</v>
          </cell>
          <cell r="H925" t="str">
            <v>San Lorenzo de Tormes</v>
          </cell>
        </row>
        <row r="926">
          <cell r="D926" t="str">
            <v>05</v>
          </cell>
          <cell r="E926" t="str">
            <v>Ávila</v>
          </cell>
          <cell r="F926" t="str">
            <v>215</v>
          </cell>
          <cell r="G926" t="str">
            <v>8</v>
          </cell>
          <cell r="H926" t="str">
            <v>San Martín de la Vega del Alberche</v>
          </cell>
        </row>
        <row r="927">
          <cell r="D927" t="str">
            <v>05</v>
          </cell>
          <cell r="E927" t="str">
            <v>Ávila</v>
          </cell>
          <cell r="F927" t="str">
            <v>216</v>
          </cell>
          <cell r="G927" t="str">
            <v>1</v>
          </cell>
          <cell r="H927" t="str">
            <v>San Martín del Pimpollar</v>
          </cell>
        </row>
        <row r="928">
          <cell r="D928" t="str">
            <v>05</v>
          </cell>
          <cell r="E928" t="str">
            <v>Ávila</v>
          </cell>
          <cell r="F928" t="str">
            <v>217</v>
          </cell>
          <cell r="G928" t="str">
            <v>7</v>
          </cell>
          <cell r="H928" t="str">
            <v>San Miguel de Corneja</v>
          </cell>
        </row>
        <row r="929">
          <cell r="D929" t="str">
            <v>05</v>
          </cell>
          <cell r="E929" t="str">
            <v>Ávila</v>
          </cell>
          <cell r="F929" t="str">
            <v>218</v>
          </cell>
          <cell r="G929" t="str">
            <v>3</v>
          </cell>
          <cell r="H929" t="str">
            <v>San Miguel de Serrezuela</v>
          </cell>
        </row>
        <row r="930">
          <cell r="D930" t="str">
            <v>05</v>
          </cell>
          <cell r="E930" t="str">
            <v>Ávila</v>
          </cell>
          <cell r="F930" t="str">
            <v>219</v>
          </cell>
          <cell r="G930" t="str">
            <v>6</v>
          </cell>
          <cell r="H930" t="str">
            <v>San Pascual</v>
          </cell>
        </row>
        <row r="931">
          <cell r="D931" t="str">
            <v>05</v>
          </cell>
          <cell r="E931" t="str">
            <v>Ávila</v>
          </cell>
          <cell r="F931" t="str">
            <v>220</v>
          </cell>
          <cell r="G931" t="str">
            <v>0</v>
          </cell>
          <cell r="H931" t="str">
            <v>San Pedro del Arroyo</v>
          </cell>
        </row>
        <row r="932">
          <cell r="D932" t="str">
            <v>05</v>
          </cell>
          <cell r="E932" t="str">
            <v>Ávila</v>
          </cell>
          <cell r="F932" t="str">
            <v>221</v>
          </cell>
          <cell r="G932" t="str">
            <v>7</v>
          </cell>
          <cell r="H932" t="str">
            <v>Santa Cruz del Valle</v>
          </cell>
        </row>
        <row r="933">
          <cell r="D933" t="str">
            <v>05</v>
          </cell>
          <cell r="E933" t="str">
            <v>Ávila</v>
          </cell>
          <cell r="F933" t="str">
            <v>222</v>
          </cell>
          <cell r="G933" t="str">
            <v>2</v>
          </cell>
          <cell r="H933" t="str">
            <v>Santa Cruz de Pinares</v>
          </cell>
        </row>
        <row r="934">
          <cell r="D934" t="str">
            <v>05</v>
          </cell>
          <cell r="E934" t="str">
            <v>Ávila</v>
          </cell>
          <cell r="F934" t="str">
            <v>224</v>
          </cell>
          <cell r="G934" t="str">
            <v>3</v>
          </cell>
          <cell r="H934" t="str">
            <v>Santa María del Arroyo</v>
          </cell>
        </row>
        <row r="935">
          <cell r="D935" t="str">
            <v>05</v>
          </cell>
          <cell r="E935" t="str">
            <v>Ávila</v>
          </cell>
          <cell r="F935" t="str">
            <v>225</v>
          </cell>
          <cell r="G935" t="str">
            <v>6</v>
          </cell>
          <cell r="H935" t="str">
            <v>Santa María del Berrocal</v>
          </cell>
        </row>
        <row r="936">
          <cell r="D936" t="str">
            <v>05</v>
          </cell>
          <cell r="E936" t="str">
            <v>Ávila</v>
          </cell>
          <cell r="F936" t="str">
            <v>226</v>
          </cell>
          <cell r="G936" t="str">
            <v>9</v>
          </cell>
          <cell r="H936" t="str">
            <v>Santa María de los Caballeros</v>
          </cell>
        </row>
        <row r="937">
          <cell r="D937" t="str">
            <v>05</v>
          </cell>
          <cell r="E937" t="str">
            <v>Ávila</v>
          </cell>
          <cell r="F937" t="str">
            <v>227</v>
          </cell>
          <cell r="G937" t="str">
            <v>5</v>
          </cell>
          <cell r="H937" t="str">
            <v>Santa María del Tiétar</v>
          </cell>
        </row>
        <row r="938">
          <cell r="D938" t="str">
            <v>05</v>
          </cell>
          <cell r="E938" t="str">
            <v>Ávila</v>
          </cell>
          <cell r="F938" t="str">
            <v>228</v>
          </cell>
          <cell r="G938" t="str">
            <v>1</v>
          </cell>
          <cell r="H938" t="str">
            <v>Santiago del Collado</v>
          </cell>
        </row>
        <row r="939">
          <cell r="D939" t="str">
            <v>05</v>
          </cell>
          <cell r="E939" t="str">
            <v>Ávila</v>
          </cell>
          <cell r="F939" t="str">
            <v>229</v>
          </cell>
          <cell r="G939" t="str">
            <v>4</v>
          </cell>
          <cell r="H939" t="str">
            <v>Santo Domingo de las Posadas</v>
          </cell>
        </row>
        <row r="940">
          <cell r="D940" t="str">
            <v>05</v>
          </cell>
          <cell r="E940" t="str">
            <v>Ávila</v>
          </cell>
          <cell r="F940" t="str">
            <v>230</v>
          </cell>
          <cell r="G940" t="str">
            <v>8</v>
          </cell>
          <cell r="H940" t="str">
            <v>Santo Tomé de Zabarcos</v>
          </cell>
        </row>
        <row r="941">
          <cell r="D941" t="str">
            <v>05</v>
          </cell>
          <cell r="E941" t="str">
            <v>Ávila</v>
          </cell>
          <cell r="F941" t="str">
            <v>231</v>
          </cell>
          <cell r="G941" t="str">
            <v>5</v>
          </cell>
          <cell r="H941" t="str">
            <v>San Vicente de Arévalo</v>
          </cell>
        </row>
        <row r="942">
          <cell r="D942" t="str">
            <v>05</v>
          </cell>
          <cell r="E942" t="str">
            <v>Ávila</v>
          </cell>
          <cell r="F942" t="str">
            <v>232</v>
          </cell>
          <cell r="G942" t="str">
            <v>0</v>
          </cell>
          <cell r="H942" t="str">
            <v>Serrada, La</v>
          </cell>
        </row>
        <row r="943">
          <cell r="D943" t="str">
            <v>05</v>
          </cell>
          <cell r="E943" t="str">
            <v>Ávila</v>
          </cell>
          <cell r="F943" t="str">
            <v>233</v>
          </cell>
          <cell r="G943" t="str">
            <v>6</v>
          </cell>
          <cell r="H943" t="str">
            <v>Serranillos</v>
          </cell>
        </row>
        <row r="944">
          <cell r="D944" t="str">
            <v>05</v>
          </cell>
          <cell r="E944" t="str">
            <v>Ávila</v>
          </cell>
          <cell r="F944" t="str">
            <v>234</v>
          </cell>
          <cell r="G944" t="str">
            <v>1</v>
          </cell>
          <cell r="H944" t="str">
            <v>Sigeres</v>
          </cell>
        </row>
        <row r="945">
          <cell r="D945" t="str">
            <v>05</v>
          </cell>
          <cell r="E945" t="str">
            <v>Ávila</v>
          </cell>
          <cell r="F945" t="str">
            <v>235</v>
          </cell>
          <cell r="G945" t="str">
            <v>4</v>
          </cell>
          <cell r="H945" t="str">
            <v>Sinlabajos</v>
          </cell>
        </row>
        <row r="946">
          <cell r="D946" t="str">
            <v>05</v>
          </cell>
          <cell r="E946" t="str">
            <v>Ávila</v>
          </cell>
          <cell r="F946" t="str">
            <v>236</v>
          </cell>
          <cell r="G946" t="str">
            <v>7</v>
          </cell>
          <cell r="H946" t="str">
            <v>Solana de Ávila</v>
          </cell>
        </row>
        <row r="947">
          <cell r="D947" t="str">
            <v>05</v>
          </cell>
          <cell r="E947" t="str">
            <v>Ávila</v>
          </cell>
          <cell r="F947" t="str">
            <v>237</v>
          </cell>
          <cell r="G947" t="str">
            <v>3</v>
          </cell>
          <cell r="H947" t="str">
            <v>Solana de Rioalmar</v>
          </cell>
        </row>
        <row r="948">
          <cell r="D948" t="str">
            <v>05</v>
          </cell>
          <cell r="E948" t="str">
            <v>Ávila</v>
          </cell>
          <cell r="F948" t="str">
            <v>238</v>
          </cell>
          <cell r="G948" t="str">
            <v>9</v>
          </cell>
          <cell r="H948" t="str">
            <v>Solosancho</v>
          </cell>
        </row>
        <row r="949">
          <cell r="D949" t="str">
            <v>05</v>
          </cell>
          <cell r="E949" t="str">
            <v>Ávila</v>
          </cell>
          <cell r="F949" t="str">
            <v>239</v>
          </cell>
          <cell r="G949" t="str">
            <v>2</v>
          </cell>
          <cell r="H949" t="str">
            <v>Sotalbo</v>
          </cell>
        </row>
        <row r="950">
          <cell r="D950" t="str">
            <v>05</v>
          </cell>
          <cell r="E950" t="str">
            <v>Ávila</v>
          </cell>
          <cell r="F950" t="str">
            <v>240</v>
          </cell>
          <cell r="G950" t="str">
            <v>6</v>
          </cell>
          <cell r="H950" t="str">
            <v>Sotillo de la Adrada</v>
          </cell>
        </row>
        <row r="951">
          <cell r="D951" t="str">
            <v>05</v>
          </cell>
          <cell r="E951" t="str">
            <v>Ávila</v>
          </cell>
          <cell r="F951" t="str">
            <v>241</v>
          </cell>
          <cell r="G951" t="str">
            <v>3</v>
          </cell>
          <cell r="H951" t="str">
            <v>Tiemblo, El</v>
          </cell>
        </row>
        <row r="952">
          <cell r="D952" t="str">
            <v>05</v>
          </cell>
          <cell r="E952" t="str">
            <v>Ávila</v>
          </cell>
          <cell r="F952" t="str">
            <v>242</v>
          </cell>
          <cell r="G952" t="str">
            <v>8</v>
          </cell>
          <cell r="H952" t="str">
            <v>Tiñosillos</v>
          </cell>
        </row>
        <row r="953">
          <cell r="D953" t="str">
            <v>05</v>
          </cell>
          <cell r="E953" t="str">
            <v>Ávila</v>
          </cell>
          <cell r="F953" t="str">
            <v>243</v>
          </cell>
          <cell r="G953" t="str">
            <v>4</v>
          </cell>
          <cell r="H953" t="str">
            <v>Tolbaños</v>
          </cell>
        </row>
        <row r="954">
          <cell r="D954" t="str">
            <v>05</v>
          </cell>
          <cell r="E954" t="str">
            <v>Ávila</v>
          </cell>
          <cell r="F954" t="str">
            <v>244</v>
          </cell>
          <cell r="G954" t="str">
            <v>9</v>
          </cell>
          <cell r="H954" t="str">
            <v>Tormellas</v>
          </cell>
        </row>
        <row r="955">
          <cell r="D955" t="str">
            <v>05</v>
          </cell>
          <cell r="E955" t="str">
            <v>Ávila</v>
          </cell>
          <cell r="F955" t="str">
            <v>245</v>
          </cell>
          <cell r="G955" t="str">
            <v>2</v>
          </cell>
          <cell r="H955" t="str">
            <v>Tornadizos de Ávila</v>
          </cell>
        </row>
        <row r="956">
          <cell r="D956" t="str">
            <v>05</v>
          </cell>
          <cell r="E956" t="str">
            <v>Ávila</v>
          </cell>
          <cell r="F956" t="str">
            <v>246</v>
          </cell>
          <cell r="G956" t="str">
            <v>5</v>
          </cell>
          <cell r="H956" t="str">
            <v>Tórtoles</v>
          </cell>
        </row>
        <row r="957">
          <cell r="D957" t="str">
            <v>05</v>
          </cell>
          <cell r="E957" t="str">
            <v>Ávila</v>
          </cell>
          <cell r="F957" t="str">
            <v>247</v>
          </cell>
          <cell r="G957" t="str">
            <v>1</v>
          </cell>
          <cell r="H957" t="str">
            <v>Torre, La</v>
          </cell>
        </row>
        <row r="958">
          <cell r="D958" t="str">
            <v>05</v>
          </cell>
          <cell r="E958" t="str">
            <v>Ávila</v>
          </cell>
          <cell r="F958" t="str">
            <v>249</v>
          </cell>
          <cell r="G958" t="str">
            <v>0</v>
          </cell>
          <cell r="H958" t="str">
            <v>Umbrías</v>
          </cell>
        </row>
        <row r="959">
          <cell r="D959" t="str">
            <v>05</v>
          </cell>
          <cell r="E959" t="str">
            <v>Ávila</v>
          </cell>
          <cell r="F959" t="str">
            <v>251</v>
          </cell>
          <cell r="G959" t="str">
            <v>0</v>
          </cell>
          <cell r="H959" t="str">
            <v>Vadillo de la Sierra</v>
          </cell>
        </row>
        <row r="960">
          <cell r="D960" t="str">
            <v>05</v>
          </cell>
          <cell r="E960" t="str">
            <v>Ávila</v>
          </cell>
          <cell r="F960" t="str">
            <v>252</v>
          </cell>
          <cell r="G960" t="str">
            <v>5</v>
          </cell>
          <cell r="H960" t="str">
            <v>Valdecasa</v>
          </cell>
        </row>
        <row r="961">
          <cell r="D961" t="str">
            <v>05</v>
          </cell>
          <cell r="E961" t="str">
            <v>Ávila</v>
          </cell>
          <cell r="F961" t="str">
            <v>253</v>
          </cell>
          <cell r="G961" t="str">
            <v>1</v>
          </cell>
          <cell r="H961" t="str">
            <v>Vega de Santa María</v>
          </cell>
        </row>
        <row r="962">
          <cell r="D962" t="str">
            <v>05</v>
          </cell>
          <cell r="E962" t="str">
            <v>Ávila</v>
          </cell>
          <cell r="F962" t="str">
            <v>254</v>
          </cell>
          <cell r="G962" t="str">
            <v>6</v>
          </cell>
          <cell r="H962" t="str">
            <v>Velayos</v>
          </cell>
        </row>
        <row r="963">
          <cell r="D963" t="str">
            <v>05</v>
          </cell>
          <cell r="E963" t="str">
            <v>Ávila</v>
          </cell>
          <cell r="F963" t="str">
            <v>256</v>
          </cell>
          <cell r="G963" t="str">
            <v>2</v>
          </cell>
          <cell r="H963" t="str">
            <v>Villaflor</v>
          </cell>
        </row>
        <row r="964">
          <cell r="D964" t="str">
            <v>05</v>
          </cell>
          <cell r="E964" t="str">
            <v>Ávila</v>
          </cell>
          <cell r="F964" t="str">
            <v>257</v>
          </cell>
          <cell r="G964" t="str">
            <v>8</v>
          </cell>
          <cell r="H964" t="str">
            <v>Villafranca de la Sierra</v>
          </cell>
        </row>
        <row r="965">
          <cell r="D965" t="str">
            <v>05</v>
          </cell>
          <cell r="E965" t="str">
            <v>Ávila</v>
          </cell>
          <cell r="F965" t="str">
            <v>258</v>
          </cell>
          <cell r="G965" t="str">
            <v>4</v>
          </cell>
          <cell r="H965" t="str">
            <v>Villanueva de Gómez</v>
          </cell>
        </row>
        <row r="966">
          <cell r="D966" t="str">
            <v>05</v>
          </cell>
          <cell r="E966" t="str">
            <v>Ávila</v>
          </cell>
          <cell r="F966" t="str">
            <v>259</v>
          </cell>
          <cell r="G966" t="str">
            <v>7</v>
          </cell>
          <cell r="H966" t="str">
            <v>Villanueva del Aceral</v>
          </cell>
        </row>
        <row r="967">
          <cell r="D967" t="str">
            <v>05</v>
          </cell>
          <cell r="E967" t="str">
            <v>Ávila</v>
          </cell>
          <cell r="F967" t="str">
            <v>260</v>
          </cell>
          <cell r="G967" t="str">
            <v>1</v>
          </cell>
          <cell r="H967" t="str">
            <v>Villanueva del Campillo</v>
          </cell>
        </row>
        <row r="968">
          <cell r="D968" t="str">
            <v>05</v>
          </cell>
          <cell r="E968" t="str">
            <v>Ávila</v>
          </cell>
          <cell r="F968" t="str">
            <v>261</v>
          </cell>
          <cell r="G968" t="str">
            <v>8</v>
          </cell>
          <cell r="H968" t="str">
            <v>Villar de Corneja</v>
          </cell>
        </row>
        <row r="969">
          <cell r="D969" t="str">
            <v>05</v>
          </cell>
          <cell r="E969" t="str">
            <v>Ávila</v>
          </cell>
          <cell r="F969" t="str">
            <v>262</v>
          </cell>
          <cell r="G969" t="str">
            <v>3</v>
          </cell>
          <cell r="H969" t="str">
            <v>Villarejo del Valle</v>
          </cell>
        </row>
        <row r="970">
          <cell r="D970" t="str">
            <v>05</v>
          </cell>
          <cell r="E970" t="str">
            <v>Ávila</v>
          </cell>
          <cell r="F970" t="str">
            <v>263</v>
          </cell>
          <cell r="G970" t="str">
            <v>9</v>
          </cell>
          <cell r="H970" t="str">
            <v>Villatoro</v>
          </cell>
        </row>
        <row r="971">
          <cell r="D971" t="str">
            <v>05</v>
          </cell>
          <cell r="E971" t="str">
            <v>Ávila</v>
          </cell>
          <cell r="F971" t="str">
            <v>264</v>
          </cell>
          <cell r="G971" t="str">
            <v>4</v>
          </cell>
          <cell r="H971" t="str">
            <v>Viñegra de Moraña</v>
          </cell>
        </row>
        <row r="972">
          <cell r="D972" t="str">
            <v>05</v>
          </cell>
          <cell r="E972" t="str">
            <v>Ávila</v>
          </cell>
          <cell r="F972" t="str">
            <v>265</v>
          </cell>
          <cell r="G972" t="str">
            <v>7</v>
          </cell>
          <cell r="H972" t="str">
            <v>Vita</v>
          </cell>
        </row>
        <row r="973">
          <cell r="D973" t="str">
            <v>05</v>
          </cell>
          <cell r="E973" t="str">
            <v>Ávila</v>
          </cell>
          <cell r="F973" t="str">
            <v>266</v>
          </cell>
          <cell r="G973" t="str">
            <v>0</v>
          </cell>
          <cell r="H973" t="str">
            <v>Zapardiel de la Cañada</v>
          </cell>
        </row>
        <row r="974">
          <cell r="D974" t="str">
            <v>05</v>
          </cell>
          <cell r="E974" t="str">
            <v>Ávila</v>
          </cell>
          <cell r="F974" t="str">
            <v>267</v>
          </cell>
          <cell r="G974" t="str">
            <v>6</v>
          </cell>
          <cell r="H974" t="str">
            <v>Zapardiel de la Ribera</v>
          </cell>
        </row>
        <row r="975">
          <cell r="D975" t="str">
            <v>05</v>
          </cell>
          <cell r="E975" t="str">
            <v>Ávila</v>
          </cell>
          <cell r="F975" t="str">
            <v>901</v>
          </cell>
          <cell r="G975" t="str">
            <v>4</v>
          </cell>
          <cell r="H975" t="str">
            <v>San Juan de Gredos</v>
          </cell>
        </row>
        <row r="976">
          <cell r="D976" t="str">
            <v>05</v>
          </cell>
          <cell r="E976" t="str">
            <v>Ávila</v>
          </cell>
          <cell r="F976" t="str">
            <v>902</v>
          </cell>
          <cell r="G976" t="str">
            <v>9</v>
          </cell>
          <cell r="H976" t="str">
            <v>Santa María del Cubillo</v>
          </cell>
        </row>
        <row r="977">
          <cell r="D977" t="str">
            <v>05</v>
          </cell>
          <cell r="E977" t="str">
            <v>Ávila</v>
          </cell>
          <cell r="F977" t="str">
            <v>903</v>
          </cell>
          <cell r="G977" t="str">
            <v>5</v>
          </cell>
          <cell r="H977" t="str">
            <v>Diego del Carpio</v>
          </cell>
        </row>
        <row r="978">
          <cell r="D978" t="str">
            <v>05</v>
          </cell>
          <cell r="E978" t="str">
            <v>Ávila</v>
          </cell>
          <cell r="F978" t="str">
            <v>904</v>
          </cell>
          <cell r="G978" t="str">
            <v>0</v>
          </cell>
          <cell r="H978" t="str">
            <v>Santiago del Tormes</v>
          </cell>
        </row>
        <row r="979">
          <cell r="D979" t="str">
            <v>05</v>
          </cell>
          <cell r="E979" t="str">
            <v>Ávila</v>
          </cell>
          <cell r="F979" t="str">
            <v>905</v>
          </cell>
          <cell r="G979" t="str">
            <v>3</v>
          </cell>
          <cell r="H979" t="str">
            <v>Villanueva de Ávila</v>
          </cell>
        </row>
        <row r="980">
          <cell r="D980" t="str">
            <v>06</v>
          </cell>
          <cell r="E980" t="str">
            <v>Badajoz</v>
          </cell>
          <cell r="F980" t="str">
            <v>001</v>
          </cell>
          <cell r="G980" t="str">
            <v>6</v>
          </cell>
          <cell r="H980" t="str">
            <v>Acedera</v>
          </cell>
        </row>
        <row r="981">
          <cell r="D981" t="str">
            <v>06</v>
          </cell>
          <cell r="E981" t="str">
            <v>Badajoz</v>
          </cell>
          <cell r="F981" t="str">
            <v>002</v>
          </cell>
          <cell r="G981" t="str">
            <v>1</v>
          </cell>
          <cell r="H981" t="str">
            <v>Aceuchal</v>
          </cell>
        </row>
        <row r="982">
          <cell r="D982" t="str">
            <v>06</v>
          </cell>
          <cell r="E982" t="str">
            <v>Badajoz</v>
          </cell>
          <cell r="F982" t="str">
            <v>003</v>
          </cell>
          <cell r="G982" t="str">
            <v>7</v>
          </cell>
          <cell r="H982" t="str">
            <v>Ahillones</v>
          </cell>
        </row>
        <row r="983">
          <cell r="D983" t="str">
            <v>06</v>
          </cell>
          <cell r="E983" t="str">
            <v>Badajoz</v>
          </cell>
          <cell r="F983" t="str">
            <v>004</v>
          </cell>
          <cell r="G983" t="str">
            <v>2</v>
          </cell>
          <cell r="H983" t="str">
            <v>Alange</v>
          </cell>
        </row>
        <row r="984">
          <cell r="D984" t="str">
            <v>06</v>
          </cell>
          <cell r="E984" t="str">
            <v>Badajoz</v>
          </cell>
          <cell r="F984" t="str">
            <v>005</v>
          </cell>
          <cell r="G984" t="str">
            <v>5</v>
          </cell>
          <cell r="H984" t="str">
            <v>Albuera, La</v>
          </cell>
        </row>
        <row r="985">
          <cell r="D985" t="str">
            <v>06</v>
          </cell>
          <cell r="E985" t="str">
            <v>Badajoz</v>
          </cell>
          <cell r="F985" t="str">
            <v>006</v>
          </cell>
          <cell r="G985" t="str">
            <v>8</v>
          </cell>
          <cell r="H985" t="str">
            <v>Alburquerque</v>
          </cell>
        </row>
        <row r="986">
          <cell r="D986" t="str">
            <v>06</v>
          </cell>
          <cell r="E986" t="str">
            <v>Badajoz</v>
          </cell>
          <cell r="F986" t="str">
            <v>007</v>
          </cell>
          <cell r="G986" t="str">
            <v>4</v>
          </cell>
          <cell r="H986" t="str">
            <v>Alconchel</v>
          </cell>
        </row>
        <row r="987">
          <cell r="D987" t="str">
            <v>06</v>
          </cell>
          <cell r="E987" t="str">
            <v>Badajoz</v>
          </cell>
          <cell r="F987" t="str">
            <v>008</v>
          </cell>
          <cell r="G987" t="str">
            <v>0</v>
          </cell>
          <cell r="H987" t="str">
            <v>Alconera</v>
          </cell>
        </row>
        <row r="988">
          <cell r="D988" t="str">
            <v>06</v>
          </cell>
          <cell r="E988" t="str">
            <v>Badajoz</v>
          </cell>
          <cell r="F988" t="str">
            <v>009</v>
          </cell>
          <cell r="G988" t="str">
            <v>3</v>
          </cell>
          <cell r="H988" t="str">
            <v>Aljucén</v>
          </cell>
        </row>
        <row r="989">
          <cell r="D989" t="str">
            <v>06</v>
          </cell>
          <cell r="E989" t="str">
            <v>Badajoz</v>
          </cell>
          <cell r="F989" t="str">
            <v>010</v>
          </cell>
          <cell r="G989" t="str">
            <v>7</v>
          </cell>
          <cell r="H989" t="str">
            <v>Almendral</v>
          </cell>
        </row>
        <row r="990">
          <cell r="D990" t="str">
            <v>06</v>
          </cell>
          <cell r="E990" t="str">
            <v>Badajoz</v>
          </cell>
          <cell r="F990" t="str">
            <v>011</v>
          </cell>
          <cell r="G990" t="str">
            <v>4</v>
          </cell>
          <cell r="H990" t="str">
            <v>Almendralejo</v>
          </cell>
        </row>
        <row r="991">
          <cell r="D991" t="str">
            <v>06</v>
          </cell>
          <cell r="E991" t="str">
            <v>Badajoz</v>
          </cell>
          <cell r="F991" t="str">
            <v>012</v>
          </cell>
          <cell r="G991" t="str">
            <v>9</v>
          </cell>
          <cell r="H991" t="str">
            <v>Arroyo de San Serván</v>
          </cell>
        </row>
        <row r="992">
          <cell r="D992" t="str">
            <v>06</v>
          </cell>
          <cell r="E992" t="str">
            <v>Badajoz</v>
          </cell>
          <cell r="F992" t="str">
            <v>013</v>
          </cell>
          <cell r="G992" t="str">
            <v>5</v>
          </cell>
          <cell r="H992" t="str">
            <v>Atalaya</v>
          </cell>
        </row>
        <row r="993">
          <cell r="D993" t="str">
            <v>06</v>
          </cell>
          <cell r="E993" t="str">
            <v>Badajoz</v>
          </cell>
          <cell r="F993" t="str">
            <v>014</v>
          </cell>
          <cell r="G993" t="str">
            <v>0</v>
          </cell>
          <cell r="H993" t="str">
            <v>Azuaga</v>
          </cell>
        </row>
        <row r="994">
          <cell r="D994" t="str">
            <v>06</v>
          </cell>
          <cell r="E994" t="str">
            <v>Badajoz</v>
          </cell>
          <cell r="F994" t="str">
            <v>015</v>
          </cell>
          <cell r="G994" t="str">
            <v>3</v>
          </cell>
          <cell r="H994" t="str">
            <v>Badajoz</v>
          </cell>
        </row>
        <row r="995">
          <cell r="D995" t="str">
            <v>06</v>
          </cell>
          <cell r="E995" t="str">
            <v>Badajoz</v>
          </cell>
          <cell r="F995" t="str">
            <v>016</v>
          </cell>
          <cell r="G995" t="str">
            <v>6</v>
          </cell>
          <cell r="H995" t="str">
            <v>Barcarrota</v>
          </cell>
        </row>
        <row r="996">
          <cell r="D996" t="str">
            <v>06</v>
          </cell>
          <cell r="E996" t="str">
            <v>Badajoz</v>
          </cell>
          <cell r="F996" t="str">
            <v>017</v>
          </cell>
          <cell r="G996" t="str">
            <v>2</v>
          </cell>
          <cell r="H996" t="str">
            <v>Baterno</v>
          </cell>
        </row>
        <row r="997">
          <cell r="D997" t="str">
            <v>06</v>
          </cell>
          <cell r="E997" t="str">
            <v>Badajoz</v>
          </cell>
          <cell r="F997" t="str">
            <v>018</v>
          </cell>
          <cell r="G997" t="str">
            <v>8</v>
          </cell>
          <cell r="H997" t="str">
            <v>Benquerencia de la Serena</v>
          </cell>
        </row>
        <row r="998">
          <cell r="D998" t="str">
            <v>06</v>
          </cell>
          <cell r="E998" t="str">
            <v>Badajoz</v>
          </cell>
          <cell r="F998" t="str">
            <v>019</v>
          </cell>
          <cell r="G998" t="str">
            <v>1</v>
          </cell>
          <cell r="H998" t="str">
            <v>Berlanga</v>
          </cell>
        </row>
        <row r="999">
          <cell r="D999" t="str">
            <v>06</v>
          </cell>
          <cell r="E999" t="str">
            <v>Badajoz</v>
          </cell>
          <cell r="F999" t="str">
            <v>020</v>
          </cell>
          <cell r="G999" t="str">
            <v>5</v>
          </cell>
          <cell r="H999" t="str">
            <v>Bienvenida</v>
          </cell>
        </row>
        <row r="1000">
          <cell r="D1000" t="str">
            <v>06</v>
          </cell>
          <cell r="E1000" t="str">
            <v>Badajoz</v>
          </cell>
          <cell r="F1000" t="str">
            <v>021</v>
          </cell>
          <cell r="G1000" t="str">
            <v>2</v>
          </cell>
          <cell r="H1000" t="str">
            <v>Bodonal de la Sierra</v>
          </cell>
        </row>
        <row r="1001">
          <cell r="D1001" t="str">
            <v>06</v>
          </cell>
          <cell r="E1001" t="str">
            <v>Badajoz</v>
          </cell>
          <cell r="F1001" t="str">
            <v>022</v>
          </cell>
          <cell r="G1001" t="str">
            <v>7</v>
          </cell>
          <cell r="H1001" t="str">
            <v>Burguillos del Cerro</v>
          </cell>
        </row>
        <row r="1002">
          <cell r="D1002" t="str">
            <v>06</v>
          </cell>
          <cell r="E1002" t="str">
            <v>Badajoz</v>
          </cell>
          <cell r="F1002" t="str">
            <v>023</v>
          </cell>
          <cell r="G1002" t="str">
            <v>3</v>
          </cell>
          <cell r="H1002" t="str">
            <v>Cabeza del Buey</v>
          </cell>
        </row>
        <row r="1003">
          <cell r="D1003" t="str">
            <v>06</v>
          </cell>
          <cell r="E1003" t="str">
            <v>Badajoz</v>
          </cell>
          <cell r="F1003" t="str">
            <v>024</v>
          </cell>
          <cell r="G1003" t="str">
            <v>8</v>
          </cell>
          <cell r="H1003" t="str">
            <v>Cabeza la Vaca</v>
          </cell>
        </row>
        <row r="1004">
          <cell r="D1004" t="str">
            <v>06</v>
          </cell>
          <cell r="E1004" t="str">
            <v>Badajoz</v>
          </cell>
          <cell r="F1004" t="str">
            <v>025</v>
          </cell>
          <cell r="G1004" t="str">
            <v>1</v>
          </cell>
          <cell r="H1004" t="str">
            <v>Calamonte</v>
          </cell>
        </row>
        <row r="1005">
          <cell r="D1005" t="str">
            <v>06</v>
          </cell>
          <cell r="E1005" t="str">
            <v>Badajoz</v>
          </cell>
          <cell r="F1005" t="str">
            <v>026</v>
          </cell>
          <cell r="G1005" t="str">
            <v>4</v>
          </cell>
          <cell r="H1005" t="str">
            <v>Calera de León</v>
          </cell>
        </row>
        <row r="1006">
          <cell r="D1006" t="str">
            <v>06</v>
          </cell>
          <cell r="E1006" t="str">
            <v>Badajoz</v>
          </cell>
          <cell r="F1006" t="str">
            <v>027</v>
          </cell>
          <cell r="G1006" t="str">
            <v>0</v>
          </cell>
          <cell r="H1006" t="str">
            <v>Calzadilla de los Barros</v>
          </cell>
        </row>
        <row r="1007">
          <cell r="D1007" t="str">
            <v>06</v>
          </cell>
          <cell r="E1007" t="str">
            <v>Badajoz</v>
          </cell>
          <cell r="F1007" t="str">
            <v>028</v>
          </cell>
          <cell r="G1007" t="str">
            <v>6</v>
          </cell>
          <cell r="H1007" t="str">
            <v>Campanario</v>
          </cell>
        </row>
        <row r="1008">
          <cell r="D1008" t="str">
            <v>06</v>
          </cell>
          <cell r="E1008" t="str">
            <v>Badajoz</v>
          </cell>
          <cell r="F1008" t="str">
            <v>029</v>
          </cell>
          <cell r="G1008" t="str">
            <v>9</v>
          </cell>
          <cell r="H1008" t="str">
            <v>Campillo de Llerena</v>
          </cell>
        </row>
        <row r="1009">
          <cell r="D1009" t="str">
            <v>06</v>
          </cell>
          <cell r="E1009" t="str">
            <v>Badajoz</v>
          </cell>
          <cell r="F1009" t="str">
            <v>030</v>
          </cell>
          <cell r="G1009" t="str">
            <v>3</v>
          </cell>
          <cell r="H1009" t="str">
            <v>Capilla</v>
          </cell>
        </row>
        <row r="1010">
          <cell r="D1010" t="str">
            <v>06</v>
          </cell>
          <cell r="E1010" t="str">
            <v>Badajoz</v>
          </cell>
          <cell r="F1010" t="str">
            <v>031</v>
          </cell>
          <cell r="G1010" t="str">
            <v>0</v>
          </cell>
          <cell r="H1010" t="str">
            <v>Carmonita</v>
          </cell>
        </row>
        <row r="1011">
          <cell r="D1011" t="str">
            <v>06</v>
          </cell>
          <cell r="E1011" t="str">
            <v>Badajoz</v>
          </cell>
          <cell r="F1011" t="str">
            <v>032</v>
          </cell>
          <cell r="G1011" t="str">
            <v>5</v>
          </cell>
          <cell r="H1011" t="str">
            <v>Carrascalejo, El</v>
          </cell>
        </row>
        <row r="1012">
          <cell r="D1012" t="str">
            <v>06</v>
          </cell>
          <cell r="E1012" t="str">
            <v>Badajoz</v>
          </cell>
          <cell r="F1012" t="str">
            <v>033</v>
          </cell>
          <cell r="G1012" t="str">
            <v>1</v>
          </cell>
          <cell r="H1012" t="str">
            <v>Casas de Don Pedro</v>
          </cell>
        </row>
        <row r="1013">
          <cell r="D1013" t="str">
            <v>06</v>
          </cell>
          <cell r="E1013" t="str">
            <v>Badajoz</v>
          </cell>
          <cell r="F1013" t="str">
            <v>034</v>
          </cell>
          <cell r="G1013" t="str">
            <v>6</v>
          </cell>
          <cell r="H1013" t="str">
            <v>Casas de Reina</v>
          </cell>
        </row>
        <row r="1014">
          <cell r="D1014" t="str">
            <v>06</v>
          </cell>
          <cell r="E1014" t="str">
            <v>Badajoz</v>
          </cell>
          <cell r="F1014" t="str">
            <v>035</v>
          </cell>
          <cell r="G1014" t="str">
            <v>9</v>
          </cell>
          <cell r="H1014" t="str">
            <v>Castilblanco</v>
          </cell>
        </row>
        <row r="1015">
          <cell r="D1015" t="str">
            <v>06</v>
          </cell>
          <cell r="E1015" t="str">
            <v>Badajoz</v>
          </cell>
          <cell r="F1015" t="str">
            <v>036</v>
          </cell>
          <cell r="G1015" t="str">
            <v>2</v>
          </cell>
          <cell r="H1015" t="str">
            <v>Castuera</v>
          </cell>
        </row>
        <row r="1016">
          <cell r="D1016" t="str">
            <v>06</v>
          </cell>
          <cell r="E1016" t="str">
            <v>Badajoz</v>
          </cell>
          <cell r="F1016" t="str">
            <v>037</v>
          </cell>
          <cell r="G1016" t="str">
            <v>8</v>
          </cell>
          <cell r="H1016" t="str">
            <v>Codosera, La</v>
          </cell>
        </row>
        <row r="1017">
          <cell r="D1017" t="str">
            <v>06</v>
          </cell>
          <cell r="E1017" t="str">
            <v>Badajoz</v>
          </cell>
          <cell r="F1017" t="str">
            <v>038</v>
          </cell>
          <cell r="G1017" t="str">
            <v>4</v>
          </cell>
          <cell r="H1017" t="str">
            <v>Cordobilla de Lácara</v>
          </cell>
        </row>
        <row r="1018">
          <cell r="D1018" t="str">
            <v>06</v>
          </cell>
          <cell r="E1018" t="str">
            <v>Badajoz</v>
          </cell>
          <cell r="F1018" t="str">
            <v>039</v>
          </cell>
          <cell r="G1018" t="str">
            <v>7</v>
          </cell>
          <cell r="H1018" t="str">
            <v>Coronada, La</v>
          </cell>
        </row>
        <row r="1019">
          <cell r="D1019" t="str">
            <v>06</v>
          </cell>
          <cell r="E1019" t="str">
            <v>Badajoz</v>
          </cell>
          <cell r="F1019" t="str">
            <v>040</v>
          </cell>
          <cell r="G1019" t="str">
            <v>1</v>
          </cell>
          <cell r="H1019" t="str">
            <v>Corte de Peleas</v>
          </cell>
        </row>
        <row r="1020">
          <cell r="D1020" t="str">
            <v>06</v>
          </cell>
          <cell r="E1020" t="str">
            <v>Badajoz</v>
          </cell>
          <cell r="F1020" t="str">
            <v>041</v>
          </cell>
          <cell r="G1020" t="str">
            <v>8</v>
          </cell>
          <cell r="H1020" t="str">
            <v>Cristina</v>
          </cell>
        </row>
        <row r="1021">
          <cell r="D1021" t="str">
            <v>06</v>
          </cell>
          <cell r="E1021" t="str">
            <v>Badajoz</v>
          </cell>
          <cell r="F1021" t="str">
            <v>042</v>
          </cell>
          <cell r="G1021" t="str">
            <v>3</v>
          </cell>
          <cell r="H1021" t="str">
            <v>Cheles</v>
          </cell>
        </row>
        <row r="1022">
          <cell r="D1022" t="str">
            <v>06</v>
          </cell>
          <cell r="E1022" t="str">
            <v>Badajoz</v>
          </cell>
          <cell r="F1022" t="str">
            <v>043</v>
          </cell>
          <cell r="G1022" t="str">
            <v>9</v>
          </cell>
          <cell r="H1022" t="str">
            <v>Don Álvaro</v>
          </cell>
        </row>
        <row r="1023">
          <cell r="D1023" t="str">
            <v>06</v>
          </cell>
          <cell r="E1023" t="str">
            <v>Badajoz</v>
          </cell>
          <cell r="F1023" t="str">
            <v>044</v>
          </cell>
          <cell r="G1023" t="str">
            <v>4</v>
          </cell>
          <cell r="H1023" t="str">
            <v>Don Benito</v>
          </cell>
        </row>
        <row r="1024">
          <cell r="D1024" t="str">
            <v>06</v>
          </cell>
          <cell r="E1024" t="str">
            <v>Badajoz</v>
          </cell>
          <cell r="F1024" t="str">
            <v>045</v>
          </cell>
          <cell r="G1024" t="str">
            <v>7</v>
          </cell>
          <cell r="H1024" t="str">
            <v>Entrín Bajo</v>
          </cell>
        </row>
        <row r="1025">
          <cell r="D1025" t="str">
            <v>06</v>
          </cell>
          <cell r="E1025" t="str">
            <v>Badajoz</v>
          </cell>
          <cell r="F1025" t="str">
            <v>046</v>
          </cell>
          <cell r="G1025" t="str">
            <v>0</v>
          </cell>
          <cell r="H1025" t="str">
            <v>Esparragalejo</v>
          </cell>
        </row>
        <row r="1026">
          <cell r="D1026" t="str">
            <v>06</v>
          </cell>
          <cell r="E1026" t="str">
            <v>Badajoz</v>
          </cell>
          <cell r="F1026" t="str">
            <v>047</v>
          </cell>
          <cell r="G1026" t="str">
            <v>6</v>
          </cell>
          <cell r="H1026" t="str">
            <v>Esparragosa de la Serena</v>
          </cell>
        </row>
        <row r="1027">
          <cell r="D1027" t="str">
            <v>06</v>
          </cell>
          <cell r="E1027" t="str">
            <v>Badajoz</v>
          </cell>
          <cell r="F1027" t="str">
            <v>048</v>
          </cell>
          <cell r="G1027" t="str">
            <v>2</v>
          </cell>
          <cell r="H1027" t="str">
            <v>Esparragosa de Lares</v>
          </cell>
        </row>
        <row r="1028">
          <cell r="D1028" t="str">
            <v>06</v>
          </cell>
          <cell r="E1028" t="str">
            <v>Badajoz</v>
          </cell>
          <cell r="F1028" t="str">
            <v>049</v>
          </cell>
          <cell r="G1028" t="str">
            <v>5</v>
          </cell>
          <cell r="H1028" t="str">
            <v>Feria</v>
          </cell>
        </row>
        <row r="1029">
          <cell r="D1029" t="str">
            <v>06</v>
          </cell>
          <cell r="E1029" t="str">
            <v>Badajoz</v>
          </cell>
          <cell r="F1029" t="str">
            <v>050</v>
          </cell>
          <cell r="G1029" t="str">
            <v>8</v>
          </cell>
          <cell r="H1029" t="str">
            <v>Fregenal de la Sierra</v>
          </cell>
        </row>
        <row r="1030">
          <cell r="D1030" t="str">
            <v>06</v>
          </cell>
          <cell r="E1030" t="str">
            <v>Badajoz</v>
          </cell>
          <cell r="F1030" t="str">
            <v>051</v>
          </cell>
          <cell r="G1030" t="str">
            <v>5</v>
          </cell>
          <cell r="H1030" t="str">
            <v>Fuenlabrada de los Montes</v>
          </cell>
        </row>
        <row r="1031">
          <cell r="D1031" t="str">
            <v>06</v>
          </cell>
          <cell r="E1031" t="str">
            <v>Badajoz</v>
          </cell>
          <cell r="F1031" t="str">
            <v>052</v>
          </cell>
          <cell r="G1031" t="str">
            <v>0</v>
          </cell>
          <cell r="H1031" t="str">
            <v>Fuente de Cantos</v>
          </cell>
        </row>
        <row r="1032">
          <cell r="D1032" t="str">
            <v>06</v>
          </cell>
          <cell r="E1032" t="str">
            <v>Badajoz</v>
          </cell>
          <cell r="F1032" t="str">
            <v>053</v>
          </cell>
          <cell r="G1032" t="str">
            <v>6</v>
          </cell>
          <cell r="H1032" t="str">
            <v>Fuente del Arco</v>
          </cell>
        </row>
        <row r="1033">
          <cell r="D1033" t="str">
            <v>06</v>
          </cell>
          <cell r="E1033" t="str">
            <v>Badajoz</v>
          </cell>
          <cell r="F1033" t="str">
            <v>054</v>
          </cell>
          <cell r="G1033" t="str">
            <v>1</v>
          </cell>
          <cell r="H1033" t="str">
            <v>Fuente del Maestre</v>
          </cell>
        </row>
        <row r="1034">
          <cell r="D1034" t="str">
            <v>06</v>
          </cell>
          <cell r="E1034" t="str">
            <v>Badajoz</v>
          </cell>
          <cell r="F1034" t="str">
            <v>055</v>
          </cell>
          <cell r="G1034" t="str">
            <v>4</v>
          </cell>
          <cell r="H1034" t="str">
            <v>Fuentes de León</v>
          </cell>
        </row>
        <row r="1035">
          <cell r="D1035" t="str">
            <v>06</v>
          </cell>
          <cell r="E1035" t="str">
            <v>Badajoz</v>
          </cell>
          <cell r="F1035" t="str">
            <v>056</v>
          </cell>
          <cell r="G1035" t="str">
            <v>7</v>
          </cell>
          <cell r="H1035" t="str">
            <v>Garbayuela</v>
          </cell>
        </row>
        <row r="1036">
          <cell r="D1036" t="str">
            <v>06</v>
          </cell>
          <cell r="E1036" t="str">
            <v>Badajoz</v>
          </cell>
          <cell r="F1036" t="str">
            <v>057</v>
          </cell>
          <cell r="G1036" t="str">
            <v>3</v>
          </cell>
          <cell r="H1036" t="str">
            <v>Garlitos</v>
          </cell>
        </row>
        <row r="1037">
          <cell r="D1037" t="str">
            <v>06</v>
          </cell>
          <cell r="E1037" t="str">
            <v>Badajoz</v>
          </cell>
          <cell r="F1037" t="str">
            <v>058</v>
          </cell>
          <cell r="G1037" t="str">
            <v>9</v>
          </cell>
          <cell r="H1037" t="str">
            <v>Garrovilla, La</v>
          </cell>
        </row>
        <row r="1038">
          <cell r="D1038" t="str">
            <v>06</v>
          </cell>
          <cell r="E1038" t="str">
            <v>Badajoz</v>
          </cell>
          <cell r="F1038" t="str">
            <v>059</v>
          </cell>
          <cell r="G1038" t="str">
            <v>2</v>
          </cell>
          <cell r="H1038" t="str">
            <v>Granja de Torrehermosa</v>
          </cell>
        </row>
        <row r="1039">
          <cell r="D1039" t="str">
            <v>06</v>
          </cell>
          <cell r="E1039" t="str">
            <v>Badajoz</v>
          </cell>
          <cell r="F1039" t="str">
            <v>060</v>
          </cell>
          <cell r="G1039" t="str">
            <v>6</v>
          </cell>
          <cell r="H1039" t="str">
            <v>Guareña</v>
          </cell>
        </row>
        <row r="1040">
          <cell r="D1040" t="str">
            <v>06</v>
          </cell>
          <cell r="E1040" t="str">
            <v>Badajoz</v>
          </cell>
          <cell r="F1040" t="str">
            <v>061</v>
          </cell>
          <cell r="G1040" t="str">
            <v>3</v>
          </cell>
          <cell r="H1040" t="str">
            <v>Haba, La</v>
          </cell>
        </row>
        <row r="1041">
          <cell r="D1041" t="str">
            <v>06</v>
          </cell>
          <cell r="E1041" t="str">
            <v>Badajoz</v>
          </cell>
          <cell r="F1041" t="str">
            <v>062</v>
          </cell>
          <cell r="G1041" t="str">
            <v>8</v>
          </cell>
          <cell r="H1041" t="str">
            <v>Helechosa de los Montes</v>
          </cell>
        </row>
        <row r="1042">
          <cell r="D1042" t="str">
            <v>06</v>
          </cell>
          <cell r="E1042" t="str">
            <v>Badajoz</v>
          </cell>
          <cell r="F1042" t="str">
            <v>063</v>
          </cell>
          <cell r="G1042" t="str">
            <v>4</v>
          </cell>
          <cell r="H1042" t="str">
            <v>Herrera del Duque</v>
          </cell>
        </row>
        <row r="1043">
          <cell r="D1043" t="str">
            <v>06</v>
          </cell>
          <cell r="E1043" t="str">
            <v>Badajoz</v>
          </cell>
          <cell r="F1043" t="str">
            <v>064</v>
          </cell>
          <cell r="G1043" t="str">
            <v>9</v>
          </cell>
          <cell r="H1043" t="str">
            <v>Higuera de la Serena</v>
          </cell>
        </row>
        <row r="1044">
          <cell r="D1044" t="str">
            <v>06</v>
          </cell>
          <cell r="E1044" t="str">
            <v>Badajoz</v>
          </cell>
          <cell r="F1044" t="str">
            <v>065</v>
          </cell>
          <cell r="G1044" t="str">
            <v>2</v>
          </cell>
          <cell r="H1044" t="str">
            <v>Higuera de Llerena</v>
          </cell>
        </row>
        <row r="1045">
          <cell r="D1045" t="str">
            <v>06</v>
          </cell>
          <cell r="E1045" t="str">
            <v>Badajoz</v>
          </cell>
          <cell r="F1045" t="str">
            <v>066</v>
          </cell>
          <cell r="G1045" t="str">
            <v>5</v>
          </cell>
          <cell r="H1045" t="str">
            <v>Higuera de Vargas</v>
          </cell>
        </row>
        <row r="1046">
          <cell r="D1046" t="str">
            <v>06</v>
          </cell>
          <cell r="E1046" t="str">
            <v>Badajoz</v>
          </cell>
          <cell r="F1046" t="str">
            <v>067</v>
          </cell>
          <cell r="G1046" t="str">
            <v>1</v>
          </cell>
          <cell r="H1046" t="str">
            <v>Higuera la Real</v>
          </cell>
        </row>
        <row r="1047">
          <cell r="D1047" t="str">
            <v>06</v>
          </cell>
          <cell r="E1047" t="str">
            <v>Badajoz</v>
          </cell>
          <cell r="F1047" t="str">
            <v>068</v>
          </cell>
          <cell r="G1047" t="str">
            <v>7</v>
          </cell>
          <cell r="H1047" t="str">
            <v>Hinojosa del Valle</v>
          </cell>
        </row>
        <row r="1048">
          <cell r="D1048" t="str">
            <v>06</v>
          </cell>
          <cell r="E1048" t="str">
            <v>Badajoz</v>
          </cell>
          <cell r="F1048" t="str">
            <v>069</v>
          </cell>
          <cell r="G1048" t="str">
            <v>0</v>
          </cell>
          <cell r="H1048" t="str">
            <v>Hornachos</v>
          </cell>
        </row>
        <row r="1049">
          <cell r="D1049" t="str">
            <v>06</v>
          </cell>
          <cell r="E1049" t="str">
            <v>Badajoz</v>
          </cell>
          <cell r="F1049" t="str">
            <v>070</v>
          </cell>
          <cell r="G1049" t="str">
            <v>4</v>
          </cell>
          <cell r="H1049" t="str">
            <v>Jerez de los Caballeros</v>
          </cell>
        </row>
        <row r="1050">
          <cell r="D1050" t="str">
            <v>06</v>
          </cell>
          <cell r="E1050" t="str">
            <v>Badajoz</v>
          </cell>
          <cell r="F1050" t="str">
            <v>071</v>
          </cell>
          <cell r="G1050" t="str">
            <v>1</v>
          </cell>
          <cell r="H1050" t="str">
            <v>Lapa, La</v>
          </cell>
        </row>
        <row r="1051">
          <cell r="D1051" t="str">
            <v>06</v>
          </cell>
          <cell r="E1051" t="str">
            <v>Badajoz</v>
          </cell>
          <cell r="F1051" t="str">
            <v>072</v>
          </cell>
          <cell r="G1051" t="str">
            <v>6</v>
          </cell>
          <cell r="H1051" t="str">
            <v>Lobón</v>
          </cell>
        </row>
        <row r="1052">
          <cell r="D1052" t="str">
            <v>06</v>
          </cell>
          <cell r="E1052" t="str">
            <v>Badajoz</v>
          </cell>
          <cell r="F1052" t="str">
            <v>073</v>
          </cell>
          <cell r="G1052" t="str">
            <v>2</v>
          </cell>
          <cell r="H1052" t="str">
            <v>Llera</v>
          </cell>
        </row>
        <row r="1053">
          <cell r="D1053" t="str">
            <v>06</v>
          </cell>
          <cell r="E1053" t="str">
            <v>Badajoz</v>
          </cell>
          <cell r="F1053" t="str">
            <v>074</v>
          </cell>
          <cell r="G1053" t="str">
            <v>7</v>
          </cell>
          <cell r="H1053" t="str">
            <v>Llerena</v>
          </cell>
        </row>
        <row r="1054">
          <cell r="D1054" t="str">
            <v>06</v>
          </cell>
          <cell r="E1054" t="str">
            <v>Badajoz</v>
          </cell>
          <cell r="F1054" t="str">
            <v>075</v>
          </cell>
          <cell r="G1054" t="str">
            <v>0</v>
          </cell>
          <cell r="H1054" t="str">
            <v>Magacela</v>
          </cell>
        </row>
        <row r="1055">
          <cell r="D1055" t="str">
            <v>06</v>
          </cell>
          <cell r="E1055" t="str">
            <v>Badajoz</v>
          </cell>
          <cell r="F1055" t="str">
            <v>076</v>
          </cell>
          <cell r="G1055" t="str">
            <v>3</v>
          </cell>
          <cell r="H1055" t="str">
            <v>Maguilla</v>
          </cell>
        </row>
        <row r="1056">
          <cell r="D1056" t="str">
            <v>06</v>
          </cell>
          <cell r="E1056" t="str">
            <v>Badajoz</v>
          </cell>
          <cell r="F1056" t="str">
            <v>077</v>
          </cell>
          <cell r="G1056" t="str">
            <v>9</v>
          </cell>
          <cell r="H1056" t="str">
            <v>Malcocinado</v>
          </cell>
        </row>
        <row r="1057">
          <cell r="D1057" t="str">
            <v>06</v>
          </cell>
          <cell r="E1057" t="str">
            <v>Badajoz</v>
          </cell>
          <cell r="F1057" t="str">
            <v>078</v>
          </cell>
          <cell r="G1057" t="str">
            <v>5</v>
          </cell>
          <cell r="H1057" t="str">
            <v>Malpartida de la Serena</v>
          </cell>
        </row>
        <row r="1058">
          <cell r="D1058" t="str">
            <v>06</v>
          </cell>
          <cell r="E1058" t="str">
            <v>Badajoz</v>
          </cell>
          <cell r="F1058" t="str">
            <v>079</v>
          </cell>
          <cell r="G1058" t="str">
            <v>8</v>
          </cell>
          <cell r="H1058" t="str">
            <v>Manchita</v>
          </cell>
        </row>
        <row r="1059">
          <cell r="D1059" t="str">
            <v>06</v>
          </cell>
          <cell r="E1059" t="str">
            <v>Badajoz</v>
          </cell>
          <cell r="F1059" t="str">
            <v>080</v>
          </cell>
          <cell r="G1059" t="str">
            <v>2</v>
          </cell>
          <cell r="H1059" t="str">
            <v>Medellín</v>
          </cell>
        </row>
        <row r="1060">
          <cell r="D1060" t="str">
            <v>06</v>
          </cell>
          <cell r="E1060" t="str">
            <v>Badajoz</v>
          </cell>
          <cell r="F1060" t="str">
            <v>081</v>
          </cell>
          <cell r="G1060" t="str">
            <v>9</v>
          </cell>
          <cell r="H1060" t="str">
            <v>Medina de las Torres</v>
          </cell>
        </row>
        <row r="1061">
          <cell r="D1061" t="str">
            <v>06</v>
          </cell>
          <cell r="E1061" t="str">
            <v>Badajoz</v>
          </cell>
          <cell r="F1061" t="str">
            <v>082</v>
          </cell>
          <cell r="G1061" t="str">
            <v>4</v>
          </cell>
          <cell r="H1061" t="str">
            <v>Mengabril</v>
          </cell>
        </row>
        <row r="1062">
          <cell r="D1062" t="str">
            <v>06</v>
          </cell>
          <cell r="E1062" t="str">
            <v>Badajoz</v>
          </cell>
          <cell r="F1062" t="str">
            <v>083</v>
          </cell>
          <cell r="G1062" t="str">
            <v>0</v>
          </cell>
          <cell r="H1062" t="str">
            <v>Mérida</v>
          </cell>
        </row>
        <row r="1063">
          <cell r="D1063" t="str">
            <v>06</v>
          </cell>
          <cell r="E1063" t="str">
            <v>Badajoz</v>
          </cell>
          <cell r="F1063" t="str">
            <v>084</v>
          </cell>
          <cell r="G1063" t="str">
            <v>5</v>
          </cell>
          <cell r="H1063" t="str">
            <v>Mirandilla</v>
          </cell>
        </row>
        <row r="1064">
          <cell r="D1064" t="str">
            <v>06</v>
          </cell>
          <cell r="E1064" t="str">
            <v>Badajoz</v>
          </cell>
          <cell r="F1064" t="str">
            <v>085</v>
          </cell>
          <cell r="G1064" t="str">
            <v>8</v>
          </cell>
          <cell r="H1064" t="str">
            <v>Monesterio</v>
          </cell>
        </row>
        <row r="1065">
          <cell r="D1065" t="str">
            <v>06</v>
          </cell>
          <cell r="E1065" t="str">
            <v>Badajoz</v>
          </cell>
          <cell r="F1065" t="str">
            <v>086</v>
          </cell>
          <cell r="G1065" t="str">
            <v>1</v>
          </cell>
          <cell r="H1065" t="str">
            <v>Montemolín</v>
          </cell>
        </row>
        <row r="1066">
          <cell r="D1066" t="str">
            <v>06</v>
          </cell>
          <cell r="E1066" t="str">
            <v>Badajoz</v>
          </cell>
          <cell r="F1066" t="str">
            <v>087</v>
          </cell>
          <cell r="G1066" t="str">
            <v>7</v>
          </cell>
          <cell r="H1066" t="str">
            <v>Monterrubio de la Serena</v>
          </cell>
        </row>
        <row r="1067">
          <cell r="D1067" t="str">
            <v>06</v>
          </cell>
          <cell r="E1067" t="str">
            <v>Badajoz</v>
          </cell>
          <cell r="F1067" t="str">
            <v>088</v>
          </cell>
          <cell r="G1067" t="str">
            <v>3</v>
          </cell>
          <cell r="H1067" t="str">
            <v>Montijo</v>
          </cell>
        </row>
        <row r="1068">
          <cell r="D1068" t="str">
            <v>06</v>
          </cell>
          <cell r="E1068" t="str">
            <v>Badajoz</v>
          </cell>
          <cell r="F1068" t="str">
            <v>089</v>
          </cell>
          <cell r="G1068" t="str">
            <v>6</v>
          </cell>
          <cell r="H1068" t="str">
            <v>Morera, La</v>
          </cell>
        </row>
        <row r="1069">
          <cell r="D1069" t="str">
            <v>06</v>
          </cell>
          <cell r="E1069" t="str">
            <v>Badajoz</v>
          </cell>
          <cell r="F1069" t="str">
            <v>090</v>
          </cell>
          <cell r="G1069" t="str">
            <v>0</v>
          </cell>
          <cell r="H1069" t="str">
            <v>Nava de Santiago, La</v>
          </cell>
        </row>
        <row r="1070">
          <cell r="D1070" t="str">
            <v>06</v>
          </cell>
          <cell r="E1070" t="str">
            <v>Badajoz</v>
          </cell>
          <cell r="F1070" t="str">
            <v>091</v>
          </cell>
          <cell r="G1070" t="str">
            <v>7</v>
          </cell>
          <cell r="H1070" t="str">
            <v>Navalvillar de Pela</v>
          </cell>
        </row>
        <row r="1071">
          <cell r="D1071" t="str">
            <v>06</v>
          </cell>
          <cell r="E1071" t="str">
            <v>Badajoz</v>
          </cell>
          <cell r="F1071" t="str">
            <v>092</v>
          </cell>
          <cell r="G1071" t="str">
            <v>2</v>
          </cell>
          <cell r="H1071" t="str">
            <v>Nogales</v>
          </cell>
        </row>
        <row r="1072">
          <cell r="D1072" t="str">
            <v>06</v>
          </cell>
          <cell r="E1072" t="str">
            <v>Badajoz</v>
          </cell>
          <cell r="F1072" t="str">
            <v>093</v>
          </cell>
          <cell r="G1072" t="str">
            <v>8</v>
          </cell>
          <cell r="H1072" t="str">
            <v>Oliva de la Frontera</v>
          </cell>
        </row>
        <row r="1073">
          <cell r="D1073" t="str">
            <v>06</v>
          </cell>
          <cell r="E1073" t="str">
            <v>Badajoz</v>
          </cell>
          <cell r="F1073" t="str">
            <v>094</v>
          </cell>
          <cell r="G1073" t="str">
            <v>3</v>
          </cell>
          <cell r="H1073" t="str">
            <v>Oliva de Mérida</v>
          </cell>
        </row>
        <row r="1074">
          <cell r="D1074" t="str">
            <v>06</v>
          </cell>
          <cell r="E1074" t="str">
            <v>Badajoz</v>
          </cell>
          <cell r="F1074" t="str">
            <v>095</v>
          </cell>
          <cell r="G1074" t="str">
            <v>6</v>
          </cell>
          <cell r="H1074" t="str">
            <v>Olivenza</v>
          </cell>
        </row>
        <row r="1075">
          <cell r="D1075" t="str">
            <v>06</v>
          </cell>
          <cell r="E1075" t="str">
            <v>Badajoz</v>
          </cell>
          <cell r="F1075" t="str">
            <v>096</v>
          </cell>
          <cell r="G1075" t="str">
            <v>9</v>
          </cell>
          <cell r="H1075" t="str">
            <v>Orellana de la Sierra</v>
          </cell>
        </row>
        <row r="1076">
          <cell r="D1076" t="str">
            <v>06</v>
          </cell>
          <cell r="E1076" t="str">
            <v>Badajoz</v>
          </cell>
          <cell r="F1076" t="str">
            <v>097</v>
          </cell>
          <cell r="G1076" t="str">
            <v>5</v>
          </cell>
          <cell r="H1076" t="str">
            <v>Orellana la Vieja</v>
          </cell>
        </row>
        <row r="1077">
          <cell r="D1077" t="str">
            <v>06</v>
          </cell>
          <cell r="E1077" t="str">
            <v>Badajoz</v>
          </cell>
          <cell r="F1077" t="str">
            <v>098</v>
          </cell>
          <cell r="G1077" t="str">
            <v>1</v>
          </cell>
          <cell r="H1077" t="str">
            <v>Palomas</v>
          </cell>
        </row>
        <row r="1078">
          <cell r="D1078" t="str">
            <v>06</v>
          </cell>
          <cell r="E1078" t="str">
            <v>Badajoz</v>
          </cell>
          <cell r="F1078" t="str">
            <v>099</v>
          </cell>
          <cell r="G1078" t="str">
            <v>4</v>
          </cell>
          <cell r="H1078" t="str">
            <v>Parra, La</v>
          </cell>
        </row>
        <row r="1079">
          <cell r="D1079" t="str">
            <v>06</v>
          </cell>
          <cell r="E1079" t="str">
            <v>Badajoz</v>
          </cell>
          <cell r="F1079" t="str">
            <v>100</v>
          </cell>
          <cell r="G1079" t="str">
            <v>8</v>
          </cell>
          <cell r="H1079" t="str">
            <v>Peñalsordo</v>
          </cell>
        </row>
        <row r="1080">
          <cell r="D1080" t="str">
            <v>06</v>
          </cell>
          <cell r="E1080" t="str">
            <v>Badajoz</v>
          </cell>
          <cell r="F1080" t="str">
            <v>101</v>
          </cell>
          <cell r="G1080" t="str">
            <v>5</v>
          </cell>
          <cell r="H1080" t="str">
            <v>Peraleda del Zaucejo</v>
          </cell>
        </row>
        <row r="1081">
          <cell r="D1081" t="str">
            <v>06</v>
          </cell>
          <cell r="E1081" t="str">
            <v>Badajoz</v>
          </cell>
          <cell r="F1081" t="str">
            <v>102</v>
          </cell>
          <cell r="G1081" t="str">
            <v>0</v>
          </cell>
          <cell r="H1081" t="str">
            <v>Puebla de Alcocer</v>
          </cell>
        </row>
        <row r="1082">
          <cell r="D1082" t="str">
            <v>06</v>
          </cell>
          <cell r="E1082" t="str">
            <v>Badajoz</v>
          </cell>
          <cell r="F1082" t="str">
            <v>103</v>
          </cell>
          <cell r="G1082" t="str">
            <v>6</v>
          </cell>
          <cell r="H1082" t="str">
            <v>Puebla de la Calzada</v>
          </cell>
        </row>
        <row r="1083">
          <cell r="D1083" t="str">
            <v>06</v>
          </cell>
          <cell r="E1083" t="str">
            <v>Badajoz</v>
          </cell>
          <cell r="F1083" t="str">
            <v>104</v>
          </cell>
          <cell r="G1083" t="str">
            <v>1</v>
          </cell>
          <cell r="H1083" t="str">
            <v>Puebla de la Reina</v>
          </cell>
        </row>
        <row r="1084">
          <cell r="D1084" t="str">
            <v>06</v>
          </cell>
          <cell r="E1084" t="str">
            <v>Badajoz</v>
          </cell>
          <cell r="F1084" t="str">
            <v>105</v>
          </cell>
          <cell r="G1084" t="str">
            <v>4</v>
          </cell>
          <cell r="H1084" t="str">
            <v>Puebla del Maestre</v>
          </cell>
        </row>
        <row r="1085">
          <cell r="D1085" t="str">
            <v>06</v>
          </cell>
          <cell r="E1085" t="str">
            <v>Badajoz</v>
          </cell>
          <cell r="F1085" t="str">
            <v>106</v>
          </cell>
          <cell r="G1085" t="str">
            <v>7</v>
          </cell>
          <cell r="H1085" t="str">
            <v>Puebla del Prior</v>
          </cell>
        </row>
        <row r="1086">
          <cell r="D1086" t="str">
            <v>06</v>
          </cell>
          <cell r="E1086" t="str">
            <v>Badajoz</v>
          </cell>
          <cell r="F1086" t="str">
            <v>107</v>
          </cell>
          <cell r="G1086" t="str">
            <v>3</v>
          </cell>
          <cell r="H1086" t="str">
            <v>Puebla de Obando</v>
          </cell>
        </row>
        <row r="1087">
          <cell r="D1087" t="str">
            <v>06</v>
          </cell>
          <cell r="E1087" t="str">
            <v>Badajoz</v>
          </cell>
          <cell r="F1087" t="str">
            <v>108</v>
          </cell>
          <cell r="G1087" t="str">
            <v>9</v>
          </cell>
          <cell r="H1087" t="str">
            <v>Puebla de Sancho Pérez</v>
          </cell>
        </row>
        <row r="1088">
          <cell r="D1088" t="str">
            <v>06</v>
          </cell>
          <cell r="E1088" t="str">
            <v>Badajoz</v>
          </cell>
          <cell r="F1088" t="str">
            <v>109</v>
          </cell>
          <cell r="G1088" t="str">
            <v>2</v>
          </cell>
          <cell r="H1088" t="str">
            <v>Quintana de la Serena</v>
          </cell>
        </row>
        <row r="1089">
          <cell r="D1089" t="str">
            <v>06</v>
          </cell>
          <cell r="E1089" t="str">
            <v>Badajoz</v>
          </cell>
          <cell r="F1089" t="str">
            <v>110</v>
          </cell>
          <cell r="G1089" t="str">
            <v>6</v>
          </cell>
          <cell r="H1089" t="str">
            <v>Reina</v>
          </cell>
        </row>
        <row r="1090">
          <cell r="D1090" t="str">
            <v>06</v>
          </cell>
          <cell r="E1090" t="str">
            <v>Badajoz</v>
          </cell>
          <cell r="F1090" t="str">
            <v>111</v>
          </cell>
          <cell r="G1090" t="str">
            <v>3</v>
          </cell>
          <cell r="H1090" t="str">
            <v>Rena</v>
          </cell>
        </row>
        <row r="1091">
          <cell r="D1091" t="str">
            <v>06</v>
          </cell>
          <cell r="E1091" t="str">
            <v>Badajoz</v>
          </cell>
          <cell r="F1091" t="str">
            <v>112</v>
          </cell>
          <cell r="G1091" t="str">
            <v>8</v>
          </cell>
          <cell r="H1091" t="str">
            <v>Retamal de Llerena</v>
          </cell>
        </row>
        <row r="1092">
          <cell r="D1092" t="str">
            <v>06</v>
          </cell>
          <cell r="E1092" t="str">
            <v>Badajoz</v>
          </cell>
          <cell r="F1092" t="str">
            <v>113</v>
          </cell>
          <cell r="G1092" t="str">
            <v>4</v>
          </cell>
          <cell r="H1092" t="str">
            <v>Ribera del Fresno</v>
          </cell>
        </row>
        <row r="1093">
          <cell r="D1093" t="str">
            <v>06</v>
          </cell>
          <cell r="E1093" t="str">
            <v>Badajoz</v>
          </cell>
          <cell r="F1093" t="str">
            <v>114</v>
          </cell>
          <cell r="G1093" t="str">
            <v>9</v>
          </cell>
          <cell r="H1093" t="str">
            <v>Risco</v>
          </cell>
        </row>
        <row r="1094">
          <cell r="D1094" t="str">
            <v>06</v>
          </cell>
          <cell r="E1094" t="str">
            <v>Badajoz</v>
          </cell>
          <cell r="F1094" t="str">
            <v>115</v>
          </cell>
          <cell r="G1094" t="str">
            <v>2</v>
          </cell>
          <cell r="H1094" t="str">
            <v>Roca de la Sierra, La</v>
          </cell>
        </row>
        <row r="1095">
          <cell r="D1095" t="str">
            <v>06</v>
          </cell>
          <cell r="E1095" t="str">
            <v>Badajoz</v>
          </cell>
          <cell r="F1095" t="str">
            <v>116</v>
          </cell>
          <cell r="G1095" t="str">
            <v>5</v>
          </cell>
          <cell r="H1095" t="str">
            <v>Salvaleón</v>
          </cell>
        </row>
        <row r="1096">
          <cell r="D1096" t="str">
            <v>06</v>
          </cell>
          <cell r="E1096" t="str">
            <v>Badajoz</v>
          </cell>
          <cell r="F1096" t="str">
            <v>117</v>
          </cell>
          <cell r="G1096" t="str">
            <v>1</v>
          </cell>
          <cell r="H1096" t="str">
            <v>Salvatierra de los Barros</v>
          </cell>
        </row>
        <row r="1097">
          <cell r="D1097" t="str">
            <v>06</v>
          </cell>
          <cell r="E1097" t="str">
            <v>Badajoz</v>
          </cell>
          <cell r="F1097" t="str">
            <v>118</v>
          </cell>
          <cell r="G1097" t="str">
            <v>7</v>
          </cell>
          <cell r="H1097" t="str">
            <v>Sancti-Spíritus</v>
          </cell>
        </row>
        <row r="1098">
          <cell r="D1098" t="str">
            <v>06</v>
          </cell>
          <cell r="E1098" t="str">
            <v>Badajoz</v>
          </cell>
          <cell r="F1098" t="str">
            <v>119</v>
          </cell>
          <cell r="G1098" t="str">
            <v>0</v>
          </cell>
          <cell r="H1098" t="str">
            <v>San Pedro de Mérida</v>
          </cell>
        </row>
        <row r="1099">
          <cell r="D1099" t="str">
            <v>06</v>
          </cell>
          <cell r="E1099" t="str">
            <v>Badajoz</v>
          </cell>
          <cell r="F1099" t="str">
            <v>120</v>
          </cell>
          <cell r="G1099" t="str">
            <v>4</v>
          </cell>
          <cell r="H1099" t="str">
            <v>Santa Amalia</v>
          </cell>
        </row>
        <row r="1100">
          <cell r="D1100" t="str">
            <v>06</v>
          </cell>
          <cell r="E1100" t="str">
            <v>Badajoz</v>
          </cell>
          <cell r="F1100" t="str">
            <v>121</v>
          </cell>
          <cell r="G1100" t="str">
            <v>1</v>
          </cell>
          <cell r="H1100" t="str">
            <v>Santa Marta</v>
          </cell>
        </row>
        <row r="1101">
          <cell r="D1101" t="str">
            <v>06</v>
          </cell>
          <cell r="E1101" t="str">
            <v>Badajoz</v>
          </cell>
          <cell r="F1101" t="str">
            <v>122</v>
          </cell>
          <cell r="G1101" t="str">
            <v>6</v>
          </cell>
          <cell r="H1101" t="str">
            <v>Santos de Maimona, Los</v>
          </cell>
        </row>
        <row r="1102">
          <cell r="D1102" t="str">
            <v>06</v>
          </cell>
          <cell r="E1102" t="str">
            <v>Badajoz</v>
          </cell>
          <cell r="F1102" t="str">
            <v>123</v>
          </cell>
          <cell r="G1102" t="str">
            <v>2</v>
          </cell>
          <cell r="H1102" t="str">
            <v>San Vicente de Alcántara</v>
          </cell>
        </row>
        <row r="1103">
          <cell r="D1103" t="str">
            <v>06</v>
          </cell>
          <cell r="E1103" t="str">
            <v>Badajoz</v>
          </cell>
          <cell r="F1103" t="str">
            <v>124</v>
          </cell>
          <cell r="G1103" t="str">
            <v>7</v>
          </cell>
          <cell r="H1103" t="str">
            <v>Segura de León</v>
          </cell>
        </row>
        <row r="1104">
          <cell r="D1104" t="str">
            <v>06</v>
          </cell>
          <cell r="E1104" t="str">
            <v>Badajoz</v>
          </cell>
          <cell r="F1104" t="str">
            <v>125</v>
          </cell>
          <cell r="G1104" t="str">
            <v>0</v>
          </cell>
          <cell r="H1104" t="str">
            <v>Siruela</v>
          </cell>
        </row>
        <row r="1105">
          <cell r="D1105" t="str">
            <v>06</v>
          </cell>
          <cell r="E1105" t="str">
            <v>Badajoz</v>
          </cell>
          <cell r="F1105" t="str">
            <v>126</v>
          </cell>
          <cell r="G1105" t="str">
            <v>3</v>
          </cell>
          <cell r="H1105" t="str">
            <v>Solana de los Barros</v>
          </cell>
        </row>
        <row r="1106">
          <cell r="D1106" t="str">
            <v>06</v>
          </cell>
          <cell r="E1106" t="str">
            <v>Badajoz</v>
          </cell>
          <cell r="F1106" t="str">
            <v>127</v>
          </cell>
          <cell r="G1106" t="str">
            <v>9</v>
          </cell>
          <cell r="H1106" t="str">
            <v>Talarrubias</v>
          </cell>
        </row>
        <row r="1107">
          <cell r="D1107" t="str">
            <v>06</v>
          </cell>
          <cell r="E1107" t="str">
            <v>Badajoz</v>
          </cell>
          <cell r="F1107" t="str">
            <v>128</v>
          </cell>
          <cell r="G1107" t="str">
            <v>5</v>
          </cell>
          <cell r="H1107" t="str">
            <v>Talavera la Real</v>
          </cell>
        </row>
        <row r="1108">
          <cell r="D1108" t="str">
            <v>06</v>
          </cell>
          <cell r="E1108" t="str">
            <v>Badajoz</v>
          </cell>
          <cell r="F1108" t="str">
            <v>129</v>
          </cell>
          <cell r="G1108" t="str">
            <v>8</v>
          </cell>
          <cell r="H1108" t="str">
            <v>Táliga</v>
          </cell>
        </row>
        <row r="1109">
          <cell r="D1109" t="str">
            <v>06</v>
          </cell>
          <cell r="E1109" t="str">
            <v>Badajoz</v>
          </cell>
          <cell r="F1109" t="str">
            <v>130</v>
          </cell>
          <cell r="G1109" t="str">
            <v>2</v>
          </cell>
          <cell r="H1109" t="str">
            <v>Tamurejo</v>
          </cell>
        </row>
        <row r="1110">
          <cell r="D1110" t="str">
            <v>06</v>
          </cell>
          <cell r="E1110" t="str">
            <v>Badajoz</v>
          </cell>
          <cell r="F1110" t="str">
            <v>131</v>
          </cell>
          <cell r="G1110" t="str">
            <v>9</v>
          </cell>
          <cell r="H1110" t="str">
            <v>Torre de Miguel Sesmero</v>
          </cell>
        </row>
        <row r="1111">
          <cell r="D1111" t="str">
            <v>06</v>
          </cell>
          <cell r="E1111" t="str">
            <v>Badajoz</v>
          </cell>
          <cell r="F1111" t="str">
            <v>132</v>
          </cell>
          <cell r="G1111" t="str">
            <v>4</v>
          </cell>
          <cell r="H1111" t="str">
            <v>Torremayor</v>
          </cell>
        </row>
        <row r="1112">
          <cell r="D1112" t="str">
            <v>06</v>
          </cell>
          <cell r="E1112" t="str">
            <v>Badajoz</v>
          </cell>
          <cell r="F1112" t="str">
            <v>133</v>
          </cell>
          <cell r="G1112" t="str">
            <v>0</v>
          </cell>
          <cell r="H1112" t="str">
            <v>Torremejía</v>
          </cell>
        </row>
        <row r="1113">
          <cell r="D1113" t="str">
            <v>06</v>
          </cell>
          <cell r="E1113" t="str">
            <v>Badajoz</v>
          </cell>
          <cell r="F1113" t="str">
            <v>134</v>
          </cell>
          <cell r="G1113" t="str">
            <v>5</v>
          </cell>
          <cell r="H1113" t="str">
            <v>Trasierra</v>
          </cell>
        </row>
        <row r="1114">
          <cell r="D1114" t="str">
            <v>06</v>
          </cell>
          <cell r="E1114" t="str">
            <v>Badajoz</v>
          </cell>
          <cell r="F1114" t="str">
            <v>135</v>
          </cell>
          <cell r="G1114" t="str">
            <v>8</v>
          </cell>
          <cell r="H1114" t="str">
            <v>Trujillanos</v>
          </cell>
        </row>
        <row r="1115">
          <cell r="D1115" t="str">
            <v>06</v>
          </cell>
          <cell r="E1115" t="str">
            <v>Badajoz</v>
          </cell>
          <cell r="F1115" t="str">
            <v>136</v>
          </cell>
          <cell r="G1115" t="str">
            <v>1</v>
          </cell>
          <cell r="H1115" t="str">
            <v>Usagre</v>
          </cell>
        </row>
        <row r="1116">
          <cell r="D1116" t="str">
            <v>06</v>
          </cell>
          <cell r="E1116" t="str">
            <v>Badajoz</v>
          </cell>
          <cell r="F1116" t="str">
            <v>137</v>
          </cell>
          <cell r="G1116" t="str">
            <v>7</v>
          </cell>
          <cell r="H1116" t="str">
            <v>Valdecaballeros</v>
          </cell>
        </row>
        <row r="1117">
          <cell r="D1117" t="str">
            <v>06</v>
          </cell>
          <cell r="E1117" t="str">
            <v>Badajoz</v>
          </cell>
          <cell r="F1117" t="str">
            <v>138</v>
          </cell>
          <cell r="G1117" t="str">
            <v>3</v>
          </cell>
          <cell r="H1117" t="str">
            <v>Valdetorres</v>
          </cell>
        </row>
        <row r="1118">
          <cell r="D1118" t="str">
            <v>06</v>
          </cell>
          <cell r="E1118" t="str">
            <v>Badajoz</v>
          </cell>
          <cell r="F1118" t="str">
            <v>139</v>
          </cell>
          <cell r="G1118" t="str">
            <v>6</v>
          </cell>
          <cell r="H1118" t="str">
            <v>Valencia de las Torres</v>
          </cell>
        </row>
        <row r="1119">
          <cell r="D1119" t="str">
            <v>06</v>
          </cell>
          <cell r="E1119" t="str">
            <v>Badajoz</v>
          </cell>
          <cell r="F1119" t="str">
            <v>140</v>
          </cell>
          <cell r="G1119" t="str">
            <v>0</v>
          </cell>
          <cell r="H1119" t="str">
            <v>Valencia del Mombuey</v>
          </cell>
        </row>
        <row r="1120">
          <cell r="D1120" t="str">
            <v>06</v>
          </cell>
          <cell r="E1120" t="str">
            <v>Badajoz</v>
          </cell>
          <cell r="F1120" t="str">
            <v>141</v>
          </cell>
          <cell r="G1120" t="str">
            <v>7</v>
          </cell>
          <cell r="H1120" t="str">
            <v>Valencia del Ventoso</v>
          </cell>
        </row>
        <row r="1121">
          <cell r="D1121" t="str">
            <v>06</v>
          </cell>
          <cell r="E1121" t="str">
            <v>Badajoz</v>
          </cell>
          <cell r="F1121" t="str">
            <v>142</v>
          </cell>
          <cell r="G1121" t="str">
            <v>2</v>
          </cell>
          <cell r="H1121" t="str">
            <v>Valverde de Burguillos</v>
          </cell>
        </row>
        <row r="1122">
          <cell r="D1122" t="str">
            <v>06</v>
          </cell>
          <cell r="E1122" t="str">
            <v>Badajoz</v>
          </cell>
          <cell r="F1122" t="str">
            <v>143</v>
          </cell>
          <cell r="G1122" t="str">
            <v>8</v>
          </cell>
          <cell r="H1122" t="str">
            <v>Valverde de Leganés</v>
          </cell>
        </row>
        <row r="1123">
          <cell r="D1123" t="str">
            <v>06</v>
          </cell>
          <cell r="E1123" t="str">
            <v>Badajoz</v>
          </cell>
          <cell r="F1123" t="str">
            <v>144</v>
          </cell>
          <cell r="G1123" t="str">
            <v>3</v>
          </cell>
          <cell r="H1123" t="str">
            <v>Valverde de Llerena</v>
          </cell>
        </row>
        <row r="1124">
          <cell r="D1124" t="str">
            <v>06</v>
          </cell>
          <cell r="E1124" t="str">
            <v>Badajoz</v>
          </cell>
          <cell r="F1124" t="str">
            <v>145</v>
          </cell>
          <cell r="G1124" t="str">
            <v>6</v>
          </cell>
          <cell r="H1124" t="str">
            <v>Valverde de Mérida</v>
          </cell>
        </row>
        <row r="1125">
          <cell r="D1125" t="str">
            <v>06</v>
          </cell>
          <cell r="E1125" t="str">
            <v>Badajoz</v>
          </cell>
          <cell r="F1125" t="str">
            <v>146</v>
          </cell>
          <cell r="G1125" t="str">
            <v>9</v>
          </cell>
          <cell r="H1125" t="str">
            <v>Valle de la Serena</v>
          </cell>
        </row>
        <row r="1126">
          <cell r="D1126" t="str">
            <v>06</v>
          </cell>
          <cell r="E1126" t="str">
            <v>Badajoz</v>
          </cell>
          <cell r="F1126" t="str">
            <v>147</v>
          </cell>
          <cell r="G1126" t="str">
            <v>5</v>
          </cell>
          <cell r="H1126" t="str">
            <v>Valle de Matamoros</v>
          </cell>
        </row>
        <row r="1127">
          <cell r="D1127" t="str">
            <v>06</v>
          </cell>
          <cell r="E1127" t="str">
            <v>Badajoz</v>
          </cell>
          <cell r="F1127" t="str">
            <v>148</v>
          </cell>
          <cell r="G1127" t="str">
            <v>1</v>
          </cell>
          <cell r="H1127" t="str">
            <v>Valle de Santa Ana</v>
          </cell>
        </row>
        <row r="1128">
          <cell r="D1128" t="str">
            <v>06</v>
          </cell>
          <cell r="E1128" t="str">
            <v>Badajoz</v>
          </cell>
          <cell r="F1128" t="str">
            <v>149</v>
          </cell>
          <cell r="G1128" t="str">
            <v>4</v>
          </cell>
          <cell r="H1128" t="str">
            <v>Villafranca de los Barros</v>
          </cell>
        </row>
        <row r="1129">
          <cell r="D1129" t="str">
            <v>06</v>
          </cell>
          <cell r="E1129" t="str">
            <v>Badajoz</v>
          </cell>
          <cell r="F1129" t="str">
            <v>150</v>
          </cell>
          <cell r="G1129" t="str">
            <v>7</v>
          </cell>
          <cell r="H1129" t="str">
            <v>Villagarcía de la Torre</v>
          </cell>
        </row>
        <row r="1130">
          <cell r="D1130" t="str">
            <v>06</v>
          </cell>
          <cell r="E1130" t="str">
            <v>Badajoz</v>
          </cell>
          <cell r="F1130" t="str">
            <v>151</v>
          </cell>
          <cell r="G1130" t="str">
            <v>4</v>
          </cell>
          <cell r="H1130" t="str">
            <v>Villagonzalo</v>
          </cell>
        </row>
        <row r="1131">
          <cell r="D1131" t="str">
            <v>06</v>
          </cell>
          <cell r="E1131" t="str">
            <v>Badajoz</v>
          </cell>
          <cell r="F1131" t="str">
            <v>152</v>
          </cell>
          <cell r="G1131" t="str">
            <v>9</v>
          </cell>
          <cell r="H1131" t="str">
            <v>Villalba de los Barros</v>
          </cell>
        </row>
        <row r="1132">
          <cell r="D1132" t="str">
            <v>06</v>
          </cell>
          <cell r="E1132" t="str">
            <v>Badajoz</v>
          </cell>
          <cell r="F1132" t="str">
            <v>153</v>
          </cell>
          <cell r="G1132" t="str">
            <v>5</v>
          </cell>
          <cell r="H1132" t="str">
            <v>Villanueva de la Serena</v>
          </cell>
        </row>
        <row r="1133">
          <cell r="D1133" t="str">
            <v>06</v>
          </cell>
          <cell r="E1133" t="str">
            <v>Badajoz</v>
          </cell>
          <cell r="F1133" t="str">
            <v>154</v>
          </cell>
          <cell r="G1133" t="str">
            <v>0</v>
          </cell>
          <cell r="H1133" t="str">
            <v>Villanueva del Fresno</v>
          </cell>
        </row>
        <row r="1134">
          <cell r="D1134" t="str">
            <v>06</v>
          </cell>
          <cell r="E1134" t="str">
            <v>Badajoz</v>
          </cell>
          <cell r="F1134" t="str">
            <v>155</v>
          </cell>
          <cell r="G1134" t="str">
            <v>3</v>
          </cell>
          <cell r="H1134" t="str">
            <v>Villar del Rey</v>
          </cell>
        </row>
        <row r="1135">
          <cell r="D1135" t="str">
            <v>06</v>
          </cell>
          <cell r="E1135" t="str">
            <v>Badajoz</v>
          </cell>
          <cell r="F1135" t="str">
            <v>156</v>
          </cell>
          <cell r="G1135" t="str">
            <v>6</v>
          </cell>
          <cell r="H1135" t="str">
            <v>Villar de Rena</v>
          </cell>
        </row>
        <row r="1136">
          <cell r="D1136" t="str">
            <v>06</v>
          </cell>
          <cell r="E1136" t="str">
            <v>Badajoz</v>
          </cell>
          <cell r="F1136" t="str">
            <v>157</v>
          </cell>
          <cell r="G1136" t="str">
            <v>2</v>
          </cell>
          <cell r="H1136" t="str">
            <v>Villarta de los Montes</v>
          </cell>
        </row>
        <row r="1137">
          <cell r="D1137" t="str">
            <v>06</v>
          </cell>
          <cell r="E1137" t="str">
            <v>Badajoz</v>
          </cell>
          <cell r="F1137" t="str">
            <v>158</v>
          </cell>
          <cell r="G1137" t="str">
            <v>8</v>
          </cell>
          <cell r="H1137" t="str">
            <v>Zafra</v>
          </cell>
        </row>
        <row r="1138">
          <cell r="D1138" t="str">
            <v>06</v>
          </cell>
          <cell r="E1138" t="str">
            <v>Badajoz</v>
          </cell>
          <cell r="F1138" t="str">
            <v>159</v>
          </cell>
          <cell r="G1138" t="str">
            <v>1</v>
          </cell>
          <cell r="H1138" t="str">
            <v>Zahínos</v>
          </cell>
        </row>
        <row r="1139">
          <cell r="D1139" t="str">
            <v>06</v>
          </cell>
          <cell r="E1139" t="str">
            <v>Badajoz</v>
          </cell>
          <cell r="F1139" t="str">
            <v>160</v>
          </cell>
          <cell r="G1139" t="str">
            <v>5</v>
          </cell>
          <cell r="H1139" t="str">
            <v>Zalamea de la Serena</v>
          </cell>
        </row>
        <row r="1140">
          <cell r="D1140" t="str">
            <v>06</v>
          </cell>
          <cell r="E1140" t="str">
            <v>Badajoz</v>
          </cell>
          <cell r="F1140" t="str">
            <v>161</v>
          </cell>
          <cell r="G1140" t="str">
            <v>2</v>
          </cell>
          <cell r="H1140" t="str">
            <v>Zarza-Capilla</v>
          </cell>
        </row>
        <row r="1141">
          <cell r="D1141" t="str">
            <v>06</v>
          </cell>
          <cell r="E1141" t="str">
            <v>Badajoz</v>
          </cell>
          <cell r="F1141" t="str">
            <v>162</v>
          </cell>
          <cell r="G1141" t="str">
            <v>7</v>
          </cell>
          <cell r="H1141" t="str">
            <v>Zarza, La</v>
          </cell>
        </row>
        <row r="1142">
          <cell r="D1142" t="str">
            <v>06</v>
          </cell>
          <cell r="E1142" t="str">
            <v>Badajoz</v>
          </cell>
          <cell r="F1142" t="str">
            <v>901</v>
          </cell>
          <cell r="G1142" t="str">
            <v>7</v>
          </cell>
          <cell r="H1142" t="str">
            <v>Valdelacalzada</v>
          </cell>
        </row>
        <row r="1143">
          <cell r="D1143" t="str">
            <v>06</v>
          </cell>
          <cell r="E1143" t="str">
            <v>Badajoz</v>
          </cell>
          <cell r="F1143" t="str">
            <v>902</v>
          </cell>
          <cell r="G1143" t="str">
            <v>2</v>
          </cell>
          <cell r="H1143" t="str">
            <v>Pueblonuevo del Guadiana</v>
          </cell>
        </row>
        <row r="1144">
          <cell r="D1144" t="str">
            <v>06</v>
          </cell>
          <cell r="E1144" t="str">
            <v>Badajoz</v>
          </cell>
          <cell r="F1144" t="str">
            <v>903</v>
          </cell>
          <cell r="G1144" t="str">
            <v>8</v>
          </cell>
          <cell r="H1144" t="str">
            <v>Guadiana</v>
          </cell>
        </row>
        <row r="1145">
          <cell r="D1145" t="str">
            <v>07</v>
          </cell>
          <cell r="E1145" t="str">
            <v>Balears, Illes</v>
          </cell>
          <cell r="F1145" t="str">
            <v>002</v>
          </cell>
          <cell r="G1145" t="str">
            <v>7</v>
          </cell>
          <cell r="H1145" t="str">
            <v>Alaior</v>
          </cell>
        </row>
        <row r="1146">
          <cell r="D1146" t="str">
            <v>07</v>
          </cell>
          <cell r="E1146" t="str">
            <v>Balears, Illes</v>
          </cell>
          <cell r="F1146" t="str">
            <v>004</v>
          </cell>
          <cell r="G1146" t="str">
            <v>8</v>
          </cell>
          <cell r="H1146" t="str">
            <v>Algaida</v>
          </cell>
        </row>
        <row r="1147">
          <cell r="D1147" t="str">
            <v>07</v>
          </cell>
          <cell r="E1147" t="str">
            <v>Balears, Illes</v>
          </cell>
          <cell r="F1147" t="str">
            <v>005</v>
          </cell>
          <cell r="G1147" t="str">
            <v>1</v>
          </cell>
          <cell r="H1147" t="str">
            <v>Andratx</v>
          </cell>
        </row>
        <row r="1148">
          <cell r="D1148" t="str">
            <v>07</v>
          </cell>
          <cell r="E1148" t="str">
            <v>Balears, Illes</v>
          </cell>
          <cell r="F1148" t="str">
            <v>006</v>
          </cell>
          <cell r="G1148" t="str">
            <v>4</v>
          </cell>
          <cell r="H1148" t="str">
            <v>Artà</v>
          </cell>
        </row>
        <row r="1149">
          <cell r="D1149" t="str">
            <v>07</v>
          </cell>
          <cell r="E1149" t="str">
            <v>Balears, Illes</v>
          </cell>
          <cell r="F1149" t="str">
            <v>007</v>
          </cell>
          <cell r="G1149" t="str">
            <v>0</v>
          </cell>
          <cell r="H1149" t="str">
            <v>Banyalbufar</v>
          </cell>
        </row>
        <row r="1150">
          <cell r="D1150" t="str">
            <v>07</v>
          </cell>
          <cell r="E1150" t="str">
            <v>Balears, Illes</v>
          </cell>
          <cell r="F1150" t="str">
            <v>008</v>
          </cell>
          <cell r="G1150" t="str">
            <v>6</v>
          </cell>
          <cell r="H1150" t="str">
            <v>Binissalem</v>
          </cell>
        </row>
        <row r="1151">
          <cell r="D1151" t="str">
            <v>07</v>
          </cell>
          <cell r="E1151" t="str">
            <v>Balears, Illes</v>
          </cell>
          <cell r="F1151" t="str">
            <v>010</v>
          </cell>
          <cell r="G1151" t="str">
            <v>3</v>
          </cell>
          <cell r="H1151" t="str">
            <v>Bunyola</v>
          </cell>
        </row>
        <row r="1152">
          <cell r="D1152" t="str">
            <v>07</v>
          </cell>
          <cell r="E1152" t="str">
            <v>Balears, Illes</v>
          </cell>
          <cell r="F1152" t="str">
            <v>011</v>
          </cell>
          <cell r="G1152" t="str">
            <v>0</v>
          </cell>
          <cell r="H1152" t="str">
            <v>Calvià</v>
          </cell>
        </row>
        <row r="1153">
          <cell r="D1153" t="str">
            <v>07</v>
          </cell>
          <cell r="E1153" t="str">
            <v>Balears, Illes</v>
          </cell>
          <cell r="F1153" t="str">
            <v>013</v>
          </cell>
          <cell r="G1153" t="str">
            <v>1</v>
          </cell>
          <cell r="H1153" t="str">
            <v>Campos</v>
          </cell>
        </row>
        <row r="1154">
          <cell r="D1154" t="str">
            <v>07</v>
          </cell>
          <cell r="E1154" t="str">
            <v>Balears, Illes</v>
          </cell>
          <cell r="F1154" t="str">
            <v>014</v>
          </cell>
          <cell r="G1154" t="str">
            <v>6</v>
          </cell>
          <cell r="H1154" t="str">
            <v>Capdepera</v>
          </cell>
        </row>
        <row r="1155">
          <cell r="D1155" t="str">
            <v>07</v>
          </cell>
          <cell r="E1155" t="str">
            <v>Balears, Illes</v>
          </cell>
          <cell r="F1155" t="str">
            <v>015</v>
          </cell>
          <cell r="G1155" t="str">
            <v>9</v>
          </cell>
          <cell r="H1155" t="str">
            <v>Ciutadella de Menorca</v>
          </cell>
        </row>
        <row r="1156">
          <cell r="D1156" t="str">
            <v>07</v>
          </cell>
          <cell r="E1156" t="str">
            <v>Balears, Illes</v>
          </cell>
          <cell r="F1156" t="str">
            <v>017</v>
          </cell>
          <cell r="G1156" t="str">
            <v>8</v>
          </cell>
          <cell r="H1156" t="str">
            <v>Costitx</v>
          </cell>
        </row>
        <row r="1157">
          <cell r="D1157" t="str">
            <v>07</v>
          </cell>
          <cell r="E1157" t="str">
            <v>Balears, Illes</v>
          </cell>
          <cell r="F1157" t="str">
            <v>018</v>
          </cell>
          <cell r="G1157" t="str">
            <v>4</v>
          </cell>
          <cell r="H1157" t="str">
            <v>Deià</v>
          </cell>
        </row>
        <row r="1158">
          <cell r="D1158" t="str">
            <v>07</v>
          </cell>
          <cell r="E1158" t="str">
            <v>Balears, Illes</v>
          </cell>
          <cell r="F1158" t="str">
            <v>019</v>
          </cell>
          <cell r="G1158" t="str">
            <v>7</v>
          </cell>
          <cell r="H1158" t="str">
            <v>Escorca</v>
          </cell>
        </row>
        <row r="1159">
          <cell r="D1159" t="str">
            <v>07</v>
          </cell>
          <cell r="E1159" t="str">
            <v>Balears, Illes</v>
          </cell>
          <cell r="F1159" t="str">
            <v>020</v>
          </cell>
          <cell r="G1159" t="str">
            <v>1</v>
          </cell>
          <cell r="H1159" t="str">
            <v>Esporles</v>
          </cell>
        </row>
        <row r="1160">
          <cell r="D1160" t="str">
            <v>07</v>
          </cell>
          <cell r="E1160" t="str">
            <v>Balears, Illes</v>
          </cell>
          <cell r="F1160" t="str">
            <v>021</v>
          </cell>
          <cell r="G1160" t="str">
            <v>8</v>
          </cell>
          <cell r="H1160" t="str">
            <v>Estellencs</v>
          </cell>
        </row>
        <row r="1161">
          <cell r="D1161" t="str">
            <v>07</v>
          </cell>
          <cell r="E1161" t="str">
            <v>Balears, Illes</v>
          </cell>
          <cell r="F1161" t="str">
            <v>022</v>
          </cell>
          <cell r="G1161" t="str">
            <v>3</v>
          </cell>
          <cell r="H1161" t="str">
            <v>Felanitx</v>
          </cell>
        </row>
        <row r="1162">
          <cell r="D1162" t="str">
            <v>07</v>
          </cell>
          <cell r="E1162" t="str">
            <v>Balears, Illes</v>
          </cell>
          <cell r="F1162" t="str">
            <v>023</v>
          </cell>
          <cell r="G1162" t="str">
            <v>9</v>
          </cell>
          <cell r="H1162" t="str">
            <v>Ferreries</v>
          </cell>
        </row>
        <row r="1163">
          <cell r="D1163" t="str">
            <v>07</v>
          </cell>
          <cell r="E1163" t="str">
            <v>Balears, Illes</v>
          </cell>
          <cell r="F1163" t="str">
            <v>024</v>
          </cell>
          <cell r="G1163" t="str">
            <v>4</v>
          </cell>
          <cell r="H1163" t="str">
            <v>Formentera</v>
          </cell>
        </row>
        <row r="1164">
          <cell r="D1164" t="str">
            <v>07</v>
          </cell>
          <cell r="E1164" t="str">
            <v>Balears, Illes</v>
          </cell>
          <cell r="F1164" t="str">
            <v>025</v>
          </cell>
          <cell r="G1164" t="str">
            <v>7</v>
          </cell>
          <cell r="H1164" t="str">
            <v>Fornalutx</v>
          </cell>
        </row>
        <row r="1165">
          <cell r="D1165" t="str">
            <v>07</v>
          </cell>
          <cell r="E1165" t="str">
            <v>Balears, Illes</v>
          </cell>
          <cell r="F1165" t="str">
            <v>026</v>
          </cell>
          <cell r="G1165" t="str">
            <v>0</v>
          </cell>
          <cell r="H1165" t="str">
            <v>Eivissa</v>
          </cell>
        </row>
        <row r="1166">
          <cell r="D1166" t="str">
            <v>07</v>
          </cell>
          <cell r="E1166" t="str">
            <v>Balears, Illes</v>
          </cell>
          <cell r="F1166" t="str">
            <v>027</v>
          </cell>
          <cell r="G1166" t="str">
            <v>6</v>
          </cell>
          <cell r="H1166" t="str">
            <v>Inca</v>
          </cell>
        </row>
        <row r="1167">
          <cell r="D1167" t="str">
            <v>07</v>
          </cell>
          <cell r="E1167" t="str">
            <v>Balears, Illes</v>
          </cell>
          <cell r="F1167" t="str">
            <v>028</v>
          </cell>
          <cell r="G1167" t="str">
            <v>2</v>
          </cell>
          <cell r="H1167" t="str">
            <v>Lloret de Vistalegre</v>
          </cell>
        </row>
        <row r="1168">
          <cell r="D1168" t="str">
            <v>07</v>
          </cell>
          <cell r="E1168" t="str">
            <v>Balears, Illes</v>
          </cell>
          <cell r="F1168" t="str">
            <v>031</v>
          </cell>
          <cell r="G1168" t="str">
            <v>6</v>
          </cell>
          <cell r="H1168" t="str">
            <v>Llucmajor</v>
          </cell>
        </row>
        <row r="1169">
          <cell r="D1169" t="str">
            <v>07</v>
          </cell>
          <cell r="E1169" t="str">
            <v>Balears, Illes</v>
          </cell>
          <cell r="F1169" t="str">
            <v>032</v>
          </cell>
          <cell r="G1169" t="str">
            <v>1</v>
          </cell>
          <cell r="H1169" t="str">
            <v>Maó</v>
          </cell>
        </row>
        <row r="1170">
          <cell r="D1170" t="str">
            <v>07</v>
          </cell>
          <cell r="E1170" t="str">
            <v>Balears, Illes</v>
          </cell>
          <cell r="F1170" t="str">
            <v>033</v>
          </cell>
          <cell r="G1170" t="str">
            <v>7</v>
          </cell>
          <cell r="H1170" t="str">
            <v>Manacor</v>
          </cell>
        </row>
        <row r="1171">
          <cell r="D1171" t="str">
            <v>07</v>
          </cell>
          <cell r="E1171" t="str">
            <v>Balears, Illes</v>
          </cell>
          <cell r="F1171" t="str">
            <v>036</v>
          </cell>
          <cell r="G1171" t="str">
            <v>8</v>
          </cell>
          <cell r="H1171" t="str">
            <v>Marratxí</v>
          </cell>
        </row>
        <row r="1172">
          <cell r="D1172" t="str">
            <v>07</v>
          </cell>
          <cell r="E1172" t="str">
            <v>Balears, Illes</v>
          </cell>
          <cell r="F1172" t="str">
            <v>037</v>
          </cell>
          <cell r="G1172" t="str">
            <v>4</v>
          </cell>
          <cell r="H1172" t="str">
            <v>Mercadal, Es</v>
          </cell>
        </row>
        <row r="1173">
          <cell r="D1173" t="str">
            <v>07</v>
          </cell>
          <cell r="E1173" t="str">
            <v>Balears, Illes</v>
          </cell>
          <cell r="F1173" t="str">
            <v>038</v>
          </cell>
          <cell r="G1173" t="str">
            <v>0</v>
          </cell>
          <cell r="H1173" t="str">
            <v>Montuïri</v>
          </cell>
        </row>
        <row r="1174">
          <cell r="D1174" t="str">
            <v>07</v>
          </cell>
          <cell r="E1174" t="str">
            <v>Balears, Illes</v>
          </cell>
          <cell r="F1174" t="str">
            <v>040</v>
          </cell>
          <cell r="G1174" t="str">
            <v>7</v>
          </cell>
          <cell r="H1174" t="str">
            <v>Palma</v>
          </cell>
        </row>
        <row r="1175">
          <cell r="D1175" t="str">
            <v>07</v>
          </cell>
          <cell r="E1175" t="str">
            <v>Balears, Illes</v>
          </cell>
          <cell r="F1175" t="str">
            <v>041</v>
          </cell>
          <cell r="G1175" t="str">
            <v>4</v>
          </cell>
          <cell r="H1175" t="str">
            <v>Petra</v>
          </cell>
        </row>
        <row r="1176">
          <cell r="D1176" t="str">
            <v>07</v>
          </cell>
          <cell r="E1176" t="str">
            <v>Balears, Illes</v>
          </cell>
          <cell r="F1176" t="str">
            <v>043</v>
          </cell>
          <cell r="G1176" t="str">
            <v>5</v>
          </cell>
          <cell r="H1176" t="str">
            <v>Porreres</v>
          </cell>
        </row>
        <row r="1177">
          <cell r="D1177" t="str">
            <v>07</v>
          </cell>
          <cell r="E1177" t="str">
            <v>Balears, Illes</v>
          </cell>
          <cell r="F1177" t="str">
            <v>044</v>
          </cell>
          <cell r="G1177" t="str">
            <v>0</v>
          </cell>
          <cell r="H1177" t="str">
            <v>Pobla, Sa</v>
          </cell>
        </row>
        <row r="1178">
          <cell r="D1178" t="str">
            <v>07</v>
          </cell>
          <cell r="E1178" t="str">
            <v>Balears, Illes</v>
          </cell>
          <cell r="F1178" t="str">
            <v>045</v>
          </cell>
          <cell r="G1178" t="str">
            <v>3</v>
          </cell>
          <cell r="H1178" t="str">
            <v>Puigpunyent</v>
          </cell>
        </row>
        <row r="1179">
          <cell r="D1179" t="str">
            <v>07</v>
          </cell>
          <cell r="E1179" t="str">
            <v>Balears, Illes</v>
          </cell>
          <cell r="F1179" t="str">
            <v>046</v>
          </cell>
          <cell r="G1179" t="str">
            <v>6</v>
          </cell>
          <cell r="H1179" t="str">
            <v>Sant Antoni de Portmany</v>
          </cell>
        </row>
        <row r="1180">
          <cell r="D1180" t="str">
            <v>07</v>
          </cell>
          <cell r="E1180" t="str">
            <v>Balears, Illes</v>
          </cell>
          <cell r="F1180" t="str">
            <v>047</v>
          </cell>
          <cell r="G1180" t="str">
            <v>2</v>
          </cell>
          <cell r="H1180" t="str">
            <v>Sencelles</v>
          </cell>
        </row>
        <row r="1181">
          <cell r="D1181" t="str">
            <v>07</v>
          </cell>
          <cell r="E1181" t="str">
            <v>Balears, Illes</v>
          </cell>
          <cell r="F1181" t="str">
            <v>048</v>
          </cell>
          <cell r="G1181" t="str">
            <v>8</v>
          </cell>
          <cell r="H1181" t="str">
            <v>Sant Josep de sa Talaia</v>
          </cell>
        </row>
        <row r="1182">
          <cell r="D1182" t="str">
            <v>07</v>
          </cell>
          <cell r="E1182" t="str">
            <v>Balears, Illes</v>
          </cell>
          <cell r="F1182" t="str">
            <v>049</v>
          </cell>
          <cell r="G1182" t="str">
            <v>1</v>
          </cell>
          <cell r="H1182" t="str">
            <v>Sant Joan</v>
          </cell>
        </row>
        <row r="1183">
          <cell r="D1183" t="str">
            <v>07</v>
          </cell>
          <cell r="E1183" t="str">
            <v>Balears, Illes</v>
          </cell>
          <cell r="F1183" t="str">
            <v>050</v>
          </cell>
          <cell r="G1183" t="str">
            <v>4</v>
          </cell>
          <cell r="H1183" t="str">
            <v>Sant Joan de Labritja</v>
          </cell>
        </row>
        <row r="1184">
          <cell r="D1184" t="str">
            <v>07</v>
          </cell>
          <cell r="E1184" t="str">
            <v>Balears, Illes</v>
          </cell>
          <cell r="F1184" t="str">
            <v>051</v>
          </cell>
          <cell r="G1184" t="str">
            <v>1</v>
          </cell>
          <cell r="H1184" t="str">
            <v>Sant Llorenç des Cardassar</v>
          </cell>
        </row>
        <row r="1185">
          <cell r="D1185" t="str">
            <v>07</v>
          </cell>
          <cell r="E1185" t="str">
            <v>Balears, Illes</v>
          </cell>
          <cell r="F1185" t="str">
            <v>052</v>
          </cell>
          <cell r="G1185" t="str">
            <v>6</v>
          </cell>
          <cell r="H1185" t="str">
            <v>Sant Lluís</v>
          </cell>
        </row>
        <row r="1186">
          <cell r="D1186" t="str">
            <v>07</v>
          </cell>
          <cell r="E1186" t="str">
            <v>Balears, Illes</v>
          </cell>
          <cell r="F1186" t="str">
            <v>053</v>
          </cell>
          <cell r="G1186" t="str">
            <v>2</v>
          </cell>
          <cell r="H1186" t="str">
            <v>Santa Eugènia</v>
          </cell>
        </row>
        <row r="1187">
          <cell r="D1187" t="str">
            <v>07</v>
          </cell>
          <cell r="E1187" t="str">
            <v>Balears, Illes</v>
          </cell>
          <cell r="F1187" t="str">
            <v>054</v>
          </cell>
          <cell r="G1187" t="str">
            <v>7</v>
          </cell>
          <cell r="H1187" t="str">
            <v>Santa Eulària des Riu</v>
          </cell>
        </row>
        <row r="1188">
          <cell r="D1188" t="str">
            <v>07</v>
          </cell>
          <cell r="E1188" t="str">
            <v>Balears, Illes</v>
          </cell>
          <cell r="F1188" t="str">
            <v>055</v>
          </cell>
          <cell r="G1188" t="str">
            <v>0</v>
          </cell>
          <cell r="H1188" t="str">
            <v>Santa Margalida</v>
          </cell>
        </row>
        <row r="1189">
          <cell r="D1189" t="str">
            <v>07</v>
          </cell>
          <cell r="E1189" t="str">
            <v>Balears, Illes</v>
          </cell>
          <cell r="F1189" t="str">
            <v>056</v>
          </cell>
          <cell r="G1189" t="str">
            <v>3</v>
          </cell>
          <cell r="H1189" t="str">
            <v>Santa María del Camí</v>
          </cell>
        </row>
        <row r="1190">
          <cell r="D1190" t="str">
            <v>07</v>
          </cell>
          <cell r="E1190" t="str">
            <v>Balears, Illes</v>
          </cell>
          <cell r="F1190" t="str">
            <v>057</v>
          </cell>
          <cell r="G1190" t="str">
            <v>9</v>
          </cell>
          <cell r="H1190" t="str">
            <v>Santanyí</v>
          </cell>
        </row>
        <row r="1191">
          <cell r="D1191" t="str">
            <v>07</v>
          </cell>
          <cell r="E1191" t="str">
            <v>Balears, Illes</v>
          </cell>
          <cell r="F1191" t="str">
            <v>059</v>
          </cell>
          <cell r="G1191" t="str">
            <v>8</v>
          </cell>
          <cell r="H1191" t="str">
            <v>Salines, Ses</v>
          </cell>
        </row>
        <row r="1192">
          <cell r="D1192" t="str">
            <v>07</v>
          </cell>
          <cell r="E1192" t="str">
            <v>Balears, Illes</v>
          </cell>
          <cell r="F1192" t="str">
            <v>060</v>
          </cell>
          <cell r="G1192" t="str">
            <v>2</v>
          </cell>
          <cell r="H1192" t="str">
            <v>Sineu</v>
          </cell>
        </row>
        <row r="1193">
          <cell r="D1193" t="str">
            <v>07</v>
          </cell>
          <cell r="E1193" t="str">
            <v>Balears, Illes</v>
          </cell>
          <cell r="F1193" t="str">
            <v>061</v>
          </cell>
          <cell r="G1193" t="str">
            <v>9</v>
          </cell>
          <cell r="H1193" t="str">
            <v>Sóller</v>
          </cell>
        </row>
        <row r="1194">
          <cell r="D1194" t="str">
            <v>07</v>
          </cell>
          <cell r="E1194" t="str">
            <v>Balears, Illes</v>
          </cell>
          <cell r="F1194" t="str">
            <v>062</v>
          </cell>
          <cell r="G1194" t="str">
            <v>4</v>
          </cell>
          <cell r="H1194" t="str">
            <v>Son Servera</v>
          </cell>
        </row>
        <row r="1195">
          <cell r="D1195" t="str">
            <v>07</v>
          </cell>
          <cell r="E1195" t="str">
            <v>Balears, Illes</v>
          </cell>
          <cell r="F1195" t="str">
            <v>063</v>
          </cell>
          <cell r="G1195" t="str">
            <v>0</v>
          </cell>
          <cell r="H1195" t="str">
            <v>Valldemossa</v>
          </cell>
        </row>
        <row r="1196">
          <cell r="D1196" t="str">
            <v>07</v>
          </cell>
          <cell r="E1196" t="str">
            <v>Balears, Illes</v>
          </cell>
          <cell r="F1196" t="str">
            <v>064</v>
          </cell>
          <cell r="G1196" t="str">
            <v>5</v>
          </cell>
          <cell r="H1196" t="str">
            <v>Castell, Es</v>
          </cell>
        </row>
        <row r="1197">
          <cell r="D1197" t="str">
            <v>07</v>
          </cell>
          <cell r="E1197" t="str">
            <v>Balears, Illes</v>
          </cell>
          <cell r="F1197" t="str">
            <v>065</v>
          </cell>
          <cell r="G1197" t="str">
            <v>8</v>
          </cell>
          <cell r="H1197" t="str">
            <v>Vilafranca de Bonany</v>
          </cell>
        </row>
        <row r="1198">
          <cell r="D1198" t="str">
            <v>07</v>
          </cell>
          <cell r="E1198" t="str">
            <v>Balears, Illes</v>
          </cell>
          <cell r="F1198" t="str">
            <v>902</v>
          </cell>
          <cell r="G1198" t="str">
            <v>8</v>
          </cell>
          <cell r="H1198" t="str">
            <v>Migjorn Gran, Es</v>
          </cell>
        </row>
        <row r="1199">
          <cell r="D1199" t="str">
            <v>08</v>
          </cell>
          <cell r="E1199" t="str">
            <v>Barcelona</v>
          </cell>
          <cell r="F1199" t="str">
            <v>001</v>
          </cell>
          <cell r="G1199" t="str">
            <v>8</v>
          </cell>
          <cell r="H1199" t="str">
            <v>Abrera</v>
          </cell>
        </row>
        <row r="1200">
          <cell r="D1200" t="str">
            <v>08</v>
          </cell>
          <cell r="E1200" t="str">
            <v>Barcelona</v>
          </cell>
          <cell r="F1200" t="str">
            <v>002</v>
          </cell>
          <cell r="G1200" t="str">
            <v>3</v>
          </cell>
          <cell r="H1200" t="str">
            <v>Aguilar de Segarra</v>
          </cell>
        </row>
        <row r="1201">
          <cell r="D1201" t="str">
            <v>08</v>
          </cell>
          <cell r="E1201" t="str">
            <v>Barcelona</v>
          </cell>
          <cell r="F1201" t="str">
            <v>003</v>
          </cell>
          <cell r="G1201" t="str">
            <v>9</v>
          </cell>
          <cell r="H1201" t="str">
            <v>Alella</v>
          </cell>
        </row>
        <row r="1202">
          <cell r="D1202" t="str">
            <v>08</v>
          </cell>
          <cell r="E1202" t="str">
            <v>Barcelona</v>
          </cell>
          <cell r="F1202" t="str">
            <v>004</v>
          </cell>
          <cell r="G1202" t="str">
            <v>4</v>
          </cell>
          <cell r="H1202" t="str">
            <v>Alpens</v>
          </cell>
        </row>
        <row r="1203">
          <cell r="D1203" t="str">
            <v>08</v>
          </cell>
          <cell r="E1203" t="str">
            <v>Barcelona</v>
          </cell>
          <cell r="F1203" t="str">
            <v>005</v>
          </cell>
          <cell r="G1203" t="str">
            <v>7</v>
          </cell>
          <cell r="H1203" t="str">
            <v>Ametlla del Vallès, L'</v>
          </cell>
        </row>
        <row r="1204">
          <cell r="D1204" t="str">
            <v>08</v>
          </cell>
          <cell r="E1204" t="str">
            <v>Barcelona</v>
          </cell>
          <cell r="F1204" t="str">
            <v>006</v>
          </cell>
          <cell r="G1204" t="str">
            <v>0</v>
          </cell>
          <cell r="H1204" t="str">
            <v>Arenys de Mar</v>
          </cell>
        </row>
        <row r="1205">
          <cell r="D1205" t="str">
            <v>08</v>
          </cell>
          <cell r="E1205" t="str">
            <v>Barcelona</v>
          </cell>
          <cell r="F1205" t="str">
            <v>007</v>
          </cell>
          <cell r="G1205" t="str">
            <v>6</v>
          </cell>
          <cell r="H1205" t="str">
            <v>Arenys de Munt</v>
          </cell>
        </row>
        <row r="1206">
          <cell r="D1206" t="str">
            <v>08</v>
          </cell>
          <cell r="E1206" t="str">
            <v>Barcelona</v>
          </cell>
          <cell r="F1206" t="str">
            <v>008</v>
          </cell>
          <cell r="G1206" t="str">
            <v>2</v>
          </cell>
          <cell r="H1206" t="str">
            <v>Argençola</v>
          </cell>
        </row>
        <row r="1207">
          <cell r="D1207" t="str">
            <v>08</v>
          </cell>
          <cell r="E1207" t="str">
            <v>Barcelona</v>
          </cell>
          <cell r="F1207" t="str">
            <v>009</v>
          </cell>
          <cell r="G1207" t="str">
            <v>5</v>
          </cell>
          <cell r="H1207" t="str">
            <v>Argentona</v>
          </cell>
        </row>
        <row r="1208">
          <cell r="D1208" t="str">
            <v>08</v>
          </cell>
          <cell r="E1208" t="str">
            <v>Barcelona</v>
          </cell>
          <cell r="F1208" t="str">
            <v>010</v>
          </cell>
          <cell r="G1208" t="str">
            <v>9</v>
          </cell>
          <cell r="H1208" t="str">
            <v>Artés</v>
          </cell>
        </row>
        <row r="1209">
          <cell r="D1209" t="str">
            <v>08</v>
          </cell>
          <cell r="E1209" t="str">
            <v>Barcelona</v>
          </cell>
          <cell r="F1209" t="str">
            <v>011</v>
          </cell>
          <cell r="G1209" t="str">
            <v>6</v>
          </cell>
          <cell r="H1209" t="str">
            <v>Avià</v>
          </cell>
        </row>
        <row r="1210">
          <cell r="D1210" t="str">
            <v>08</v>
          </cell>
          <cell r="E1210" t="str">
            <v>Barcelona</v>
          </cell>
          <cell r="F1210" t="str">
            <v>012</v>
          </cell>
          <cell r="G1210" t="str">
            <v>1</v>
          </cell>
          <cell r="H1210" t="str">
            <v>Avinyó</v>
          </cell>
        </row>
        <row r="1211">
          <cell r="D1211" t="str">
            <v>08</v>
          </cell>
          <cell r="E1211" t="str">
            <v>Barcelona</v>
          </cell>
          <cell r="F1211" t="str">
            <v>013</v>
          </cell>
          <cell r="G1211" t="str">
            <v>7</v>
          </cell>
          <cell r="H1211" t="str">
            <v>Avinyonet del Penedès</v>
          </cell>
        </row>
        <row r="1212">
          <cell r="D1212" t="str">
            <v>08</v>
          </cell>
          <cell r="E1212" t="str">
            <v>Barcelona</v>
          </cell>
          <cell r="F1212" t="str">
            <v>014</v>
          </cell>
          <cell r="G1212" t="str">
            <v>2</v>
          </cell>
          <cell r="H1212" t="str">
            <v>Aiguafreda</v>
          </cell>
        </row>
        <row r="1213">
          <cell r="D1213" t="str">
            <v>08</v>
          </cell>
          <cell r="E1213" t="str">
            <v>Barcelona</v>
          </cell>
          <cell r="F1213" t="str">
            <v>015</v>
          </cell>
          <cell r="G1213" t="str">
            <v>5</v>
          </cell>
          <cell r="H1213" t="str">
            <v>Badalona</v>
          </cell>
        </row>
        <row r="1214">
          <cell r="D1214" t="str">
            <v>08</v>
          </cell>
          <cell r="E1214" t="str">
            <v>Barcelona</v>
          </cell>
          <cell r="F1214" t="str">
            <v>016</v>
          </cell>
          <cell r="G1214" t="str">
            <v>8</v>
          </cell>
          <cell r="H1214" t="str">
            <v>Bagà</v>
          </cell>
        </row>
        <row r="1215">
          <cell r="D1215" t="str">
            <v>08</v>
          </cell>
          <cell r="E1215" t="str">
            <v>Barcelona</v>
          </cell>
          <cell r="F1215" t="str">
            <v>017</v>
          </cell>
          <cell r="G1215" t="str">
            <v>4</v>
          </cell>
          <cell r="H1215" t="str">
            <v>Balenyà</v>
          </cell>
        </row>
        <row r="1216">
          <cell r="D1216" t="str">
            <v>08</v>
          </cell>
          <cell r="E1216" t="str">
            <v>Barcelona</v>
          </cell>
          <cell r="F1216" t="str">
            <v>018</v>
          </cell>
          <cell r="G1216" t="str">
            <v>0</v>
          </cell>
          <cell r="H1216" t="str">
            <v>Balsareny</v>
          </cell>
        </row>
        <row r="1217">
          <cell r="D1217" t="str">
            <v>08</v>
          </cell>
          <cell r="E1217" t="str">
            <v>Barcelona</v>
          </cell>
          <cell r="F1217" t="str">
            <v>019</v>
          </cell>
          <cell r="G1217" t="str">
            <v>3</v>
          </cell>
          <cell r="H1217" t="str">
            <v>Barcelona</v>
          </cell>
        </row>
        <row r="1218">
          <cell r="D1218" t="str">
            <v>08</v>
          </cell>
          <cell r="E1218" t="str">
            <v>Barcelona</v>
          </cell>
          <cell r="F1218" t="str">
            <v>020</v>
          </cell>
          <cell r="G1218" t="str">
            <v>7</v>
          </cell>
          <cell r="H1218" t="str">
            <v>Begues</v>
          </cell>
        </row>
        <row r="1219">
          <cell r="D1219" t="str">
            <v>08</v>
          </cell>
          <cell r="E1219" t="str">
            <v>Barcelona</v>
          </cell>
          <cell r="F1219" t="str">
            <v>021</v>
          </cell>
          <cell r="G1219" t="str">
            <v>4</v>
          </cell>
          <cell r="H1219" t="str">
            <v>Bellprat</v>
          </cell>
        </row>
        <row r="1220">
          <cell r="D1220" t="str">
            <v>08</v>
          </cell>
          <cell r="E1220" t="str">
            <v>Barcelona</v>
          </cell>
          <cell r="F1220" t="str">
            <v>022</v>
          </cell>
          <cell r="G1220" t="str">
            <v>9</v>
          </cell>
          <cell r="H1220" t="str">
            <v>Berga</v>
          </cell>
        </row>
        <row r="1221">
          <cell r="D1221" t="str">
            <v>08</v>
          </cell>
          <cell r="E1221" t="str">
            <v>Barcelona</v>
          </cell>
          <cell r="F1221" t="str">
            <v>023</v>
          </cell>
          <cell r="G1221" t="str">
            <v>5</v>
          </cell>
          <cell r="H1221" t="str">
            <v>Bigues i Riells del Fai</v>
          </cell>
        </row>
        <row r="1222">
          <cell r="D1222" t="str">
            <v>08</v>
          </cell>
          <cell r="E1222" t="str">
            <v>Barcelona</v>
          </cell>
          <cell r="F1222" t="str">
            <v>024</v>
          </cell>
          <cell r="G1222" t="str">
            <v>0</v>
          </cell>
          <cell r="H1222" t="str">
            <v>Borredà</v>
          </cell>
        </row>
        <row r="1223">
          <cell r="D1223" t="str">
            <v>08</v>
          </cell>
          <cell r="E1223" t="str">
            <v>Barcelona</v>
          </cell>
          <cell r="F1223" t="str">
            <v>025</v>
          </cell>
          <cell r="G1223" t="str">
            <v>3</v>
          </cell>
          <cell r="H1223" t="str">
            <v>Bruc, El</v>
          </cell>
        </row>
        <row r="1224">
          <cell r="D1224" t="str">
            <v>08</v>
          </cell>
          <cell r="E1224" t="str">
            <v>Barcelona</v>
          </cell>
          <cell r="F1224" t="str">
            <v>026</v>
          </cell>
          <cell r="G1224" t="str">
            <v>6</v>
          </cell>
          <cell r="H1224" t="str">
            <v>Brull, El</v>
          </cell>
        </row>
        <row r="1225">
          <cell r="D1225" t="str">
            <v>08</v>
          </cell>
          <cell r="E1225" t="str">
            <v>Barcelona</v>
          </cell>
          <cell r="F1225" t="str">
            <v>027</v>
          </cell>
          <cell r="G1225" t="str">
            <v>2</v>
          </cell>
          <cell r="H1225" t="str">
            <v>Cabanyes, Les</v>
          </cell>
        </row>
        <row r="1226">
          <cell r="D1226" t="str">
            <v>08</v>
          </cell>
          <cell r="E1226" t="str">
            <v>Barcelona</v>
          </cell>
          <cell r="F1226" t="str">
            <v>028</v>
          </cell>
          <cell r="G1226" t="str">
            <v>8</v>
          </cell>
          <cell r="H1226" t="str">
            <v>Cabrera d'Anoia</v>
          </cell>
        </row>
        <row r="1227">
          <cell r="D1227" t="str">
            <v>08</v>
          </cell>
          <cell r="E1227" t="str">
            <v>Barcelona</v>
          </cell>
          <cell r="F1227" t="str">
            <v>029</v>
          </cell>
          <cell r="G1227" t="str">
            <v>1</v>
          </cell>
          <cell r="H1227" t="str">
            <v>Cabrera de Mar</v>
          </cell>
        </row>
        <row r="1228">
          <cell r="D1228" t="str">
            <v>08</v>
          </cell>
          <cell r="E1228" t="str">
            <v>Barcelona</v>
          </cell>
          <cell r="F1228" t="str">
            <v>030</v>
          </cell>
          <cell r="G1228" t="str">
            <v>5</v>
          </cell>
          <cell r="H1228" t="str">
            <v>Cabrils</v>
          </cell>
        </row>
        <row r="1229">
          <cell r="D1229" t="str">
            <v>08</v>
          </cell>
          <cell r="E1229" t="str">
            <v>Barcelona</v>
          </cell>
          <cell r="F1229" t="str">
            <v>031</v>
          </cell>
          <cell r="G1229" t="str">
            <v>2</v>
          </cell>
          <cell r="H1229" t="str">
            <v>Calaf</v>
          </cell>
        </row>
        <row r="1230">
          <cell r="D1230" t="str">
            <v>08</v>
          </cell>
          <cell r="E1230" t="str">
            <v>Barcelona</v>
          </cell>
          <cell r="F1230" t="str">
            <v>032</v>
          </cell>
          <cell r="G1230" t="str">
            <v>7</v>
          </cell>
          <cell r="H1230" t="str">
            <v>Caldes d'Estrac</v>
          </cell>
        </row>
        <row r="1231">
          <cell r="D1231" t="str">
            <v>08</v>
          </cell>
          <cell r="E1231" t="str">
            <v>Barcelona</v>
          </cell>
          <cell r="F1231" t="str">
            <v>033</v>
          </cell>
          <cell r="G1231" t="str">
            <v>3</v>
          </cell>
          <cell r="H1231" t="str">
            <v>Caldes de Montbui</v>
          </cell>
        </row>
        <row r="1232">
          <cell r="D1232" t="str">
            <v>08</v>
          </cell>
          <cell r="E1232" t="str">
            <v>Barcelona</v>
          </cell>
          <cell r="F1232" t="str">
            <v>034</v>
          </cell>
          <cell r="G1232" t="str">
            <v>8</v>
          </cell>
          <cell r="H1232" t="str">
            <v>Calders</v>
          </cell>
        </row>
        <row r="1233">
          <cell r="D1233" t="str">
            <v>08</v>
          </cell>
          <cell r="E1233" t="str">
            <v>Barcelona</v>
          </cell>
          <cell r="F1233" t="str">
            <v>035</v>
          </cell>
          <cell r="G1233" t="str">
            <v>1</v>
          </cell>
          <cell r="H1233" t="str">
            <v>Calella</v>
          </cell>
        </row>
        <row r="1234">
          <cell r="D1234" t="str">
            <v>08</v>
          </cell>
          <cell r="E1234" t="str">
            <v>Barcelona</v>
          </cell>
          <cell r="F1234" t="str">
            <v>036</v>
          </cell>
          <cell r="G1234" t="str">
            <v>4</v>
          </cell>
          <cell r="H1234" t="str">
            <v>Calonge de Segarra</v>
          </cell>
        </row>
        <row r="1235">
          <cell r="D1235" t="str">
            <v>08</v>
          </cell>
          <cell r="E1235" t="str">
            <v>Barcelona</v>
          </cell>
          <cell r="F1235" t="str">
            <v>037</v>
          </cell>
          <cell r="G1235" t="str">
            <v>0</v>
          </cell>
          <cell r="H1235" t="str">
            <v>Calldetenes</v>
          </cell>
        </row>
        <row r="1236">
          <cell r="D1236" t="str">
            <v>08</v>
          </cell>
          <cell r="E1236" t="str">
            <v>Barcelona</v>
          </cell>
          <cell r="F1236" t="str">
            <v>038</v>
          </cell>
          <cell r="G1236" t="str">
            <v>6</v>
          </cell>
          <cell r="H1236" t="str">
            <v>Callús</v>
          </cell>
        </row>
        <row r="1237">
          <cell r="D1237" t="str">
            <v>08</v>
          </cell>
          <cell r="E1237" t="str">
            <v>Barcelona</v>
          </cell>
          <cell r="F1237" t="str">
            <v>039</v>
          </cell>
          <cell r="G1237" t="str">
            <v>9</v>
          </cell>
          <cell r="H1237" t="str">
            <v>Campins</v>
          </cell>
        </row>
        <row r="1238">
          <cell r="D1238" t="str">
            <v>08</v>
          </cell>
          <cell r="E1238" t="str">
            <v>Barcelona</v>
          </cell>
          <cell r="F1238" t="str">
            <v>040</v>
          </cell>
          <cell r="G1238" t="str">
            <v>3</v>
          </cell>
          <cell r="H1238" t="str">
            <v>Canet de Mar</v>
          </cell>
        </row>
        <row r="1239">
          <cell r="D1239" t="str">
            <v>08</v>
          </cell>
          <cell r="E1239" t="str">
            <v>Barcelona</v>
          </cell>
          <cell r="F1239" t="str">
            <v>041</v>
          </cell>
          <cell r="G1239" t="str">
            <v>0</v>
          </cell>
          <cell r="H1239" t="str">
            <v>Canovelles</v>
          </cell>
        </row>
        <row r="1240">
          <cell r="D1240" t="str">
            <v>08</v>
          </cell>
          <cell r="E1240" t="str">
            <v>Barcelona</v>
          </cell>
          <cell r="F1240" t="str">
            <v>042</v>
          </cell>
          <cell r="G1240" t="str">
            <v>5</v>
          </cell>
          <cell r="H1240" t="str">
            <v>Cànoves i Samalús</v>
          </cell>
        </row>
        <row r="1241">
          <cell r="D1241" t="str">
            <v>08</v>
          </cell>
          <cell r="E1241" t="str">
            <v>Barcelona</v>
          </cell>
          <cell r="F1241" t="str">
            <v>043</v>
          </cell>
          <cell r="G1241" t="str">
            <v>1</v>
          </cell>
          <cell r="H1241" t="str">
            <v>Canyelles</v>
          </cell>
        </row>
        <row r="1242">
          <cell r="D1242" t="str">
            <v>08</v>
          </cell>
          <cell r="E1242" t="str">
            <v>Barcelona</v>
          </cell>
          <cell r="F1242" t="str">
            <v>044</v>
          </cell>
          <cell r="G1242" t="str">
            <v>6</v>
          </cell>
          <cell r="H1242" t="str">
            <v>Capellades</v>
          </cell>
        </row>
        <row r="1243">
          <cell r="D1243" t="str">
            <v>08</v>
          </cell>
          <cell r="E1243" t="str">
            <v>Barcelona</v>
          </cell>
          <cell r="F1243" t="str">
            <v>045</v>
          </cell>
          <cell r="G1243" t="str">
            <v>9</v>
          </cell>
          <cell r="H1243" t="str">
            <v>Capolat</v>
          </cell>
        </row>
        <row r="1244">
          <cell r="D1244" t="str">
            <v>08</v>
          </cell>
          <cell r="E1244" t="str">
            <v>Barcelona</v>
          </cell>
          <cell r="F1244" t="str">
            <v>046</v>
          </cell>
          <cell r="G1244" t="str">
            <v>2</v>
          </cell>
          <cell r="H1244" t="str">
            <v>Cardedeu</v>
          </cell>
        </row>
        <row r="1245">
          <cell r="D1245" t="str">
            <v>08</v>
          </cell>
          <cell r="E1245" t="str">
            <v>Barcelona</v>
          </cell>
          <cell r="F1245" t="str">
            <v>047</v>
          </cell>
          <cell r="G1245" t="str">
            <v>8</v>
          </cell>
          <cell r="H1245" t="str">
            <v>Cardona</v>
          </cell>
        </row>
        <row r="1246">
          <cell r="D1246" t="str">
            <v>08</v>
          </cell>
          <cell r="E1246" t="str">
            <v>Barcelona</v>
          </cell>
          <cell r="F1246" t="str">
            <v>048</v>
          </cell>
          <cell r="G1246" t="str">
            <v>4</v>
          </cell>
          <cell r="H1246" t="str">
            <v>Carme</v>
          </cell>
        </row>
        <row r="1247">
          <cell r="D1247" t="str">
            <v>08</v>
          </cell>
          <cell r="E1247" t="str">
            <v>Barcelona</v>
          </cell>
          <cell r="F1247" t="str">
            <v>049</v>
          </cell>
          <cell r="G1247" t="str">
            <v>7</v>
          </cell>
          <cell r="H1247" t="str">
            <v>Casserres</v>
          </cell>
        </row>
        <row r="1248">
          <cell r="D1248" t="str">
            <v>08</v>
          </cell>
          <cell r="E1248" t="str">
            <v>Barcelona</v>
          </cell>
          <cell r="F1248" t="str">
            <v>050</v>
          </cell>
          <cell r="G1248" t="str">
            <v>0</v>
          </cell>
          <cell r="H1248" t="str">
            <v>Castellar del Riu</v>
          </cell>
        </row>
        <row r="1249">
          <cell r="D1249" t="str">
            <v>08</v>
          </cell>
          <cell r="E1249" t="str">
            <v>Barcelona</v>
          </cell>
          <cell r="F1249" t="str">
            <v>051</v>
          </cell>
          <cell r="G1249" t="str">
            <v>7</v>
          </cell>
          <cell r="H1249" t="str">
            <v>Castellar del Vallès</v>
          </cell>
        </row>
        <row r="1250">
          <cell r="D1250" t="str">
            <v>08</v>
          </cell>
          <cell r="E1250" t="str">
            <v>Barcelona</v>
          </cell>
          <cell r="F1250" t="str">
            <v>052</v>
          </cell>
          <cell r="G1250" t="str">
            <v>2</v>
          </cell>
          <cell r="H1250" t="str">
            <v>Castellar de n'Hug</v>
          </cell>
        </row>
        <row r="1251">
          <cell r="D1251" t="str">
            <v>08</v>
          </cell>
          <cell r="E1251" t="str">
            <v>Barcelona</v>
          </cell>
          <cell r="F1251" t="str">
            <v>053</v>
          </cell>
          <cell r="G1251" t="str">
            <v>8</v>
          </cell>
          <cell r="H1251" t="str">
            <v>Castellbell i el Vilar</v>
          </cell>
        </row>
        <row r="1252">
          <cell r="D1252" t="str">
            <v>08</v>
          </cell>
          <cell r="E1252" t="str">
            <v>Barcelona</v>
          </cell>
          <cell r="F1252" t="str">
            <v>054</v>
          </cell>
          <cell r="G1252" t="str">
            <v>3</v>
          </cell>
          <cell r="H1252" t="str">
            <v>Castellbisbal</v>
          </cell>
        </row>
        <row r="1253">
          <cell r="D1253" t="str">
            <v>08</v>
          </cell>
          <cell r="E1253" t="str">
            <v>Barcelona</v>
          </cell>
          <cell r="F1253" t="str">
            <v>055</v>
          </cell>
          <cell r="G1253" t="str">
            <v>6</v>
          </cell>
          <cell r="H1253" t="str">
            <v>Castellcir</v>
          </cell>
        </row>
        <row r="1254">
          <cell r="D1254" t="str">
            <v>08</v>
          </cell>
          <cell r="E1254" t="str">
            <v>Barcelona</v>
          </cell>
          <cell r="F1254" t="str">
            <v>056</v>
          </cell>
          <cell r="G1254" t="str">
            <v>9</v>
          </cell>
          <cell r="H1254" t="str">
            <v>Castelldefels</v>
          </cell>
        </row>
        <row r="1255">
          <cell r="D1255" t="str">
            <v>08</v>
          </cell>
          <cell r="E1255" t="str">
            <v>Barcelona</v>
          </cell>
          <cell r="F1255" t="str">
            <v>057</v>
          </cell>
          <cell r="G1255" t="str">
            <v>5</v>
          </cell>
          <cell r="H1255" t="str">
            <v>Castell de l'Areny</v>
          </cell>
        </row>
        <row r="1256">
          <cell r="D1256" t="str">
            <v>08</v>
          </cell>
          <cell r="E1256" t="str">
            <v>Barcelona</v>
          </cell>
          <cell r="F1256" t="str">
            <v>058</v>
          </cell>
          <cell r="G1256" t="str">
            <v>1</v>
          </cell>
          <cell r="H1256" t="str">
            <v>Castellet i la Gornal</v>
          </cell>
        </row>
        <row r="1257">
          <cell r="D1257" t="str">
            <v>08</v>
          </cell>
          <cell r="E1257" t="str">
            <v>Barcelona</v>
          </cell>
          <cell r="F1257" t="str">
            <v>059</v>
          </cell>
          <cell r="G1257" t="str">
            <v>4</v>
          </cell>
          <cell r="H1257" t="str">
            <v>Castellfollit del Boix</v>
          </cell>
        </row>
        <row r="1258">
          <cell r="D1258" t="str">
            <v>08</v>
          </cell>
          <cell r="E1258" t="str">
            <v>Barcelona</v>
          </cell>
          <cell r="F1258" t="str">
            <v>060</v>
          </cell>
          <cell r="G1258" t="str">
            <v>8</v>
          </cell>
          <cell r="H1258" t="str">
            <v>Castellfollit de Riubregós</v>
          </cell>
        </row>
        <row r="1259">
          <cell r="D1259" t="str">
            <v>08</v>
          </cell>
          <cell r="E1259" t="str">
            <v>Barcelona</v>
          </cell>
          <cell r="F1259" t="str">
            <v>061</v>
          </cell>
          <cell r="G1259" t="str">
            <v>5</v>
          </cell>
          <cell r="H1259" t="str">
            <v>Castellgalí</v>
          </cell>
        </row>
        <row r="1260">
          <cell r="D1260" t="str">
            <v>08</v>
          </cell>
          <cell r="E1260" t="str">
            <v>Barcelona</v>
          </cell>
          <cell r="F1260" t="str">
            <v>062</v>
          </cell>
          <cell r="G1260" t="str">
            <v>0</v>
          </cell>
          <cell r="H1260" t="str">
            <v>Castellnou de Bages</v>
          </cell>
        </row>
        <row r="1261">
          <cell r="D1261" t="str">
            <v>08</v>
          </cell>
          <cell r="E1261" t="str">
            <v>Barcelona</v>
          </cell>
          <cell r="F1261" t="str">
            <v>063</v>
          </cell>
          <cell r="G1261" t="str">
            <v>6</v>
          </cell>
          <cell r="H1261" t="str">
            <v>Castellolí</v>
          </cell>
        </row>
        <row r="1262">
          <cell r="D1262" t="str">
            <v>08</v>
          </cell>
          <cell r="E1262" t="str">
            <v>Barcelona</v>
          </cell>
          <cell r="F1262" t="str">
            <v>064</v>
          </cell>
          <cell r="G1262" t="str">
            <v>1</v>
          </cell>
          <cell r="H1262" t="str">
            <v>Castellterçol</v>
          </cell>
        </row>
        <row r="1263">
          <cell r="D1263" t="str">
            <v>08</v>
          </cell>
          <cell r="E1263" t="str">
            <v>Barcelona</v>
          </cell>
          <cell r="F1263" t="str">
            <v>065</v>
          </cell>
          <cell r="G1263" t="str">
            <v>4</v>
          </cell>
          <cell r="H1263" t="str">
            <v>Castellví de la Marca</v>
          </cell>
        </row>
        <row r="1264">
          <cell r="D1264" t="str">
            <v>08</v>
          </cell>
          <cell r="E1264" t="str">
            <v>Barcelona</v>
          </cell>
          <cell r="F1264" t="str">
            <v>066</v>
          </cell>
          <cell r="G1264" t="str">
            <v>7</v>
          </cell>
          <cell r="H1264" t="str">
            <v>Castellví de Rosanes</v>
          </cell>
        </row>
        <row r="1265">
          <cell r="D1265" t="str">
            <v>08</v>
          </cell>
          <cell r="E1265" t="str">
            <v>Barcelona</v>
          </cell>
          <cell r="F1265" t="str">
            <v>067</v>
          </cell>
          <cell r="G1265" t="str">
            <v>3</v>
          </cell>
          <cell r="H1265" t="str">
            <v>Centelles</v>
          </cell>
        </row>
        <row r="1266">
          <cell r="D1266" t="str">
            <v>08</v>
          </cell>
          <cell r="E1266" t="str">
            <v>Barcelona</v>
          </cell>
          <cell r="F1266" t="str">
            <v>068</v>
          </cell>
          <cell r="G1266" t="str">
            <v>9</v>
          </cell>
          <cell r="H1266" t="str">
            <v>Cervelló</v>
          </cell>
        </row>
        <row r="1267">
          <cell r="D1267" t="str">
            <v>08</v>
          </cell>
          <cell r="E1267" t="str">
            <v>Barcelona</v>
          </cell>
          <cell r="F1267" t="str">
            <v>069</v>
          </cell>
          <cell r="G1267" t="str">
            <v>2</v>
          </cell>
          <cell r="H1267" t="str">
            <v>Collbató</v>
          </cell>
        </row>
        <row r="1268">
          <cell r="D1268" t="str">
            <v>08</v>
          </cell>
          <cell r="E1268" t="str">
            <v>Barcelona</v>
          </cell>
          <cell r="F1268" t="str">
            <v>070</v>
          </cell>
          <cell r="G1268" t="str">
            <v>6</v>
          </cell>
          <cell r="H1268" t="str">
            <v>Collsuspina</v>
          </cell>
        </row>
        <row r="1269">
          <cell r="D1269" t="str">
            <v>08</v>
          </cell>
          <cell r="E1269" t="str">
            <v>Barcelona</v>
          </cell>
          <cell r="F1269" t="str">
            <v>071</v>
          </cell>
          <cell r="G1269" t="str">
            <v>3</v>
          </cell>
          <cell r="H1269" t="str">
            <v>Copons</v>
          </cell>
        </row>
        <row r="1270">
          <cell r="D1270" t="str">
            <v>08</v>
          </cell>
          <cell r="E1270" t="str">
            <v>Barcelona</v>
          </cell>
          <cell r="F1270" t="str">
            <v>072</v>
          </cell>
          <cell r="G1270" t="str">
            <v>8</v>
          </cell>
          <cell r="H1270" t="str">
            <v>Corbera de Llobregat</v>
          </cell>
        </row>
        <row r="1271">
          <cell r="D1271" t="str">
            <v>08</v>
          </cell>
          <cell r="E1271" t="str">
            <v>Barcelona</v>
          </cell>
          <cell r="F1271" t="str">
            <v>073</v>
          </cell>
          <cell r="G1271" t="str">
            <v>4</v>
          </cell>
          <cell r="H1271" t="str">
            <v>Cornellà de Llobregat</v>
          </cell>
        </row>
        <row r="1272">
          <cell r="D1272" t="str">
            <v>08</v>
          </cell>
          <cell r="E1272" t="str">
            <v>Barcelona</v>
          </cell>
          <cell r="F1272" t="str">
            <v>074</v>
          </cell>
          <cell r="G1272" t="str">
            <v>9</v>
          </cell>
          <cell r="H1272" t="str">
            <v>Cubelles</v>
          </cell>
        </row>
        <row r="1273">
          <cell r="D1273" t="str">
            <v>08</v>
          </cell>
          <cell r="E1273" t="str">
            <v>Barcelona</v>
          </cell>
          <cell r="F1273" t="str">
            <v>075</v>
          </cell>
          <cell r="G1273" t="str">
            <v>2</v>
          </cell>
          <cell r="H1273" t="str">
            <v>Dosrius</v>
          </cell>
        </row>
        <row r="1274">
          <cell r="D1274" t="str">
            <v>08</v>
          </cell>
          <cell r="E1274" t="str">
            <v>Barcelona</v>
          </cell>
          <cell r="F1274" t="str">
            <v>076</v>
          </cell>
          <cell r="G1274" t="str">
            <v>5</v>
          </cell>
          <cell r="H1274" t="str">
            <v>Esparreguera</v>
          </cell>
        </row>
        <row r="1275">
          <cell r="D1275" t="str">
            <v>08</v>
          </cell>
          <cell r="E1275" t="str">
            <v>Barcelona</v>
          </cell>
          <cell r="F1275" t="str">
            <v>077</v>
          </cell>
          <cell r="G1275" t="str">
            <v>1</v>
          </cell>
          <cell r="H1275" t="str">
            <v>Esplugues de Llobregat</v>
          </cell>
        </row>
        <row r="1276">
          <cell r="D1276" t="str">
            <v>08</v>
          </cell>
          <cell r="E1276" t="str">
            <v>Barcelona</v>
          </cell>
          <cell r="F1276" t="str">
            <v>078</v>
          </cell>
          <cell r="G1276" t="str">
            <v>7</v>
          </cell>
          <cell r="H1276" t="str">
            <v>Espunyola, L'</v>
          </cell>
        </row>
        <row r="1277">
          <cell r="D1277" t="str">
            <v>08</v>
          </cell>
          <cell r="E1277" t="str">
            <v>Barcelona</v>
          </cell>
          <cell r="F1277" t="str">
            <v>079</v>
          </cell>
          <cell r="G1277" t="str">
            <v>0</v>
          </cell>
          <cell r="H1277" t="str">
            <v>Estany, L'</v>
          </cell>
        </row>
        <row r="1278">
          <cell r="D1278" t="str">
            <v>08</v>
          </cell>
          <cell r="E1278" t="str">
            <v>Barcelona</v>
          </cell>
          <cell r="F1278" t="str">
            <v>080</v>
          </cell>
          <cell r="G1278" t="str">
            <v>4</v>
          </cell>
          <cell r="H1278" t="str">
            <v>Fígols</v>
          </cell>
        </row>
        <row r="1279">
          <cell r="D1279" t="str">
            <v>08</v>
          </cell>
          <cell r="E1279" t="str">
            <v>Barcelona</v>
          </cell>
          <cell r="F1279" t="str">
            <v>081</v>
          </cell>
          <cell r="G1279" t="str">
            <v>1</v>
          </cell>
          <cell r="H1279" t="str">
            <v>Fogars de Montclús</v>
          </cell>
        </row>
        <row r="1280">
          <cell r="D1280" t="str">
            <v>08</v>
          </cell>
          <cell r="E1280" t="str">
            <v>Barcelona</v>
          </cell>
          <cell r="F1280" t="str">
            <v>082</v>
          </cell>
          <cell r="G1280" t="str">
            <v>6</v>
          </cell>
          <cell r="H1280" t="str">
            <v>Fogars de la Selva</v>
          </cell>
        </row>
        <row r="1281">
          <cell r="D1281" t="str">
            <v>08</v>
          </cell>
          <cell r="E1281" t="str">
            <v>Barcelona</v>
          </cell>
          <cell r="F1281" t="str">
            <v>083</v>
          </cell>
          <cell r="G1281" t="str">
            <v>2</v>
          </cell>
          <cell r="H1281" t="str">
            <v>Folgueroles</v>
          </cell>
        </row>
        <row r="1282">
          <cell r="D1282" t="str">
            <v>08</v>
          </cell>
          <cell r="E1282" t="str">
            <v>Barcelona</v>
          </cell>
          <cell r="F1282" t="str">
            <v>084</v>
          </cell>
          <cell r="G1282" t="str">
            <v>7</v>
          </cell>
          <cell r="H1282" t="str">
            <v>Fonollosa</v>
          </cell>
        </row>
        <row r="1283">
          <cell r="D1283" t="str">
            <v>08</v>
          </cell>
          <cell r="E1283" t="str">
            <v>Barcelona</v>
          </cell>
          <cell r="F1283" t="str">
            <v>085</v>
          </cell>
          <cell r="G1283" t="str">
            <v>0</v>
          </cell>
          <cell r="H1283" t="str">
            <v>Font-rubí</v>
          </cell>
        </row>
        <row r="1284">
          <cell r="D1284" t="str">
            <v>08</v>
          </cell>
          <cell r="E1284" t="str">
            <v>Barcelona</v>
          </cell>
          <cell r="F1284" t="str">
            <v>086</v>
          </cell>
          <cell r="G1284" t="str">
            <v>3</v>
          </cell>
          <cell r="H1284" t="str">
            <v>Franqueses del Vallès, Les</v>
          </cell>
        </row>
        <row r="1285">
          <cell r="D1285" t="str">
            <v>08</v>
          </cell>
          <cell r="E1285" t="str">
            <v>Barcelona</v>
          </cell>
          <cell r="F1285" t="str">
            <v>087</v>
          </cell>
          <cell r="G1285" t="str">
            <v>9</v>
          </cell>
          <cell r="H1285" t="str">
            <v>Gallifa</v>
          </cell>
        </row>
        <row r="1286">
          <cell r="D1286" t="str">
            <v>08</v>
          </cell>
          <cell r="E1286" t="str">
            <v>Barcelona</v>
          </cell>
          <cell r="F1286" t="str">
            <v>088</v>
          </cell>
          <cell r="G1286" t="str">
            <v>5</v>
          </cell>
          <cell r="H1286" t="str">
            <v>Garriga, La</v>
          </cell>
        </row>
        <row r="1287">
          <cell r="D1287" t="str">
            <v>08</v>
          </cell>
          <cell r="E1287" t="str">
            <v>Barcelona</v>
          </cell>
          <cell r="F1287" t="str">
            <v>089</v>
          </cell>
          <cell r="G1287" t="str">
            <v>8</v>
          </cell>
          <cell r="H1287" t="str">
            <v>Gavà</v>
          </cell>
        </row>
        <row r="1288">
          <cell r="D1288" t="str">
            <v>08</v>
          </cell>
          <cell r="E1288" t="str">
            <v>Barcelona</v>
          </cell>
          <cell r="F1288" t="str">
            <v>090</v>
          </cell>
          <cell r="G1288" t="str">
            <v>2</v>
          </cell>
          <cell r="H1288" t="str">
            <v>Gaià</v>
          </cell>
        </row>
        <row r="1289">
          <cell r="D1289" t="str">
            <v>08</v>
          </cell>
          <cell r="E1289" t="str">
            <v>Barcelona</v>
          </cell>
          <cell r="F1289" t="str">
            <v>091</v>
          </cell>
          <cell r="G1289" t="str">
            <v>9</v>
          </cell>
          <cell r="H1289" t="str">
            <v>Gelida</v>
          </cell>
        </row>
        <row r="1290">
          <cell r="D1290" t="str">
            <v>08</v>
          </cell>
          <cell r="E1290" t="str">
            <v>Barcelona</v>
          </cell>
          <cell r="F1290" t="str">
            <v>092</v>
          </cell>
          <cell r="G1290" t="str">
            <v>4</v>
          </cell>
          <cell r="H1290" t="str">
            <v>Gironella</v>
          </cell>
        </row>
        <row r="1291">
          <cell r="D1291" t="str">
            <v>08</v>
          </cell>
          <cell r="E1291" t="str">
            <v>Barcelona</v>
          </cell>
          <cell r="F1291" t="str">
            <v>093</v>
          </cell>
          <cell r="G1291" t="str">
            <v>0</v>
          </cell>
          <cell r="H1291" t="str">
            <v>Gisclareny</v>
          </cell>
        </row>
        <row r="1292">
          <cell r="D1292" t="str">
            <v>08</v>
          </cell>
          <cell r="E1292" t="str">
            <v>Barcelona</v>
          </cell>
          <cell r="F1292" t="str">
            <v>094</v>
          </cell>
          <cell r="G1292" t="str">
            <v>5</v>
          </cell>
          <cell r="H1292" t="str">
            <v>Granada, La</v>
          </cell>
        </row>
        <row r="1293">
          <cell r="D1293" t="str">
            <v>08</v>
          </cell>
          <cell r="E1293" t="str">
            <v>Barcelona</v>
          </cell>
          <cell r="F1293" t="str">
            <v>095</v>
          </cell>
          <cell r="G1293" t="str">
            <v>8</v>
          </cell>
          <cell r="H1293" t="str">
            <v>Granera</v>
          </cell>
        </row>
        <row r="1294">
          <cell r="D1294" t="str">
            <v>08</v>
          </cell>
          <cell r="E1294" t="str">
            <v>Barcelona</v>
          </cell>
          <cell r="F1294" t="str">
            <v>096</v>
          </cell>
          <cell r="G1294" t="str">
            <v>1</v>
          </cell>
          <cell r="H1294" t="str">
            <v>Granollers</v>
          </cell>
        </row>
        <row r="1295">
          <cell r="D1295" t="str">
            <v>08</v>
          </cell>
          <cell r="E1295" t="str">
            <v>Barcelona</v>
          </cell>
          <cell r="F1295" t="str">
            <v>097</v>
          </cell>
          <cell r="G1295" t="str">
            <v>7</v>
          </cell>
          <cell r="H1295" t="str">
            <v>Gualba</v>
          </cell>
        </row>
        <row r="1296">
          <cell r="D1296" t="str">
            <v>08</v>
          </cell>
          <cell r="E1296" t="str">
            <v>Barcelona</v>
          </cell>
          <cell r="F1296" t="str">
            <v>098</v>
          </cell>
          <cell r="G1296" t="str">
            <v>3</v>
          </cell>
          <cell r="H1296" t="str">
            <v>Sant Salvador de Guardiola</v>
          </cell>
        </row>
        <row r="1297">
          <cell r="D1297" t="str">
            <v>08</v>
          </cell>
          <cell r="E1297" t="str">
            <v>Barcelona</v>
          </cell>
          <cell r="F1297" t="str">
            <v>099</v>
          </cell>
          <cell r="G1297" t="str">
            <v>6</v>
          </cell>
          <cell r="H1297" t="str">
            <v>Guardiola de Berguedà</v>
          </cell>
        </row>
        <row r="1298">
          <cell r="D1298" t="str">
            <v>08</v>
          </cell>
          <cell r="E1298" t="str">
            <v>Barcelona</v>
          </cell>
          <cell r="F1298" t="str">
            <v>100</v>
          </cell>
          <cell r="G1298" t="str">
            <v>0</v>
          </cell>
          <cell r="H1298" t="str">
            <v>Gurb</v>
          </cell>
        </row>
        <row r="1299">
          <cell r="D1299" t="str">
            <v>08</v>
          </cell>
          <cell r="E1299" t="str">
            <v>Barcelona</v>
          </cell>
          <cell r="F1299" t="str">
            <v>101</v>
          </cell>
          <cell r="G1299" t="str">
            <v>7</v>
          </cell>
          <cell r="H1299" t="str">
            <v>Hospitalet de Llobregat, L'</v>
          </cell>
        </row>
        <row r="1300">
          <cell r="D1300" t="str">
            <v>08</v>
          </cell>
          <cell r="E1300" t="str">
            <v>Barcelona</v>
          </cell>
          <cell r="F1300" t="str">
            <v>102</v>
          </cell>
          <cell r="G1300" t="str">
            <v>2</v>
          </cell>
          <cell r="H1300" t="str">
            <v>Igualada</v>
          </cell>
        </row>
        <row r="1301">
          <cell r="D1301" t="str">
            <v>08</v>
          </cell>
          <cell r="E1301" t="str">
            <v>Barcelona</v>
          </cell>
          <cell r="F1301" t="str">
            <v>103</v>
          </cell>
          <cell r="G1301" t="str">
            <v>8</v>
          </cell>
          <cell r="H1301" t="str">
            <v>Jorba</v>
          </cell>
        </row>
        <row r="1302">
          <cell r="D1302" t="str">
            <v>08</v>
          </cell>
          <cell r="E1302" t="str">
            <v>Barcelona</v>
          </cell>
          <cell r="F1302" t="str">
            <v>104</v>
          </cell>
          <cell r="G1302" t="str">
            <v>3</v>
          </cell>
          <cell r="H1302" t="str">
            <v>Llacuna, La</v>
          </cell>
        </row>
        <row r="1303">
          <cell r="D1303" t="str">
            <v>08</v>
          </cell>
          <cell r="E1303" t="str">
            <v>Barcelona</v>
          </cell>
          <cell r="F1303" t="str">
            <v>105</v>
          </cell>
          <cell r="G1303" t="str">
            <v>6</v>
          </cell>
          <cell r="H1303" t="str">
            <v>Llagosta, La</v>
          </cell>
        </row>
        <row r="1304">
          <cell r="D1304" t="str">
            <v>08</v>
          </cell>
          <cell r="E1304" t="str">
            <v>Barcelona</v>
          </cell>
          <cell r="F1304" t="str">
            <v>106</v>
          </cell>
          <cell r="G1304" t="str">
            <v>9</v>
          </cell>
          <cell r="H1304" t="str">
            <v>Llinars del Vallès</v>
          </cell>
        </row>
        <row r="1305">
          <cell r="D1305" t="str">
            <v>08</v>
          </cell>
          <cell r="E1305" t="str">
            <v>Barcelona</v>
          </cell>
          <cell r="F1305" t="str">
            <v>107</v>
          </cell>
          <cell r="G1305" t="str">
            <v>5</v>
          </cell>
          <cell r="H1305" t="str">
            <v>Lliçà d'Amunt</v>
          </cell>
        </row>
        <row r="1306">
          <cell r="D1306" t="str">
            <v>08</v>
          </cell>
          <cell r="E1306" t="str">
            <v>Barcelona</v>
          </cell>
          <cell r="F1306" t="str">
            <v>108</v>
          </cell>
          <cell r="G1306" t="str">
            <v>1</v>
          </cell>
          <cell r="H1306" t="str">
            <v>Lliçà de Vall</v>
          </cell>
        </row>
        <row r="1307">
          <cell r="D1307" t="str">
            <v>08</v>
          </cell>
          <cell r="E1307" t="str">
            <v>Barcelona</v>
          </cell>
          <cell r="F1307" t="str">
            <v>109</v>
          </cell>
          <cell r="G1307" t="str">
            <v>4</v>
          </cell>
          <cell r="H1307" t="str">
            <v>Lluçà</v>
          </cell>
        </row>
        <row r="1308">
          <cell r="D1308" t="str">
            <v>08</v>
          </cell>
          <cell r="E1308" t="str">
            <v>Barcelona</v>
          </cell>
          <cell r="F1308" t="str">
            <v>110</v>
          </cell>
          <cell r="G1308" t="str">
            <v>8</v>
          </cell>
          <cell r="H1308" t="str">
            <v>Malgrat de Mar</v>
          </cell>
        </row>
        <row r="1309">
          <cell r="D1309" t="str">
            <v>08</v>
          </cell>
          <cell r="E1309" t="str">
            <v>Barcelona</v>
          </cell>
          <cell r="F1309" t="str">
            <v>111</v>
          </cell>
          <cell r="G1309" t="str">
            <v>5</v>
          </cell>
          <cell r="H1309" t="str">
            <v>Malla</v>
          </cell>
        </row>
        <row r="1310">
          <cell r="D1310" t="str">
            <v>08</v>
          </cell>
          <cell r="E1310" t="str">
            <v>Barcelona</v>
          </cell>
          <cell r="F1310" t="str">
            <v>112</v>
          </cell>
          <cell r="G1310" t="str">
            <v>0</v>
          </cell>
          <cell r="H1310" t="str">
            <v>Manlleu</v>
          </cell>
        </row>
        <row r="1311">
          <cell r="D1311" t="str">
            <v>08</v>
          </cell>
          <cell r="E1311" t="str">
            <v>Barcelona</v>
          </cell>
          <cell r="F1311" t="str">
            <v>113</v>
          </cell>
          <cell r="G1311" t="str">
            <v>6</v>
          </cell>
          <cell r="H1311" t="str">
            <v>Manresa</v>
          </cell>
        </row>
        <row r="1312">
          <cell r="D1312" t="str">
            <v>08</v>
          </cell>
          <cell r="E1312" t="str">
            <v>Barcelona</v>
          </cell>
          <cell r="F1312" t="str">
            <v>114</v>
          </cell>
          <cell r="G1312" t="str">
            <v>1</v>
          </cell>
          <cell r="H1312" t="str">
            <v>Martorell</v>
          </cell>
        </row>
        <row r="1313">
          <cell r="D1313" t="str">
            <v>08</v>
          </cell>
          <cell r="E1313" t="str">
            <v>Barcelona</v>
          </cell>
          <cell r="F1313" t="str">
            <v>115</v>
          </cell>
          <cell r="G1313" t="str">
            <v>4</v>
          </cell>
          <cell r="H1313" t="str">
            <v>Martorelles</v>
          </cell>
        </row>
        <row r="1314">
          <cell r="D1314" t="str">
            <v>08</v>
          </cell>
          <cell r="E1314" t="str">
            <v>Barcelona</v>
          </cell>
          <cell r="F1314" t="str">
            <v>116</v>
          </cell>
          <cell r="G1314" t="str">
            <v>7</v>
          </cell>
          <cell r="H1314" t="str">
            <v>Masies de Roda, Les</v>
          </cell>
        </row>
        <row r="1315">
          <cell r="D1315" t="str">
            <v>08</v>
          </cell>
          <cell r="E1315" t="str">
            <v>Barcelona</v>
          </cell>
          <cell r="F1315" t="str">
            <v>117</v>
          </cell>
          <cell r="G1315" t="str">
            <v>3</v>
          </cell>
          <cell r="H1315" t="str">
            <v>Masies de Voltregà, Les</v>
          </cell>
        </row>
        <row r="1316">
          <cell r="D1316" t="str">
            <v>08</v>
          </cell>
          <cell r="E1316" t="str">
            <v>Barcelona</v>
          </cell>
          <cell r="F1316" t="str">
            <v>118</v>
          </cell>
          <cell r="G1316" t="str">
            <v>9</v>
          </cell>
          <cell r="H1316" t="str">
            <v>Masnou, El</v>
          </cell>
        </row>
        <row r="1317">
          <cell r="D1317" t="str">
            <v>08</v>
          </cell>
          <cell r="E1317" t="str">
            <v>Barcelona</v>
          </cell>
          <cell r="F1317" t="str">
            <v>119</v>
          </cell>
          <cell r="G1317" t="str">
            <v>2</v>
          </cell>
          <cell r="H1317" t="str">
            <v>Masquefa</v>
          </cell>
        </row>
        <row r="1318">
          <cell r="D1318" t="str">
            <v>08</v>
          </cell>
          <cell r="E1318" t="str">
            <v>Barcelona</v>
          </cell>
          <cell r="F1318" t="str">
            <v>120</v>
          </cell>
          <cell r="G1318" t="str">
            <v>6</v>
          </cell>
          <cell r="H1318" t="str">
            <v>Matadepera</v>
          </cell>
        </row>
        <row r="1319">
          <cell r="D1319" t="str">
            <v>08</v>
          </cell>
          <cell r="E1319" t="str">
            <v>Barcelona</v>
          </cell>
          <cell r="F1319" t="str">
            <v>121</v>
          </cell>
          <cell r="G1319" t="str">
            <v>3</v>
          </cell>
          <cell r="H1319" t="str">
            <v>Mataró</v>
          </cell>
        </row>
        <row r="1320">
          <cell r="D1320" t="str">
            <v>08</v>
          </cell>
          <cell r="E1320" t="str">
            <v>Barcelona</v>
          </cell>
          <cell r="F1320" t="str">
            <v>122</v>
          </cell>
          <cell r="G1320" t="str">
            <v>8</v>
          </cell>
          <cell r="H1320" t="str">
            <v>Mediona</v>
          </cell>
        </row>
        <row r="1321">
          <cell r="D1321" t="str">
            <v>08</v>
          </cell>
          <cell r="E1321" t="str">
            <v>Barcelona</v>
          </cell>
          <cell r="F1321" t="str">
            <v>123</v>
          </cell>
          <cell r="G1321" t="str">
            <v>4</v>
          </cell>
          <cell r="H1321" t="str">
            <v>Molins de Rei</v>
          </cell>
        </row>
        <row r="1322">
          <cell r="D1322" t="str">
            <v>08</v>
          </cell>
          <cell r="E1322" t="str">
            <v>Barcelona</v>
          </cell>
          <cell r="F1322" t="str">
            <v>124</v>
          </cell>
          <cell r="G1322" t="str">
            <v>9</v>
          </cell>
          <cell r="H1322" t="str">
            <v>Mollet del Vallès</v>
          </cell>
        </row>
        <row r="1323">
          <cell r="D1323" t="str">
            <v>08</v>
          </cell>
          <cell r="E1323" t="str">
            <v>Barcelona</v>
          </cell>
          <cell r="F1323" t="str">
            <v>125</v>
          </cell>
          <cell r="G1323" t="str">
            <v>2</v>
          </cell>
          <cell r="H1323" t="str">
            <v>Montcada i Reixac</v>
          </cell>
        </row>
        <row r="1324">
          <cell r="D1324" t="str">
            <v>08</v>
          </cell>
          <cell r="E1324" t="str">
            <v>Barcelona</v>
          </cell>
          <cell r="F1324" t="str">
            <v>126</v>
          </cell>
          <cell r="G1324" t="str">
            <v>5</v>
          </cell>
          <cell r="H1324" t="str">
            <v>Montgat</v>
          </cell>
        </row>
        <row r="1325">
          <cell r="D1325" t="str">
            <v>08</v>
          </cell>
          <cell r="E1325" t="str">
            <v>Barcelona</v>
          </cell>
          <cell r="F1325" t="str">
            <v>127</v>
          </cell>
          <cell r="G1325" t="str">
            <v>1</v>
          </cell>
          <cell r="H1325" t="str">
            <v>Monistrol de Montserrat</v>
          </cell>
        </row>
        <row r="1326">
          <cell r="D1326" t="str">
            <v>08</v>
          </cell>
          <cell r="E1326" t="str">
            <v>Barcelona</v>
          </cell>
          <cell r="F1326" t="str">
            <v>128</v>
          </cell>
          <cell r="G1326" t="str">
            <v>7</v>
          </cell>
          <cell r="H1326" t="str">
            <v>Monistrol de Calders</v>
          </cell>
        </row>
        <row r="1327">
          <cell r="D1327" t="str">
            <v>08</v>
          </cell>
          <cell r="E1327" t="str">
            <v>Barcelona</v>
          </cell>
          <cell r="F1327" t="str">
            <v>129</v>
          </cell>
          <cell r="G1327" t="str">
            <v>0</v>
          </cell>
          <cell r="H1327" t="str">
            <v>Muntanyola</v>
          </cell>
        </row>
        <row r="1328">
          <cell r="D1328" t="str">
            <v>08</v>
          </cell>
          <cell r="E1328" t="str">
            <v>Barcelona</v>
          </cell>
          <cell r="F1328" t="str">
            <v>130</v>
          </cell>
          <cell r="G1328" t="str">
            <v>4</v>
          </cell>
          <cell r="H1328" t="str">
            <v>Montclar</v>
          </cell>
        </row>
        <row r="1329">
          <cell r="D1329" t="str">
            <v>08</v>
          </cell>
          <cell r="E1329" t="str">
            <v>Barcelona</v>
          </cell>
          <cell r="F1329" t="str">
            <v>131</v>
          </cell>
          <cell r="G1329" t="str">
            <v>1</v>
          </cell>
          <cell r="H1329" t="str">
            <v>Montesquiu</v>
          </cell>
        </row>
        <row r="1330">
          <cell r="D1330" t="str">
            <v>08</v>
          </cell>
          <cell r="E1330" t="str">
            <v>Barcelona</v>
          </cell>
          <cell r="F1330" t="str">
            <v>132</v>
          </cell>
          <cell r="G1330" t="str">
            <v>6</v>
          </cell>
          <cell r="H1330" t="str">
            <v>Montmajor</v>
          </cell>
        </row>
        <row r="1331">
          <cell r="D1331" t="str">
            <v>08</v>
          </cell>
          <cell r="E1331" t="str">
            <v>Barcelona</v>
          </cell>
          <cell r="F1331" t="str">
            <v>133</v>
          </cell>
          <cell r="G1331" t="str">
            <v>2</v>
          </cell>
          <cell r="H1331" t="str">
            <v>Montmaneu</v>
          </cell>
        </row>
        <row r="1332">
          <cell r="D1332" t="str">
            <v>08</v>
          </cell>
          <cell r="E1332" t="str">
            <v>Barcelona</v>
          </cell>
          <cell r="F1332" t="str">
            <v>134</v>
          </cell>
          <cell r="G1332" t="str">
            <v>7</v>
          </cell>
          <cell r="H1332" t="str">
            <v>Figaró-Montmany</v>
          </cell>
        </row>
        <row r="1333">
          <cell r="D1333" t="str">
            <v>08</v>
          </cell>
          <cell r="E1333" t="str">
            <v>Barcelona</v>
          </cell>
          <cell r="F1333" t="str">
            <v>135</v>
          </cell>
          <cell r="G1333" t="str">
            <v>0</v>
          </cell>
          <cell r="H1333" t="str">
            <v>Montmeló</v>
          </cell>
        </row>
        <row r="1334">
          <cell r="D1334" t="str">
            <v>08</v>
          </cell>
          <cell r="E1334" t="str">
            <v>Barcelona</v>
          </cell>
          <cell r="F1334" t="str">
            <v>136</v>
          </cell>
          <cell r="G1334" t="str">
            <v>3</v>
          </cell>
          <cell r="H1334" t="str">
            <v>Montornès del Vallès</v>
          </cell>
        </row>
        <row r="1335">
          <cell r="D1335" t="str">
            <v>08</v>
          </cell>
          <cell r="E1335" t="str">
            <v>Barcelona</v>
          </cell>
          <cell r="F1335" t="str">
            <v>137</v>
          </cell>
          <cell r="G1335" t="str">
            <v>9</v>
          </cell>
          <cell r="H1335" t="str">
            <v>Montseny</v>
          </cell>
        </row>
        <row r="1336">
          <cell r="D1336" t="str">
            <v>08</v>
          </cell>
          <cell r="E1336" t="str">
            <v>Barcelona</v>
          </cell>
          <cell r="F1336" t="str">
            <v>138</v>
          </cell>
          <cell r="G1336" t="str">
            <v>5</v>
          </cell>
          <cell r="H1336" t="str">
            <v>Moià</v>
          </cell>
        </row>
        <row r="1337">
          <cell r="D1337" t="str">
            <v>08</v>
          </cell>
          <cell r="E1337" t="str">
            <v>Barcelona</v>
          </cell>
          <cell r="F1337" t="str">
            <v>139</v>
          </cell>
          <cell r="G1337" t="str">
            <v>8</v>
          </cell>
          <cell r="H1337" t="str">
            <v>Mura</v>
          </cell>
        </row>
        <row r="1338">
          <cell r="D1338" t="str">
            <v>08</v>
          </cell>
          <cell r="E1338" t="str">
            <v>Barcelona</v>
          </cell>
          <cell r="F1338" t="str">
            <v>140</v>
          </cell>
          <cell r="G1338" t="str">
            <v>2</v>
          </cell>
          <cell r="H1338" t="str">
            <v>Navarcles</v>
          </cell>
        </row>
        <row r="1339">
          <cell r="D1339" t="str">
            <v>08</v>
          </cell>
          <cell r="E1339" t="str">
            <v>Barcelona</v>
          </cell>
          <cell r="F1339" t="str">
            <v>141</v>
          </cell>
          <cell r="G1339" t="str">
            <v>9</v>
          </cell>
          <cell r="H1339" t="str">
            <v>Navàs</v>
          </cell>
        </row>
        <row r="1340">
          <cell r="D1340" t="str">
            <v>08</v>
          </cell>
          <cell r="E1340" t="str">
            <v>Barcelona</v>
          </cell>
          <cell r="F1340" t="str">
            <v>142</v>
          </cell>
          <cell r="G1340" t="str">
            <v>4</v>
          </cell>
          <cell r="H1340" t="str">
            <v>Nou de Berguedà, La</v>
          </cell>
        </row>
        <row r="1341">
          <cell r="D1341" t="str">
            <v>08</v>
          </cell>
          <cell r="E1341" t="str">
            <v>Barcelona</v>
          </cell>
          <cell r="F1341" t="str">
            <v>143</v>
          </cell>
          <cell r="G1341" t="str">
            <v>0</v>
          </cell>
          <cell r="H1341" t="str">
            <v>Òdena</v>
          </cell>
        </row>
        <row r="1342">
          <cell r="D1342" t="str">
            <v>08</v>
          </cell>
          <cell r="E1342" t="str">
            <v>Barcelona</v>
          </cell>
          <cell r="F1342" t="str">
            <v>144</v>
          </cell>
          <cell r="G1342" t="str">
            <v>5</v>
          </cell>
          <cell r="H1342" t="str">
            <v>Olvan</v>
          </cell>
        </row>
        <row r="1343">
          <cell r="D1343" t="str">
            <v>08</v>
          </cell>
          <cell r="E1343" t="str">
            <v>Barcelona</v>
          </cell>
          <cell r="F1343" t="str">
            <v>145</v>
          </cell>
          <cell r="G1343" t="str">
            <v>8</v>
          </cell>
          <cell r="H1343" t="str">
            <v>Olèrdola</v>
          </cell>
        </row>
        <row r="1344">
          <cell r="D1344" t="str">
            <v>08</v>
          </cell>
          <cell r="E1344" t="str">
            <v>Barcelona</v>
          </cell>
          <cell r="F1344" t="str">
            <v>146</v>
          </cell>
          <cell r="G1344" t="str">
            <v>1</v>
          </cell>
          <cell r="H1344" t="str">
            <v>Olesa de Bonesvalls</v>
          </cell>
        </row>
        <row r="1345">
          <cell r="D1345" t="str">
            <v>08</v>
          </cell>
          <cell r="E1345" t="str">
            <v>Barcelona</v>
          </cell>
          <cell r="F1345" t="str">
            <v>147</v>
          </cell>
          <cell r="G1345" t="str">
            <v>7</v>
          </cell>
          <cell r="H1345" t="str">
            <v>Olesa de Montserrat</v>
          </cell>
        </row>
        <row r="1346">
          <cell r="D1346" t="str">
            <v>08</v>
          </cell>
          <cell r="E1346" t="str">
            <v>Barcelona</v>
          </cell>
          <cell r="F1346" t="str">
            <v>148</v>
          </cell>
          <cell r="G1346" t="str">
            <v>3</v>
          </cell>
          <cell r="H1346" t="str">
            <v>Olivella</v>
          </cell>
        </row>
        <row r="1347">
          <cell r="D1347" t="str">
            <v>08</v>
          </cell>
          <cell r="E1347" t="str">
            <v>Barcelona</v>
          </cell>
          <cell r="F1347" t="str">
            <v>149</v>
          </cell>
          <cell r="G1347" t="str">
            <v>6</v>
          </cell>
          <cell r="H1347" t="str">
            <v>Olost</v>
          </cell>
        </row>
        <row r="1348">
          <cell r="D1348" t="str">
            <v>08</v>
          </cell>
          <cell r="E1348" t="str">
            <v>Barcelona</v>
          </cell>
          <cell r="F1348" t="str">
            <v>150</v>
          </cell>
          <cell r="G1348" t="str">
            <v>9</v>
          </cell>
          <cell r="H1348" t="str">
            <v>Orís</v>
          </cell>
        </row>
        <row r="1349">
          <cell r="D1349" t="str">
            <v>08</v>
          </cell>
          <cell r="E1349" t="str">
            <v>Barcelona</v>
          </cell>
          <cell r="F1349" t="str">
            <v>151</v>
          </cell>
          <cell r="G1349" t="str">
            <v>6</v>
          </cell>
          <cell r="H1349" t="str">
            <v>Oristà</v>
          </cell>
        </row>
        <row r="1350">
          <cell r="D1350" t="str">
            <v>08</v>
          </cell>
          <cell r="E1350" t="str">
            <v>Barcelona</v>
          </cell>
          <cell r="F1350" t="str">
            <v>152</v>
          </cell>
          <cell r="G1350" t="str">
            <v>1</v>
          </cell>
          <cell r="H1350" t="str">
            <v>Orpí</v>
          </cell>
        </row>
        <row r="1351">
          <cell r="D1351" t="str">
            <v>08</v>
          </cell>
          <cell r="E1351" t="str">
            <v>Barcelona</v>
          </cell>
          <cell r="F1351" t="str">
            <v>153</v>
          </cell>
          <cell r="G1351" t="str">
            <v>7</v>
          </cell>
          <cell r="H1351" t="str">
            <v>Òrrius</v>
          </cell>
        </row>
        <row r="1352">
          <cell r="D1352" t="str">
            <v>08</v>
          </cell>
          <cell r="E1352" t="str">
            <v>Barcelona</v>
          </cell>
          <cell r="F1352" t="str">
            <v>154</v>
          </cell>
          <cell r="G1352" t="str">
            <v>2</v>
          </cell>
          <cell r="H1352" t="str">
            <v>Pacs del Penedès</v>
          </cell>
        </row>
        <row r="1353">
          <cell r="D1353" t="str">
            <v>08</v>
          </cell>
          <cell r="E1353" t="str">
            <v>Barcelona</v>
          </cell>
          <cell r="F1353" t="str">
            <v>155</v>
          </cell>
          <cell r="G1353" t="str">
            <v>5</v>
          </cell>
          <cell r="H1353" t="str">
            <v>Palafolls</v>
          </cell>
        </row>
        <row r="1354">
          <cell r="D1354" t="str">
            <v>08</v>
          </cell>
          <cell r="E1354" t="str">
            <v>Barcelona</v>
          </cell>
          <cell r="F1354" t="str">
            <v>156</v>
          </cell>
          <cell r="G1354" t="str">
            <v>8</v>
          </cell>
          <cell r="H1354" t="str">
            <v>Palau-solità i Plegamans</v>
          </cell>
        </row>
        <row r="1355">
          <cell r="D1355" t="str">
            <v>08</v>
          </cell>
          <cell r="E1355" t="str">
            <v>Barcelona</v>
          </cell>
          <cell r="F1355" t="str">
            <v>157</v>
          </cell>
          <cell r="G1355" t="str">
            <v>4</v>
          </cell>
          <cell r="H1355" t="str">
            <v>Pallejà</v>
          </cell>
        </row>
        <row r="1356">
          <cell r="D1356" t="str">
            <v>08</v>
          </cell>
          <cell r="E1356" t="str">
            <v>Barcelona</v>
          </cell>
          <cell r="F1356" t="str">
            <v>158</v>
          </cell>
          <cell r="G1356" t="str">
            <v>0</v>
          </cell>
          <cell r="H1356" t="str">
            <v>Papiol, El</v>
          </cell>
        </row>
        <row r="1357">
          <cell r="D1357" t="str">
            <v>08</v>
          </cell>
          <cell r="E1357" t="str">
            <v>Barcelona</v>
          </cell>
          <cell r="F1357" t="str">
            <v>159</v>
          </cell>
          <cell r="G1357" t="str">
            <v>3</v>
          </cell>
          <cell r="H1357" t="str">
            <v>Parets del Vallès</v>
          </cell>
        </row>
        <row r="1358">
          <cell r="D1358" t="str">
            <v>08</v>
          </cell>
          <cell r="E1358" t="str">
            <v>Barcelona</v>
          </cell>
          <cell r="F1358" t="str">
            <v>160</v>
          </cell>
          <cell r="G1358" t="str">
            <v>7</v>
          </cell>
          <cell r="H1358" t="str">
            <v>Perafita</v>
          </cell>
        </row>
        <row r="1359">
          <cell r="D1359" t="str">
            <v>08</v>
          </cell>
          <cell r="E1359" t="str">
            <v>Barcelona</v>
          </cell>
          <cell r="F1359" t="str">
            <v>161</v>
          </cell>
          <cell r="G1359" t="str">
            <v>4</v>
          </cell>
          <cell r="H1359" t="str">
            <v>Piera</v>
          </cell>
        </row>
        <row r="1360">
          <cell r="D1360" t="str">
            <v>08</v>
          </cell>
          <cell r="E1360" t="str">
            <v>Barcelona</v>
          </cell>
          <cell r="F1360" t="str">
            <v>162</v>
          </cell>
          <cell r="G1360" t="str">
            <v>9</v>
          </cell>
          <cell r="H1360" t="str">
            <v>Hostalets de Pierola, Els</v>
          </cell>
        </row>
        <row r="1361">
          <cell r="D1361" t="str">
            <v>08</v>
          </cell>
          <cell r="E1361" t="str">
            <v>Barcelona</v>
          </cell>
          <cell r="F1361" t="str">
            <v>163</v>
          </cell>
          <cell r="G1361" t="str">
            <v>5</v>
          </cell>
          <cell r="H1361" t="str">
            <v>Pineda de Mar</v>
          </cell>
        </row>
        <row r="1362">
          <cell r="D1362" t="str">
            <v>08</v>
          </cell>
          <cell r="E1362" t="str">
            <v>Barcelona</v>
          </cell>
          <cell r="F1362" t="str">
            <v>164</v>
          </cell>
          <cell r="G1362" t="str">
            <v>0</v>
          </cell>
          <cell r="H1362" t="str">
            <v>Pla del Penedès, El</v>
          </cell>
        </row>
        <row r="1363">
          <cell r="D1363" t="str">
            <v>08</v>
          </cell>
          <cell r="E1363" t="str">
            <v>Barcelona</v>
          </cell>
          <cell r="F1363" t="str">
            <v>165</v>
          </cell>
          <cell r="G1363" t="str">
            <v>3</v>
          </cell>
          <cell r="H1363" t="str">
            <v>Pobla de Claramunt, La</v>
          </cell>
        </row>
        <row r="1364">
          <cell r="D1364" t="str">
            <v>08</v>
          </cell>
          <cell r="E1364" t="str">
            <v>Barcelona</v>
          </cell>
          <cell r="F1364" t="str">
            <v>166</v>
          </cell>
          <cell r="G1364" t="str">
            <v>6</v>
          </cell>
          <cell r="H1364" t="str">
            <v>Pobla de Lillet, La</v>
          </cell>
        </row>
        <row r="1365">
          <cell r="D1365" t="str">
            <v>08</v>
          </cell>
          <cell r="E1365" t="str">
            <v>Barcelona</v>
          </cell>
          <cell r="F1365" t="str">
            <v>167</v>
          </cell>
          <cell r="G1365" t="str">
            <v>2</v>
          </cell>
          <cell r="H1365" t="str">
            <v>Polinyà</v>
          </cell>
        </row>
        <row r="1366">
          <cell r="D1366" t="str">
            <v>08</v>
          </cell>
          <cell r="E1366" t="str">
            <v>Barcelona</v>
          </cell>
          <cell r="F1366" t="str">
            <v>168</v>
          </cell>
          <cell r="G1366" t="str">
            <v>8</v>
          </cell>
          <cell r="H1366" t="str">
            <v>Pontons</v>
          </cell>
        </row>
        <row r="1367">
          <cell r="D1367" t="str">
            <v>08</v>
          </cell>
          <cell r="E1367" t="str">
            <v>Barcelona</v>
          </cell>
          <cell r="F1367" t="str">
            <v>169</v>
          </cell>
          <cell r="G1367" t="str">
            <v>1</v>
          </cell>
          <cell r="H1367" t="str">
            <v>Prat de Llobregat, El</v>
          </cell>
        </row>
        <row r="1368">
          <cell r="D1368" t="str">
            <v>08</v>
          </cell>
          <cell r="E1368" t="str">
            <v>Barcelona</v>
          </cell>
          <cell r="F1368" t="str">
            <v>170</v>
          </cell>
          <cell r="G1368" t="str">
            <v>5</v>
          </cell>
          <cell r="H1368" t="str">
            <v>Prats de Rei, Els</v>
          </cell>
        </row>
        <row r="1369">
          <cell r="D1369" t="str">
            <v>08</v>
          </cell>
          <cell r="E1369" t="str">
            <v>Barcelona</v>
          </cell>
          <cell r="F1369" t="str">
            <v>171</v>
          </cell>
          <cell r="G1369" t="str">
            <v>2</v>
          </cell>
          <cell r="H1369" t="str">
            <v>Prats de Lluçanès</v>
          </cell>
        </row>
        <row r="1370">
          <cell r="D1370" t="str">
            <v>08</v>
          </cell>
          <cell r="E1370" t="str">
            <v>Barcelona</v>
          </cell>
          <cell r="F1370" t="str">
            <v>172</v>
          </cell>
          <cell r="G1370" t="str">
            <v>7</v>
          </cell>
          <cell r="H1370" t="str">
            <v>Premià de Mar</v>
          </cell>
        </row>
        <row r="1371">
          <cell r="D1371" t="str">
            <v>08</v>
          </cell>
          <cell r="E1371" t="str">
            <v>Barcelona</v>
          </cell>
          <cell r="F1371" t="str">
            <v>174</v>
          </cell>
          <cell r="G1371" t="str">
            <v>8</v>
          </cell>
          <cell r="H1371" t="str">
            <v>Puigdàlber</v>
          </cell>
        </row>
        <row r="1372">
          <cell r="D1372" t="str">
            <v>08</v>
          </cell>
          <cell r="E1372" t="str">
            <v>Barcelona</v>
          </cell>
          <cell r="F1372" t="str">
            <v>175</v>
          </cell>
          <cell r="G1372" t="str">
            <v>1</v>
          </cell>
          <cell r="H1372" t="str">
            <v>Puig-reig</v>
          </cell>
        </row>
        <row r="1373">
          <cell r="D1373" t="str">
            <v>08</v>
          </cell>
          <cell r="E1373" t="str">
            <v>Barcelona</v>
          </cell>
          <cell r="F1373" t="str">
            <v>176</v>
          </cell>
          <cell r="G1373" t="str">
            <v>4</v>
          </cell>
          <cell r="H1373" t="str">
            <v>Pujalt</v>
          </cell>
        </row>
        <row r="1374">
          <cell r="D1374" t="str">
            <v>08</v>
          </cell>
          <cell r="E1374" t="str">
            <v>Barcelona</v>
          </cell>
          <cell r="F1374" t="str">
            <v>177</v>
          </cell>
          <cell r="G1374" t="str">
            <v>0</v>
          </cell>
          <cell r="H1374" t="str">
            <v>Quar, La</v>
          </cell>
        </row>
        <row r="1375">
          <cell r="D1375" t="str">
            <v>08</v>
          </cell>
          <cell r="E1375" t="str">
            <v>Barcelona</v>
          </cell>
          <cell r="F1375" t="str">
            <v>178</v>
          </cell>
          <cell r="G1375" t="str">
            <v>6</v>
          </cell>
          <cell r="H1375" t="str">
            <v>Rajadell</v>
          </cell>
        </row>
        <row r="1376">
          <cell r="D1376" t="str">
            <v>08</v>
          </cell>
          <cell r="E1376" t="str">
            <v>Barcelona</v>
          </cell>
          <cell r="F1376" t="str">
            <v>179</v>
          </cell>
          <cell r="G1376" t="str">
            <v>9</v>
          </cell>
          <cell r="H1376" t="str">
            <v>Rellinars</v>
          </cell>
        </row>
        <row r="1377">
          <cell r="D1377" t="str">
            <v>08</v>
          </cell>
          <cell r="E1377" t="str">
            <v>Barcelona</v>
          </cell>
          <cell r="F1377" t="str">
            <v>180</v>
          </cell>
          <cell r="G1377" t="str">
            <v>3</v>
          </cell>
          <cell r="H1377" t="str">
            <v>Ripollet</v>
          </cell>
        </row>
        <row r="1378">
          <cell r="D1378" t="str">
            <v>08</v>
          </cell>
          <cell r="E1378" t="str">
            <v>Barcelona</v>
          </cell>
          <cell r="F1378" t="str">
            <v>181</v>
          </cell>
          <cell r="G1378" t="str">
            <v>0</v>
          </cell>
          <cell r="H1378" t="str">
            <v>Roca del Vallès, La</v>
          </cell>
        </row>
        <row r="1379">
          <cell r="D1379" t="str">
            <v>08</v>
          </cell>
          <cell r="E1379" t="str">
            <v>Barcelona</v>
          </cell>
          <cell r="F1379" t="str">
            <v>182</v>
          </cell>
          <cell r="G1379" t="str">
            <v>5</v>
          </cell>
          <cell r="H1379" t="str">
            <v>Pont de Vilomara i Rocafort, El</v>
          </cell>
        </row>
        <row r="1380">
          <cell r="D1380" t="str">
            <v>08</v>
          </cell>
          <cell r="E1380" t="str">
            <v>Barcelona</v>
          </cell>
          <cell r="F1380" t="str">
            <v>183</v>
          </cell>
          <cell r="G1380" t="str">
            <v>1</v>
          </cell>
          <cell r="H1380" t="str">
            <v>Roda de Ter</v>
          </cell>
        </row>
        <row r="1381">
          <cell r="D1381" t="str">
            <v>08</v>
          </cell>
          <cell r="E1381" t="str">
            <v>Barcelona</v>
          </cell>
          <cell r="F1381" t="str">
            <v>184</v>
          </cell>
          <cell r="G1381" t="str">
            <v>6</v>
          </cell>
          <cell r="H1381" t="str">
            <v>Rubí</v>
          </cell>
        </row>
        <row r="1382">
          <cell r="D1382" t="str">
            <v>08</v>
          </cell>
          <cell r="E1382" t="str">
            <v>Barcelona</v>
          </cell>
          <cell r="F1382" t="str">
            <v>185</v>
          </cell>
          <cell r="G1382" t="str">
            <v>9</v>
          </cell>
          <cell r="H1382" t="str">
            <v>Rubió</v>
          </cell>
        </row>
        <row r="1383">
          <cell r="D1383" t="str">
            <v>08</v>
          </cell>
          <cell r="E1383" t="str">
            <v>Barcelona</v>
          </cell>
          <cell r="F1383" t="str">
            <v>187</v>
          </cell>
          <cell r="G1383" t="str">
            <v>8</v>
          </cell>
          <cell r="H1383" t="str">
            <v>Sabadell</v>
          </cell>
        </row>
        <row r="1384">
          <cell r="D1384" t="str">
            <v>08</v>
          </cell>
          <cell r="E1384" t="str">
            <v>Barcelona</v>
          </cell>
          <cell r="F1384" t="str">
            <v>188</v>
          </cell>
          <cell r="G1384" t="str">
            <v>4</v>
          </cell>
          <cell r="H1384" t="str">
            <v>Sagàs</v>
          </cell>
        </row>
        <row r="1385">
          <cell r="D1385" t="str">
            <v>08</v>
          </cell>
          <cell r="E1385" t="str">
            <v>Barcelona</v>
          </cell>
          <cell r="F1385" t="str">
            <v>189</v>
          </cell>
          <cell r="G1385" t="str">
            <v>7</v>
          </cell>
          <cell r="H1385" t="str">
            <v>Sant Pere Sallavinera</v>
          </cell>
        </row>
        <row r="1386">
          <cell r="D1386" t="str">
            <v>08</v>
          </cell>
          <cell r="E1386" t="str">
            <v>Barcelona</v>
          </cell>
          <cell r="F1386" t="str">
            <v>190</v>
          </cell>
          <cell r="G1386" t="str">
            <v>1</v>
          </cell>
          <cell r="H1386" t="str">
            <v>Saldes</v>
          </cell>
        </row>
        <row r="1387">
          <cell r="D1387" t="str">
            <v>08</v>
          </cell>
          <cell r="E1387" t="str">
            <v>Barcelona</v>
          </cell>
          <cell r="F1387" t="str">
            <v>191</v>
          </cell>
          <cell r="G1387" t="str">
            <v>8</v>
          </cell>
          <cell r="H1387" t="str">
            <v>Sallent</v>
          </cell>
        </row>
        <row r="1388">
          <cell r="D1388" t="str">
            <v>08</v>
          </cell>
          <cell r="E1388" t="str">
            <v>Barcelona</v>
          </cell>
          <cell r="F1388" t="str">
            <v>192</v>
          </cell>
          <cell r="G1388" t="str">
            <v>3</v>
          </cell>
          <cell r="H1388" t="str">
            <v>Santpedor</v>
          </cell>
        </row>
        <row r="1389">
          <cell r="D1389" t="str">
            <v>08</v>
          </cell>
          <cell r="E1389" t="str">
            <v>Barcelona</v>
          </cell>
          <cell r="F1389" t="str">
            <v>193</v>
          </cell>
          <cell r="G1389" t="str">
            <v>9</v>
          </cell>
          <cell r="H1389" t="str">
            <v>Sant Iscle de Vallalta</v>
          </cell>
        </row>
        <row r="1390">
          <cell r="D1390" t="str">
            <v>08</v>
          </cell>
          <cell r="E1390" t="str">
            <v>Barcelona</v>
          </cell>
          <cell r="F1390" t="str">
            <v>194</v>
          </cell>
          <cell r="G1390" t="str">
            <v>4</v>
          </cell>
          <cell r="H1390" t="str">
            <v>Sant Adrià de Besòs</v>
          </cell>
        </row>
        <row r="1391">
          <cell r="D1391" t="str">
            <v>08</v>
          </cell>
          <cell r="E1391" t="str">
            <v>Barcelona</v>
          </cell>
          <cell r="F1391" t="str">
            <v>195</v>
          </cell>
          <cell r="G1391" t="str">
            <v>7</v>
          </cell>
          <cell r="H1391" t="str">
            <v>Sant Agustí de Lluçanès</v>
          </cell>
        </row>
        <row r="1392">
          <cell r="D1392" t="str">
            <v>08</v>
          </cell>
          <cell r="E1392" t="str">
            <v>Barcelona</v>
          </cell>
          <cell r="F1392" t="str">
            <v>196</v>
          </cell>
          <cell r="G1392" t="str">
            <v>0</v>
          </cell>
          <cell r="H1392" t="str">
            <v>Sant Andreu de la Barca</v>
          </cell>
        </row>
        <row r="1393">
          <cell r="D1393" t="str">
            <v>08</v>
          </cell>
          <cell r="E1393" t="str">
            <v>Barcelona</v>
          </cell>
          <cell r="F1393" t="str">
            <v>197</v>
          </cell>
          <cell r="G1393" t="str">
            <v>6</v>
          </cell>
          <cell r="H1393" t="str">
            <v>Sant Andreu de Llavaneres</v>
          </cell>
        </row>
        <row r="1394">
          <cell r="D1394" t="str">
            <v>08</v>
          </cell>
          <cell r="E1394" t="str">
            <v>Barcelona</v>
          </cell>
          <cell r="F1394" t="str">
            <v>198</v>
          </cell>
          <cell r="G1394" t="str">
            <v>2</v>
          </cell>
          <cell r="H1394" t="str">
            <v>Sant Antoni de Vilamajor</v>
          </cell>
        </row>
        <row r="1395">
          <cell r="D1395" t="str">
            <v>08</v>
          </cell>
          <cell r="E1395" t="str">
            <v>Barcelona</v>
          </cell>
          <cell r="F1395" t="str">
            <v>199</v>
          </cell>
          <cell r="G1395" t="str">
            <v>5</v>
          </cell>
          <cell r="H1395" t="str">
            <v>Sant Bartomeu del Grau</v>
          </cell>
        </row>
        <row r="1396">
          <cell r="D1396" t="str">
            <v>08</v>
          </cell>
          <cell r="E1396" t="str">
            <v>Barcelona</v>
          </cell>
          <cell r="F1396" t="str">
            <v>200</v>
          </cell>
          <cell r="G1396" t="str">
            <v>9</v>
          </cell>
          <cell r="H1396" t="str">
            <v>Sant Boi de Llobregat</v>
          </cell>
        </row>
        <row r="1397">
          <cell r="D1397" t="str">
            <v>08</v>
          </cell>
          <cell r="E1397" t="str">
            <v>Barcelona</v>
          </cell>
          <cell r="F1397" t="str">
            <v>201</v>
          </cell>
          <cell r="G1397" t="str">
            <v>6</v>
          </cell>
          <cell r="H1397" t="str">
            <v>Sant Boi de Lluçanès</v>
          </cell>
        </row>
        <row r="1398">
          <cell r="D1398" t="str">
            <v>08</v>
          </cell>
          <cell r="E1398" t="str">
            <v>Barcelona</v>
          </cell>
          <cell r="F1398" t="str">
            <v>202</v>
          </cell>
          <cell r="G1398" t="str">
            <v>1</v>
          </cell>
          <cell r="H1398" t="str">
            <v>Sant Celoni</v>
          </cell>
        </row>
        <row r="1399">
          <cell r="D1399" t="str">
            <v>08</v>
          </cell>
          <cell r="E1399" t="str">
            <v>Barcelona</v>
          </cell>
          <cell r="F1399" t="str">
            <v>203</v>
          </cell>
          <cell r="G1399" t="str">
            <v>7</v>
          </cell>
          <cell r="H1399" t="str">
            <v>Sant Cebrià de Vallalta</v>
          </cell>
        </row>
        <row r="1400">
          <cell r="D1400" t="str">
            <v>08</v>
          </cell>
          <cell r="E1400" t="str">
            <v>Barcelona</v>
          </cell>
          <cell r="F1400" t="str">
            <v>204</v>
          </cell>
          <cell r="G1400" t="str">
            <v>2</v>
          </cell>
          <cell r="H1400" t="str">
            <v>Sant Climent de Llobregat</v>
          </cell>
        </row>
        <row r="1401">
          <cell r="D1401" t="str">
            <v>08</v>
          </cell>
          <cell r="E1401" t="str">
            <v>Barcelona</v>
          </cell>
          <cell r="F1401" t="str">
            <v>205</v>
          </cell>
          <cell r="G1401" t="str">
            <v>5</v>
          </cell>
          <cell r="H1401" t="str">
            <v>Sant Cugat del Vallès</v>
          </cell>
        </row>
        <row r="1402">
          <cell r="D1402" t="str">
            <v>08</v>
          </cell>
          <cell r="E1402" t="str">
            <v>Barcelona</v>
          </cell>
          <cell r="F1402" t="str">
            <v>206</v>
          </cell>
          <cell r="G1402" t="str">
            <v>8</v>
          </cell>
          <cell r="H1402" t="str">
            <v>Sant Cugat Sesgarrigues</v>
          </cell>
        </row>
        <row r="1403">
          <cell r="D1403" t="str">
            <v>08</v>
          </cell>
          <cell r="E1403" t="str">
            <v>Barcelona</v>
          </cell>
          <cell r="F1403" t="str">
            <v>207</v>
          </cell>
          <cell r="G1403" t="str">
            <v>4</v>
          </cell>
          <cell r="H1403" t="str">
            <v>Sant Esteve de Palautordera</v>
          </cell>
        </row>
        <row r="1404">
          <cell r="D1404" t="str">
            <v>08</v>
          </cell>
          <cell r="E1404" t="str">
            <v>Barcelona</v>
          </cell>
          <cell r="F1404" t="str">
            <v>208</v>
          </cell>
          <cell r="G1404" t="str">
            <v>0</v>
          </cell>
          <cell r="H1404" t="str">
            <v>Sant Esteve Sesrovires</v>
          </cell>
        </row>
        <row r="1405">
          <cell r="D1405" t="str">
            <v>08</v>
          </cell>
          <cell r="E1405" t="str">
            <v>Barcelona</v>
          </cell>
          <cell r="F1405" t="str">
            <v>209</v>
          </cell>
          <cell r="G1405" t="str">
            <v>3</v>
          </cell>
          <cell r="H1405" t="str">
            <v>Sant Fost de Campsentelles</v>
          </cell>
        </row>
        <row r="1406">
          <cell r="D1406" t="str">
            <v>08</v>
          </cell>
          <cell r="E1406" t="str">
            <v>Barcelona</v>
          </cell>
          <cell r="F1406" t="str">
            <v>210</v>
          </cell>
          <cell r="G1406" t="str">
            <v>7</v>
          </cell>
          <cell r="H1406" t="str">
            <v>Sant Feliu de Codines</v>
          </cell>
        </row>
        <row r="1407">
          <cell r="D1407" t="str">
            <v>08</v>
          </cell>
          <cell r="E1407" t="str">
            <v>Barcelona</v>
          </cell>
          <cell r="F1407" t="str">
            <v>211</v>
          </cell>
          <cell r="G1407" t="str">
            <v>4</v>
          </cell>
          <cell r="H1407" t="str">
            <v>Sant Feliu de Llobregat</v>
          </cell>
        </row>
        <row r="1408">
          <cell r="D1408" t="str">
            <v>08</v>
          </cell>
          <cell r="E1408" t="str">
            <v>Barcelona</v>
          </cell>
          <cell r="F1408" t="str">
            <v>212</v>
          </cell>
          <cell r="G1408" t="str">
            <v>9</v>
          </cell>
          <cell r="H1408" t="str">
            <v>Sant Feliu Sasserra</v>
          </cell>
        </row>
        <row r="1409">
          <cell r="D1409" t="str">
            <v>08</v>
          </cell>
          <cell r="E1409" t="str">
            <v>Barcelona</v>
          </cell>
          <cell r="F1409" t="str">
            <v>213</v>
          </cell>
          <cell r="G1409" t="str">
            <v>5</v>
          </cell>
          <cell r="H1409" t="str">
            <v>Sant Fruitós de Bages</v>
          </cell>
        </row>
        <row r="1410">
          <cell r="D1410" t="str">
            <v>08</v>
          </cell>
          <cell r="E1410" t="str">
            <v>Barcelona</v>
          </cell>
          <cell r="F1410" t="str">
            <v>214</v>
          </cell>
          <cell r="G1410" t="str">
            <v>0</v>
          </cell>
          <cell r="H1410" t="str">
            <v>Vilassar de Dalt</v>
          </cell>
        </row>
        <row r="1411">
          <cell r="D1411" t="str">
            <v>08</v>
          </cell>
          <cell r="E1411" t="str">
            <v>Barcelona</v>
          </cell>
          <cell r="F1411" t="str">
            <v>215</v>
          </cell>
          <cell r="G1411" t="str">
            <v>3</v>
          </cell>
          <cell r="H1411" t="str">
            <v>Sant Hipòlit de Voltregà</v>
          </cell>
        </row>
        <row r="1412">
          <cell r="D1412" t="str">
            <v>08</v>
          </cell>
          <cell r="E1412" t="str">
            <v>Barcelona</v>
          </cell>
          <cell r="F1412" t="str">
            <v>216</v>
          </cell>
          <cell r="G1412" t="str">
            <v>6</v>
          </cell>
          <cell r="H1412" t="str">
            <v>Sant Jaume de Frontanyà</v>
          </cell>
        </row>
        <row r="1413">
          <cell r="D1413" t="str">
            <v>08</v>
          </cell>
          <cell r="E1413" t="str">
            <v>Barcelona</v>
          </cell>
          <cell r="F1413" t="str">
            <v>217</v>
          </cell>
          <cell r="G1413" t="str">
            <v>2</v>
          </cell>
          <cell r="H1413" t="str">
            <v>Sant Joan Despí</v>
          </cell>
        </row>
        <row r="1414">
          <cell r="D1414" t="str">
            <v>08</v>
          </cell>
          <cell r="E1414" t="str">
            <v>Barcelona</v>
          </cell>
          <cell r="F1414" t="str">
            <v>218</v>
          </cell>
          <cell r="G1414" t="str">
            <v>8</v>
          </cell>
          <cell r="H1414" t="str">
            <v>Sant Joan de Vilatorrada</v>
          </cell>
        </row>
        <row r="1415">
          <cell r="D1415" t="str">
            <v>08</v>
          </cell>
          <cell r="E1415" t="str">
            <v>Barcelona</v>
          </cell>
          <cell r="F1415" t="str">
            <v>219</v>
          </cell>
          <cell r="G1415" t="str">
            <v>1</v>
          </cell>
          <cell r="H1415" t="str">
            <v>Vilassar de Mar</v>
          </cell>
        </row>
        <row r="1416">
          <cell r="D1416" t="str">
            <v>08</v>
          </cell>
          <cell r="E1416" t="str">
            <v>Barcelona</v>
          </cell>
          <cell r="F1416" t="str">
            <v>220</v>
          </cell>
          <cell r="G1416" t="str">
            <v>5</v>
          </cell>
          <cell r="H1416" t="str">
            <v>Sant Julià de Vilatorta</v>
          </cell>
        </row>
        <row r="1417">
          <cell r="D1417" t="str">
            <v>08</v>
          </cell>
          <cell r="E1417" t="str">
            <v>Barcelona</v>
          </cell>
          <cell r="F1417" t="str">
            <v>221</v>
          </cell>
          <cell r="G1417" t="str">
            <v>2</v>
          </cell>
          <cell r="H1417" t="str">
            <v>Sant Just Desvern</v>
          </cell>
        </row>
        <row r="1418">
          <cell r="D1418" t="str">
            <v>08</v>
          </cell>
          <cell r="E1418" t="str">
            <v>Barcelona</v>
          </cell>
          <cell r="F1418" t="str">
            <v>222</v>
          </cell>
          <cell r="G1418" t="str">
            <v>7</v>
          </cell>
          <cell r="H1418" t="str">
            <v>Sant Llorenç d'Hortons</v>
          </cell>
        </row>
        <row r="1419">
          <cell r="D1419" t="str">
            <v>08</v>
          </cell>
          <cell r="E1419" t="str">
            <v>Barcelona</v>
          </cell>
          <cell r="F1419" t="str">
            <v>223</v>
          </cell>
          <cell r="G1419" t="str">
            <v>3</v>
          </cell>
          <cell r="H1419" t="str">
            <v>Sant Llorenç Savall</v>
          </cell>
        </row>
        <row r="1420">
          <cell r="D1420" t="str">
            <v>08</v>
          </cell>
          <cell r="E1420" t="str">
            <v>Barcelona</v>
          </cell>
          <cell r="F1420" t="str">
            <v>224</v>
          </cell>
          <cell r="G1420" t="str">
            <v>8</v>
          </cell>
          <cell r="H1420" t="str">
            <v>Sant Martí de Centelles</v>
          </cell>
        </row>
        <row r="1421">
          <cell r="D1421" t="str">
            <v>08</v>
          </cell>
          <cell r="E1421" t="str">
            <v>Barcelona</v>
          </cell>
          <cell r="F1421" t="str">
            <v>225</v>
          </cell>
          <cell r="G1421" t="str">
            <v>1</v>
          </cell>
          <cell r="H1421" t="str">
            <v>Sant Martí d'Albars</v>
          </cell>
        </row>
        <row r="1422">
          <cell r="D1422" t="str">
            <v>08</v>
          </cell>
          <cell r="E1422" t="str">
            <v>Barcelona</v>
          </cell>
          <cell r="F1422" t="str">
            <v>226</v>
          </cell>
          <cell r="G1422" t="str">
            <v>4</v>
          </cell>
          <cell r="H1422" t="str">
            <v>Sant Martí de Tous</v>
          </cell>
        </row>
        <row r="1423">
          <cell r="D1423" t="str">
            <v>08</v>
          </cell>
          <cell r="E1423" t="str">
            <v>Barcelona</v>
          </cell>
          <cell r="F1423" t="str">
            <v>227</v>
          </cell>
          <cell r="G1423" t="str">
            <v>0</v>
          </cell>
          <cell r="H1423" t="str">
            <v>Sant Martí Sarroca</v>
          </cell>
        </row>
        <row r="1424">
          <cell r="D1424" t="str">
            <v>08</v>
          </cell>
          <cell r="E1424" t="str">
            <v>Barcelona</v>
          </cell>
          <cell r="F1424" t="str">
            <v>228</v>
          </cell>
          <cell r="G1424" t="str">
            <v>6</v>
          </cell>
          <cell r="H1424" t="str">
            <v>Sant Martí Sesgueioles</v>
          </cell>
        </row>
        <row r="1425">
          <cell r="D1425" t="str">
            <v>08</v>
          </cell>
          <cell r="E1425" t="str">
            <v>Barcelona</v>
          </cell>
          <cell r="F1425" t="str">
            <v>229</v>
          </cell>
          <cell r="G1425" t="str">
            <v>9</v>
          </cell>
          <cell r="H1425" t="str">
            <v>Sant Mateu de Bages</v>
          </cell>
        </row>
        <row r="1426">
          <cell r="D1426" t="str">
            <v>08</v>
          </cell>
          <cell r="E1426" t="str">
            <v>Barcelona</v>
          </cell>
          <cell r="F1426" t="str">
            <v>230</v>
          </cell>
          <cell r="G1426" t="str">
            <v>3</v>
          </cell>
          <cell r="H1426" t="str">
            <v>Premià de Dalt</v>
          </cell>
        </row>
        <row r="1427">
          <cell r="D1427" t="str">
            <v>08</v>
          </cell>
          <cell r="E1427" t="str">
            <v>Barcelona</v>
          </cell>
          <cell r="F1427" t="str">
            <v>231</v>
          </cell>
          <cell r="G1427" t="str">
            <v>0</v>
          </cell>
          <cell r="H1427" t="str">
            <v>Sant Pere de Ribes</v>
          </cell>
        </row>
        <row r="1428">
          <cell r="D1428" t="str">
            <v>08</v>
          </cell>
          <cell r="E1428" t="str">
            <v>Barcelona</v>
          </cell>
          <cell r="F1428" t="str">
            <v>232</v>
          </cell>
          <cell r="G1428" t="str">
            <v>5</v>
          </cell>
          <cell r="H1428" t="str">
            <v>Sant Pere de Riudebitlles</v>
          </cell>
        </row>
        <row r="1429">
          <cell r="D1429" t="str">
            <v>08</v>
          </cell>
          <cell r="E1429" t="str">
            <v>Barcelona</v>
          </cell>
          <cell r="F1429" t="str">
            <v>233</v>
          </cell>
          <cell r="G1429" t="str">
            <v>1</v>
          </cell>
          <cell r="H1429" t="str">
            <v>Sant Pere de Torelló</v>
          </cell>
        </row>
        <row r="1430">
          <cell r="D1430" t="str">
            <v>08</v>
          </cell>
          <cell r="E1430" t="str">
            <v>Barcelona</v>
          </cell>
          <cell r="F1430" t="str">
            <v>234</v>
          </cell>
          <cell r="G1430" t="str">
            <v>6</v>
          </cell>
          <cell r="H1430" t="str">
            <v>Sant Pere de Vilamajor</v>
          </cell>
        </row>
        <row r="1431">
          <cell r="D1431" t="str">
            <v>08</v>
          </cell>
          <cell r="E1431" t="str">
            <v>Barcelona</v>
          </cell>
          <cell r="F1431" t="str">
            <v>235</v>
          </cell>
          <cell r="G1431" t="str">
            <v>9</v>
          </cell>
          <cell r="H1431" t="str">
            <v>Sant Pol de Mar</v>
          </cell>
        </row>
        <row r="1432">
          <cell r="D1432" t="str">
            <v>08</v>
          </cell>
          <cell r="E1432" t="str">
            <v>Barcelona</v>
          </cell>
          <cell r="F1432" t="str">
            <v>236</v>
          </cell>
          <cell r="G1432" t="str">
            <v>2</v>
          </cell>
          <cell r="H1432" t="str">
            <v>Sant Quintí de Mediona</v>
          </cell>
        </row>
        <row r="1433">
          <cell r="D1433" t="str">
            <v>08</v>
          </cell>
          <cell r="E1433" t="str">
            <v>Barcelona</v>
          </cell>
          <cell r="F1433" t="str">
            <v>237</v>
          </cell>
          <cell r="G1433" t="str">
            <v>8</v>
          </cell>
          <cell r="H1433" t="str">
            <v>Sant Quirze de Besora</v>
          </cell>
        </row>
        <row r="1434">
          <cell r="D1434" t="str">
            <v>08</v>
          </cell>
          <cell r="E1434" t="str">
            <v>Barcelona</v>
          </cell>
          <cell r="F1434" t="str">
            <v>238</v>
          </cell>
          <cell r="G1434" t="str">
            <v>4</v>
          </cell>
          <cell r="H1434" t="str">
            <v>Sant Quirze del Vallès</v>
          </cell>
        </row>
        <row r="1435">
          <cell r="D1435" t="str">
            <v>08</v>
          </cell>
          <cell r="E1435" t="str">
            <v>Barcelona</v>
          </cell>
          <cell r="F1435" t="str">
            <v>239</v>
          </cell>
          <cell r="G1435" t="str">
            <v>7</v>
          </cell>
          <cell r="H1435" t="str">
            <v>Sant Quirze Safaja</v>
          </cell>
        </row>
        <row r="1436">
          <cell r="D1436" t="str">
            <v>08</v>
          </cell>
          <cell r="E1436" t="str">
            <v>Barcelona</v>
          </cell>
          <cell r="F1436" t="str">
            <v>240</v>
          </cell>
          <cell r="G1436" t="str">
            <v>1</v>
          </cell>
          <cell r="H1436" t="str">
            <v>Sant Sadurní d'Anoia</v>
          </cell>
        </row>
        <row r="1437">
          <cell r="D1437" t="str">
            <v>08</v>
          </cell>
          <cell r="E1437" t="str">
            <v>Barcelona</v>
          </cell>
          <cell r="F1437" t="str">
            <v>241</v>
          </cell>
          <cell r="G1437" t="str">
            <v>8</v>
          </cell>
          <cell r="H1437" t="str">
            <v>Sant Sadurní d'Osormort</v>
          </cell>
        </row>
        <row r="1438">
          <cell r="D1438" t="str">
            <v>08</v>
          </cell>
          <cell r="E1438" t="str">
            <v>Barcelona</v>
          </cell>
          <cell r="F1438" t="str">
            <v>242</v>
          </cell>
          <cell r="G1438" t="str">
            <v>3</v>
          </cell>
          <cell r="H1438" t="str">
            <v>Marganell</v>
          </cell>
        </row>
        <row r="1439">
          <cell r="D1439" t="str">
            <v>08</v>
          </cell>
          <cell r="E1439" t="str">
            <v>Barcelona</v>
          </cell>
          <cell r="F1439" t="str">
            <v>243</v>
          </cell>
          <cell r="G1439" t="str">
            <v>9</v>
          </cell>
          <cell r="H1439" t="str">
            <v>Santa Cecília de Voltregà</v>
          </cell>
        </row>
        <row r="1440">
          <cell r="D1440" t="str">
            <v>08</v>
          </cell>
          <cell r="E1440" t="str">
            <v>Barcelona</v>
          </cell>
          <cell r="F1440" t="str">
            <v>244</v>
          </cell>
          <cell r="G1440" t="str">
            <v>4</v>
          </cell>
          <cell r="H1440" t="str">
            <v>Santa Coloma de Cervelló</v>
          </cell>
        </row>
        <row r="1441">
          <cell r="D1441" t="str">
            <v>08</v>
          </cell>
          <cell r="E1441" t="str">
            <v>Barcelona</v>
          </cell>
          <cell r="F1441" t="str">
            <v>245</v>
          </cell>
          <cell r="G1441" t="str">
            <v>7</v>
          </cell>
          <cell r="H1441" t="str">
            <v>Santa Coloma de Gramenet</v>
          </cell>
        </row>
        <row r="1442">
          <cell r="D1442" t="str">
            <v>08</v>
          </cell>
          <cell r="E1442" t="str">
            <v>Barcelona</v>
          </cell>
          <cell r="F1442" t="str">
            <v>246</v>
          </cell>
          <cell r="G1442" t="str">
            <v>0</v>
          </cell>
          <cell r="H1442" t="str">
            <v>Santa Eugènia de Berga</v>
          </cell>
        </row>
        <row r="1443">
          <cell r="D1443" t="str">
            <v>08</v>
          </cell>
          <cell r="E1443" t="str">
            <v>Barcelona</v>
          </cell>
          <cell r="F1443" t="str">
            <v>247</v>
          </cell>
          <cell r="G1443" t="str">
            <v>6</v>
          </cell>
          <cell r="H1443" t="str">
            <v>Santa Eulàlia de Riuprimer</v>
          </cell>
        </row>
        <row r="1444">
          <cell r="D1444" t="str">
            <v>08</v>
          </cell>
          <cell r="E1444" t="str">
            <v>Barcelona</v>
          </cell>
          <cell r="F1444" t="str">
            <v>248</v>
          </cell>
          <cell r="G1444" t="str">
            <v>2</v>
          </cell>
          <cell r="H1444" t="str">
            <v>Santa Eulàlia de Ronçana</v>
          </cell>
        </row>
        <row r="1445">
          <cell r="D1445" t="str">
            <v>08</v>
          </cell>
          <cell r="E1445" t="str">
            <v>Barcelona</v>
          </cell>
          <cell r="F1445" t="str">
            <v>249</v>
          </cell>
          <cell r="G1445" t="str">
            <v>5</v>
          </cell>
          <cell r="H1445" t="str">
            <v>Santa Fe del Penedès</v>
          </cell>
        </row>
        <row r="1446">
          <cell r="D1446" t="str">
            <v>08</v>
          </cell>
          <cell r="E1446" t="str">
            <v>Barcelona</v>
          </cell>
          <cell r="F1446" t="str">
            <v>250</v>
          </cell>
          <cell r="G1446" t="str">
            <v>8</v>
          </cell>
          <cell r="H1446" t="str">
            <v>Santa Margarida de Montbui</v>
          </cell>
        </row>
        <row r="1447">
          <cell r="D1447" t="str">
            <v>08</v>
          </cell>
          <cell r="E1447" t="str">
            <v>Barcelona</v>
          </cell>
          <cell r="F1447" t="str">
            <v>251</v>
          </cell>
          <cell r="G1447" t="str">
            <v>5</v>
          </cell>
          <cell r="H1447" t="str">
            <v>Santa Margarida i els Monjos</v>
          </cell>
        </row>
        <row r="1448">
          <cell r="D1448" t="str">
            <v>08</v>
          </cell>
          <cell r="E1448" t="str">
            <v>Barcelona</v>
          </cell>
          <cell r="F1448" t="str">
            <v>252</v>
          </cell>
          <cell r="G1448" t="str">
            <v>0</v>
          </cell>
          <cell r="H1448" t="str">
            <v>Barberà del Vallès</v>
          </cell>
        </row>
        <row r="1449">
          <cell r="D1449" t="str">
            <v>08</v>
          </cell>
          <cell r="E1449" t="str">
            <v>Barcelona</v>
          </cell>
          <cell r="F1449" t="str">
            <v>253</v>
          </cell>
          <cell r="G1449" t="str">
            <v>6</v>
          </cell>
          <cell r="H1449" t="str">
            <v>Santa Maria de Besora</v>
          </cell>
        </row>
        <row r="1450">
          <cell r="D1450" t="str">
            <v>08</v>
          </cell>
          <cell r="E1450" t="str">
            <v>Barcelona</v>
          </cell>
          <cell r="F1450" t="str">
            <v>254</v>
          </cell>
          <cell r="G1450" t="str">
            <v>1</v>
          </cell>
          <cell r="H1450" t="str">
            <v>Esquirol, L'</v>
          </cell>
        </row>
        <row r="1451">
          <cell r="D1451" t="str">
            <v>08</v>
          </cell>
          <cell r="E1451" t="str">
            <v>Barcelona</v>
          </cell>
          <cell r="F1451" t="str">
            <v>255</v>
          </cell>
          <cell r="G1451" t="str">
            <v>4</v>
          </cell>
          <cell r="H1451" t="str">
            <v>Santa Maria de Merlès</v>
          </cell>
        </row>
        <row r="1452">
          <cell r="D1452" t="str">
            <v>08</v>
          </cell>
          <cell r="E1452" t="str">
            <v>Barcelona</v>
          </cell>
          <cell r="F1452" t="str">
            <v>256</v>
          </cell>
          <cell r="G1452" t="str">
            <v>7</v>
          </cell>
          <cell r="H1452" t="str">
            <v>Santa Maria de Martorelles</v>
          </cell>
        </row>
        <row r="1453">
          <cell r="D1453" t="str">
            <v>08</v>
          </cell>
          <cell r="E1453" t="str">
            <v>Barcelona</v>
          </cell>
          <cell r="F1453" t="str">
            <v>257</v>
          </cell>
          <cell r="G1453" t="str">
            <v>3</v>
          </cell>
          <cell r="H1453" t="str">
            <v>Santa Maria de Miralles</v>
          </cell>
        </row>
        <row r="1454">
          <cell r="D1454" t="str">
            <v>08</v>
          </cell>
          <cell r="E1454" t="str">
            <v>Barcelona</v>
          </cell>
          <cell r="F1454" t="str">
            <v>258</v>
          </cell>
          <cell r="G1454" t="str">
            <v>9</v>
          </cell>
          <cell r="H1454" t="str">
            <v>Santa Maria d'Oló</v>
          </cell>
        </row>
        <row r="1455">
          <cell r="D1455" t="str">
            <v>08</v>
          </cell>
          <cell r="E1455" t="str">
            <v>Barcelona</v>
          </cell>
          <cell r="F1455" t="str">
            <v>259</v>
          </cell>
          <cell r="G1455" t="str">
            <v>2</v>
          </cell>
          <cell r="H1455" t="str">
            <v>Santa Maria de Palautordera</v>
          </cell>
        </row>
        <row r="1456">
          <cell r="D1456" t="str">
            <v>08</v>
          </cell>
          <cell r="E1456" t="str">
            <v>Barcelona</v>
          </cell>
          <cell r="F1456" t="str">
            <v>260</v>
          </cell>
          <cell r="G1456" t="str">
            <v>6</v>
          </cell>
          <cell r="H1456" t="str">
            <v>Santa Perpètua de Mogoda</v>
          </cell>
        </row>
        <row r="1457">
          <cell r="D1457" t="str">
            <v>08</v>
          </cell>
          <cell r="E1457" t="str">
            <v>Barcelona</v>
          </cell>
          <cell r="F1457" t="str">
            <v>261</v>
          </cell>
          <cell r="G1457" t="str">
            <v>3</v>
          </cell>
          <cell r="H1457" t="str">
            <v>Santa Susanna</v>
          </cell>
        </row>
        <row r="1458">
          <cell r="D1458" t="str">
            <v>08</v>
          </cell>
          <cell r="E1458" t="str">
            <v>Barcelona</v>
          </cell>
          <cell r="F1458" t="str">
            <v>262</v>
          </cell>
          <cell r="G1458" t="str">
            <v>8</v>
          </cell>
          <cell r="H1458" t="str">
            <v>Sant Vicenç de Castellet</v>
          </cell>
        </row>
        <row r="1459">
          <cell r="D1459" t="str">
            <v>08</v>
          </cell>
          <cell r="E1459" t="str">
            <v>Barcelona</v>
          </cell>
          <cell r="F1459" t="str">
            <v>263</v>
          </cell>
          <cell r="G1459" t="str">
            <v>4</v>
          </cell>
          <cell r="H1459" t="str">
            <v>Sant Vicenç dels Horts</v>
          </cell>
        </row>
        <row r="1460">
          <cell r="D1460" t="str">
            <v>08</v>
          </cell>
          <cell r="E1460" t="str">
            <v>Barcelona</v>
          </cell>
          <cell r="F1460" t="str">
            <v>264</v>
          </cell>
          <cell r="G1460" t="str">
            <v>9</v>
          </cell>
          <cell r="H1460" t="str">
            <v>Sant Vicenç de Montalt</v>
          </cell>
        </row>
        <row r="1461">
          <cell r="D1461" t="str">
            <v>08</v>
          </cell>
          <cell r="E1461" t="str">
            <v>Barcelona</v>
          </cell>
          <cell r="F1461" t="str">
            <v>265</v>
          </cell>
          <cell r="G1461" t="str">
            <v>2</v>
          </cell>
          <cell r="H1461" t="str">
            <v>Sant Vicenç de Torelló</v>
          </cell>
        </row>
        <row r="1462">
          <cell r="D1462" t="str">
            <v>08</v>
          </cell>
          <cell r="E1462" t="str">
            <v>Barcelona</v>
          </cell>
          <cell r="F1462" t="str">
            <v>266</v>
          </cell>
          <cell r="G1462" t="str">
            <v>5</v>
          </cell>
          <cell r="H1462" t="str">
            <v>Cerdanyola del Vallès</v>
          </cell>
        </row>
        <row r="1463">
          <cell r="D1463" t="str">
            <v>08</v>
          </cell>
          <cell r="E1463" t="str">
            <v>Barcelona</v>
          </cell>
          <cell r="F1463" t="str">
            <v>267</v>
          </cell>
          <cell r="G1463" t="str">
            <v>1</v>
          </cell>
          <cell r="H1463" t="str">
            <v>Sentmenat</v>
          </cell>
        </row>
        <row r="1464">
          <cell r="D1464" t="str">
            <v>08</v>
          </cell>
          <cell r="E1464" t="str">
            <v>Barcelona</v>
          </cell>
          <cell r="F1464" t="str">
            <v>268</v>
          </cell>
          <cell r="G1464" t="str">
            <v>7</v>
          </cell>
          <cell r="H1464" t="str">
            <v>Cercs</v>
          </cell>
        </row>
        <row r="1465">
          <cell r="D1465" t="str">
            <v>08</v>
          </cell>
          <cell r="E1465" t="str">
            <v>Barcelona</v>
          </cell>
          <cell r="F1465" t="str">
            <v>269</v>
          </cell>
          <cell r="G1465" t="str">
            <v>0</v>
          </cell>
          <cell r="H1465" t="str">
            <v>Seva</v>
          </cell>
        </row>
        <row r="1466">
          <cell r="D1466" t="str">
            <v>08</v>
          </cell>
          <cell r="E1466" t="str">
            <v>Barcelona</v>
          </cell>
          <cell r="F1466" t="str">
            <v>270</v>
          </cell>
          <cell r="G1466" t="str">
            <v>4</v>
          </cell>
          <cell r="H1466" t="str">
            <v>Sitges</v>
          </cell>
        </row>
        <row r="1467">
          <cell r="D1467" t="str">
            <v>08</v>
          </cell>
          <cell r="E1467" t="str">
            <v>Barcelona</v>
          </cell>
          <cell r="F1467" t="str">
            <v>271</v>
          </cell>
          <cell r="G1467" t="str">
            <v>1</v>
          </cell>
          <cell r="H1467" t="str">
            <v>Sobremunt</v>
          </cell>
        </row>
        <row r="1468">
          <cell r="D1468" t="str">
            <v>08</v>
          </cell>
          <cell r="E1468" t="str">
            <v>Barcelona</v>
          </cell>
          <cell r="F1468" t="str">
            <v>272</v>
          </cell>
          <cell r="G1468" t="str">
            <v>6</v>
          </cell>
          <cell r="H1468" t="str">
            <v>Sora</v>
          </cell>
        </row>
        <row r="1469">
          <cell r="D1469" t="str">
            <v>08</v>
          </cell>
          <cell r="E1469" t="str">
            <v>Barcelona</v>
          </cell>
          <cell r="F1469" t="str">
            <v>273</v>
          </cell>
          <cell r="G1469" t="str">
            <v>2</v>
          </cell>
          <cell r="H1469" t="str">
            <v>Subirats</v>
          </cell>
        </row>
        <row r="1470">
          <cell r="D1470" t="str">
            <v>08</v>
          </cell>
          <cell r="E1470" t="str">
            <v>Barcelona</v>
          </cell>
          <cell r="F1470" t="str">
            <v>274</v>
          </cell>
          <cell r="G1470" t="str">
            <v>7</v>
          </cell>
          <cell r="H1470" t="str">
            <v>Súria</v>
          </cell>
        </row>
        <row r="1471">
          <cell r="D1471" t="str">
            <v>08</v>
          </cell>
          <cell r="E1471" t="str">
            <v>Barcelona</v>
          </cell>
          <cell r="F1471" t="str">
            <v>275</v>
          </cell>
          <cell r="G1471" t="str">
            <v>0</v>
          </cell>
          <cell r="H1471" t="str">
            <v>Tavèrnoles</v>
          </cell>
        </row>
        <row r="1472">
          <cell r="D1472" t="str">
            <v>08</v>
          </cell>
          <cell r="E1472" t="str">
            <v>Barcelona</v>
          </cell>
          <cell r="F1472" t="str">
            <v>276</v>
          </cell>
          <cell r="G1472" t="str">
            <v>3</v>
          </cell>
          <cell r="H1472" t="str">
            <v>Tagamanent</v>
          </cell>
        </row>
        <row r="1473">
          <cell r="D1473" t="str">
            <v>08</v>
          </cell>
          <cell r="E1473" t="str">
            <v>Barcelona</v>
          </cell>
          <cell r="F1473" t="str">
            <v>277</v>
          </cell>
          <cell r="G1473" t="str">
            <v>9</v>
          </cell>
          <cell r="H1473" t="str">
            <v>Talamanca</v>
          </cell>
        </row>
        <row r="1474">
          <cell r="D1474" t="str">
            <v>08</v>
          </cell>
          <cell r="E1474" t="str">
            <v>Barcelona</v>
          </cell>
          <cell r="F1474" t="str">
            <v>278</v>
          </cell>
          <cell r="G1474" t="str">
            <v>5</v>
          </cell>
          <cell r="H1474" t="str">
            <v>Taradell</v>
          </cell>
        </row>
        <row r="1475">
          <cell r="D1475" t="str">
            <v>08</v>
          </cell>
          <cell r="E1475" t="str">
            <v>Barcelona</v>
          </cell>
          <cell r="F1475" t="str">
            <v>279</v>
          </cell>
          <cell r="G1475" t="str">
            <v>8</v>
          </cell>
          <cell r="H1475" t="str">
            <v>Terrassa</v>
          </cell>
        </row>
        <row r="1476">
          <cell r="D1476" t="str">
            <v>08</v>
          </cell>
          <cell r="E1476" t="str">
            <v>Barcelona</v>
          </cell>
          <cell r="F1476" t="str">
            <v>280</v>
          </cell>
          <cell r="G1476" t="str">
            <v>2</v>
          </cell>
          <cell r="H1476" t="str">
            <v>Tavertet</v>
          </cell>
        </row>
        <row r="1477">
          <cell r="D1477" t="str">
            <v>08</v>
          </cell>
          <cell r="E1477" t="str">
            <v>Barcelona</v>
          </cell>
          <cell r="F1477" t="str">
            <v>281</v>
          </cell>
          <cell r="G1477" t="str">
            <v>9</v>
          </cell>
          <cell r="H1477" t="str">
            <v>Teià</v>
          </cell>
        </row>
        <row r="1478">
          <cell r="D1478" t="str">
            <v>08</v>
          </cell>
          <cell r="E1478" t="str">
            <v>Barcelona</v>
          </cell>
          <cell r="F1478" t="str">
            <v>282</v>
          </cell>
          <cell r="G1478" t="str">
            <v>4</v>
          </cell>
          <cell r="H1478" t="str">
            <v>Tiana</v>
          </cell>
        </row>
        <row r="1479">
          <cell r="D1479" t="str">
            <v>08</v>
          </cell>
          <cell r="E1479" t="str">
            <v>Barcelona</v>
          </cell>
          <cell r="F1479" t="str">
            <v>283</v>
          </cell>
          <cell r="G1479" t="str">
            <v>0</v>
          </cell>
          <cell r="H1479" t="str">
            <v>Tona</v>
          </cell>
        </row>
        <row r="1480">
          <cell r="D1480" t="str">
            <v>08</v>
          </cell>
          <cell r="E1480" t="str">
            <v>Barcelona</v>
          </cell>
          <cell r="F1480" t="str">
            <v>284</v>
          </cell>
          <cell r="G1480" t="str">
            <v>5</v>
          </cell>
          <cell r="H1480" t="str">
            <v>Tordera</v>
          </cell>
        </row>
        <row r="1481">
          <cell r="D1481" t="str">
            <v>08</v>
          </cell>
          <cell r="E1481" t="str">
            <v>Barcelona</v>
          </cell>
          <cell r="F1481" t="str">
            <v>285</v>
          </cell>
          <cell r="G1481" t="str">
            <v>8</v>
          </cell>
          <cell r="H1481" t="str">
            <v>Torelló</v>
          </cell>
        </row>
        <row r="1482">
          <cell r="D1482" t="str">
            <v>08</v>
          </cell>
          <cell r="E1482" t="str">
            <v>Barcelona</v>
          </cell>
          <cell r="F1482" t="str">
            <v>286</v>
          </cell>
          <cell r="G1482" t="str">
            <v>1</v>
          </cell>
          <cell r="H1482" t="str">
            <v>Torre de Claramunt, La</v>
          </cell>
        </row>
        <row r="1483">
          <cell r="D1483" t="str">
            <v>08</v>
          </cell>
          <cell r="E1483" t="str">
            <v>Barcelona</v>
          </cell>
          <cell r="F1483" t="str">
            <v>287</v>
          </cell>
          <cell r="G1483" t="str">
            <v>7</v>
          </cell>
          <cell r="H1483" t="str">
            <v>Torrelavit</v>
          </cell>
        </row>
        <row r="1484">
          <cell r="D1484" t="str">
            <v>08</v>
          </cell>
          <cell r="E1484" t="str">
            <v>Barcelona</v>
          </cell>
          <cell r="F1484" t="str">
            <v>288</v>
          </cell>
          <cell r="G1484" t="str">
            <v>3</v>
          </cell>
          <cell r="H1484" t="str">
            <v>Torrelles de Foix</v>
          </cell>
        </row>
        <row r="1485">
          <cell r="D1485" t="str">
            <v>08</v>
          </cell>
          <cell r="E1485" t="str">
            <v>Barcelona</v>
          </cell>
          <cell r="F1485" t="str">
            <v>289</v>
          </cell>
          <cell r="G1485" t="str">
            <v>6</v>
          </cell>
          <cell r="H1485" t="str">
            <v>Torrelles de Llobregat</v>
          </cell>
        </row>
        <row r="1486">
          <cell r="D1486" t="str">
            <v>08</v>
          </cell>
          <cell r="E1486" t="str">
            <v>Barcelona</v>
          </cell>
          <cell r="F1486" t="str">
            <v>290</v>
          </cell>
          <cell r="G1486" t="str">
            <v>0</v>
          </cell>
          <cell r="H1486" t="str">
            <v>Ullastrell</v>
          </cell>
        </row>
        <row r="1487">
          <cell r="D1487" t="str">
            <v>08</v>
          </cell>
          <cell r="E1487" t="str">
            <v>Barcelona</v>
          </cell>
          <cell r="F1487" t="str">
            <v>291</v>
          </cell>
          <cell r="G1487" t="str">
            <v>7</v>
          </cell>
          <cell r="H1487" t="str">
            <v>Vacarisses</v>
          </cell>
        </row>
        <row r="1488">
          <cell r="D1488" t="str">
            <v>08</v>
          </cell>
          <cell r="E1488" t="str">
            <v>Barcelona</v>
          </cell>
          <cell r="F1488" t="str">
            <v>292</v>
          </cell>
          <cell r="G1488" t="str">
            <v>2</v>
          </cell>
          <cell r="H1488" t="str">
            <v>Vallbona d'Anoia</v>
          </cell>
        </row>
        <row r="1489">
          <cell r="D1489" t="str">
            <v>08</v>
          </cell>
          <cell r="E1489" t="str">
            <v>Barcelona</v>
          </cell>
          <cell r="F1489" t="str">
            <v>293</v>
          </cell>
          <cell r="G1489" t="str">
            <v>8</v>
          </cell>
          <cell r="H1489" t="str">
            <v>Vallcebre</v>
          </cell>
        </row>
        <row r="1490">
          <cell r="D1490" t="str">
            <v>08</v>
          </cell>
          <cell r="E1490" t="str">
            <v>Barcelona</v>
          </cell>
          <cell r="F1490" t="str">
            <v>294</v>
          </cell>
          <cell r="G1490" t="str">
            <v>3</v>
          </cell>
          <cell r="H1490" t="str">
            <v>Vallgorguina</v>
          </cell>
        </row>
        <row r="1491">
          <cell r="D1491" t="str">
            <v>08</v>
          </cell>
          <cell r="E1491" t="str">
            <v>Barcelona</v>
          </cell>
          <cell r="F1491" t="str">
            <v>295</v>
          </cell>
          <cell r="G1491" t="str">
            <v>6</v>
          </cell>
          <cell r="H1491" t="str">
            <v>Vallirana</v>
          </cell>
        </row>
        <row r="1492">
          <cell r="D1492" t="str">
            <v>08</v>
          </cell>
          <cell r="E1492" t="str">
            <v>Barcelona</v>
          </cell>
          <cell r="F1492" t="str">
            <v>296</v>
          </cell>
          <cell r="G1492" t="str">
            <v>9</v>
          </cell>
          <cell r="H1492" t="str">
            <v>Vallromanes</v>
          </cell>
        </row>
        <row r="1493">
          <cell r="D1493" t="str">
            <v>08</v>
          </cell>
          <cell r="E1493" t="str">
            <v>Barcelona</v>
          </cell>
          <cell r="F1493" t="str">
            <v>297</v>
          </cell>
          <cell r="G1493" t="str">
            <v>5</v>
          </cell>
          <cell r="H1493" t="str">
            <v>Veciana</v>
          </cell>
        </row>
        <row r="1494">
          <cell r="D1494" t="str">
            <v>08</v>
          </cell>
          <cell r="E1494" t="str">
            <v>Barcelona</v>
          </cell>
          <cell r="F1494" t="str">
            <v>298</v>
          </cell>
          <cell r="G1494" t="str">
            <v>1</v>
          </cell>
          <cell r="H1494" t="str">
            <v>Vic</v>
          </cell>
        </row>
        <row r="1495">
          <cell r="D1495" t="str">
            <v>08</v>
          </cell>
          <cell r="E1495" t="str">
            <v>Barcelona</v>
          </cell>
          <cell r="F1495" t="str">
            <v>299</v>
          </cell>
          <cell r="G1495" t="str">
            <v>4</v>
          </cell>
          <cell r="H1495" t="str">
            <v>Vilada</v>
          </cell>
        </row>
        <row r="1496">
          <cell r="D1496" t="str">
            <v>08</v>
          </cell>
          <cell r="E1496" t="str">
            <v>Barcelona</v>
          </cell>
          <cell r="F1496" t="str">
            <v>300</v>
          </cell>
          <cell r="G1496" t="str">
            <v>8</v>
          </cell>
          <cell r="H1496" t="str">
            <v>Viladecavalls</v>
          </cell>
        </row>
        <row r="1497">
          <cell r="D1497" t="str">
            <v>08</v>
          </cell>
          <cell r="E1497" t="str">
            <v>Barcelona</v>
          </cell>
          <cell r="F1497" t="str">
            <v>301</v>
          </cell>
          <cell r="G1497" t="str">
            <v>5</v>
          </cell>
          <cell r="H1497" t="str">
            <v>Viladecans</v>
          </cell>
        </row>
        <row r="1498">
          <cell r="D1498" t="str">
            <v>08</v>
          </cell>
          <cell r="E1498" t="str">
            <v>Barcelona</v>
          </cell>
          <cell r="F1498" t="str">
            <v>302</v>
          </cell>
          <cell r="G1498" t="str">
            <v>0</v>
          </cell>
          <cell r="H1498" t="str">
            <v>Vilanova del Camí</v>
          </cell>
        </row>
        <row r="1499">
          <cell r="D1499" t="str">
            <v>08</v>
          </cell>
          <cell r="E1499" t="str">
            <v>Barcelona</v>
          </cell>
          <cell r="F1499" t="str">
            <v>303</v>
          </cell>
          <cell r="G1499" t="str">
            <v>6</v>
          </cell>
          <cell r="H1499" t="str">
            <v>Vilanova de Sau</v>
          </cell>
        </row>
        <row r="1500">
          <cell r="D1500" t="str">
            <v>08</v>
          </cell>
          <cell r="E1500" t="str">
            <v>Barcelona</v>
          </cell>
          <cell r="F1500" t="str">
            <v>304</v>
          </cell>
          <cell r="G1500" t="str">
            <v>1</v>
          </cell>
          <cell r="H1500" t="str">
            <v>Vilobí del Penedès</v>
          </cell>
        </row>
        <row r="1501">
          <cell r="D1501" t="str">
            <v>08</v>
          </cell>
          <cell r="E1501" t="str">
            <v>Barcelona</v>
          </cell>
          <cell r="F1501" t="str">
            <v>305</v>
          </cell>
          <cell r="G1501" t="str">
            <v>4</v>
          </cell>
          <cell r="H1501" t="str">
            <v>Vilafranca del Penedès</v>
          </cell>
        </row>
        <row r="1502">
          <cell r="D1502" t="str">
            <v>08</v>
          </cell>
          <cell r="E1502" t="str">
            <v>Barcelona</v>
          </cell>
          <cell r="F1502" t="str">
            <v>306</v>
          </cell>
          <cell r="G1502" t="str">
            <v>7</v>
          </cell>
          <cell r="H1502" t="str">
            <v>Vilalba Sasserra</v>
          </cell>
        </row>
        <row r="1503">
          <cell r="D1503" t="str">
            <v>08</v>
          </cell>
          <cell r="E1503" t="str">
            <v>Barcelona</v>
          </cell>
          <cell r="F1503" t="str">
            <v>307</v>
          </cell>
          <cell r="G1503" t="str">
            <v>3</v>
          </cell>
          <cell r="H1503" t="str">
            <v>Vilanova i la Geltrú</v>
          </cell>
        </row>
        <row r="1504">
          <cell r="D1504" t="str">
            <v>08</v>
          </cell>
          <cell r="E1504" t="str">
            <v>Barcelona</v>
          </cell>
          <cell r="F1504" t="str">
            <v>308</v>
          </cell>
          <cell r="G1504" t="str">
            <v>9</v>
          </cell>
          <cell r="H1504" t="str">
            <v>Viver i Serrateix</v>
          </cell>
        </row>
        <row r="1505">
          <cell r="D1505" t="str">
            <v>08</v>
          </cell>
          <cell r="E1505" t="str">
            <v>Barcelona</v>
          </cell>
          <cell r="F1505" t="str">
            <v>901</v>
          </cell>
          <cell r="G1505" t="str">
            <v>9</v>
          </cell>
          <cell r="H1505" t="str">
            <v>Rupit i Pruit</v>
          </cell>
        </row>
        <row r="1506">
          <cell r="D1506" t="str">
            <v>08</v>
          </cell>
          <cell r="E1506" t="str">
            <v>Barcelona</v>
          </cell>
          <cell r="F1506" t="str">
            <v>902</v>
          </cell>
          <cell r="G1506" t="str">
            <v>4</v>
          </cell>
          <cell r="H1506" t="str">
            <v>Vilanova del Vallès</v>
          </cell>
        </row>
        <row r="1507">
          <cell r="D1507" t="str">
            <v>08</v>
          </cell>
          <cell r="E1507" t="str">
            <v>Barcelona</v>
          </cell>
          <cell r="F1507" t="str">
            <v>903</v>
          </cell>
          <cell r="G1507" t="str">
            <v>0</v>
          </cell>
          <cell r="H1507" t="str">
            <v>Sant Julià de Cerdanyola</v>
          </cell>
        </row>
        <row r="1508">
          <cell r="D1508" t="str">
            <v>08</v>
          </cell>
          <cell r="E1508" t="str">
            <v>Barcelona</v>
          </cell>
          <cell r="F1508" t="str">
            <v>904</v>
          </cell>
          <cell r="G1508" t="str">
            <v>5</v>
          </cell>
          <cell r="H1508" t="str">
            <v>Badia del Vallès</v>
          </cell>
        </row>
        <row r="1509">
          <cell r="D1509" t="str">
            <v>08</v>
          </cell>
          <cell r="E1509" t="str">
            <v>Barcelona</v>
          </cell>
          <cell r="F1509" t="str">
            <v>905</v>
          </cell>
          <cell r="G1509" t="str">
            <v>8</v>
          </cell>
          <cell r="H1509" t="str">
            <v>Palma de Cervelló, La</v>
          </cell>
        </row>
        <row r="1510">
          <cell r="D1510" t="str">
            <v>09</v>
          </cell>
          <cell r="E1510" t="str">
            <v>Burgos</v>
          </cell>
          <cell r="F1510" t="str">
            <v>001</v>
          </cell>
          <cell r="G1510" t="str">
            <v>1</v>
          </cell>
          <cell r="H1510" t="str">
            <v>Abajas</v>
          </cell>
        </row>
        <row r="1511">
          <cell r="D1511" t="str">
            <v>09</v>
          </cell>
          <cell r="E1511" t="str">
            <v>Burgos</v>
          </cell>
          <cell r="F1511" t="str">
            <v>003</v>
          </cell>
          <cell r="G1511" t="str">
            <v>2</v>
          </cell>
          <cell r="H1511" t="str">
            <v>Adrada de Haza</v>
          </cell>
        </row>
        <row r="1512">
          <cell r="D1512" t="str">
            <v>09</v>
          </cell>
          <cell r="E1512" t="str">
            <v>Burgos</v>
          </cell>
          <cell r="F1512" t="str">
            <v>006</v>
          </cell>
          <cell r="G1512" t="str">
            <v>3</v>
          </cell>
          <cell r="H1512" t="str">
            <v>Aguas Cándidas</v>
          </cell>
        </row>
        <row r="1513">
          <cell r="D1513" t="str">
            <v>09</v>
          </cell>
          <cell r="E1513" t="str">
            <v>Burgos</v>
          </cell>
          <cell r="F1513" t="str">
            <v>007</v>
          </cell>
          <cell r="G1513" t="str">
            <v>9</v>
          </cell>
          <cell r="H1513" t="str">
            <v>Aguilar de Bureba</v>
          </cell>
        </row>
        <row r="1514">
          <cell r="D1514" t="str">
            <v>09</v>
          </cell>
          <cell r="E1514" t="str">
            <v>Burgos</v>
          </cell>
          <cell r="F1514" t="str">
            <v>009</v>
          </cell>
          <cell r="G1514" t="str">
            <v>8</v>
          </cell>
          <cell r="H1514" t="str">
            <v>Albillos</v>
          </cell>
        </row>
        <row r="1515">
          <cell r="D1515" t="str">
            <v>09</v>
          </cell>
          <cell r="E1515" t="str">
            <v>Burgos</v>
          </cell>
          <cell r="F1515" t="str">
            <v>010</v>
          </cell>
          <cell r="G1515" t="str">
            <v>2</v>
          </cell>
          <cell r="H1515" t="str">
            <v>Alcocero de Mola</v>
          </cell>
        </row>
        <row r="1516">
          <cell r="D1516" t="str">
            <v>09</v>
          </cell>
          <cell r="E1516" t="str">
            <v>Burgos</v>
          </cell>
          <cell r="F1516" t="str">
            <v>011</v>
          </cell>
          <cell r="G1516" t="str">
            <v>9</v>
          </cell>
          <cell r="H1516" t="str">
            <v>Alfoz de Bricia</v>
          </cell>
        </row>
        <row r="1517">
          <cell r="D1517" t="str">
            <v>09</v>
          </cell>
          <cell r="E1517" t="str">
            <v>Burgos</v>
          </cell>
          <cell r="F1517" t="str">
            <v>012</v>
          </cell>
          <cell r="G1517" t="str">
            <v>4</v>
          </cell>
          <cell r="H1517" t="str">
            <v>Alfoz de Santa Gadea</v>
          </cell>
        </row>
        <row r="1518">
          <cell r="D1518" t="str">
            <v>09</v>
          </cell>
          <cell r="E1518" t="str">
            <v>Burgos</v>
          </cell>
          <cell r="F1518" t="str">
            <v>013</v>
          </cell>
          <cell r="G1518" t="str">
            <v>0</v>
          </cell>
          <cell r="H1518" t="str">
            <v>Altable</v>
          </cell>
        </row>
        <row r="1519">
          <cell r="D1519" t="str">
            <v>09</v>
          </cell>
          <cell r="E1519" t="str">
            <v>Burgos</v>
          </cell>
          <cell r="F1519" t="str">
            <v>014</v>
          </cell>
          <cell r="G1519" t="str">
            <v>5</v>
          </cell>
          <cell r="H1519" t="str">
            <v>Altos, Los</v>
          </cell>
        </row>
        <row r="1520">
          <cell r="D1520" t="str">
            <v>09</v>
          </cell>
          <cell r="E1520" t="str">
            <v>Burgos</v>
          </cell>
          <cell r="F1520" t="str">
            <v>017</v>
          </cell>
          <cell r="G1520" t="str">
            <v>7</v>
          </cell>
          <cell r="H1520" t="str">
            <v>Anguix</v>
          </cell>
        </row>
        <row r="1521">
          <cell r="D1521" t="str">
            <v>09</v>
          </cell>
          <cell r="E1521" t="str">
            <v>Burgos</v>
          </cell>
          <cell r="F1521" t="str">
            <v>018</v>
          </cell>
          <cell r="G1521" t="str">
            <v>3</v>
          </cell>
          <cell r="H1521" t="str">
            <v>Aranda de Duero</v>
          </cell>
        </row>
        <row r="1522">
          <cell r="D1522" t="str">
            <v>09</v>
          </cell>
          <cell r="E1522" t="str">
            <v>Burgos</v>
          </cell>
          <cell r="F1522" t="str">
            <v>019</v>
          </cell>
          <cell r="G1522" t="str">
            <v>6</v>
          </cell>
          <cell r="H1522" t="str">
            <v>Arandilla</v>
          </cell>
        </row>
        <row r="1523">
          <cell r="D1523" t="str">
            <v>09</v>
          </cell>
          <cell r="E1523" t="str">
            <v>Burgos</v>
          </cell>
          <cell r="F1523" t="str">
            <v>020</v>
          </cell>
          <cell r="G1523" t="str">
            <v>0</v>
          </cell>
          <cell r="H1523" t="str">
            <v>Arauzo de Miel</v>
          </cell>
        </row>
        <row r="1524">
          <cell r="D1524" t="str">
            <v>09</v>
          </cell>
          <cell r="E1524" t="str">
            <v>Burgos</v>
          </cell>
          <cell r="F1524" t="str">
            <v>021</v>
          </cell>
          <cell r="G1524" t="str">
            <v>7</v>
          </cell>
          <cell r="H1524" t="str">
            <v>Arauzo de Salce</v>
          </cell>
        </row>
        <row r="1525">
          <cell r="D1525" t="str">
            <v>09</v>
          </cell>
          <cell r="E1525" t="str">
            <v>Burgos</v>
          </cell>
          <cell r="F1525" t="str">
            <v>022</v>
          </cell>
          <cell r="G1525" t="str">
            <v>2</v>
          </cell>
          <cell r="H1525" t="str">
            <v>Arauzo de Torre</v>
          </cell>
        </row>
        <row r="1526">
          <cell r="D1526" t="str">
            <v>09</v>
          </cell>
          <cell r="E1526" t="str">
            <v>Burgos</v>
          </cell>
          <cell r="F1526" t="str">
            <v>023</v>
          </cell>
          <cell r="G1526" t="str">
            <v>8</v>
          </cell>
          <cell r="H1526" t="str">
            <v>Arcos</v>
          </cell>
        </row>
        <row r="1527">
          <cell r="D1527" t="str">
            <v>09</v>
          </cell>
          <cell r="E1527" t="str">
            <v>Burgos</v>
          </cell>
          <cell r="F1527" t="str">
            <v>024</v>
          </cell>
          <cell r="G1527" t="str">
            <v>3</v>
          </cell>
          <cell r="H1527" t="str">
            <v>Arenillas de Riopisuerga</v>
          </cell>
        </row>
        <row r="1528">
          <cell r="D1528" t="str">
            <v>09</v>
          </cell>
          <cell r="E1528" t="str">
            <v>Burgos</v>
          </cell>
          <cell r="F1528" t="str">
            <v>025</v>
          </cell>
          <cell r="G1528" t="str">
            <v>6</v>
          </cell>
          <cell r="H1528" t="str">
            <v>Arija</v>
          </cell>
        </row>
        <row r="1529">
          <cell r="D1529" t="str">
            <v>09</v>
          </cell>
          <cell r="E1529" t="str">
            <v>Burgos</v>
          </cell>
          <cell r="F1529" t="str">
            <v>026</v>
          </cell>
          <cell r="G1529" t="str">
            <v>9</v>
          </cell>
          <cell r="H1529" t="str">
            <v>Arlanzón</v>
          </cell>
        </row>
        <row r="1530">
          <cell r="D1530" t="str">
            <v>09</v>
          </cell>
          <cell r="E1530" t="str">
            <v>Burgos</v>
          </cell>
          <cell r="F1530" t="str">
            <v>027</v>
          </cell>
          <cell r="G1530" t="str">
            <v>5</v>
          </cell>
          <cell r="H1530" t="str">
            <v>Arraya de Oca</v>
          </cell>
        </row>
        <row r="1531">
          <cell r="D1531" t="str">
            <v>09</v>
          </cell>
          <cell r="E1531" t="str">
            <v>Burgos</v>
          </cell>
          <cell r="F1531" t="str">
            <v>029</v>
          </cell>
          <cell r="G1531" t="str">
            <v>4</v>
          </cell>
          <cell r="H1531" t="str">
            <v>Atapuerca</v>
          </cell>
        </row>
        <row r="1532">
          <cell r="D1532" t="str">
            <v>09</v>
          </cell>
          <cell r="E1532" t="str">
            <v>Burgos</v>
          </cell>
          <cell r="F1532" t="str">
            <v>030</v>
          </cell>
          <cell r="G1532" t="str">
            <v>8</v>
          </cell>
          <cell r="H1532" t="str">
            <v>Ausines, Los</v>
          </cell>
        </row>
        <row r="1533">
          <cell r="D1533" t="str">
            <v>09</v>
          </cell>
          <cell r="E1533" t="str">
            <v>Burgos</v>
          </cell>
          <cell r="F1533" t="str">
            <v>032</v>
          </cell>
          <cell r="G1533" t="str">
            <v>0</v>
          </cell>
          <cell r="H1533" t="str">
            <v>Avellanosa de Muñó</v>
          </cell>
        </row>
        <row r="1534">
          <cell r="D1534" t="str">
            <v>09</v>
          </cell>
          <cell r="E1534" t="str">
            <v>Burgos</v>
          </cell>
          <cell r="F1534" t="str">
            <v>033</v>
          </cell>
          <cell r="G1534" t="str">
            <v>6</v>
          </cell>
          <cell r="H1534" t="str">
            <v>Bahabón de Esgueva</v>
          </cell>
        </row>
        <row r="1535">
          <cell r="D1535" t="str">
            <v>09</v>
          </cell>
          <cell r="E1535" t="str">
            <v>Burgos</v>
          </cell>
          <cell r="F1535" t="str">
            <v>034</v>
          </cell>
          <cell r="G1535" t="str">
            <v>1</v>
          </cell>
          <cell r="H1535" t="str">
            <v>Balbases, Los</v>
          </cell>
        </row>
        <row r="1536">
          <cell r="D1536" t="str">
            <v>09</v>
          </cell>
          <cell r="E1536" t="str">
            <v>Burgos</v>
          </cell>
          <cell r="F1536" t="str">
            <v>035</v>
          </cell>
          <cell r="G1536" t="str">
            <v>4</v>
          </cell>
          <cell r="H1536" t="str">
            <v>Baños de Valdearados</v>
          </cell>
        </row>
        <row r="1537">
          <cell r="D1537" t="str">
            <v>09</v>
          </cell>
          <cell r="E1537" t="str">
            <v>Burgos</v>
          </cell>
          <cell r="F1537" t="str">
            <v>036</v>
          </cell>
          <cell r="G1537" t="str">
            <v>7</v>
          </cell>
          <cell r="H1537" t="str">
            <v>Bañuelos de Bureba</v>
          </cell>
        </row>
        <row r="1538">
          <cell r="D1538" t="str">
            <v>09</v>
          </cell>
          <cell r="E1538" t="str">
            <v>Burgos</v>
          </cell>
          <cell r="F1538" t="str">
            <v>037</v>
          </cell>
          <cell r="G1538" t="str">
            <v>3</v>
          </cell>
          <cell r="H1538" t="str">
            <v>Barbadillo de Herreros</v>
          </cell>
        </row>
        <row r="1539">
          <cell r="D1539" t="str">
            <v>09</v>
          </cell>
          <cell r="E1539" t="str">
            <v>Burgos</v>
          </cell>
          <cell r="F1539" t="str">
            <v>038</v>
          </cell>
          <cell r="G1539" t="str">
            <v>9</v>
          </cell>
          <cell r="H1539" t="str">
            <v>Barbadillo del Mercado</v>
          </cell>
        </row>
        <row r="1540">
          <cell r="D1540" t="str">
            <v>09</v>
          </cell>
          <cell r="E1540" t="str">
            <v>Burgos</v>
          </cell>
          <cell r="F1540" t="str">
            <v>039</v>
          </cell>
          <cell r="G1540" t="str">
            <v>2</v>
          </cell>
          <cell r="H1540" t="str">
            <v>Barbadillo del Pez</v>
          </cell>
        </row>
        <row r="1541">
          <cell r="D1541" t="str">
            <v>09</v>
          </cell>
          <cell r="E1541" t="str">
            <v>Burgos</v>
          </cell>
          <cell r="F1541" t="str">
            <v>041</v>
          </cell>
          <cell r="G1541" t="str">
            <v>3</v>
          </cell>
          <cell r="H1541" t="str">
            <v>Barrio de Muñó</v>
          </cell>
        </row>
        <row r="1542">
          <cell r="D1542" t="str">
            <v>09</v>
          </cell>
          <cell r="E1542" t="str">
            <v>Burgos</v>
          </cell>
          <cell r="F1542" t="str">
            <v>043</v>
          </cell>
          <cell r="G1542" t="str">
            <v>4</v>
          </cell>
          <cell r="H1542" t="str">
            <v>Barrios de Bureba, Los</v>
          </cell>
        </row>
        <row r="1543">
          <cell r="D1543" t="str">
            <v>09</v>
          </cell>
          <cell r="E1543" t="str">
            <v>Burgos</v>
          </cell>
          <cell r="F1543" t="str">
            <v>044</v>
          </cell>
          <cell r="G1543" t="str">
            <v>9</v>
          </cell>
          <cell r="H1543" t="str">
            <v>Barrios de Colina</v>
          </cell>
        </row>
        <row r="1544">
          <cell r="D1544" t="str">
            <v>09</v>
          </cell>
          <cell r="E1544" t="str">
            <v>Burgos</v>
          </cell>
          <cell r="F1544" t="str">
            <v>045</v>
          </cell>
          <cell r="G1544" t="str">
            <v>2</v>
          </cell>
          <cell r="H1544" t="str">
            <v>Basconcillos del Tozo</v>
          </cell>
        </row>
        <row r="1545">
          <cell r="D1545" t="str">
            <v>09</v>
          </cell>
          <cell r="E1545" t="str">
            <v>Burgos</v>
          </cell>
          <cell r="F1545" t="str">
            <v>046</v>
          </cell>
          <cell r="G1545" t="str">
            <v>5</v>
          </cell>
          <cell r="H1545" t="str">
            <v>Bascuñana</v>
          </cell>
        </row>
        <row r="1546">
          <cell r="D1546" t="str">
            <v>09</v>
          </cell>
          <cell r="E1546" t="str">
            <v>Burgos</v>
          </cell>
          <cell r="F1546" t="str">
            <v>047</v>
          </cell>
          <cell r="G1546" t="str">
            <v>1</v>
          </cell>
          <cell r="H1546" t="str">
            <v>Belbimbre</v>
          </cell>
        </row>
        <row r="1547">
          <cell r="D1547" t="str">
            <v>09</v>
          </cell>
          <cell r="E1547" t="str">
            <v>Burgos</v>
          </cell>
          <cell r="F1547" t="str">
            <v>048</v>
          </cell>
          <cell r="G1547" t="str">
            <v>7</v>
          </cell>
          <cell r="H1547" t="str">
            <v>Belorado</v>
          </cell>
        </row>
        <row r="1548">
          <cell r="D1548" t="str">
            <v>09</v>
          </cell>
          <cell r="E1548" t="str">
            <v>Burgos</v>
          </cell>
          <cell r="F1548" t="str">
            <v>051</v>
          </cell>
          <cell r="G1548" t="str">
            <v>0</v>
          </cell>
          <cell r="H1548" t="str">
            <v>Berlangas de Roa</v>
          </cell>
        </row>
        <row r="1549">
          <cell r="D1549" t="str">
            <v>09</v>
          </cell>
          <cell r="E1549" t="str">
            <v>Burgos</v>
          </cell>
          <cell r="F1549" t="str">
            <v>052</v>
          </cell>
          <cell r="G1549" t="str">
            <v>5</v>
          </cell>
          <cell r="H1549" t="str">
            <v>Berzosa de Bureba</v>
          </cell>
        </row>
        <row r="1550">
          <cell r="D1550" t="str">
            <v>09</v>
          </cell>
          <cell r="E1550" t="str">
            <v>Burgos</v>
          </cell>
          <cell r="F1550" t="str">
            <v>055</v>
          </cell>
          <cell r="G1550" t="str">
            <v>9</v>
          </cell>
          <cell r="H1550" t="str">
            <v>Brazacorta</v>
          </cell>
        </row>
        <row r="1551">
          <cell r="D1551" t="str">
            <v>09</v>
          </cell>
          <cell r="E1551" t="str">
            <v>Burgos</v>
          </cell>
          <cell r="F1551" t="str">
            <v>056</v>
          </cell>
          <cell r="G1551" t="str">
            <v>2</v>
          </cell>
          <cell r="H1551" t="str">
            <v>Briviesca</v>
          </cell>
        </row>
        <row r="1552">
          <cell r="D1552" t="str">
            <v>09</v>
          </cell>
          <cell r="E1552" t="str">
            <v>Burgos</v>
          </cell>
          <cell r="F1552" t="str">
            <v>057</v>
          </cell>
          <cell r="G1552" t="str">
            <v>8</v>
          </cell>
          <cell r="H1552" t="str">
            <v>Bugedo</v>
          </cell>
        </row>
        <row r="1553">
          <cell r="D1553" t="str">
            <v>09</v>
          </cell>
          <cell r="E1553" t="str">
            <v>Burgos</v>
          </cell>
          <cell r="F1553" t="str">
            <v>058</v>
          </cell>
          <cell r="G1553" t="str">
            <v>4</v>
          </cell>
          <cell r="H1553" t="str">
            <v>Buniel</v>
          </cell>
        </row>
        <row r="1554">
          <cell r="D1554" t="str">
            <v>09</v>
          </cell>
          <cell r="E1554" t="str">
            <v>Burgos</v>
          </cell>
          <cell r="F1554" t="str">
            <v>059</v>
          </cell>
          <cell r="G1554" t="str">
            <v>7</v>
          </cell>
          <cell r="H1554" t="str">
            <v>Burgos</v>
          </cell>
        </row>
        <row r="1555">
          <cell r="D1555" t="str">
            <v>09</v>
          </cell>
          <cell r="E1555" t="str">
            <v>Burgos</v>
          </cell>
          <cell r="F1555" t="str">
            <v>061</v>
          </cell>
          <cell r="G1555" t="str">
            <v>8</v>
          </cell>
          <cell r="H1555" t="str">
            <v>Cabañes de Esgueva</v>
          </cell>
        </row>
        <row r="1556">
          <cell r="D1556" t="str">
            <v>09</v>
          </cell>
          <cell r="E1556" t="str">
            <v>Burgos</v>
          </cell>
          <cell r="F1556" t="str">
            <v>062</v>
          </cell>
          <cell r="G1556" t="str">
            <v>3</v>
          </cell>
          <cell r="H1556" t="str">
            <v>Cabezón de la Sierra</v>
          </cell>
        </row>
        <row r="1557">
          <cell r="D1557" t="str">
            <v>09</v>
          </cell>
          <cell r="E1557" t="str">
            <v>Burgos</v>
          </cell>
          <cell r="F1557" t="str">
            <v>063</v>
          </cell>
          <cell r="G1557" t="str">
            <v>9</v>
          </cell>
          <cell r="H1557" t="str">
            <v>Cavia</v>
          </cell>
        </row>
        <row r="1558">
          <cell r="D1558" t="str">
            <v>09</v>
          </cell>
          <cell r="E1558" t="str">
            <v>Burgos</v>
          </cell>
          <cell r="F1558" t="str">
            <v>064</v>
          </cell>
          <cell r="G1558" t="str">
            <v>4</v>
          </cell>
          <cell r="H1558" t="str">
            <v>Caleruega</v>
          </cell>
        </row>
        <row r="1559">
          <cell r="D1559" t="str">
            <v>09</v>
          </cell>
          <cell r="E1559" t="str">
            <v>Burgos</v>
          </cell>
          <cell r="F1559" t="str">
            <v>065</v>
          </cell>
          <cell r="G1559" t="str">
            <v>7</v>
          </cell>
          <cell r="H1559" t="str">
            <v>Campillo de Aranda</v>
          </cell>
        </row>
        <row r="1560">
          <cell r="D1560" t="str">
            <v>09</v>
          </cell>
          <cell r="E1560" t="str">
            <v>Burgos</v>
          </cell>
          <cell r="F1560" t="str">
            <v>066</v>
          </cell>
          <cell r="G1560" t="str">
            <v>0</v>
          </cell>
          <cell r="H1560" t="str">
            <v>Campolara</v>
          </cell>
        </row>
        <row r="1561">
          <cell r="D1561" t="str">
            <v>09</v>
          </cell>
          <cell r="E1561" t="str">
            <v>Burgos</v>
          </cell>
          <cell r="F1561" t="str">
            <v>067</v>
          </cell>
          <cell r="G1561" t="str">
            <v>6</v>
          </cell>
          <cell r="H1561" t="str">
            <v>Canicosa de la Sierra</v>
          </cell>
        </row>
        <row r="1562">
          <cell r="D1562" t="str">
            <v>09</v>
          </cell>
          <cell r="E1562" t="str">
            <v>Burgos</v>
          </cell>
          <cell r="F1562" t="str">
            <v>068</v>
          </cell>
          <cell r="G1562" t="str">
            <v>2</v>
          </cell>
          <cell r="H1562" t="str">
            <v>Cantabrana</v>
          </cell>
        </row>
        <row r="1563">
          <cell r="D1563" t="str">
            <v>09</v>
          </cell>
          <cell r="E1563" t="str">
            <v>Burgos</v>
          </cell>
          <cell r="F1563" t="str">
            <v>070</v>
          </cell>
          <cell r="G1563" t="str">
            <v>9</v>
          </cell>
          <cell r="H1563" t="str">
            <v>Carazo</v>
          </cell>
        </row>
        <row r="1564">
          <cell r="D1564" t="str">
            <v>09</v>
          </cell>
          <cell r="E1564" t="str">
            <v>Burgos</v>
          </cell>
          <cell r="F1564" t="str">
            <v>071</v>
          </cell>
          <cell r="G1564" t="str">
            <v>6</v>
          </cell>
          <cell r="H1564" t="str">
            <v>Carcedo de Bureba</v>
          </cell>
        </row>
        <row r="1565">
          <cell r="D1565" t="str">
            <v>09</v>
          </cell>
          <cell r="E1565" t="str">
            <v>Burgos</v>
          </cell>
          <cell r="F1565" t="str">
            <v>072</v>
          </cell>
          <cell r="G1565" t="str">
            <v>1</v>
          </cell>
          <cell r="H1565" t="str">
            <v>Carcedo de Burgos</v>
          </cell>
        </row>
        <row r="1566">
          <cell r="D1566" t="str">
            <v>09</v>
          </cell>
          <cell r="E1566" t="str">
            <v>Burgos</v>
          </cell>
          <cell r="F1566" t="str">
            <v>073</v>
          </cell>
          <cell r="G1566" t="str">
            <v>7</v>
          </cell>
          <cell r="H1566" t="str">
            <v>Cardeñadijo</v>
          </cell>
        </row>
        <row r="1567">
          <cell r="D1567" t="str">
            <v>09</v>
          </cell>
          <cell r="E1567" t="str">
            <v>Burgos</v>
          </cell>
          <cell r="F1567" t="str">
            <v>074</v>
          </cell>
          <cell r="G1567" t="str">
            <v>2</v>
          </cell>
          <cell r="H1567" t="str">
            <v>Cardeñajimeno</v>
          </cell>
        </row>
        <row r="1568">
          <cell r="D1568" t="str">
            <v>09</v>
          </cell>
          <cell r="E1568" t="str">
            <v>Burgos</v>
          </cell>
          <cell r="F1568" t="str">
            <v>075</v>
          </cell>
          <cell r="G1568" t="str">
            <v>5</v>
          </cell>
          <cell r="H1568" t="str">
            <v>Cardeñuela Riopico</v>
          </cell>
        </row>
        <row r="1569">
          <cell r="D1569" t="str">
            <v>09</v>
          </cell>
          <cell r="E1569" t="str">
            <v>Burgos</v>
          </cell>
          <cell r="F1569" t="str">
            <v>076</v>
          </cell>
          <cell r="G1569" t="str">
            <v>8</v>
          </cell>
          <cell r="H1569" t="str">
            <v>Carrias</v>
          </cell>
        </row>
        <row r="1570">
          <cell r="D1570" t="str">
            <v>09</v>
          </cell>
          <cell r="E1570" t="str">
            <v>Burgos</v>
          </cell>
          <cell r="F1570" t="str">
            <v>078</v>
          </cell>
          <cell r="G1570" t="str">
            <v>0</v>
          </cell>
          <cell r="H1570" t="str">
            <v>Cascajares de la Sierra</v>
          </cell>
        </row>
        <row r="1571">
          <cell r="D1571" t="str">
            <v>09</v>
          </cell>
          <cell r="E1571" t="str">
            <v>Burgos</v>
          </cell>
          <cell r="F1571" t="str">
            <v>079</v>
          </cell>
          <cell r="G1571" t="str">
            <v>3</v>
          </cell>
          <cell r="H1571" t="str">
            <v>Castellanos de Castro</v>
          </cell>
        </row>
        <row r="1572">
          <cell r="D1572" t="str">
            <v>09</v>
          </cell>
          <cell r="E1572" t="str">
            <v>Burgos</v>
          </cell>
          <cell r="F1572" t="str">
            <v>082</v>
          </cell>
          <cell r="G1572" t="str">
            <v>9</v>
          </cell>
          <cell r="H1572" t="str">
            <v>Castildelgado</v>
          </cell>
        </row>
        <row r="1573">
          <cell r="D1573" t="str">
            <v>09</v>
          </cell>
          <cell r="E1573" t="str">
            <v>Burgos</v>
          </cell>
          <cell r="F1573" t="str">
            <v>083</v>
          </cell>
          <cell r="G1573" t="str">
            <v>5</v>
          </cell>
          <cell r="H1573" t="str">
            <v>Castil de Peones</v>
          </cell>
        </row>
        <row r="1574">
          <cell r="D1574" t="str">
            <v>09</v>
          </cell>
          <cell r="E1574" t="str">
            <v>Burgos</v>
          </cell>
          <cell r="F1574" t="str">
            <v>084</v>
          </cell>
          <cell r="G1574" t="str">
            <v>0</v>
          </cell>
          <cell r="H1574" t="str">
            <v>Castrillo de la Reina</v>
          </cell>
        </row>
        <row r="1575">
          <cell r="D1575" t="str">
            <v>09</v>
          </cell>
          <cell r="E1575" t="str">
            <v>Burgos</v>
          </cell>
          <cell r="F1575" t="str">
            <v>085</v>
          </cell>
          <cell r="G1575" t="str">
            <v>3</v>
          </cell>
          <cell r="H1575" t="str">
            <v>Castrillo de la Vega</v>
          </cell>
        </row>
        <row r="1576">
          <cell r="D1576" t="str">
            <v>09</v>
          </cell>
          <cell r="E1576" t="str">
            <v>Burgos</v>
          </cell>
          <cell r="F1576" t="str">
            <v>086</v>
          </cell>
          <cell r="G1576" t="str">
            <v>6</v>
          </cell>
          <cell r="H1576" t="str">
            <v>Castrillo del Val</v>
          </cell>
        </row>
        <row r="1577">
          <cell r="D1577" t="str">
            <v>09</v>
          </cell>
          <cell r="E1577" t="str">
            <v>Burgos</v>
          </cell>
          <cell r="F1577" t="str">
            <v>088</v>
          </cell>
          <cell r="G1577" t="str">
            <v>8</v>
          </cell>
          <cell r="H1577" t="str">
            <v>Castrillo de Riopisuerga</v>
          </cell>
        </row>
        <row r="1578">
          <cell r="D1578" t="str">
            <v>09</v>
          </cell>
          <cell r="E1578" t="str">
            <v>Burgos</v>
          </cell>
          <cell r="F1578" t="str">
            <v>090</v>
          </cell>
          <cell r="G1578" t="str">
            <v>5</v>
          </cell>
          <cell r="H1578" t="str">
            <v>Castrillo Mota de Judíos</v>
          </cell>
        </row>
        <row r="1579">
          <cell r="D1579" t="str">
            <v>09</v>
          </cell>
          <cell r="E1579" t="str">
            <v>Burgos</v>
          </cell>
          <cell r="F1579" t="str">
            <v>091</v>
          </cell>
          <cell r="G1579" t="str">
            <v>2</v>
          </cell>
          <cell r="H1579" t="str">
            <v>Castrojeriz</v>
          </cell>
        </row>
        <row r="1580">
          <cell r="D1580" t="str">
            <v>09</v>
          </cell>
          <cell r="E1580" t="str">
            <v>Burgos</v>
          </cell>
          <cell r="F1580" t="str">
            <v>093</v>
          </cell>
          <cell r="G1580" t="str">
            <v>3</v>
          </cell>
          <cell r="H1580" t="str">
            <v>Cayuela</v>
          </cell>
        </row>
        <row r="1581">
          <cell r="D1581" t="str">
            <v>09</v>
          </cell>
          <cell r="E1581" t="str">
            <v>Burgos</v>
          </cell>
          <cell r="F1581" t="str">
            <v>094</v>
          </cell>
          <cell r="G1581" t="str">
            <v>8</v>
          </cell>
          <cell r="H1581" t="str">
            <v>Cebrecos</v>
          </cell>
        </row>
        <row r="1582">
          <cell r="D1582" t="str">
            <v>09</v>
          </cell>
          <cell r="E1582" t="str">
            <v>Burgos</v>
          </cell>
          <cell r="F1582" t="str">
            <v>095</v>
          </cell>
          <cell r="G1582" t="str">
            <v>1</v>
          </cell>
          <cell r="H1582" t="str">
            <v>Celada del Camino</v>
          </cell>
        </row>
        <row r="1583">
          <cell r="D1583" t="str">
            <v>09</v>
          </cell>
          <cell r="E1583" t="str">
            <v>Burgos</v>
          </cell>
          <cell r="F1583" t="str">
            <v>098</v>
          </cell>
          <cell r="G1583" t="str">
            <v>6</v>
          </cell>
          <cell r="H1583" t="str">
            <v>Cerezo de Río Tirón</v>
          </cell>
        </row>
        <row r="1584">
          <cell r="D1584" t="str">
            <v>09</v>
          </cell>
          <cell r="E1584" t="str">
            <v>Burgos</v>
          </cell>
          <cell r="F1584" t="str">
            <v>100</v>
          </cell>
          <cell r="G1584" t="str">
            <v>3</v>
          </cell>
          <cell r="H1584" t="str">
            <v>Cerratón de Juarros</v>
          </cell>
        </row>
        <row r="1585">
          <cell r="D1585" t="str">
            <v>09</v>
          </cell>
          <cell r="E1585" t="str">
            <v>Burgos</v>
          </cell>
          <cell r="F1585" t="str">
            <v>101</v>
          </cell>
          <cell r="G1585" t="str">
            <v>0</v>
          </cell>
          <cell r="H1585" t="str">
            <v>Ciadoncha</v>
          </cell>
        </row>
        <row r="1586">
          <cell r="D1586" t="str">
            <v>09</v>
          </cell>
          <cell r="E1586" t="str">
            <v>Burgos</v>
          </cell>
          <cell r="F1586" t="str">
            <v>103</v>
          </cell>
          <cell r="G1586" t="str">
            <v>1</v>
          </cell>
          <cell r="H1586" t="str">
            <v>Cilleruelo de Abajo</v>
          </cell>
        </row>
        <row r="1587">
          <cell r="D1587" t="str">
            <v>09</v>
          </cell>
          <cell r="E1587" t="str">
            <v>Burgos</v>
          </cell>
          <cell r="F1587" t="str">
            <v>104</v>
          </cell>
          <cell r="G1587" t="str">
            <v>6</v>
          </cell>
          <cell r="H1587" t="str">
            <v>Cilleruelo de Arriba</v>
          </cell>
        </row>
        <row r="1588">
          <cell r="D1588" t="str">
            <v>09</v>
          </cell>
          <cell r="E1588" t="str">
            <v>Burgos</v>
          </cell>
          <cell r="F1588" t="str">
            <v>105</v>
          </cell>
          <cell r="G1588" t="str">
            <v>9</v>
          </cell>
          <cell r="H1588" t="str">
            <v>Ciruelos de Cervera</v>
          </cell>
        </row>
        <row r="1589">
          <cell r="D1589" t="str">
            <v>09</v>
          </cell>
          <cell r="E1589" t="str">
            <v>Burgos</v>
          </cell>
          <cell r="F1589" t="str">
            <v>108</v>
          </cell>
          <cell r="G1589" t="str">
            <v>4</v>
          </cell>
          <cell r="H1589" t="str">
            <v>Cogollos</v>
          </cell>
        </row>
        <row r="1590">
          <cell r="D1590" t="str">
            <v>09</v>
          </cell>
          <cell r="E1590" t="str">
            <v>Burgos</v>
          </cell>
          <cell r="F1590" t="str">
            <v>109</v>
          </cell>
          <cell r="G1590" t="str">
            <v>7</v>
          </cell>
          <cell r="H1590" t="str">
            <v>Condado de Treviño</v>
          </cell>
        </row>
        <row r="1591">
          <cell r="D1591" t="str">
            <v>09</v>
          </cell>
          <cell r="E1591" t="str">
            <v>Burgos</v>
          </cell>
          <cell r="F1591" t="str">
            <v>110</v>
          </cell>
          <cell r="G1591" t="str">
            <v>1</v>
          </cell>
          <cell r="H1591" t="str">
            <v>Contreras</v>
          </cell>
        </row>
        <row r="1592">
          <cell r="D1592" t="str">
            <v>09</v>
          </cell>
          <cell r="E1592" t="str">
            <v>Burgos</v>
          </cell>
          <cell r="F1592" t="str">
            <v>112</v>
          </cell>
          <cell r="G1592" t="str">
            <v>3</v>
          </cell>
          <cell r="H1592" t="str">
            <v>Coruña del Conde</v>
          </cell>
        </row>
        <row r="1593">
          <cell r="D1593" t="str">
            <v>09</v>
          </cell>
          <cell r="E1593" t="str">
            <v>Burgos</v>
          </cell>
          <cell r="F1593" t="str">
            <v>113</v>
          </cell>
          <cell r="G1593" t="str">
            <v>9</v>
          </cell>
          <cell r="H1593" t="str">
            <v>Covarrubias</v>
          </cell>
        </row>
        <row r="1594">
          <cell r="D1594" t="str">
            <v>09</v>
          </cell>
          <cell r="E1594" t="str">
            <v>Burgos</v>
          </cell>
          <cell r="F1594" t="str">
            <v>114</v>
          </cell>
          <cell r="G1594" t="str">
            <v>4</v>
          </cell>
          <cell r="H1594" t="str">
            <v>Cubillo del Campo</v>
          </cell>
        </row>
        <row r="1595">
          <cell r="D1595" t="str">
            <v>09</v>
          </cell>
          <cell r="E1595" t="str">
            <v>Burgos</v>
          </cell>
          <cell r="F1595" t="str">
            <v>117</v>
          </cell>
          <cell r="G1595" t="str">
            <v>6</v>
          </cell>
          <cell r="H1595" t="str">
            <v>Cueva de Roa, La</v>
          </cell>
        </row>
        <row r="1596">
          <cell r="D1596" t="str">
            <v>09</v>
          </cell>
          <cell r="E1596" t="str">
            <v>Burgos</v>
          </cell>
          <cell r="F1596" t="str">
            <v>119</v>
          </cell>
          <cell r="G1596" t="str">
            <v>5</v>
          </cell>
          <cell r="H1596" t="str">
            <v>Cuevas de San Clemente</v>
          </cell>
        </row>
        <row r="1597">
          <cell r="D1597" t="str">
            <v>09</v>
          </cell>
          <cell r="E1597" t="str">
            <v>Burgos</v>
          </cell>
          <cell r="F1597" t="str">
            <v>122</v>
          </cell>
          <cell r="G1597" t="str">
            <v>1</v>
          </cell>
          <cell r="H1597" t="str">
            <v>Espinosa de Cervera</v>
          </cell>
        </row>
        <row r="1598">
          <cell r="D1598" t="str">
            <v>09</v>
          </cell>
          <cell r="E1598" t="str">
            <v>Burgos</v>
          </cell>
          <cell r="F1598" t="str">
            <v>123</v>
          </cell>
          <cell r="G1598" t="str">
            <v>7</v>
          </cell>
          <cell r="H1598" t="str">
            <v>Espinosa del Camino</v>
          </cell>
        </row>
        <row r="1599">
          <cell r="D1599" t="str">
            <v>09</v>
          </cell>
          <cell r="E1599" t="str">
            <v>Burgos</v>
          </cell>
          <cell r="F1599" t="str">
            <v>124</v>
          </cell>
          <cell r="G1599" t="str">
            <v>2</v>
          </cell>
          <cell r="H1599" t="str">
            <v>Espinosa de los Monteros</v>
          </cell>
        </row>
        <row r="1600">
          <cell r="D1600" t="str">
            <v>09</v>
          </cell>
          <cell r="E1600" t="str">
            <v>Burgos</v>
          </cell>
          <cell r="F1600" t="str">
            <v>125</v>
          </cell>
          <cell r="G1600" t="str">
            <v>5</v>
          </cell>
          <cell r="H1600" t="str">
            <v>Estépar</v>
          </cell>
        </row>
        <row r="1601">
          <cell r="D1601" t="str">
            <v>09</v>
          </cell>
          <cell r="E1601" t="str">
            <v>Burgos</v>
          </cell>
          <cell r="F1601" t="str">
            <v>127</v>
          </cell>
          <cell r="G1601" t="str">
            <v>4</v>
          </cell>
          <cell r="H1601" t="str">
            <v>Fontioso</v>
          </cell>
        </row>
        <row r="1602">
          <cell r="D1602" t="str">
            <v>09</v>
          </cell>
          <cell r="E1602" t="str">
            <v>Burgos</v>
          </cell>
          <cell r="F1602" t="str">
            <v>128</v>
          </cell>
          <cell r="G1602" t="str">
            <v>0</v>
          </cell>
          <cell r="H1602" t="str">
            <v>Frandovínez</v>
          </cell>
        </row>
        <row r="1603">
          <cell r="D1603" t="str">
            <v>09</v>
          </cell>
          <cell r="E1603" t="str">
            <v>Burgos</v>
          </cell>
          <cell r="F1603" t="str">
            <v>129</v>
          </cell>
          <cell r="G1603" t="str">
            <v>3</v>
          </cell>
          <cell r="H1603" t="str">
            <v>Fresneda de la Sierra Tirón</v>
          </cell>
        </row>
        <row r="1604">
          <cell r="D1604" t="str">
            <v>09</v>
          </cell>
          <cell r="E1604" t="str">
            <v>Burgos</v>
          </cell>
          <cell r="F1604" t="str">
            <v>130</v>
          </cell>
          <cell r="G1604" t="str">
            <v>7</v>
          </cell>
          <cell r="H1604" t="str">
            <v>Fresneña</v>
          </cell>
        </row>
        <row r="1605">
          <cell r="D1605" t="str">
            <v>09</v>
          </cell>
          <cell r="E1605" t="str">
            <v>Burgos</v>
          </cell>
          <cell r="F1605" t="str">
            <v>131</v>
          </cell>
          <cell r="G1605" t="str">
            <v>4</v>
          </cell>
          <cell r="H1605" t="str">
            <v>Fresnillo de las Dueñas</v>
          </cell>
        </row>
        <row r="1606">
          <cell r="D1606" t="str">
            <v>09</v>
          </cell>
          <cell r="E1606" t="str">
            <v>Burgos</v>
          </cell>
          <cell r="F1606" t="str">
            <v>132</v>
          </cell>
          <cell r="G1606" t="str">
            <v>9</v>
          </cell>
          <cell r="H1606" t="str">
            <v>Fresno de Río Tirón</v>
          </cell>
        </row>
        <row r="1607">
          <cell r="D1607" t="str">
            <v>09</v>
          </cell>
          <cell r="E1607" t="str">
            <v>Burgos</v>
          </cell>
          <cell r="F1607" t="str">
            <v>133</v>
          </cell>
          <cell r="G1607" t="str">
            <v>5</v>
          </cell>
          <cell r="H1607" t="str">
            <v>Fresno de Rodilla</v>
          </cell>
        </row>
        <row r="1608">
          <cell r="D1608" t="str">
            <v>09</v>
          </cell>
          <cell r="E1608" t="str">
            <v>Burgos</v>
          </cell>
          <cell r="F1608" t="str">
            <v>135</v>
          </cell>
          <cell r="G1608" t="str">
            <v>3</v>
          </cell>
          <cell r="H1608" t="str">
            <v>Fuentebureba</v>
          </cell>
        </row>
        <row r="1609">
          <cell r="D1609" t="str">
            <v>09</v>
          </cell>
          <cell r="E1609" t="str">
            <v>Burgos</v>
          </cell>
          <cell r="F1609" t="str">
            <v>136</v>
          </cell>
          <cell r="G1609" t="str">
            <v>6</v>
          </cell>
          <cell r="H1609" t="str">
            <v>Fuentecén</v>
          </cell>
        </row>
        <row r="1610">
          <cell r="D1610" t="str">
            <v>09</v>
          </cell>
          <cell r="E1610" t="str">
            <v>Burgos</v>
          </cell>
          <cell r="F1610" t="str">
            <v>137</v>
          </cell>
          <cell r="G1610" t="str">
            <v>2</v>
          </cell>
          <cell r="H1610" t="str">
            <v>Fuentelcésped</v>
          </cell>
        </row>
        <row r="1611">
          <cell r="D1611" t="str">
            <v>09</v>
          </cell>
          <cell r="E1611" t="str">
            <v>Burgos</v>
          </cell>
          <cell r="F1611" t="str">
            <v>138</v>
          </cell>
          <cell r="G1611" t="str">
            <v>8</v>
          </cell>
          <cell r="H1611" t="str">
            <v>Fuentelisendo</v>
          </cell>
        </row>
        <row r="1612">
          <cell r="D1612" t="str">
            <v>09</v>
          </cell>
          <cell r="E1612" t="str">
            <v>Burgos</v>
          </cell>
          <cell r="F1612" t="str">
            <v>139</v>
          </cell>
          <cell r="G1612" t="str">
            <v>1</v>
          </cell>
          <cell r="H1612" t="str">
            <v>Fuentemolinos</v>
          </cell>
        </row>
        <row r="1613">
          <cell r="D1613" t="str">
            <v>09</v>
          </cell>
          <cell r="E1613" t="str">
            <v>Burgos</v>
          </cell>
          <cell r="F1613" t="str">
            <v>140</v>
          </cell>
          <cell r="G1613" t="str">
            <v>5</v>
          </cell>
          <cell r="H1613" t="str">
            <v>Fuentenebro</v>
          </cell>
        </row>
        <row r="1614">
          <cell r="D1614" t="str">
            <v>09</v>
          </cell>
          <cell r="E1614" t="str">
            <v>Burgos</v>
          </cell>
          <cell r="F1614" t="str">
            <v>141</v>
          </cell>
          <cell r="G1614" t="str">
            <v>2</v>
          </cell>
          <cell r="H1614" t="str">
            <v>Fuentespina</v>
          </cell>
        </row>
        <row r="1615">
          <cell r="D1615" t="str">
            <v>09</v>
          </cell>
          <cell r="E1615" t="str">
            <v>Burgos</v>
          </cell>
          <cell r="F1615" t="str">
            <v>143</v>
          </cell>
          <cell r="G1615" t="str">
            <v>3</v>
          </cell>
          <cell r="H1615" t="str">
            <v>Galbarros</v>
          </cell>
        </row>
        <row r="1616">
          <cell r="D1616" t="str">
            <v>09</v>
          </cell>
          <cell r="E1616" t="str">
            <v>Burgos</v>
          </cell>
          <cell r="F1616" t="str">
            <v>144</v>
          </cell>
          <cell r="G1616" t="str">
            <v>8</v>
          </cell>
          <cell r="H1616" t="str">
            <v>Gallega, La</v>
          </cell>
        </row>
        <row r="1617">
          <cell r="D1617" t="str">
            <v>09</v>
          </cell>
          <cell r="E1617" t="str">
            <v>Burgos</v>
          </cell>
          <cell r="F1617" t="str">
            <v>148</v>
          </cell>
          <cell r="G1617" t="str">
            <v>6</v>
          </cell>
          <cell r="H1617" t="str">
            <v>Grijalba</v>
          </cell>
        </row>
        <row r="1618">
          <cell r="D1618" t="str">
            <v>09</v>
          </cell>
          <cell r="E1618" t="str">
            <v>Burgos</v>
          </cell>
          <cell r="F1618" t="str">
            <v>149</v>
          </cell>
          <cell r="G1618" t="str">
            <v>9</v>
          </cell>
          <cell r="H1618" t="str">
            <v>Grisaleña</v>
          </cell>
        </row>
        <row r="1619">
          <cell r="D1619" t="str">
            <v>09</v>
          </cell>
          <cell r="E1619" t="str">
            <v>Burgos</v>
          </cell>
          <cell r="F1619" t="str">
            <v>151</v>
          </cell>
          <cell r="G1619" t="str">
            <v>9</v>
          </cell>
          <cell r="H1619" t="str">
            <v>Gumiel de Izán</v>
          </cell>
        </row>
        <row r="1620">
          <cell r="D1620" t="str">
            <v>09</v>
          </cell>
          <cell r="E1620" t="str">
            <v>Burgos</v>
          </cell>
          <cell r="F1620" t="str">
            <v>152</v>
          </cell>
          <cell r="G1620" t="str">
            <v>4</v>
          </cell>
          <cell r="H1620" t="str">
            <v>Gumiel de Mercado</v>
          </cell>
        </row>
        <row r="1621">
          <cell r="D1621" t="str">
            <v>09</v>
          </cell>
          <cell r="E1621" t="str">
            <v>Burgos</v>
          </cell>
          <cell r="F1621" t="str">
            <v>154</v>
          </cell>
          <cell r="G1621" t="str">
            <v>5</v>
          </cell>
          <cell r="H1621" t="str">
            <v>Hacinas</v>
          </cell>
        </row>
        <row r="1622">
          <cell r="D1622" t="str">
            <v>09</v>
          </cell>
          <cell r="E1622" t="str">
            <v>Burgos</v>
          </cell>
          <cell r="F1622" t="str">
            <v>155</v>
          </cell>
          <cell r="G1622" t="str">
            <v>8</v>
          </cell>
          <cell r="H1622" t="str">
            <v>Haza</v>
          </cell>
        </row>
        <row r="1623">
          <cell r="D1623" t="str">
            <v>09</v>
          </cell>
          <cell r="E1623" t="str">
            <v>Burgos</v>
          </cell>
          <cell r="F1623" t="str">
            <v>159</v>
          </cell>
          <cell r="G1623" t="str">
            <v>6</v>
          </cell>
          <cell r="H1623" t="str">
            <v>Hontanas</v>
          </cell>
        </row>
        <row r="1624">
          <cell r="D1624" t="str">
            <v>09</v>
          </cell>
          <cell r="E1624" t="str">
            <v>Burgos</v>
          </cell>
          <cell r="F1624" t="str">
            <v>160</v>
          </cell>
          <cell r="G1624" t="str">
            <v>0</v>
          </cell>
          <cell r="H1624" t="str">
            <v>Hontangas</v>
          </cell>
        </row>
        <row r="1625">
          <cell r="D1625" t="str">
            <v>09</v>
          </cell>
          <cell r="E1625" t="str">
            <v>Burgos</v>
          </cell>
          <cell r="F1625" t="str">
            <v>162</v>
          </cell>
          <cell r="G1625" t="str">
            <v>2</v>
          </cell>
          <cell r="H1625" t="str">
            <v>Hontoria de la Cantera</v>
          </cell>
        </row>
        <row r="1626">
          <cell r="D1626" t="str">
            <v>09</v>
          </cell>
          <cell r="E1626" t="str">
            <v>Burgos</v>
          </cell>
          <cell r="F1626" t="str">
            <v>163</v>
          </cell>
          <cell r="G1626" t="str">
            <v>8</v>
          </cell>
          <cell r="H1626" t="str">
            <v>Hontoria del Pinar</v>
          </cell>
        </row>
        <row r="1627">
          <cell r="D1627" t="str">
            <v>09</v>
          </cell>
          <cell r="E1627" t="str">
            <v>Burgos</v>
          </cell>
          <cell r="F1627" t="str">
            <v>164</v>
          </cell>
          <cell r="G1627" t="str">
            <v>3</v>
          </cell>
          <cell r="H1627" t="str">
            <v>Hontoria de Valdearados</v>
          </cell>
        </row>
        <row r="1628">
          <cell r="D1628" t="str">
            <v>09</v>
          </cell>
          <cell r="E1628" t="str">
            <v>Burgos</v>
          </cell>
          <cell r="F1628" t="str">
            <v>166</v>
          </cell>
          <cell r="G1628" t="str">
            <v>9</v>
          </cell>
          <cell r="H1628" t="str">
            <v>Hormazas, Las</v>
          </cell>
        </row>
        <row r="1629">
          <cell r="D1629" t="str">
            <v>09</v>
          </cell>
          <cell r="E1629" t="str">
            <v>Burgos</v>
          </cell>
          <cell r="F1629" t="str">
            <v>167</v>
          </cell>
          <cell r="G1629" t="str">
            <v>5</v>
          </cell>
          <cell r="H1629" t="str">
            <v>Hornillos del Camino</v>
          </cell>
        </row>
        <row r="1630">
          <cell r="D1630" t="str">
            <v>09</v>
          </cell>
          <cell r="E1630" t="str">
            <v>Burgos</v>
          </cell>
          <cell r="F1630" t="str">
            <v>168</v>
          </cell>
          <cell r="G1630" t="str">
            <v>1</v>
          </cell>
          <cell r="H1630" t="str">
            <v>Horra, La</v>
          </cell>
        </row>
        <row r="1631">
          <cell r="D1631" t="str">
            <v>09</v>
          </cell>
          <cell r="E1631" t="str">
            <v>Burgos</v>
          </cell>
          <cell r="F1631" t="str">
            <v>169</v>
          </cell>
          <cell r="G1631" t="str">
            <v>4</v>
          </cell>
          <cell r="H1631" t="str">
            <v>Hortigüela</v>
          </cell>
        </row>
        <row r="1632">
          <cell r="D1632" t="str">
            <v>09</v>
          </cell>
          <cell r="E1632" t="str">
            <v>Burgos</v>
          </cell>
          <cell r="F1632" t="str">
            <v>170</v>
          </cell>
          <cell r="G1632" t="str">
            <v>8</v>
          </cell>
          <cell r="H1632" t="str">
            <v>Hoyales de Roa</v>
          </cell>
        </row>
        <row r="1633">
          <cell r="D1633" t="str">
            <v>09</v>
          </cell>
          <cell r="E1633" t="str">
            <v>Burgos</v>
          </cell>
          <cell r="F1633" t="str">
            <v>172</v>
          </cell>
          <cell r="G1633" t="str">
            <v>0</v>
          </cell>
          <cell r="H1633" t="str">
            <v>Huérmeces</v>
          </cell>
        </row>
        <row r="1634">
          <cell r="D1634" t="str">
            <v>09</v>
          </cell>
          <cell r="E1634" t="str">
            <v>Burgos</v>
          </cell>
          <cell r="F1634" t="str">
            <v>173</v>
          </cell>
          <cell r="G1634" t="str">
            <v>6</v>
          </cell>
          <cell r="H1634" t="str">
            <v>Huerta de Arriba</v>
          </cell>
        </row>
        <row r="1635">
          <cell r="D1635" t="str">
            <v>09</v>
          </cell>
          <cell r="E1635" t="str">
            <v>Burgos</v>
          </cell>
          <cell r="F1635" t="str">
            <v>174</v>
          </cell>
          <cell r="G1635" t="str">
            <v>1</v>
          </cell>
          <cell r="H1635" t="str">
            <v>Huerta de Rey</v>
          </cell>
        </row>
        <row r="1636">
          <cell r="D1636" t="str">
            <v>09</v>
          </cell>
          <cell r="E1636" t="str">
            <v>Burgos</v>
          </cell>
          <cell r="F1636" t="str">
            <v>175</v>
          </cell>
          <cell r="G1636" t="str">
            <v>4</v>
          </cell>
          <cell r="H1636" t="str">
            <v>Humada</v>
          </cell>
        </row>
        <row r="1637">
          <cell r="D1637" t="str">
            <v>09</v>
          </cell>
          <cell r="E1637" t="str">
            <v>Burgos</v>
          </cell>
          <cell r="F1637" t="str">
            <v>176</v>
          </cell>
          <cell r="G1637" t="str">
            <v>7</v>
          </cell>
          <cell r="H1637" t="str">
            <v>Hurones</v>
          </cell>
        </row>
        <row r="1638">
          <cell r="D1638" t="str">
            <v>09</v>
          </cell>
          <cell r="E1638" t="str">
            <v>Burgos</v>
          </cell>
          <cell r="F1638" t="str">
            <v>177</v>
          </cell>
          <cell r="G1638" t="str">
            <v>3</v>
          </cell>
          <cell r="H1638" t="str">
            <v>Ibeas de Juarros</v>
          </cell>
        </row>
        <row r="1639">
          <cell r="D1639" t="str">
            <v>09</v>
          </cell>
          <cell r="E1639" t="str">
            <v>Burgos</v>
          </cell>
          <cell r="F1639" t="str">
            <v>178</v>
          </cell>
          <cell r="G1639" t="str">
            <v>9</v>
          </cell>
          <cell r="H1639" t="str">
            <v>Ibrillos</v>
          </cell>
        </row>
        <row r="1640">
          <cell r="D1640" t="str">
            <v>09</v>
          </cell>
          <cell r="E1640" t="str">
            <v>Burgos</v>
          </cell>
          <cell r="F1640" t="str">
            <v>179</v>
          </cell>
          <cell r="G1640" t="str">
            <v>2</v>
          </cell>
          <cell r="H1640" t="str">
            <v>Iglesiarrubia</v>
          </cell>
        </row>
        <row r="1641">
          <cell r="D1641" t="str">
            <v>09</v>
          </cell>
          <cell r="E1641" t="str">
            <v>Burgos</v>
          </cell>
          <cell r="F1641" t="str">
            <v>180</v>
          </cell>
          <cell r="G1641" t="str">
            <v>6</v>
          </cell>
          <cell r="H1641" t="str">
            <v>Iglesias</v>
          </cell>
        </row>
        <row r="1642">
          <cell r="D1642" t="str">
            <v>09</v>
          </cell>
          <cell r="E1642" t="str">
            <v>Burgos</v>
          </cell>
          <cell r="F1642" t="str">
            <v>181</v>
          </cell>
          <cell r="G1642" t="str">
            <v>3</v>
          </cell>
          <cell r="H1642" t="str">
            <v>Isar</v>
          </cell>
        </row>
        <row r="1643">
          <cell r="D1643" t="str">
            <v>09</v>
          </cell>
          <cell r="E1643" t="str">
            <v>Burgos</v>
          </cell>
          <cell r="F1643" t="str">
            <v>182</v>
          </cell>
          <cell r="G1643" t="str">
            <v>8</v>
          </cell>
          <cell r="H1643" t="str">
            <v>Itero del Castillo</v>
          </cell>
        </row>
        <row r="1644">
          <cell r="D1644" t="str">
            <v>09</v>
          </cell>
          <cell r="E1644" t="str">
            <v>Burgos</v>
          </cell>
          <cell r="F1644" t="str">
            <v>183</v>
          </cell>
          <cell r="G1644" t="str">
            <v>4</v>
          </cell>
          <cell r="H1644" t="str">
            <v>Jaramillo de la Fuente</v>
          </cell>
        </row>
        <row r="1645">
          <cell r="D1645" t="str">
            <v>09</v>
          </cell>
          <cell r="E1645" t="str">
            <v>Burgos</v>
          </cell>
          <cell r="F1645" t="str">
            <v>184</v>
          </cell>
          <cell r="G1645" t="str">
            <v>9</v>
          </cell>
          <cell r="H1645" t="str">
            <v>Jaramillo Quemado</v>
          </cell>
        </row>
        <row r="1646">
          <cell r="D1646" t="str">
            <v>09</v>
          </cell>
          <cell r="E1646" t="str">
            <v>Burgos</v>
          </cell>
          <cell r="F1646" t="str">
            <v>189</v>
          </cell>
          <cell r="G1646" t="str">
            <v>0</v>
          </cell>
          <cell r="H1646" t="str">
            <v>Junta de Traslaloma</v>
          </cell>
        </row>
        <row r="1647">
          <cell r="D1647" t="str">
            <v>09</v>
          </cell>
          <cell r="E1647" t="str">
            <v>Burgos</v>
          </cell>
          <cell r="F1647" t="str">
            <v>190</v>
          </cell>
          <cell r="G1647" t="str">
            <v>4</v>
          </cell>
          <cell r="H1647" t="str">
            <v>Junta de Villalba de Losa</v>
          </cell>
        </row>
        <row r="1648">
          <cell r="D1648" t="str">
            <v>09</v>
          </cell>
          <cell r="E1648" t="str">
            <v>Burgos</v>
          </cell>
          <cell r="F1648" t="str">
            <v>191</v>
          </cell>
          <cell r="G1648" t="str">
            <v>1</v>
          </cell>
          <cell r="H1648" t="str">
            <v>Jurisdicción de Lara</v>
          </cell>
        </row>
        <row r="1649">
          <cell r="D1649" t="str">
            <v>09</v>
          </cell>
          <cell r="E1649" t="str">
            <v>Burgos</v>
          </cell>
          <cell r="F1649" t="str">
            <v>194</v>
          </cell>
          <cell r="G1649" t="str">
            <v>7</v>
          </cell>
          <cell r="H1649" t="str">
            <v>Lerma</v>
          </cell>
        </row>
        <row r="1650">
          <cell r="D1650" t="str">
            <v>09</v>
          </cell>
          <cell r="E1650" t="str">
            <v>Burgos</v>
          </cell>
          <cell r="F1650" t="str">
            <v>195</v>
          </cell>
          <cell r="G1650" t="str">
            <v>0</v>
          </cell>
          <cell r="H1650" t="str">
            <v>Llano de Bureba</v>
          </cell>
        </row>
        <row r="1651">
          <cell r="D1651" t="str">
            <v>09</v>
          </cell>
          <cell r="E1651" t="str">
            <v>Burgos</v>
          </cell>
          <cell r="F1651" t="str">
            <v>196</v>
          </cell>
          <cell r="G1651" t="str">
            <v>3</v>
          </cell>
          <cell r="H1651" t="str">
            <v>Madrigal del Monte</v>
          </cell>
        </row>
        <row r="1652">
          <cell r="D1652" t="str">
            <v>09</v>
          </cell>
          <cell r="E1652" t="str">
            <v>Burgos</v>
          </cell>
          <cell r="F1652" t="str">
            <v>197</v>
          </cell>
          <cell r="G1652" t="str">
            <v>9</v>
          </cell>
          <cell r="H1652" t="str">
            <v>Madrigalejo del Monte</v>
          </cell>
        </row>
        <row r="1653">
          <cell r="D1653" t="str">
            <v>09</v>
          </cell>
          <cell r="E1653" t="str">
            <v>Burgos</v>
          </cell>
          <cell r="F1653" t="str">
            <v>198</v>
          </cell>
          <cell r="G1653" t="str">
            <v>5</v>
          </cell>
          <cell r="H1653" t="str">
            <v>Mahamud</v>
          </cell>
        </row>
        <row r="1654">
          <cell r="D1654" t="str">
            <v>09</v>
          </cell>
          <cell r="E1654" t="str">
            <v>Burgos</v>
          </cell>
          <cell r="F1654" t="str">
            <v>199</v>
          </cell>
          <cell r="G1654" t="str">
            <v>8</v>
          </cell>
          <cell r="H1654" t="str">
            <v>Mambrilla de Castrejón</v>
          </cell>
        </row>
        <row r="1655">
          <cell r="D1655" t="str">
            <v>09</v>
          </cell>
          <cell r="E1655" t="str">
            <v>Burgos</v>
          </cell>
          <cell r="F1655" t="str">
            <v>200</v>
          </cell>
          <cell r="G1655" t="str">
            <v>2</v>
          </cell>
          <cell r="H1655" t="str">
            <v>Mambrillas de Lara</v>
          </cell>
        </row>
        <row r="1656">
          <cell r="D1656" t="str">
            <v>09</v>
          </cell>
          <cell r="E1656" t="str">
            <v>Burgos</v>
          </cell>
          <cell r="F1656" t="str">
            <v>201</v>
          </cell>
          <cell r="G1656" t="str">
            <v>9</v>
          </cell>
          <cell r="H1656" t="str">
            <v>Mamolar</v>
          </cell>
        </row>
        <row r="1657">
          <cell r="D1657" t="str">
            <v>09</v>
          </cell>
          <cell r="E1657" t="str">
            <v>Burgos</v>
          </cell>
          <cell r="F1657" t="str">
            <v>202</v>
          </cell>
          <cell r="G1657" t="str">
            <v>4</v>
          </cell>
          <cell r="H1657" t="str">
            <v>Manciles</v>
          </cell>
        </row>
        <row r="1658">
          <cell r="D1658" t="str">
            <v>09</v>
          </cell>
          <cell r="E1658" t="str">
            <v>Burgos</v>
          </cell>
          <cell r="F1658" t="str">
            <v>206</v>
          </cell>
          <cell r="G1658" t="str">
            <v>1</v>
          </cell>
          <cell r="H1658" t="str">
            <v>Mazuela</v>
          </cell>
        </row>
        <row r="1659">
          <cell r="D1659" t="str">
            <v>09</v>
          </cell>
          <cell r="E1659" t="str">
            <v>Burgos</v>
          </cell>
          <cell r="F1659" t="str">
            <v>208</v>
          </cell>
          <cell r="G1659" t="str">
            <v>3</v>
          </cell>
          <cell r="H1659" t="str">
            <v>Mecerreyes</v>
          </cell>
        </row>
        <row r="1660">
          <cell r="D1660" t="str">
            <v>09</v>
          </cell>
          <cell r="E1660" t="str">
            <v>Burgos</v>
          </cell>
          <cell r="F1660" t="str">
            <v>211</v>
          </cell>
          <cell r="G1660" t="str">
            <v>7</v>
          </cell>
          <cell r="H1660" t="str">
            <v>Melgar de Fernamental</v>
          </cell>
        </row>
        <row r="1661">
          <cell r="D1661" t="str">
            <v>09</v>
          </cell>
          <cell r="E1661" t="str">
            <v>Burgos</v>
          </cell>
          <cell r="F1661" t="str">
            <v>214</v>
          </cell>
          <cell r="G1661" t="str">
            <v>3</v>
          </cell>
          <cell r="H1661" t="str">
            <v>Merindad de Montija</v>
          </cell>
        </row>
        <row r="1662">
          <cell r="D1662" t="str">
            <v>09</v>
          </cell>
          <cell r="E1662" t="str">
            <v>Burgos</v>
          </cell>
          <cell r="F1662" t="str">
            <v>215</v>
          </cell>
          <cell r="G1662" t="str">
            <v>6</v>
          </cell>
          <cell r="H1662" t="str">
            <v>Merindad de Sotoscueva</v>
          </cell>
        </row>
        <row r="1663">
          <cell r="D1663" t="str">
            <v>09</v>
          </cell>
          <cell r="E1663" t="str">
            <v>Burgos</v>
          </cell>
          <cell r="F1663" t="str">
            <v>216</v>
          </cell>
          <cell r="G1663" t="str">
            <v>9</v>
          </cell>
          <cell r="H1663" t="str">
            <v>Merindad de Valdeporres</v>
          </cell>
        </row>
        <row r="1664">
          <cell r="D1664" t="str">
            <v>09</v>
          </cell>
          <cell r="E1664" t="str">
            <v>Burgos</v>
          </cell>
          <cell r="F1664" t="str">
            <v>217</v>
          </cell>
          <cell r="G1664" t="str">
            <v>5</v>
          </cell>
          <cell r="H1664" t="str">
            <v>Merindad de Valdivielso</v>
          </cell>
        </row>
        <row r="1665">
          <cell r="D1665" t="str">
            <v>09</v>
          </cell>
          <cell r="E1665" t="str">
            <v>Burgos</v>
          </cell>
          <cell r="F1665" t="str">
            <v>218</v>
          </cell>
          <cell r="G1665" t="str">
            <v>1</v>
          </cell>
          <cell r="H1665" t="str">
            <v>Milagros</v>
          </cell>
        </row>
        <row r="1666">
          <cell r="D1666" t="str">
            <v>09</v>
          </cell>
          <cell r="E1666" t="str">
            <v>Burgos</v>
          </cell>
          <cell r="F1666" t="str">
            <v>221</v>
          </cell>
          <cell r="G1666" t="str">
            <v>5</v>
          </cell>
          <cell r="H1666" t="str">
            <v>Modúbar de la Emparedada</v>
          </cell>
        </row>
        <row r="1667">
          <cell r="D1667" t="str">
            <v>09</v>
          </cell>
          <cell r="E1667" t="str">
            <v>Burgos</v>
          </cell>
          <cell r="F1667" t="str">
            <v>223</v>
          </cell>
          <cell r="G1667" t="str">
            <v>6</v>
          </cell>
          <cell r="H1667" t="str">
            <v>Monasterio de la Sierra</v>
          </cell>
        </row>
        <row r="1668">
          <cell r="D1668" t="str">
            <v>09</v>
          </cell>
          <cell r="E1668" t="str">
            <v>Burgos</v>
          </cell>
          <cell r="F1668" t="str">
            <v>224</v>
          </cell>
          <cell r="G1668" t="str">
            <v>1</v>
          </cell>
          <cell r="H1668" t="str">
            <v>Monasterio de Rodilla</v>
          </cell>
        </row>
        <row r="1669">
          <cell r="D1669" t="str">
            <v>09</v>
          </cell>
          <cell r="E1669" t="str">
            <v>Burgos</v>
          </cell>
          <cell r="F1669" t="str">
            <v>225</v>
          </cell>
          <cell r="G1669" t="str">
            <v>4</v>
          </cell>
          <cell r="H1669" t="str">
            <v>Moncalvillo</v>
          </cell>
        </row>
        <row r="1670">
          <cell r="D1670" t="str">
            <v>09</v>
          </cell>
          <cell r="E1670" t="str">
            <v>Burgos</v>
          </cell>
          <cell r="F1670" t="str">
            <v>226</v>
          </cell>
          <cell r="G1670" t="str">
            <v>7</v>
          </cell>
          <cell r="H1670" t="str">
            <v>Monterrubio de la Demanda</v>
          </cell>
        </row>
        <row r="1671">
          <cell r="D1671" t="str">
            <v>09</v>
          </cell>
          <cell r="E1671" t="str">
            <v>Burgos</v>
          </cell>
          <cell r="F1671" t="str">
            <v>227</v>
          </cell>
          <cell r="G1671" t="str">
            <v>3</v>
          </cell>
          <cell r="H1671" t="str">
            <v>Montorio</v>
          </cell>
        </row>
        <row r="1672">
          <cell r="D1672" t="str">
            <v>09</v>
          </cell>
          <cell r="E1672" t="str">
            <v>Burgos</v>
          </cell>
          <cell r="F1672" t="str">
            <v>228</v>
          </cell>
          <cell r="G1672" t="str">
            <v>9</v>
          </cell>
          <cell r="H1672" t="str">
            <v>Moradillo de Roa</v>
          </cell>
        </row>
        <row r="1673">
          <cell r="D1673" t="str">
            <v>09</v>
          </cell>
          <cell r="E1673" t="str">
            <v>Burgos</v>
          </cell>
          <cell r="F1673" t="str">
            <v>229</v>
          </cell>
          <cell r="G1673" t="str">
            <v>2</v>
          </cell>
          <cell r="H1673" t="str">
            <v>Nava de Roa</v>
          </cell>
        </row>
        <row r="1674">
          <cell r="D1674" t="str">
            <v>09</v>
          </cell>
          <cell r="E1674" t="str">
            <v>Burgos</v>
          </cell>
          <cell r="F1674" t="str">
            <v>231</v>
          </cell>
          <cell r="G1674" t="str">
            <v>3</v>
          </cell>
          <cell r="H1674" t="str">
            <v>Nebreda</v>
          </cell>
        </row>
        <row r="1675">
          <cell r="D1675" t="str">
            <v>09</v>
          </cell>
          <cell r="E1675" t="str">
            <v>Burgos</v>
          </cell>
          <cell r="F1675" t="str">
            <v>232</v>
          </cell>
          <cell r="G1675" t="str">
            <v>8</v>
          </cell>
          <cell r="H1675" t="str">
            <v>Neila</v>
          </cell>
        </row>
        <row r="1676">
          <cell r="D1676" t="str">
            <v>09</v>
          </cell>
          <cell r="E1676" t="str">
            <v>Burgos</v>
          </cell>
          <cell r="F1676" t="str">
            <v>235</v>
          </cell>
          <cell r="G1676" t="str">
            <v>2</v>
          </cell>
          <cell r="H1676" t="str">
            <v>Olmedillo de Roa</v>
          </cell>
        </row>
        <row r="1677">
          <cell r="D1677" t="str">
            <v>09</v>
          </cell>
          <cell r="E1677" t="str">
            <v>Burgos</v>
          </cell>
          <cell r="F1677" t="str">
            <v>236</v>
          </cell>
          <cell r="G1677" t="str">
            <v>5</v>
          </cell>
          <cell r="H1677" t="str">
            <v>Olmillos de Muñó</v>
          </cell>
        </row>
        <row r="1678">
          <cell r="D1678" t="str">
            <v>09</v>
          </cell>
          <cell r="E1678" t="str">
            <v>Burgos</v>
          </cell>
          <cell r="F1678" t="str">
            <v>239</v>
          </cell>
          <cell r="G1678" t="str">
            <v>0</v>
          </cell>
          <cell r="H1678" t="str">
            <v>Oquillas</v>
          </cell>
        </row>
        <row r="1679">
          <cell r="D1679" t="str">
            <v>09</v>
          </cell>
          <cell r="E1679" t="str">
            <v>Burgos</v>
          </cell>
          <cell r="F1679" t="str">
            <v>241</v>
          </cell>
          <cell r="G1679" t="str">
            <v>1</v>
          </cell>
          <cell r="H1679" t="str">
            <v>Orbaneja Riopico</v>
          </cell>
        </row>
        <row r="1680">
          <cell r="D1680" t="str">
            <v>09</v>
          </cell>
          <cell r="E1680" t="str">
            <v>Burgos</v>
          </cell>
          <cell r="F1680" t="str">
            <v>242</v>
          </cell>
          <cell r="G1680" t="str">
            <v>6</v>
          </cell>
          <cell r="H1680" t="str">
            <v>Padilla de Abajo</v>
          </cell>
        </row>
        <row r="1681">
          <cell r="D1681" t="str">
            <v>09</v>
          </cell>
          <cell r="E1681" t="str">
            <v>Burgos</v>
          </cell>
          <cell r="F1681" t="str">
            <v>243</v>
          </cell>
          <cell r="G1681" t="str">
            <v>2</v>
          </cell>
          <cell r="H1681" t="str">
            <v>Padilla de Arriba</v>
          </cell>
        </row>
        <row r="1682">
          <cell r="D1682" t="str">
            <v>09</v>
          </cell>
          <cell r="E1682" t="str">
            <v>Burgos</v>
          </cell>
          <cell r="F1682" t="str">
            <v>244</v>
          </cell>
          <cell r="G1682" t="str">
            <v>7</v>
          </cell>
          <cell r="H1682" t="str">
            <v>Padrones de Bureba</v>
          </cell>
        </row>
        <row r="1683">
          <cell r="D1683" t="str">
            <v>09</v>
          </cell>
          <cell r="E1683" t="str">
            <v>Burgos</v>
          </cell>
          <cell r="F1683" t="str">
            <v>246</v>
          </cell>
          <cell r="G1683" t="str">
            <v>3</v>
          </cell>
          <cell r="H1683" t="str">
            <v>Palacios de la Sierra</v>
          </cell>
        </row>
        <row r="1684">
          <cell r="D1684" t="str">
            <v>09</v>
          </cell>
          <cell r="E1684" t="str">
            <v>Burgos</v>
          </cell>
          <cell r="F1684" t="str">
            <v>247</v>
          </cell>
          <cell r="G1684" t="str">
            <v>9</v>
          </cell>
          <cell r="H1684" t="str">
            <v>Palacios de Riopisuerga</v>
          </cell>
        </row>
        <row r="1685">
          <cell r="D1685" t="str">
            <v>09</v>
          </cell>
          <cell r="E1685" t="str">
            <v>Burgos</v>
          </cell>
          <cell r="F1685" t="str">
            <v>248</v>
          </cell>
          <cell r="G1685" t="str">
            <v>5</v>
          </cell>
          <cell r="H1685" t="str">
            <v>Palazuelos de la Sierra</v>
          </cell>
        </row>
        <row r="1686">
          <cell r="D1686" t="str">
            <v>09</v>
          </cell>
          <cell r="E1686" t="str">
            <v>Burgos</v>
          </cell>
          <cell r="F1686" t="str">
            <v>249</v>
          </cell>
          <cell r="G1686" t="str">
            <v>8</v>
          </cell>
          <cell r="H1686" t="str">
            <v>Palazuelos de Muñó</v>
          </cell>
        </row>
        <row r="1687">
          <cell r="D1687" t="str">
            <v>09</v>
          </cell>
          <cell r="E1687" t="str">
            <v>Burgos</v>
          </cell>
          <cell r="F1687" t="str">
            <v>250</v>
          </cell>
          <cell r="G1687" t="str">
            <v>1</v>
          </cell>
          <cell r="H1687" t="str">
            <v>Pampliega</v>
          </cell>
        </row>
        <row r="1688">
          <cell r="D1688" t="str">
            <v>09</v>
          </cell>
          <cell r="E1688" t="str">
            <v>Burgos</v>
          </cell>
          <cell r="F1688" t="str">
            <v>253</v>
          </cell>
          <cell r="G1688" t="str">
            <v>9</v>
          </cell>
          <cell r="H1688" t="str">
            <v>Pardilla</v>
          </cell>
        </row>
        <row r="1689">
          <cell r="D1689" t="str">
            <v>09</v>
          </cell>
          <cell r="E1689" t="str">
            <v>Burgos</v>
          </cell>
          <cell r="F1689" t="str">
            <v>256</v>
          </cell>
          <cell r="G1689" t="str">
            <v>0</v>
          </cell>
          <cell r="H1689" t="str">
            <v>Pedrosa de Duero</v>
          </cell>
        </row>
        <row r="1690">
          <cell r="D1690" t="str">
            <v>09</v>
          </cell>
          <cell r="E1690" t="str">
            <v>Burgos</v>
          </cell>
          <cell r="F1690" t="str">
            <v>257</v>
          </cell>
          <cell r="G1690" t="str">
            <v>6</v>
          </cell>
          <cell r="H1690" t="str">
            <v>Pedrosa del Páramo</v>
          </cell>
        </row>
        <row r="1691">
          <cell r="D1691" t="str">
            <v>09</v>
          </cell>
          <cell r="E1691" t="str">
            <v>Burgos</v>
          </cell>
          <cell r="F1691" t="str">
            <v>258</v>
          </cell>
          <cell r="G1691" t="str">
            <v>2</v>
          </cell>
          <cell r="H1691" t="str">
            <v>Pedrosa del Príncipe</v>
          </cell>
        </row>
        <row r="1692">
          <cell r="D1692" t="str">
            <v>09</v>
          </cell>
          <cell r="E1692" t="str">
            <v>Burgos</v>
          </cell>
          <cell r="F1692" t="str">
            <v>259</v>
          </cell>
          <cell r="G1692" t="str">
            <v>5</v>
          </cell>
          <cell r="H1692" t="str">
            <v>Pedrosa de Río Úrbel</v>
          </cell>
        </row>
        <row r="1693">
          <cell r="D1693" t="str">
            <v>09</v>
          </cell>
          <cell r="E1693" t="str">
            <v>Burgos</v>
          </cell>
          <cell r="F1693" t="str">
            <v>261</v>
          </cell>
          <cell r="G1693" t="str">
            <v>6</v>
          </cell>
          <cell r="H1693" t="str">
            <v>Peñaranda de Duero</v>
          </cell>
        </row>
        <row r="1694">
          <cell r="D1694" t="str">
            <v>09</v>
          </cell>
          <cell r="E1694" t="str">
            <v>Burgos</v>
          </cell>
          <cell r="F1694" t="str">
            <v>262</v>
          </cell>
          <cell r="G1694" t="str">
            <v>1</v>
          </cell>
          <cell r="H1694" t="str">
            <v>Peral de Arlanza</v>
          </cell>
        </row>
        <row r="1695">
          <cell r="D1695" t="str">
            <v>09</v>
          </cell>
          <cell r="E1695" t="str">
            <v>Burgos</v>
          </cell>
          <cell r="F1695" t="str">
            <v>265</v>
          </cell>
          <cell r="G1695" t="str">
            <v>5</v>
          </cell>
          <cell r="H1695" t="str">
            <v>Piérnigas</v>
          </cell>
        </row>
        <row r="1696">
          <cell r="D1696" t="str">
            <v>09</v>
          </cell>
          <cell r="E1696" t="str">
            <v>Burgos</v>
          </cell>
          <cell r="F1696" t="str">
            <v>266</v>
          </cell>
          <cell r="G1696" t="str">
            <v>8</v>
          </cell>
          <cell r="H1696" t="str">
            <v>Pineda de la Sierra</v>
          </cell>
        </row>
        <row r="1697">
          <cell r="D1697" t="str">
            <v>09</v>
          </cell>
          <cell r="E1697" t="str">
            <v>Burgos</v>
          </cell>
          <cell r="F1697" t="str">
            <v>267</v>
          </cell>
          <cell r="G1697" t="str">
            <v>4</v>
          </cell>
          <cell r="H1697" t="str">
            <v>Pineda Trasmonte</v>
          </cell>
        </row>
        <row r="1698">
          <cell r="D1698" t="str">
            <v>09</v>
          </cell>
          <cell r="E1698" t="str">
            <v>Burgos</v>
          </cell>
          <cell r="F1698" t="str">
            <v>268</v>
          </cell>
          <cell r="G1698" t="str">
            <v>0</v>
          </cell>
          <cell r="H1698" t="str">
            <v>Pinilla de los Barruecos</v>
          </cell>
        </row>
        <row r="1699">
          <cell r="D1699" t="str">
            <v>09</v>
          </cell>
          <cell r="E1699" t="str">
            <v>Burgos</v>
          </cell>
          <cell r="F1699" t="str">
            <v>269</v>
          </cell>
          <cell r="G1699" t="str">
            <v>3</v>
          </cell>
          <cell r="H1699" t="str">
            <v>Pinilla de los Moros</v>
          </cell>
        </row>
        <row r="1700">
          <cell r="D1700" t="str">
            <v>09</v>
          </cell>
          <cell r="E1700" t="str">
            <v>Burgos</v>
          </cell>
          <cell r="F1700" t="str">
            <v>270</v>
          </cell>
          <cell r="G1700" t="str">
            <v>7</v>
          </cell>
          <cell r="H1700" t="str">
            <v>Pinilla Trasmonte</v>
          </cell>
        </row>
        <row r="1701">
          <cell r="D1701" t="str">
            <v>09</v>
          </cell>
          <cell r="E1701" t="str">
            <v>Burgos</v>
          </cell>
          <cell r="F1701" t="str">
            <v>272</v>
          </cell>
          <cell r="G1701" t="str">
            <v>9</v>
          </cell>
          <cell r="H1701" t="str">
            <v>Poza de la Sal</v>
          </cell>
        </row>
        <row r="1702">
          <cell r="D1702" t="str">
            <v>09</v>
          </cell>
          <cell r="E1702" t="str">
            <v>Burgos</v>
          </cell>
          <cell r="F1702" t="str">
            <v>273</v>
          </cell>
          <cell r="G1702" t="str">
            <v>5</v>
          </cell>
          <cell r="H1702" t="str">
            <v>Prádanos de Bureba</v>
          </cell>
        </row>
        <row r="1703">
          <cell r="D1703" t="str">
            <v>09</v>
          </cell>
          <cell r="E1703" t="str">
            <v>Burgos</v>
          </cell>
          <cell r="F1703" t="str">
            <v>274</v>
          </cell>
          <cell r="G1703" t="str">
            <v>0</v>
          </cell>
          <cell r="H1703" t="str">
            <v>Pradoluengo</v>
          </cell>
        </row>
        <row r="1704">
          <cell r="D1704" t="str">
            <v>09</v>
          </cell>
          <cell r="E1704" t="str">
            <v>Burgos</v>
          </cell>
          <cell r="F1704" t="str">
            <v>275</v>
          </cell>
          <cell r="G1704" t="str">
            <v>3</v>
          </cell>
          <cell r="H1704" t="str">
            <v>Presencio</v>
          </cell>
        </row>
        <row r="1705">
          <cell r="D1705" t="str">
            <v>09</v>
          </cell>
          <cell r="E1705" t="str">
            <v>Burgos</v>
          </cell>
          <cell r="F1705" t="str">
            <v>276</v>
          </cell>
          <cell r="G1705" t="str">
            <v>6</v>
          </cell>
          <cell r="H1705" t="str">
            <v>Puebla de Arganzón, La</v>
          </cell>
        </row>
        <row r="1706">
          <cell r="D1706" t="str">
            <v>09</v>
          </cell>
          <cell r="E1706" t="str">
            <v>Burgos</v>
          </cell>
          <cell r="F1706" t="str">
            <v>277</v>
          </cell>
          <cell r="G1706" t="str">
            <v>2</v>
          </cell>
          <cell r="H1706" t="str">
            <v>Puentedura</v>
          </cell>
        </row>
        <row r="1707">
          <cell r="D1707" t="str">
            <v>09</v>
          </cell>
          <cell r="E1707" t="str">
            <v>Burgos</v>
          </cell>
          <cell r="F1707" t="str">
            <v>279</v>
          </cell>
          <cell r="G1707" t="str">
            <v>1</v>
          </cell>
          <cell r="H1707" t="str">
            <v>Quemada</v>
          </cell>
        </row>
        <row r="1708">
          <cell r="D1708" t="str">
            <v>09</v>
          </cell>
          <cell r="E1708" t="str">
            <v>Burgos</v>
          </cell>
          <cell r="F1708" t="str">
            <v>280</v>
          </cell>
          <cell r="G1708" t="str">
            <v>5</v>
          </cell>
          <cell r="H1708" t="str">
            <v>Quintanabureba</v>
          </cell>
        </row>
        <row r="1709">
          <cell r="D1709" t="str">
            <v>09</v>
          </cell>
          <cell r="E1709" t="str">
            <v>Burgos</v>
          </cell>
          <cell r="F1709" t="str">
            <v>281</v>
          </cell>
          <cell r="G1709" t="str">
            <v>2</v>
          </cell>
          <cell r="H1709" t="str">
            <v>Quintana del Pidio</v>
          </cell>
        </row>
        <row r="1710">
          <cell r="D1710" t="str">
            <v>09</v>
          </cell>
          <cell r="E1710" t="str">
            <v>Burgos</v>
          </cell>
          <cell r="F1710" t="str">
            <v>287</v>
          </cell>
          <cell r="G1710" t="str">
            <v>0</v>
          </cell>
          <cell r="H1710" t="str">
            <v>Quintanaortuño</v>
          </cell>
        </row>
        <row r="1711">
          <cell r="D1711" t="str">
            <v>09</v>
          </cell>
          <cell r="E1711" t="str">
            <v>Burgos</v>
          </cell>
          <cell r="F1711" t="str">
            <v>288</v>
          </cell>
          <cell r="G1711" t="str">
            <v>6</v>
          </cell>
          <cell r="H1711" t="str">
            <v>Quintanapalla</v>
          </cell>
        </row>
        <row r="1712">
          <cell r="D1712" t="str">
            <v>09</v>
          </cell>
          <cell r="E1712" t="str">
            <v>Burgos</v>
          </cell>
          <cell r="F1712" t="str">
            <v>289</v>
          </cell>
          <cell r="G1712" t="str">
            <v>9</v>
          </cell>
          <cell r="H1712" t="str">
            <v>Quintanar de la Sierra</v>
          </cell>
        </row>
        <row r="1713">
          <cell r="D1713" t="str">
            <v>09</v>
          </cell>
          <cell r="E1713" t="str">
            <v>Burgos</v>
          </cell>
          <cell r="F1713" t="str">
            <v>292</v>
          </cell>
          <cell r="G1713" t="str">
            <v>5</v>
          </cell>
          <cell r="H1713" t="str">
            <v>Quintanavides</v>
          </cell>
        </row>
        <row r="1714">
          <cell r="D1714" t="str">
            <v>09</v>
          </cell>
          <cell r="E1714" t="str">
            <v>Burgos</v>
          </cell>
          <cell r="F1714" t="str">
            <v>294</v>
          </cell>
          <cell r="G1714" t="str">
            <v>6</v>
          </cell>
          <cell r="H1714" t="str">
            <v>Quintanilla de la Mata</v>
          </cell>
        </row>
        <row r="1715">
          <cell r="D1715" t="str">
            <v>09</v>
          </cell>
          <cell r="E1715" t="str">
            <v>Burgos</v>
          </cell>
          <cell r="F1715" t="str">
            <v>295</v>
          </cell>
          <cell r="G1715" t="str">
            <v>9</v>
          </cell>
          <cell r="H1715" t="str">
            <v>Quintanilla del Coco</v>
          </cell>
        </row>
        <row r="1716">
          <cell r="D1716" t="str">
            <v>09</v>
          </cell>
          <cell r="E1716" t="str">
            <v>Burgos</v>
          </cell>
          <cell r="F1716" t="str">
            <v>297</v>
          </cell>
          <cell r="G1716" t="str">
            <v>8</v>
          </cell>
          <cell r="H1716" t="str">
            <v>Quintanillas, Las</v>
          </cell>
        </row>
        <row r="1717">
          <cell r="D1717" t="str">
            <v>09</v>
          </cell>
          <cell r="E1717" t="str">
            <v>Burgos</v>
          </cell>
          <cell r="F1717" t="str">
            <v>298</v>
          </cell>
          <cell r="G1717" t="str">
            <v>4</v>
          </cell>
          <cell r="H1717" t="str">
            <v>Quintanilla San García</v>
          </cell>
        </row>
        <row r="1718">
          <cell r="D1718" t="str">
            <v>09</v>
          </cell>
          <cell r="E1718" t="str">
            <v>Burgos</v>
          </cell>
          <cell r="F1718" t="str">
            <v>301</v>
          </cell>
          <cell r="G1718" t="str">
            <v>8</v>
          </cell>
          <cell r="H1718" t="str">
            <v>Quintanilla Vivar</v>
          </cell>
        </row>
        <row r="1719">
          <cell r="D1719" t="str">
            <v>09</v>
          </cell>
          <cell r="E1719" t="str">
            <v>Burgos</v>
          </cell>
          <cell r="F1719" t="str">
            <v>302</v>
          </cell>
          <cell r="G1719" t="str">
            <v>3</v>
          </cell>
          <cell r="H1719" t="str">
            <v>Rabanera del Pinar</v>
          </cell>
        </row>
        <row r="1720">
          <cell r="D1720" t="str">
            <v>09</v>
          </cell>
          <cell r="E1720" t="str">
            <v>Burgos</v>
          </cell>
          <cell r="F1720" t="str">
            <v>303</v>
          </cell>
          <cell r="G1720" t="str">
            <v>9</v>
          </cell>
          <cell r="H1720" t="str">
            <v>Rábanos</v>
          </cell>
        </row>
        <row r="1721">
          <cell r="D1721" t="str">
            <v>09</v>
          </cell>
          <cell r="E1721" t="str">
            <v>Burgos</v>
          </cell>
          <cell r="F1721" t="str">
            <v>304</v>
          </cell>
          <cell r="G1721" t="str">
            <v>4</v>
          </cell>
          <cell r="H1721" t="str">
            <v>Rabé de las Calzadas</v>
          </cell>
        </row>
        <row r="1722">
          <cell r="D1722" t="str">
            <v>09</v>
          </cell>
          <cell r="E1722" t="str">
            <v>Burgos</v>
          </cell>
          <cell r="F1722" t="str">
            <v>306</v>
          </cell>
          <cell r="G1722" t="str">
            <v>0</v>
          </cell>
          <cell r="H1722" t="str">
            <v>Rebolledo de la Torre</v>
          </cell>
        </row>
        <row r="1723">
          <cell r="D1723" t="str">
            <v>09</v>
          </cell>
          <cell r="E1723" t="str">
            <v>Burgos</v>
          </cell>
          <cell r="F1723" t="str">
            <v>307</v>
          </cell>
          <cell r="G1723" t="str">
            <v>6</v>
          </cell>
          <cell r="H1723" t="str">
            <v>Redecilla del Camino</v>
          </cell>
        </row>
        <row r="1724">
          <cell r="D1724" t="str">
            <v>09</v>
          </cell>
          <cell r="E1724" t="str">
            <v>Burgos</v>
          </cell>
          <cell r="F1724" t="str">
            <v>308</v>
          </cell>
          <cell r="G1724" t="str">
            <v>2</v>
          </cell>
          <cell r="H1724" t="str">
            <v>Redecilla del Campo</v>
          </cell>
        </row>
        <row r="1725">
          <cell r="D1725" t="str">
            <v>09</v>
          </cell>
          <cell r="E1725" t="str">
            <v>Burgos</v>
          </cell>
          <cell r="F1725" t="str">
            <v>309</v>
          </cell>
          <cell r="G1725" t="str">
            <v>5</v>
          </cell>
          <cell r="H1725" t="str">
            <v>Regumiel de la Sierra</v>
          </cell>
        </row>
        <row r="1726">
          <cell r="D1726" t="str">
            <v>09</v>
          </cell>
          <cell r="E1726" t="str">
            <v>Burgos</v>
          </cell>
          <cell r="F1726" t="str">
            <v>310</v>
          </cell>
          <cell r="G1726" t="str">
            <v>9</v>
          </cell>
          <cell r="H1726" t="str">
            <v>Reinoso</v>
          </cell>
        </row>
        <row r="1727">
          <cell r="D1727" t="str">
            <v>09</v>
          </cell>
          <cell r="E1727" t="str">
            <v>Burgos</v>
          </cell>
          <cell r="F1727" t="str">
            <v>311</v>
          </cell>
          <cell r="G1727" t="str">
            <v>6</v>
          </cell>
          <cell r="H1727" t="str">
            <v>Retuerta</v>
          </cell>
        </row>
        <row r="1728">
          <cell r="D1728" t="str">
            <v>09</v>
          </cell>
          <cell r="E1728" t="str">
            <v>Burgos</v>
          </cell>
          <cell r="F1728" t="str">
            <v>312</v>
          </cell>
          <cell r="G1728" t="str">
            <v>1</v>
          </cell>
          <cell r="H1728" t="str">
            <v>Revilla y Ahedo, La</v>
          </cell>
        </row>
        <row r="1729">
          <cell r="D1729" t="str">
            <v>09</v>
          </cell>
          <cell r="E1729" t="str">
            <v>Burgos</v>
          </cell>
          <cell r="F1729" t="str">
            <v>314</v>
          </cell>
          <cell r="G1729" t="str">
            <v>2</v>
          </cell>
          <cell r="H1729" t="str">
            <v>Revilla del Campo</v>
          </cell>
        </row>
        <row r="1730">
          <cell r="D1730" t="str">
            <v>09</v>
          </cell>
          <cell r="E1730" t="str">
            <v>Burgos</v>
          </cell>
          <cell r="F1730" t="str">
            <v>315</v>
          </cell>
          <cell r="G1730" t="str">
            <v>5</v>
          </cell>
          <cell r="H1730" t="str">
            <v>Revillarruz</v>
          </cell>
        </row>
        <row r="1731">
          <cell r="D1731" t="str">
            <v>09</v>
          </cell>
          <cell r="E1731" t="str">
            <v>Burgos</v>
          </cell>
          <cell r="F1731" t="str">
            <v>316</v>
          </cell>
          <cell r="G1731" t="str">
            <v>8</v>
          </cell>
          <cell r="H1731" t="str">
            <v>Revilla Vallejera</v>
          </cell>
        </row>
        <row r="1732">
          <cell r="D1732" t="str">
            <v>09</v>
          </cell>
          <cell r="E1732" t="str">
            <v>Burgos</v>
          </cell>
          <cell r="F1732" t="str">
            <v>317</v>
          </cell>
          <cell r="G1732" t="str">
            <v>4</v>
          </cell>
          <cell r="H1732" t="str">
            <v>Rezmondo</v>
          </cell>
        </row>
        <row r="1733">
          <cell r="D1733" t="str">
            <v>09</v>
          </cell>
          <cell r="E1733" t="str">
            <v>Burgos</v>
          </cell>
          <cell r="F1733" t="str">
            <v>318</v>
          </cell>
          <cell r="G1733" t="str">
            <v>0</v>
          </cell>
          <cell r="H1733" t="str">
            <v>Riocavado de la Sierra</v>
          </cell>
        </row>
        <row r="1734">
          <cell r="D1734" t="str">
            <v>09</v>
          </cell>
          <cell r="E1734" t="str">
            <v>Burgos</v>
          </cell>
          <cell r="F1734" t="str">
            <v>321</v>
          </cell>
          <cell r="G1734" t="str">
            <v>4</v>
          </cell>
          <cell r="H1734" t="str">
            <v>Roa</v>
          </cell>
        </row>
        <row r="1735">
          <cell r="D1735" t="str">
            <v>09</v>
          </cell>
          <cell r="E1735" t="str">
            <v>Burgos</v>
          </cell>
          <cell r="F1735" t="str">
            <v>323</v>
          </cell>
          <cell r="G1735" t="str">
            <v>5</v>
          </cell>
          <cell r="H1735" t="str">
            <v>Rojas</v>
          </cell>
        </row>
        <row r="1736">
          <cell r="D1736" t="str">
            <v>09</v>
          </cell>
          <cell r="E1736" t="str">
            <v>Burgos</v>
          </cell>
          <cell r="F1736" t="str">
            <v>325</v>
          </cell>
          <cell r="G1736" t="str">
            <v>3</v>
          </cell>
          <cell r="H1736" t="str">
            <v>Royuela de Río Franco</v>
          </cell>
        </row>
        <row r="1737">
          <cell r="D1737" t="str">
            <v>09</v>
          </cell>
          <cell r="E1737" t="str">
            <v>Burgos</v>
          </cell>
          <cell r="F1737" t="str">
            <v>326</v>
          </cell>
          <cell r="G1737" t="str">
            <v>6</v>
          </cell>
          <cell r="H1737" t="str">
            <v>Rubena</v>
          </cell>
        </row>
        <row r="1738">
          <cell r="D1738" t="str">
            <v>09</v>
          </cell>
          <cell r="E1738" t="str">
            <v>Burgos</v>
          </cell>
          <cell r="F1738" t="str">
            <v>327</v>
          </cell>
          <cell r="G1738" t="str">
            <v>2</v>
          </cell>
          <cell r="H1738" t="str">
            <v>Rublacedo de Abajo</v>
          </cell>
        </row>
        <row r="1739">
          <cell r="D1739" t="str">
            <v>09</v>
          </cell>
          <cell r="E1739" t="str">
            <v>Burgos</v>
          </cell>
          <cell r="F1739" t="str">
            <v>328</v>
          </cell>
          <cell r="G1739" t="str">
            <v>8</v>
          </cell>
          <cell r="H1739" t="str">
            <v>Rucandio</v>
          </cell>
        </row>
        <row r="1740">
          <cell r="D1740" t="str">
            <v>09</v>
          </cell>
          <cell r="E1740" t="str">
            <v>Burgos</v>
          </cell>
          <cell r="F1740" t="str">
            <v>329</v>
          </cell>
          <cell r="G1740" t="str">
            <v>1</v>
          </cell>
          <cell r="H1740" t="str">
            <v>Salas de Bureba</v>
          </cell>
        </row>
        <row r="1741">
          <cell r="D1741" t="str">
            <v>09</v>
          </cell>
          <cell r="E1741" t="str">
            <v>Burgos</v>
          </cell>
          <cell r="F1741" t="str">
            <v>330</v>
          </cell>
          <cell r="G1741" t="str">
            <v>5</v>
          </cell>
          <cell r="H1741" t="str">
            <v>Salas de los Infantes</v>
          </cell>
        </row>
        <row r="1742">
          <cell r="D1742" t="str">
            <v>09</v>
          </cell>
          <cell r="E1742" t="str">
            <v>Burgos</v>
          </cell>
          <cell r="F1742" t="str">
            <v>332</v>
          </cell>
          <cell r="G1742" t="str">
            <v>7</v>
          </cell>
          <cell r="H1742" t="str">
            <v>Saldaña de Burgos</v>
          </cell>
        </row>
        <row r="1743">
          <cell r="D1743" t="str">
            <v>09</v>
          </cell>
          <cell r="E1743" t="str">
            <v>Burgos</v>
          </cell>
          <cell r="F1743" t="str">
            <v>334</v>
          </cell>
          <cell r="G1743" t="str">
            <v>8</v>
          </cell>
          <cell r="H1743" t="str">
            <v>Salinillas de Bureba</v>
          </cell>
        </row>
        <row r="1744">
          <cell r="D1744" t="str">
            <v>09</v>
          </cell>
          <cell r="E1744" t="str">
            <v>Burgos</v>
          </cell>
          <cell r="F1744" t="str">
            <v>335</v>
          </cell>
          <cell r="G1744" t="str">
            <v>1</v>
          </cell>
          <cell r="H1744" t="str">
            <v>San Adrián de Juarros</v>
          </cell>
        </row>
        <row r="1745">
          <cell r="D1745" t="str">
            <v>09</v>
          </cell>
          <cell r="E1745" t="str">
            <v>Burgos</v>
          </cell>
          <cell r="F1745" t="str">
            <v>337</v>
          </cell>
          <cell r="G1745" t="str">
            <v>0</v>
          </cell>
          <cell r="H1745" t="str">
            <v>San Juan del Monte</v>
          </cell>
        </row>
        <row r="1746">
          <cell r="D1746" t="str">
            <v>09</v>
          </cell>
          <cell r="E1746" t="str">
            <v>Burgos</v>
          </cell>
          <cell r="F1746" t="str">
            <v>338</v>
          </cell>
          <cell r="G1746" t="str">
            <v>6</v>
          </cell>
          <cell r="H1746" t="str">
            <v>San Mamés de Burgos</v>
          </cell>
        </row>
        <row r="1747">
          <cell r="D1747" t="str">
            <v>09</v>
          </cell>
          <cell r="E1747" t="str">
            <v>Burgos</v>
          </cell>
          <cell r="F1747" t="str">
            <v>339</v>
          </cell>
          <cell r="G1747" t="str">
            <v>9</v>
          </cell>
          <cell r="H1747" t="str">
            <v>San Martín de Rubiales</v>
          </cell>
        </row>
        <row r="1748">
          <cell r="D1748" t="str">
            <v>09</v>
          </cell>
          <cell r="E1748" t="str">
            <v>Burgos</v>
          </cell>
          <cell r="F1748" t="str">
            <v>340</v>
          </cell>
          <cell r="G1748" t="str">
            <v>3</v>
          </cell>
          <cell r="H1748" t="str">
            <v>San Millán de Lara</v>
          </cell>
        </row>
        <row r="1749">
          <cell r="D1749" t="str">
            <v>09</v>
          </cell>
          <cell r="E1749" t="str">
            <v>Burgos</v>
          </cell>
          <cell r="F1749" t="str">
            <v>343</v>
          </cell>
          <cell r="G1749" t="str">
            <v>1</v>
          </cell>
          <cell r="H1749" t="str">
            <v>Santa Cecilia</v>
          </cell>
        </row>
        <row r="1750">
          <cell r="D1750" t="str">
            <v>09</v>
          </cell>
          <cell r="E1750" t="str">
            <v>Burgos</v>
          </cell>
          <cell r="F1750" t="str">
            <v>345</v>
          </cell>
          <cell r="G1750" t="str">
            <v>9</v>
          </cell>
          <cell r="H1750" t="str">
            <v>Santa Cruz de la Salceda</v>
          </cell>
        </row>
        <row r="1751">
          <cell r="D1751" t="str">
            <v>09</v>
          </cell>
          <cell r="E1751" t="str">
            <v>Burgos</v>
          </cell>
          <cell r="F1751" t="str">
            <v>346</v>
          </cell>
          <cell r="G1751" t="str">
            <v>2</v>
          </cell>
          <cell r="H1751" t="str">
            <v>Santa Cruz del Valle Urbión</v>
          </cell>
        </row>
        <row r="1752">
          <cell r="D1752" t="str">
            <v>09</v>
          </cell>
          <cell r="E1752" t="str">
            <v>Burgos</v>
          </cell>
          <cell r="F1752" t="str">
            <v>348</v>
          </cell>
          <cell r="G1752" t="str">
            <v>4</v>
          </cell>
          <cell r="H1752" t="str">
            <v>Santa Inés</v>
          </cell>
        </row>
        <row r="1753">
          <cell r="D1753" t="str">
            <v>09</v>
          </cell>
          <cell r="E1753" t="str">
            <v>Burgos</v>
          </cell>
          <cell r="F1753" t="str">
            <v>350</v>
          </cell>
          <cell r="G1753" t="str">
            <v>0</v>
          </cell>
          <cell r="H1753" t="str">
            <v>Santa María del Campo</v>
          </cell>
        </row>
        <row r="1754">
          <cell r="D1754" t="str">
            <v>09</v>
          </cell>
          <cell r="E1754" t="str">
            <v>Burgos</v>
          </cell>
          <cell r="F1754" t="str">
            <v>351</v>
          </cell>
          <cell r="G1754" t="str">
            <v>7</v>
          </cell>
          <cell r="H1754" t="str">
            <v>Santa María del Invierno</v>
          </cell>
        </row>
        <row r="1755">
          <cell r="D1755" t="str">
            <v>09</v>
          </cell>
          <cell r="E1755" t="str">
            <v>Burgos</v>
          </cell>
          <cell r="F1755" t="str">
            <v>352</v>
          </cell>
          <cell r="G1755" t="str">
            <v>2</v>
          </cell>
          <cell r="H1755" t="str">
            <v>Santa María del Mercadillo</v>
          </cell>
        </row>
        <row r="1756">
          <cell r="D1756" t="str">
            <v>09</v>
          </cell>
          <cell r="E1756" t="str">
            <v>Burgos</v>
          </cell>
          <cell r="F1756" t="str">
            <v>354</v>
          </cell>
          <cell r="G1756" t="str">
            <v>3</v>
          </cell>
          <cell r="H1756" t="str">
            <v>Santa Olalla de Bureba</v>
          </cell>
        </row>
        <row r="1757">
          <cell r="D1757" t="str">
            <v>09</v>
          </cell>
          <cell r="E1757" t="str">
            <v>Burgos</v>
          </cell>
          <cell r="F1757" t="str">
            <v>355</v>
          </cell>
          <cell r="G1757" t="str">
            <v>6</v>
          </cell>
          <cell r="H1757" t="str">
            <v>Santibáñez de Esgueva</v>
          </cell>
        </row>
        <row r="1758">
          <cell r="D1758" t="str">
            <v>09</v>
          </cell>
          <cell r="E1758" t="str">
            <v>Burgos</v>
          </cell>
          <cell r="F1758" t="str">
            <v>356</v>
          </cell>
          <cell r="G1758" t="str">
            <v>9</v>
          </cell>
          <cell r="H1758" t="str">
            <v>Santibáñez del Val</v>
          </cell>
        </row>
        <row r="1759">
          <cell r="D1759" t="str">
            <v>09</v>
          </cell>
          <cell r="E1759" t="str">
            <v>Burgos</v>
          </cell>
          <cell r="F1759" t="str">
            <v>358</v>
          </cell>
          <cell r="G1759" t="str">
            <v>1</v>
          </cell>
          <cell r="H1759" t="str">
            <v>Santo Domingo de Silos</v>
          </cell>
        </row>
        <row r="1760">
          <cell r="D1760" t="str">
            <v>09</v>
          </cell>
          <cell r="E1760" t="str">
            <v>Burgos</v>
          </cell>
          <cell r="F1760" t="str">
            <v>360</v>
          </cell>
          <cell r="G1760" t="str">
            <v>8</v>
          </cell>
          <cell r="H1760" t="str">
            <v>San Vicente del Valle</v>
          </cell>
        </row>
        <row r="1761">
          <cell r="D1761" t="str">
            <v>09</v>
          </cell>
          <cell r="E1761" t="str">
            <v>Burgos</v>
          </cell>
          <cell r="F1761" t="str">
            <v>361</v>
          </cell>
          <cell r="G1761" t="str">
            <v>5</v>
          </cell>
          <cell r="H1761" t="str">
            <v>Sargentes de la Lora</v>
          </cell>
        </row>
        <row r="1762">
          <cell r="D1762" t="str">
            <v>09</v>
          </cell>
          <cell r="E1762" t="str">
            <v>Burgos</v>
          </cell>
          <cell r="F1762" t="str">
            <v>362</v>
          </cell>
          <cell r="G1762" t="str">
            <v>0</v>
          </cell>
          <cell r="H1762" t="str">
            <v>Sarracín</v>
          </cell>
        </row>
        <row r="1763">
          <cell r="D1763" t="str">
            <v>09</v>
          </cell>
          <cell r="E1763" t="str">
            <v>Burgos</v>
          </cell>
          <cell r="F1763" t="str">
            <v>363</v>
          </cell>
          <cell r="G1763" t="str">
            <v>6</v>
          </cell>
          <cell r="H1763" t="str">
            <v>Sasamón</v>
          </cell>
        </row>
        <row r="1764">
          <cell r="D1764" t="str">
            <v>09</v>
          </cell>
          <cell r="E1764" t="str">
            <v>Burgos</v>
          </cell>
          <cell r="F1764" t="str">
            <v>365</v>
          </cell>
          <cell r="G1764" t="str">
            <v>4</v>
          </cell>
          <cell r="H1764" t="str">
            <v>Sequera de Haza, La</v>
          </cell>
        </row>
        <row r="1765">
          <cell r="D1765" t="str">
            <v>09</v>
          </cell>
          <cell r="E1765" t="str">
            <v>Burgos</v>
          </cell>
          <cell r="F1765" t="str">
            <v>366</v>
          </cell>
          <cell r="G1765" t="str">
            <v>7</v>
          </cell>
          <cell r="H1765" t="str">
            <v>Solarana</v>
          </cell>
        </row>
        <row r="1766">
          <cell r="D1766" t="str">
            <v>09</v>
          </cell>
          <cell r="E1766" t="str">
            <v>Burgos</v>
          </cell>
          <cell r="F1766" t="str">
            <v>368</v>
          </cell>
          <cell r="G1766" t="str">
            <v>9</v>
          </cell>
          <cell r="H1766" t="str">
            <v>Sordillos</v>
          </cell>
        </row>
        <row r="1767">
          <cell r="D1767" t="str">
            <v>09</v>
          </cell>
          <cell r="E1767" t="str">
            <v>Burgos</v>
          </cell>
          <cell r="F1767" t="str">
            <v>369</v>
          </cell>
          <cell r="G1767" t="str">
            <v>2</v>
          </cell>
          <cell r="H1767" t="str">
            <v>Sotillo de la Ribera</v>
          </cell>
        </row>
        <row r="1768">
          <cell r="D1768" t="str">
            <v>09</v>
          </cell>
          <cell r="E1768" t="str">
            <v>Burgos</v>
          </cell>
          <cell r="F1768" t="str">
            <v>372</v>
          </cell>
          <cell r="G1768" t="str">
            <v>8</v>
          </cell>
          <cell r="H1768" t="str">
            <v>Sotragero</v>
          </cell>
        </row>
        <row r="1769">
          <cell r="D1769" t="str">
            <v>09</v>
          </cell>
          <cell r="E1769" t="str">
            <v>Burgos</v>
          </cell>
          <cell r="F1769" t="str">
            <v>373</v>
          </cell>
          <cell r="G1769" t="str">
            <v>4</v>
          </cell>
          <cell r="H1769" t="str">
            <v>Sotresgudo</v>
          </cell>
        </row>
        <row r="1770">
          <cell r="D1770" t="str">
            <v>09</v>
          </cell>
          <cell r="E1770" t="str">
            <v>Burgos</v>
          </cell>
          <cell r="F1770" t="str">
            <v>374</v>
          </cell>
          <cell r="G1770" t="str">
            <v>9</v>
          </cell>
          <cell r="H1770" t="str">
            <v>Susinos del Páramo</v>
          </cell>
        </row>
        <row r="1771">
          <cell r="D1771" t="str">
            <v>09</v>
          </cell>
          <cell r="E1771" t="str">
            <v>Burgos</v>
          </cell>
          <cell r="F1771" t="str">
            <v>375</v>
          </cell>
          <cell r="G1771" t="str">
            <v>2</v>
          </cell>
          <cell r="H1771" t="str">
            <v>Tamarón</v>
          </cell>
        </row>
        <row r="1772">
          <cell r="D1772" t="str">
            <v>09</v>
          </cell>
          <cell r="E1772" t="str">
            <v>Burgos</v>
          </cell>
          <cell r="F1772" t="str">
            <v>377</v>
          </cell>
          <cell r="G1772" t="str">
            <v>1</v>
          </cell>
          <cell r="H1772" t="str">
            <v>Tardajos</v>
          </cell>
        </row>
        <row r="1773">
          <cell r="D1773" t="str">
            <v>09</v>
          </cell>
          <cell r="E1773" t="str">
            <v>Burgos</v>
          </cell>
          <cell r="F1773" t="str">
            <v>378</v>
          </cell>
          <cell r="G1773" t="str">
            <v>7</v>
          </cell>
          <cell r="H1773" t="str">
            <v>Tejada</v>
          </cell>
        </row>
        <row r="1774">
          <cell r="D1774" t="str">
            <v>09</v>
          </cell>
          <cell r="E1774" t="str">
            <v>Burgos</v>
          </cell>
          <cell r="F1774" t="str">
            <v>380</v>
          </cell>
          <cell r="G1774" t="str">
            <v>4</v>
          </cell>
          <cell r="H1774" t="str">
            <v>Terradillos de Esgueva</v>
          </cell>
        </row>
        <row r="1775">
          <cell r="D1775" t="str">
            <v>09</v>
          </cell>
          <cell r="E1775" t="str">
            <v>Burgos</v>
          </cell>
          <cell r="F1775" t="str">
            <v>381</v>
          </cell>
          <cell r="G1775" t="str">
            <v>1</v>
          </cell>
          <cell r="H1775" t="str">
            <v>Tinieblas de la Sierra</v>
          </cell>
        </row>
        <row r="1776">
          <cell r="D1776" t="str">
            <v>09</v>
          </cell>
          <cell r="E1776" t="str">
            <v>Burgos</v>
          </cell>
          <cell r="F1776" t="str">
            <v>382</v>
          </cell>
          <cell r="G1776" t="str">
            <v>6</v>
          </cell>
          <cell r="H1776" t="str">
            <v>Tobar</v>
          </cell>
        </row>
        <row r="1777">
          <cell r="D1777" t="str">
            <v>09</v>
          </cell>
          <cell r="E1777" t="str">
            <v>Burgos</v>
          </cell>
          <cell r="F1777" t="str">
            <v>384</v>
          </cell>
          <cell r="G1777" t="str">
            <v>7</v>
          </cell>
          <cell r="H1777" t="str">
            <v>Tordómar</v>
          </cell>
        </row>
        <row r="1778">
          <cell r="D1778" t="str">
            <v>09</v>
          </cell>
          <cell r="E1778" t="str">
            <v>Burgos</v>
          </cell>
          <cell r="F1778" t="str">
            <v>386</v>
          </cell>
          <cell r="G1778" t="str">
            <v>3</v>
          </cell>
          <cell r="H1778" t="str">
            <v>Torrecilla del Monte</v>
          </cell>
        </row>
        <row r="1779">
          <cell r="D1779" t="str">
            <v>09</v>
          </cell>
          <cell r="E1779" t="str">
            <v>Burgos</v>
          </cell>
          <cell r="F1779" t="str">
            <v>387</v>
          </cell>
          <cell r="G1779" t="str">
            <v>9</v>
          </cell>
          <cell r="H1779" t="str">
            <v>Torregalindo</v>
          </cell>
        </row>
        <row r="1780">
          <cell r="D1780" t="str">
            <v>09</v>
          </cell>
          <cell r="E1780" t="str">
            <v>Burgos</v>
          </cell>
          <cell r="F1780" t="str">
            <v>388</v>
          </cell>
          <cell r="G1780" t="str">
            <v>5</v>
          </cell>
          <cell r="H1780" t="str">
            <v>Torrelara</v>
          </cell>
        </row>
        <row r="1781">
          <cell r="D1781" t="str">
            <v>09</v>
          </cell>
          <cell r="E1781" t="str">
            <v>Burgos</v>
          </cell>
          <cell r="F1781" t="str">
            <v>389</v>
          </cell>
          <cell r="G1781" t="str">
            <v>8</v>
          </cell>
          <cell r="H1781" t="str">
            <v>Torrepadre</v>
          </cell>
        </row>
        <row r="1782">
          <cell r="D1782" t="str">
            <v>09</v>
          </cell>
          <cell r="E1782" t="str">
            <v>Burgos</v>
          </cell>
          <cell r="F1782" t="str">
            <v>390</v>
          </cell>
          <cell r="G1782" t="str">
            <v>2</v>
          </cell>
          <cell r="H1782" t="str">
            <v>Torresandino</v>
          </cell>
        </row>
        <row r="1783">
          <cell r="D1783" t="str">
            <v>09</v>
          </cell>
          <cell r="E1783" t="str">
            <v>Burgos</v>
          </cell>
          <cell r="F1783" t="str">
            <v>391</v>
          </cell>
          <cell r="G1783" t="str">
            <v>9</v>
          </cell>
          <cell r="H1783" t="str">
            <v>Tórtoles de Esgueva</v>
          </cell>
        </row>
        <row r="1784">
          <cell r="D1784" t="str">
            <v>09</v>
          </cell>
          <cell r="E1784" t="str">
            <v>Burgos</v>
          </cell>
          <cell r="F1784" t="str">
            <v>392</v>
          </cell>
          <cell r="G1784" t="str">
            <v>4</v>
          </cell>
          <cell r="H1784" t="str">
            <v>Tosantos</v>
          </cell>
        </row>
        <row r="1785">
          <cell r="D1785" t="str">
            <v>09</v>
          </cell>
          <cell r="E1785" t="str">
            <v>Burgos</v>
          </cell>
          <cell r="F1785" t="str">
            <v>395</v>
          </cell>
          <cell r="G1785" t="str">
            <v>8</v>
          </cell>
          <cell r="H1785" t="str">
            <v>Tubilla del Agua</v>
          </cell>
        </row>
        <row r="1786">
          <cell r="D1786" t="str">
            <v>09</v>
          </cell>
          <cell r="E1786" t="str">
            <v>Burgos</v>
          </cell>
          <cell r="F1786" t="str">
            <v>396</v>
          </cell>
          <cell r="G1786" t="str">
            <v>1</v>
          </cell>
          <cell r="H1786" t="str">
            <v>Tubilla del Lago</v>
          </cell>
        </row>
        <row r="1787">
          <cell r="D1787" t="str">
            <v>09</v>
          </cell>
          <cell r="E1787" t="str">
            <v>Burgos</v>
          </cell>
          <cell r="F1787" t="str">
            <v>398</v>
          </cell>
          <cell r="G1787" t="str">
            <v>3</v>
          </cell>
          <cell r="H1787" t="str">
            <v>Úrbel del Castillo</v>
          </cell>
        </row>
        <row r="1788">
          <cell r="D1788" t="str">
            <v>09</v>
          </cell>
          <cell r="E1788" t="str">
            <v>Burgos</v>
          </cell>
          <cell r="F1788" t="str">
            <v>400</v>
          </cell>
          <cell r="G1788" t="str">
            <v>0</v>
          </cell>
          <cell r="H1788" t="str">
            <v>Vadocondes</v>
          </cell>
        </row>
        <row r="1789">
          <cell r="D1789" t="str">
            <v>09</v>
          </cell>
          <cell r="E1789" t="str">
            <v>Burgos</v>
          </cell>
          <cell r="F1789" t="str">
            <v>403</v>
          </cell>
          <cell r="G1789" t="str">
            <v>8</v>
          </cell>
          <cell r="H1789" t="str">
            <v>Valdeande</v>
          </cell>
        </row>
        <row r="1790">
          <cell r="D1790" t="str">
            <v>09</v>
          </cell>
          <cell r="E1790" t="str">
            <v>Burgos</v>
          </cell>
          <cell r="F1790" t="str">
            <v>405</v>
          </cell>
          <cell r="G1790" t="str">
            <v>6</v>
          </cell>
          <cell r="H1790" t="str">
            <v>Valdezate</v>
          </cell>
        </row>
        <row r="1791">
          <cell r="D1791" t="str">
            <v>09</v>
          </cell>
          <cell r="E1791" t="str">
            <v>Burgos</v>
          </cell>
          <cell r="F1791" t="str">
            <v>406</v>
          </cell>
          <cell r="G1791" t="str">
            <v>9</v>
          </cell>
          <cell r="H1791" t="str">
            <v>Valdorros</v>
          </cell>
        </row>
        <row r="1792">
          <cell r="D1792" t="str">
            <v>09</v>
          </cell>
          <cell r="E1792" t="str">
            <v>Burgos</v>
          </cell>
          <cell r="F1792" t="str">
            <v>407</v>
          </cell>
          <cell r="G1792" t="str">
            <v>5</v>
          </cell>
          <cell r="H1792" t="str">
            <v>Valmala</v>
          </cell>
        </row>
        <row r="1793">
          <cell r="D1793" t="str">
            <v>09</v>
          </cell>
          <cell r="E1793" t="str">
            <v>Burgos</v>
          </cell>
          <cell r="F1793" t="str">
            <v>408</v>
          </cell>
          <cell r="G1793" t="str">
            <v>1</v>
          </cell>
          <cell r="H1793" t="str">
            <v>Vallarta de Bureba</v>
          </cell>
        </row>
        <row r="1794">
          <cell r="D1794" t="str">
            <v>09</v>
          </cell>
          <cell r="E1794" t="str">
            <v>Burgos</v>
          </cell>
          <cell r="F1794" t="str">
            <v>409</v>
          </cell>
          <cell r="G1794" t="str">
            <v>4</v>
          </cell>
          <cell r="H1794" t="str">
            <v>Valle de Manzanedo</v>
          </cell>
        </row>
        <row r="1795">
          <cell r="D1795" t="str">
            <v>09</v>
          </cell>
          <cell r="E1795" t="str">
            <v>Burgos</v>
          </cell>
          <cell r="F1795" t="str">
            <v>410</v>
          </cell>
          <cell r="G1795" t="str">
            <v>8</v>
          </cell>
          <cell r="H1795" t="str">
            <v>Valle de Mena</v>
          </cell>
        </row>
        <row r="1796">
          <cell r="D1796" t="str">
            <v>09</v>
          </cell>
          <cell r="E1796" t="str">
            <v>Burgos</v>
          </cell>
          <cell r="F1796" t="str">
            <v>411</v>
          </cell>
          <cell r="G1796" t="str">
            <v>5</v>
          </cell>
          <cell r="H1796" t="str">
            <v>Valle de Oca</v>
          </cell>
        </row>
        <row r="1797">
          <cell r="D1797" t="str">
            <v>09</v>
          </cell>
          <cell r="E1797" t="str">
            <v>Burgos</v>
          </cell>
          <cell r="F1797" t="str">
            <v>413</v>
          </cell>
          <cell r="G1797" t="str">
            <v>6</v>
          </cell>
          <cell r="H1797" t="str">
            <v>Valle de Valdebezana</v>
          </cell>
        </row>
        <row r="1798">
          <cell r="D1798" t="str">
            <v>09</v>
          </cell>
          <cell r="E1798" t="str">
            <v>Burgos</v>
          </cell>
          <cell r="F1798" t="str">
            <v>414</v>
          </cell>
          <cell r="G1798" t="str">
            <v>1</v>
          </cell>
          <cell r="H1798" t="str">
            <v>Valle de Valdelaguna</v>
          </cell>
        </row>
        <row r="1799">
          <cell r="D1799" t="str">
            <v>09</v>
          </cell>
          <cell r="E1799" t="str">
            <v>Burgos</v>
          </cell>
          <cell r="F1799" t="str">
            <v>415</v>
          </cell>
          <cell r="G1799" t="str">
            <v>4</v>
          </cell>
          <cell r="H1799" t="str">
            <v>Valle de Valdelucio</v>
          </cell>
        </row>
        <row r="1800">
          <cell r="D1800" t="str">
            <v>09</v>
          </cell>
          <cell r="E1800" t="str">
            <v>Burgos</v>
          </cell>
          <cell r="F1800" t="str">
            <v>416</v>
          </cell>
          <cell r="G1800" t="str">
            <v>7</v>
          </cell>
          <cell r="H1800" t="str">
            <v>Valle de Zamanzas</v>
          </cell>
        </row>
        <row r="1801">
          <cell r="D1801" t="str">
            <v>09</v>
          </cell>
          <cell r="E1801" t="str">
            <v>Burgos</v>
          </cell>
          <cell r="F1801" t="str">
            <v>417</v>
          </cell>
          <cell r="G1801" t="str">
            <v>3</v>
          </cell>
          <cell r="H1801" t="str">
            <v>Vallejera</v>
          </cell>
        </row>
        <row r="1802">
          <cell r="D1802" t="str">
            <v>09</v>
          </cell>
          <cell r="E1802" t="str">
            <v>Burgos</v>
          </cell>
          <cell r="F1802" t="str">
            <v>418</v>
          </cell>
          <cell r="G1802" t="str">
            <v>9</v>
          </cell>
          <cell r="H1802" t="str">
            <v>Valles de Palenzuela</v>
          </cell>
        </row>
        <row r="1803">
          <cell r="D1803" t="str">
            <v>09</v>
          </cell>
          <cell r="E1803" t="str">
            <v>Burgos</v>
          </cell>
          <cell r="F1803" t="str">
            <v>419</v>
          </cell>
          <cell r="G1803" t="str">
            <v>2</v>
          </cell>
          <cell r="H1803" t="str">
            <v>Valluércanes</v>
          </cell>
        </row>
        <row r="1804">
          <cell r="D1804" t="str">
            <v>09</v>
          </cell>
          <cell r="E1804" t="str">
            <v>Burgos</v>
          </cell>
          <cell r="F1804" t="str">
            <v>421</v>
          </cell>
          <cell r="G1804" t="str">
            <v>3</v>
          </cell>
          <cell r="H1804" t="str">
            <v>Vid y Barrios, La</v>
          </cell>
        </row>
        <row r="1805">
          <cell r="D1805" t="str">
            <v>09</v>
          </cell>
          <cell r="E1805" t="str">
            <v>Burgos</v>
          </cell>
          <cell r="F1805" t="str">
            <v>422</v>
          </cell>
          <cell r="G1805" t="str">
            <v>8</v>
          </cell>
          <cell r="H1805" t="str">
            <v>Vid de Bureba, La</v>
          </cell>
        </row>
        <row r="1806">
          <cell r="D1806" t="str">
            <v>09</v>
          </cell>
          <cell r="E1806" t="str">
            <v>Burgos</v>
          </cell>
          <cell r="F1806" t="str">
            <v>423</v>
          </cell>
          <cell r="G1806" t="str">
            <v>4</v>
          </cell>
          <cell r="H1806" t="str">
            <v>Vileña</v>
          </cell>
        </row>
        <row r="1807">
          <cell r="D1807" t="str">
            <v>09</v>
          </cell>
          <cell r="E1807" t="str">
            <v>Burgos</v>
          </cell>
          <cell r="F1807" t="str">
            <v>424</v>
          </cell>
          <cell r="G1807" t="str">
            <v>9</v>
          </cell>
          <cell r="H1807" t="str">
            <v>Viloria de Rioja</v>
          </cell>
        </row>
        <row r="1808">
          <cell r="D1808" t="str">
            <v>09</v>
          </cell>
          <cell r="E1808" t="str">
            <v>Burgos</v>
          </cell>
          <cell r="F1808" t="str">
            <v>425</v>
          </cell>
          <cell r="G1808" t="str">
            <v>2</v>
          </cell>
          <cell r="H1808" t="str">
            <v>Vilviestre del Pinar</v>
          </cell>
        </row>
        <row r="1809">
          <cell r="D1809" t="str">
            <v>09</v>
          </cell>
          <cell r="E1809" t="str">
            <v>Burgos</v>
          </cell>
          <cell r="F1809" t="str">
            <v>427</v>
          </cell>
          <cell r="G1809" t="str">
            <v>1</v>
          </cell>
          <cell r="H1809" t="str">
            <v>Villadiego</v>
          </cell>
        </row>
        <row r="1810">
          <cell r="D1810" t="str">
            <v>09</v>
          </cell>
          <cell r="E1810" t="str">
            <v>Burgos</v>
          </cell>
          <cell r="F1810" t="str">
            <v>428</v>
          </cell>
          <cell r="G1810" t="str">
            <v>7</v>
          </cell>
          <cell r="H1810" t="str">
            <v>Villaescusa de Roa</v>
          </cell>
        </row>
        <row r="1811">
          <cell r="D1811" t="str">
            <v>09</v>
          </cell>
          <cell r="E1811" t="str">
            <v>Burgos</v>
          </cell>
          <cell r="F1811" t="str">
            <v>429</v>
          </cell>
          <cell r="G1811" t="str">
            <v>0</v>
          </cell>
          <cell r="H1811" t="str">
            <v>Villaescusa la Sombría</v>
          </cell>
        </row>
        <row r="1812">
          <cell r="D1812" t="str">
            <v>09</v>
          </cell>
          <cell r="E1812" t="str">
            <v>Burgos</v>
          </cell>
          <cell r="F1812" t="str">
            <v>430</v>
          </cell>
          <cell r="G1812" t="str">
            <v>4</v>
          </cell>
          <cell r="H1812" t="str">
            <v>Villaespasa</v>
          </cell>
        </row>
        <row r="1813">
          <cell r="D1813" t="str">
            <v>09</v>
          </cell>
          <cell r="E1813" t="str">
            <v>Burgos</v>
          </cell>
          <cell r="F1813" t="str">
            <v>431</v>
          </cell>
          <cell r="G1813" t="str">
            <v>1</v>
          </cell>
          <cell r="H1813" t="str">
            <v>Villafranca Montes de Oca</v>
          </cell>
        </row>
        <row r="1814">
          <cell r="D1814" t="str">
            <v>09</v>
          </cell>
          <cell r="E1814" t="str">
            <v>Burgos</v>
          </cell>
          <cell r="F1814" t="str">
            <v>432</v>
          </cell>
          <cell r="G1814" t="str">
            <v>6</v>
          </cell>
          <cell r="H1814" t="str">
            <v>Villafruela</v>
          </cell>
        </row>
        <row r="1815">
          <cell r="D1815" t="str">
            <v>09</v>
          </cell>
          <cell r="E1815" t="str">
            <v>Burgos</v>
          </cell>
          <cell r="F1815" t="str">
            <v>433</v>
          </cell>
          <cell r="G1815" t="str">
            <v>2</v>
          </cell>
          <cell r="H1815" t="str">
            <v>Villagalijo</v>
          </cell>
        </row>
        <row r="1816">
          <cell r="D1816" t="str">
            <v>09</v>
          </cell>
          <cell r="E1816" t="str">
            <v>Burgos</v>
          </cell>
          <cell r="F1816" t="str">
            <v>434</v>
          </cell>
          <cell r="G1816" t="str">
            <v>7</v>
          </cell>
          <cell r="H1816" t="str">
            <v>Villagonzalo Pedernales</v>
          </cell>
        </row>
        <row r="1817">
          <cell r="D1817" t="str">
            <v>09</v>
          </cell>
          <cell r="E1817" t="str">
            <v>Burgos</v>
          </cell>
          <cell r="F1817" t="str">
            <v>437</v>
          </cell>
          <cell r="G1817" t="str">
            <v>9</v>
          </cell>
          <cell r="H1817" t="str">
            <v>Villahoz</v>
          </cell>
        </row>
        <row r="1818">
          <cell r="D1818" t="str">
            <v>09</v>
          </cell>
          <cell r="E1818" t="str">
            <v>Burgos</v>
          </cell>
          <cell r="F1818" t="str">
            <v>438</v>
          </cell>
          <cell r="G1818" t="str">
            <v>5</v>
          </cell>
          <cell r="H1818" t="str">
            <v>Villalba de Duero</v>
          </cell>
        </row>
        <row r="1819">
          <cell r="D1819" t="str">
            <v>09</v>
          </cell>
          <cell r="E1819" t="str">
            <v>Burgos</v>
          </cell>
          <cell r="F1819" t="str">
            <v>439</v>
          </cell>
          <cell r="G1819" t="str">
            <v>8</v>
          </cell>
          <cell r="H1819" t="str">
            <v>Villalbilla de Burgos</v>
          </cell>
        </row>
        <row r="1820">
          <cell r="D1820" t="str">
            <v>09</v>
          </cell>
          <cell r="E1820" t="str">
            <v>Burgos</v>
          </cell>
          <cell r="F1820" t="str">
            <v>440</v>
          </cell>
          <cell r="G1820" t="str">
            <v>2</v>
          </cell>
          <cell r="H1820" t="str">
            <v>Villalbilla de Gumiel</v>
          </cell>
        </row>
        <row r="1821">
          <cell r="D1821" t="str">
            <v>09</v>
          </cell>
          <cell r="E1821" t="str">
            <v>Burgos</v>
          </cell>
          <cell r="F1821" t="str">
            <v>441</v>
          </cell>
          <cell r="G1821" t="str">
            <v>9</v>
          </cell>
          <cell r="H1821" t="str">
            <v>Villaldemiro</v>
          </cell>
        </row>
        <row r="1822">
          <cell r="D1822" t="str">
            <v>09</v>
          </cell>
          <cell r="E1822" t="str">
            <v>Burgos</v>
          </cell>
          <cell r="F1822" t="str">
            <v>442</v>
          </cell>
          <cell r="G1822" t="str">
            <v>4</v>
          </cell>
          <cell r="H1822" t="str">
            <v>Villalmanzo</v>
          </cell>
        </row>
        <row r="1823">
          <cell r="D1823" t="str">
            <v>09</v>
          </cell>
          <cell r="E1823" t="str">
            <v>Burgos</v>
          </cell>
          <cell r="F1823" t="str">
            <v>443</v>
          </cell>
          <cell r="G1823" t="str">
            <v>0</v>
          </cell>
          <cell r="H1823" t="str">
            <v>Villamayor de los Montes</v>
          </cell>
        </row>
        <row r="1824">
          <cell r="D1824" t="str">
            <v>09</v>
          </cell>
          <cell r="E1824" t="str">
            <v>Burgos</v>
          </cell>
          <cell r="F1824" t="str">
            <v>444</v>
          </cell>
          <cell r="G1824" t="str">
            <v>5</v>
          </cell>
          <cell r="H1824" t="str">
            <v>Villamayor de Treviño</v>
          </cell>
        </row>
        <row r="1825">
          <cell r="D1825" t="str">
            <v>09</v>
          </cell>
          <cell r="E1825" t="str">
            <v>Burgos</v>
          </cell>
          <cell r="F1825" t="str">
            <v>445</v>
          </cell>
          <cell r="G1825" t="str">
            <v>8</v>
          </cell>
          <cell r="H1825" t="str">
            <v>Villambistia</v>
          </cell>
        </row>
        <row r="1826">
          <cell r="D1826" t="str">
            <v>09</v>
          </cell>
          <cell r="E1826" t="str">
            <v>Burgos</v>
          </cell>
          <cell r="F1826" t="str">
            <v>446</v>
          </cell>
          <cell r="G1826" t="str">
            <v>1</v>
          </cell>
          <cell r="H1826" t="str">
            <v>Villamedianilla</v>
          </cell>
        </row>
        <row r="1827">
          <cell r="D1827" t="str">
            <v>09</v>
          </cell>
          <cell r="E1827" t="str">
            <v>Burgos</v>
          </cell>
          <cell r="F1827" t="str">
            <v>447</v>
          </cell>
          <cell r="G1827" t="str">
            <v>7</v>
          </cell>
          <cell r="H1827" t="str">
            <v>Villamiel de la Sierra</v>
          </cell>
        </row>
        <row r="1828">
          <cell r="D1828" t="str">
            <v>09</v>
          </cell>
          <cell r="E1828" t="str">
            <v>Burgos</v>
          </cell>
          <cell r="F1828" t="str">
            <v>448</v>
          </cell>
          <cell r="G1828" t="str">
            <v>3</v>
          </cell>
          <cell r="H1828" t="str">
            <v>Villangómez</v>
          </cell>
        </row>
        <row r="1829">
          <cell r="D1829" t="str">
            <v>09</v>
          </cell>
          <cell r="E1829" t="str">
            <v>Burgos</v>
          </cell>
          <cell r="F1829" t="str">
            <v>449</v>
          </cell>
          <cell r="G1829" t="str">
            <v>6</v>
          </cell>
          <cell r="H1829" t="str">
            <v>Villanueva de Argaño</v>
          </cell>
        </row>
        <row r="1830">
          <cell r="D1830" t="str">
            <v>09</v>
          </cell>
          <cell r="E1830" t="str">
            <v>Burgos</v>
          </cell>
          <cell r="F1830" t="str">
            <v>450</v>
          </cell>
          <cell r="G1830" t="str">
            <v>9</v>
          </cell>
          <cell r="H1830" t="str">
            <v>Villanueva de Carazo</v>
          </cell>
        </row>
        <row r="1831">
          <cell r="D1831" t="str">
            <v>09</v>
          </cell>
          <cell r="E1831" t="str">
            <v>Burgos</v>
          </cell>
          <cell r="F1831" t="str">
            <v>451</v>
          </cell>
          <cell r="G1831" t="str">
            <v>6</v>
          </cell>
          <cell r="H1831" t="str">
            <v>Villanueva de Gumiel</v>
          </cell>
        </row>
        <row r="1832">
          <cell r="D1832" t="str">
            <v>09</v>
          </cell>
          <cell r="E1832" t="str">
            <v>Burgos</v>
          </cell>
          <cell r="F1832" t="str">
            <v>455</v>
          </cell>
          <cell r="G1832" t="str">
            <v>5</v>
          </cell>
          <cell r="H1832" t="str">
            <v>Villaquirán de la Puebla</v>
          </cell>
        </row>
        <row r="1833">
          <cell r="D1833" t="str">
            <v>09</v>
          </cell>
          <cell r="E1833" t="str">
            <v>Burgos</v>
          </cell>
          <cell r="F1833" t="str">
            <v>456</v>
          </cell>
          <cell r="G1833" t="str">
            <v>8</v>
          </cell>
          <cell r="H1833" t="str">
            <v>Villaquirán de los Infantes</v>
          </cell>
        </row>
        <row r="1834">
          <cell r="D1834" t="str">
            <v>09</v>
          </cell>
          <cell r="E1834" t="str">
            <v>Burgos</v>
          </cell>
          <cell r="F1834" t="str">
            <v>458</v>
          </cell>
          <cell r="G1834" t="str">
            <v>0</v>
          </cell>
          <cell r="H1834" t="str">
            <v>Villariezo</v>
          </cell>
        </row>
        <row r="1835">
          <cell r="D1835" t="str">
            <v>09</v>
          </cell>
          <cell r="E1835" t="str">
            <v>Burgos</v>
          </cell>
          <cell r="F1835" t="str">
            <v>460</v>
          </cell>
          <cell r="G1835" t="str">
            <v>7</v>
          </cell>
          <cell r="H1835" t="str">
            <v>Villasandino</v>
          </cell>
        </row>
        <row r="1836">
          <cell r="D1836" t="str">
            <v>09</v>
          </cell>
          <cell r="E1836" t="str">
            <v>Burgos</v>
          </cell>
          <cell r="F1836" t="str">
            <v>463</v>
          </cell>
          <cell r="G1836" t="str">
            <v>5</v>
          </cell>
          <cell r="H1836" t="str">
            <v>Villasur de Herreros</v>
          </cell>
        </row>
        <row r="1837">
          <cell r="D1837" t="str">
            <v>09</v>
          </cell>
          <cell r="E1837" t="str">
            <v>Burgos</v>
          </cell>
          <cell r="F1837" t="str">
            <v>464</v>
          </cell>
          <cell r="G1837" t="str">
            <v>0</v>
          </cell>
          <cell r="H1837" t="str">
            <v>Villatuelda</v>
          </cell>
        </row>
        <row r="1838">
          <cell r="D1838" t="str">
            <v>09</v>
          </cell>
          <cell r="E1838" t="str">
            <v>Burgos</v>
          </cell>
          <cell r="F1838" t="str">
            <v>466</v>
          </cell>
          <cell r="G1838" t="str">
            <v>6</v>
          </cell>
          <cell r="H1838" t="str">
            <v>Villaverde del Monte</v>
          </cell>
        </row>
        <row r="1839">
          <cell r="D1839" t="str">
            <v>09</v>
          </cell>
          <cell r="E1839" t="str">
            <v>Burgos</v>
          </cell>
          <cell r="F1839" t="str">
            <v>467</v>
          </cell>
          <cell r="G1839" t="str">
            <v>2</v>
          </cell>
          <cell r="H1839" t="str">
            <v>Villaverde-Mogina</v>
          </cell>
        </row>
        <row r="1840">
          <cell r="D1840" t="str">
            <v>09</v>
          </cell>
          <cell r="E1840" t="str">
            <v>Burgos</v>
          </cell>
          <cell r="F1840" t="str">
            <v>471</v>
          </cell>
          <cell r="G1840" t="str">
            <v>2</v>
          </cell>
          <cell r="H1840" t="str">
            <v>Villayerno Morquillas</v>
          </cell>
        </row>
        <row r="1841">
          <cell r="D1841" t="str">
            <v>09</v>
          </cell>
          <cell r="E1841" t="str">
            <v>Burgos</v>
          </cell>
          <cell r="F1841" t="str">
            <v>472</v>
          </cell>
          <cell r="G1841" t="str">
            <v>7</v>
          </cell>
          <cell r="H1841" t="str">
            <v>Villazopeque</v>
          </cell>
        </row>
        <row r="1842">
          <cell r="D1842" t="str">
            <v>09</v>
          </cell>
          <cell r="E1842" t="str">
            <v>Burgos</v>
          </cell>
          <cell r="F1842" t="str">
            <v>473</v>
          </cell>
          <cell r="G1842" t="str">
            <v>3</v>
          </cell>
          <cell r="H1842" t="str">
            <v>Villegas</v>
          </cell>
        </row>
        <row r="1843">
          <cell r="D1843" t="str">
            <v>09</v>
          </cell>
          <cell r="E1843" t="str">
            <v>Burgos</v>
          </cell>
          <cell r="F1843" t="str">
            <v>476</v>
          </cell>
          <cell r="G1843" t="str">
            <v>4</v>
          </cell>
          <cell r="H1843" t="str">
            <v>Villoruebo</v>
          </cell>
        </row>
        <row r="1844">
          <cell r="D1844" t="str">
            <v>09</v>
          </cell>
          <cell r="E1844" t="str">
            <v>Burgos</v>
          </cell>
          <cell r="F1844" t="str">
            <v>478</v>
          </cell>
          <cell r="G1844" t="str">
            <v>6</v>
          </cell>
          <cell r="H1844" t="str">
            <v>Vizcaínos</v>
          </cell>
        </row>
        <row r="1845">
          <cell r="D1845" t="str">
            <v>09</v>
          </cell>
          <cell r="E1845" t="str">
            <v>Burgos</v>
          </cell>
          <cell r="F1845" t="str">
            <v>480</v>
          </cell>
          <cell r="G1845" t="str">
            <v>3</v>
          </cell>
          <cell r="H1845" t="str">
            <v>Zael</v>
          </cell>
        </row>
        <row r="1846">
          <cell r="D1846" t="str">
            <v>09</v>
          </cell>
          <cell r="E1846" t="str">
            <v>Burgos</v>
          </cell>
          <cell r="F1846" t="str">
            <v>482</v>
          </cell>
          <cell r="G1846" t="str">
            <v>5</v>
          </cell>
          <cell r="H1846" t="str">
            <v>Zarzosa de Río Pisuerga</v>
          </cell>
        </row>
        <row r="1847">
          <cell r="D1847" t="str">
            <v>09</v>
          </cell>
          <cell r="E1847" t="str">
            <v>Burgos</v>
          </cell>
          <cell r="F1847" t="str">
            <v>483</v>
          </cell>
          <cell r="G1847" t="str">
            <v>1</v>
          </cell>
          <cell r="H1847" t="str">
            <v>Zazuar</v>
          </cell>
        </row>
        <row r="1848">
          <cell r="D1848" t="str">
            <v>09</v>
          </cell>
          <cell r="E1848" t="str">
            <v>Burgos</v>
          </cell>
          <cell r="F1848" t="str">
            <v>485</v>
          </cell>
          <cell r="G1848" t="str">
            <v>9</v>
          </cell>
          <cell r="H1848" t="str">
            <v>Zuñeda</v>
          </cell>
        </row>
        <row r="1849">
          <cell r="D1849" t="str">
            <v>09</v>
          </cell>
          <cell r="E1849" t="str">
            <v>Burgos</v>
          </cell>
          <cell r="F1849" t="str">
            <v>901</v>
          </cell>
          <cell r="G1849" t="str">
            <v>2</v>
          </cell>
          <cell r="H1849" t="str">
            <v>Quintanilla del Agua y Tordueles</v>
          </cell>
        </row>
        <row r="1850">
          <cell r="D1850" t="str">
            <v>09</v>
          </cell>
          <cell r="E1850" t="str">
            <v>Burgos</v>
          </cell>
          <cell r="F1850" t="str">
            <v>902</v>
          </cell>
          <cell r="G1850" t="str">
            <v>7</v>
          </cell>
          <cell r="H1850" t="str">
            <v>Valle de Santibáñez</v>
          </cell>
        </row>
        <row r="1851">
          <cell r="D1851" t="str">
            <v>09</v>
          </cell>
          <cell r="E1851" t="str">
            <v>Burgos</v>
          </cell>
          <cell r="F1851" t="str">
            <v>903</v>
          </cell>
          <cell r="G1851" t="str">
            <v>3</v>
          </cell>
          <cell r="H1851" t="str">
            <v>Villarcayo de Merindad de Castilla la Vieja</v>
          </cell>
        </row>
        <row r="1852">
          <cell r="D1852" t="str">
            <v>09</v>
          </cell>
          <cell r="E1852" t="str">
            <v>Burgos</v>
          </cell>
          <cell r="F1852" t="str">
            <v>904</v>
          </cell>
          <cell r="G1852" t="str">
            <v>8</v>
          </cell>
          <cell r="H1852" t="str">
            <v>Valle de las Navas</v>
          </cell>
        </row>
        <row r="1853">
          <cell r="D1853" t="str">
            <v>09</v>
          </cell>
          <cell r="E1853" t="str">
            <v>Burgos</v>
          </cell>
          <cell r="F1853" t="str">
            <v>905</v>
          </cell>
          <cell r="G1853" t="str">
            <v>1</v>
          </cell>
          <cell r="H1853" t="str">
            <v>Valle de Sedano</v>
          </cell>
        </row>
        <row r="1854">
          <cell r="D1854" t="str">
            <v>09</v>
          </cell>
          <cell r="E1854" t="str">
            <v>Burgos</v>
          </cell>
          <cell r="F1854" t="str">
            <v>906</v>
          </cell>
          <cell r="G1854" t="str">
            <v>4</v>
          </cell>
          <cell r="H1854" t="str">
            <v>Merindad de Río Ubierna</v>
          </cell>
        </row>
        <row r="1855">
          <cell r="D1855" t="str">
            <v>09</v>
          </cell>
          <cell r="E1855" t="str">
            <v>Burgos</v>
          </cell>
          <cell r="F1855" t="str">
            <v>907</v>
          </cell>
          <cell r="G1855" t="str">
            <v>0</v>
          </cell>
          <cell r="H1855" t="str">
            <v>Alfoz de Quintanadueñas</v>
          </cell>
        </row>
        <row r="1856">
          <cell r="D1856" t="str">
            <v>09</v>
          </cell>
          <cell r="E1856" t="str">
            <v>Burgos</v>
          </cell>
          <cell r="F1856" t="str">
            <v>908</v>
          </cell>
          <cell r="G1856" t="str">
            <v>6</v>
          </cell>
          <cell r="H1856" t="str">
            <v>Valle de Losa</v>
          </cell>
        </row>
        <row r="1857">
          <cell r="D1857" t="str">
            <v>10</v>
          </cell>
          <cell r="E1857" t="str">
            <v>Cáceres</v>
          </cell>
          <cell r="F1857" t="str">
            <v>001</v>
          </cell>
          <cell r="G1857" t="str">
            <v>5</v>
          </cell>
          <cell r="H1857" t="str">
            <v>Abadía</v>
          </cell>
        </row>
        <row r="1858">
          <cell r="D1858" t="str">
            <v>10</v>
          </cell>
          <cell r="E1858" t="str">
            <v>Cáceres</v>
          </cell>
          <cell r="F1858" t="str">
            <v>002</v>
          </cell>
          <cell r="G1858" t="str">
            <v>0</v>
          </cell>
          <cell r="H1858" t="str">
            <v>Abertura</v>
          </cell>
        </row>
        <row r="1859">
          <cell r="D1859" t="str">
            <v>10</v>
          </cell>
          <cell r="E1859" t="str">
            <v>Cáceres</v>
          </cell>
          <cell r="F1859" t="str">
            <v>003</v>
          </cell>
          <cell r="G1859" t="str">
            <v>6</v>
          </cell>
          <cell r="H1859" t="str">
            <v>Acebo</v>
          </cell>
        </row>
        <row r="1860">
          <cell r="D1860" t="str">
            <v>10</v>
          </cell>
          <cell r="E1860" t="str">
            <v>Cáceres</v>
          </cell>
          <cell r="F1860" t="str">
            <v>004</v>
          </cell>
          <cell r="G1860" t="str">
            <v>1</v>
          </cell>
          <cell r="H1860" t="str">
            <v>Acehúche</v>
          </cell>
        </row>
        <row r="1861">
          <cell r="D1861" t="str">
            <v>10</v>
          </cell>
          <cell r="E1861" t="str">
            <v>Cáceres</v>
          </cell>
          <cell r="F1861" t="str">
            <v>005</v>
          </cell>
          <cell r="G1861" t="str">
            <v>4</v>
          </cell>
          <cell r="H1861" t="str">
            <v>Aceituna</v>
          </cell>
        </row>
        <row r="1862">
          <cell r="D1862" t="str">
            <v>10</v>
          </cell>
          <cell r="E1862" t="str">
            <v>Cáceres</v>
          </cell>
          <cell r="F1862" t="str">
            <v>006</v>
          </cell>
          <cell r="G1862" t="str">
            <v>7</v>
          </cell>
          <cell r="H1862" t="str">
            <v>Ahigal</v>
          </cell>
        </row>
        <row r="1863">
          <cell r="D1863" t="str">
            <v>10</v>
          </cell>
          <cell r="E1863" t="str">
            <v>Cáceres</v>
          </cell>
          <cell r="F1863" t="str">
            <v>007</v>
          </cell>
          <cell r="G1863" t="str">
            <v>3</v>
          </cell>
          <cell r="H1863" t="str">
            <v>Albalá</v>
          </cell>
        </row>
        <row r="1864">
          <cell r="D1864" t="str">
            <v>10</v>
          </cell>
          <cell r="E1864" t="str">
            <v>Cáceres</v>
          </cell>
          <cell r="F1864" t="str">
            <v>008</v>
          </cell>
          <cell r="G1864" t="str">
            <v>9</v>
          </cell>
          <cell r="H1864" t="str">
            <v>Alcántara</v>
          </cell>
        </row>
        <row r="1865">
          <cell r="D1865" t="str">
            <v>10</v>
          </cell>
          <cell r="E1865" t="str">
            <v>Cáceres</v>
          </cell>
          <cell r="F1865" t="str">
            <v>009</v>
          </cell>
          <cell r="G1865" t="str">
            <v>2</v>
          </cell>
          <cell r="H1865" t="str">
            <v>Alcollarín</v>
          </cell>
        </row>
        <row r="1866">
          <cell r="D1866" t="str">
            <v>10</v>
          </cell>
          <cell r="E1866" t="str">
            <v>Cáceres</v>
          </cell>
          <cell r="F1866" t="str">
            <v>010</v>
          </cell>
          <cell r="G1866" t="str">
            <v>6</v>
          </cell>
          <cell r="H1866" t="str">
            <v>Alcuéscar</v>
          </cell>
        </row>
        <row r="1867">
          <cell r="D1867" t="str">
            <v>10</v>
          </cell>
          <cell r="E1867" t="str">
            <v>Cáceres</v>
          </cell>
          <cell r="F1867" t="str">
            <v>011</v>
          </cell>
          <cell r="G1867" t="str">
            <v>3</v>
          </cell>
          <cell r="H1867" t="str">
            <v>Aldeacentenera</v>
          </cell>
        </row>
        <row r="1868">
          <cell r="D1868" t="str">
            <v>10</v>
          </cell>
          <cell r="E1868" t="str">
            <v>Cáceres</v>
          </cell>
          <cell r="F1868" t="str">
            <v>012</v>
          </cell>
          <cell r="G1868" t="str">
            <v>8</v>
          </cell>
          <cell r="H1868" t="str">
            <v>Aldea del Cano</v>
          </cell>
        </row>
        <row r="1869">
          <cell r="D1869" t="str">
            <v>10</v>
          </cell>
          <cell r="E1869" t="str">
            <v>Cáceres</v>
          </cell>
          <cell r="F1869" t="str">
            <v>013</v>
          </cell>
          <cell r="G1869" t="str">
            <v>4</v>
          </cell>
          <cell r="H1869" t="str">
            <v>Aldea del Obispo, La</v>
          </cell>
        </row>
        <row r="1870">
          <cell r="D1870" t="str">
            <v>10</v>
          </cell>
          <cell r="E1870" t="str">
            <v>Cáceres</v>
          </cell>
          <cell r="F1870" t="str">
            <v>014</v>
          </cell>
          <cell r="G1870" t="str">
            <v>9</v>
          </cell>
          <cell r="H1870" t="str">
            <v>Aldeanueva de la Vera</v>
          </cell>
        </row>
        <row r="1871">
          <cell r="D1871" t="str">
            <v>10</v>
          </cell>
          <cell r="E1871" t="str">
            <v>Cáceres</v>
          </cell>
          <cell r="F1871" t="str">
            <v>015</v>
          </cell>
          <cell r="G1871" t="str">
            <v>2</v>
          </cell>
          <cell r="H1871" t="str">
            <v>Aldeanueva del Camino</v>
          </cell>
        </row>
        <row r="1872">
          <cell r="D1872" t="str">
            <v>10</v>
          </cell>
          <cell r="E1872" t="str">
            <v>Cáceres</v>
          </cell>
          <cell r="F1872" t="str">
            <v>016</v>
          </cell>
          <cell r="G1872" t="str">
            <v>5</v>
          </cell>
          <cell r="H1872" t="str">
            <v>Aldehuela de Jerte</v>
          </cell>
        </row>
        <row r="1873">
          <cell r="D1873" t="str">
            <v>10</v>
          </cell>
          <cell r="E1873" t="str">
            <v>Cáceres</v>
          </cell>
          <cell r="F1873" t="str">
            <v>017</v>
          </cell>
          <cell r="G1873" t="str">
            <v>1</v>
          </cell>
          <cell r="H1873" t="str">
            <v>Alía</v>
          </cell>
        </row>
        <row r="1874">
          <cell r="D1874" t="str">
            <v>10</v>
          </cell>
          <cell r="E1874" t="str">
            <v>Cáceres</v>
          </cell>
          <cell r="F1874" t="str">
            <v>018</v>
          </cell>
          <cell r="G1874" t="str">
            <v>7</v>
          </cell>
          <cell r="H1874" t="str">
            <v>Aliseda</v>
          </cell>
        </row>
        <row r="1875">
          <cell r="D1875" t="str">
            <v>10</v>
          </cell>
          <cell r="E1875" t="str">
            <v>Cáceres</v>
          </cell>
          <cell r="F1875" t="str">
            <v>019</v>
          </cell>
          <cell r="G1875" t="str">
            <v>0</v>
          </cell>
          <cell r="H1875" t="str">
            <v>Almaraz</v>
          </cell>
        </row>
        <row r="1876">
          <cell r="D1876" t="str">
            <v>10</v>
          </cell>
          <cell r="E1876" t="str">
            <v>Cáceres</v>
          </cell>
          <cell r="F1876" t="str">
            <v>020</v>
          </cell>
          <cell r="G1876" t="str">
            <v>4</v>
          </cell>
          <cell r="H1876" t="str">
            <v>Almoharín</v>
          </cell>
        </row>
        <row r="1877">
          <cell r="D1877" t="str">
            <v>10</v>
          </cell>
          <cell r="E1877" t="str">
            <v>Cáceres</v>
          </cell>
          <cell r="F1877" t="str">
            <v>021</v>
          </cell>
          <cell r="G1877" t="str">
            <v>1</v>
          </cell>
          <cell r="H1877" t="str">
            <v>Arroyo de la Luz</v>
          </cell>
        </row>
        <row r="1878">
          <cell r="D1878" t="str">
            <v>10</v>
          </cell>
          <cell r="E1878" t="str">
            <v>Cáceres</v>
          </cell>
          <cell r="F1878" t="str">
            <v>022</v>
          </cell>
          <cell r="G1878" t="str">
            <v>6</v>
          </cell>
          <cell r="H1878" t="str">
            <v>Arroyomolinos de la Vera</v>
          </cell>
        </row>
        <row r="1879">
          <cell r="D1879" t="str">
            <v>10</v>
          </cell>
          <cell r="E1879" t="str">
            <v>Cáceres</v>
          </cell>
          <cell r="F1879" t="str">
            <v>023</v>
          </cell>
          <cell r="G1879" t="str">
            <v>2</v>
          </cell>
          <cell r="H1879" t="str">
            <v>Arroyomolinos</v>
          </cell>
        </row>
        <row r="1880">
          <cell r="D1880" t="str">
            <v>10</v>
          </cell>
          <cell r="E1880" t="str">
            <v>Cáceres</v>
          </cell>
          <cell r="F1880" t="str">
            <v>024</v>
          </cell>
          <cell r="G1880" t="str">
            <v>7</v>
          </cell>
          <cell r="H1880" t="str">
            <v>Baños de Montemayor</v>
          </cell>
        </row>
        <row r="1881">
          <cell r="D1881" t="str">
            <v>10</v>
          </cell>
          <cell r="E1881" t="str">
            <v>Cáceres</v>
          </cell>
          <cell r="F1881" t="str">
            <v>025</v>
          </cell>
          <cell r="G1881" t="str">
            <v>0</v>
          </cell>
          <cell r="H1881" t="str">
            <v>Barrado</v>
          </cell>
        </row>
        <row r="1882">
          <cell r="D1882" t="str">
            <v>10</v>
          </cell>
          <cell r="E1882" t="str">
            <v>Cáceres</v>
          </cell>
          <cell r="F1882" t="str">
            <v>026</v>
          </cell>
          <cell r="G1882" t="str">
            <v>3</v>
          </cell>
          <cell r="H1882" t="str">
            <v>Belvís de Monroy</v>
          </cell>
        </row>
        <row r="1883">
          <cell r="D1883" t="str">
            <v>10</v>
          </cell>
          <cell r="E1883" t="str">
            <v>Cáceres</v>
          </cell>
          <cell r="F1883" t="str">
            <v>027</v>
          </cell>
          <cell r="G1883" t="str">
            <v>9</v>
          </cell>
          <cell r="H1883" t="str">
            <v>Benquerencia</v>
          </cell>
        </row>
        <row r="1884">
          <cell r="D1884" t="str">
            <v>10</v>
          </cell>
          <cell r="E1884" t="str">
            <v>Cáceres</v>
          </cell>
          <cell r="F1884" t="str">
            <v>028</v>
          </cell>
          <cell r="G1884" t="str">
            <v>5</v>
          </cell>
          <cell r="H1884" t="str">
            <v>Berrocalejo</v>
          </cell>
        </row>
        <row r="1885">
          <cell r="D1885" t="str">
            <v>10</v>
          </cell>
          <cell r="E1885" t="str">
            <v>Cáceres</v>
          </cell>
          <cell r="F1885" t="str">
            <v>029</v>
          </cell>
          <cell r="G1885" t="str">
            <v>8</v>
          </cell>
          <cell r="H1885" t="str">
            <v>Berzocana</v>
          </cell>
        </row>
        <row r="1886">
          <cell r="D1886" t="str">
            <v>10</v>
          </cell>
          <cell r="E1886" t="str">
            <v>Cáceres</v>
          </cell>
          <cell r="F1886" t="str">
            <v>030</v>
          </cell>
          <cell r="G1886" t="str">
            <v>2</v>
          </cell>
          <cell r="H1886" t="str">
            <v>Bohonal de Ibor</v>
          </cell>
        </row>
        <row r="1887">
          <cell r="D1887" t="str">
            <v>10</v>
          </cell>
          <cell r="E1887" t="str">
            <v>Cáceres</v>
          </cell>
          <cell r="F1887" t="str">
            <v>031</v>
          </cell>
          <cell r="G1887" t="str">
            <v>9</v>
          </cell>
          <cell r="H1887" t="str">
            <v>Botija</v>
          </cell>
        </row>
        <row r="1888">
          <cell r="D1888" t="str">
            <v>10</v>
          </cell>
          <cell r="E1888" t="str">
            <v>Cáceres</v>
          </cell>
          <cell r="F1888" t="str">
            <v>032</v>
          </cell>
          <cell r="G1888" t="str">
            <v>4</v>
          </cell>
          <cell r="H1888" t="str">
            <v>Brozas</v>
          </cell>
        </row>
        <row r="1889">
          <cell r="D1889" t="str">
            <v>10</v>
          </cell>
          <cell r="E1889" t="str">
            <v>Cáceres</v>
          </cell>
          <cell r="F1889" t="str">
            <v>033</v>
          </cell>
          <cell r="G1889" t="str">
            <v>0</v>
          </cell>
          <cell r="H1889" t="str">
            <v>Cabañas del Castillo</v>
          </cell>
        </row>
        <row r="1890">
          <cell r="D1890" t="str">
            <v>10</v>
          </cell>
          <cell r="E1890" t="str">
            <v>Cáceres</v>
          </cell>
          <cell r="F1890" t="str">
            <v>034</v>
          </cell>
          <cell r="G1890" t="str">
            <v>5</v>
          </cell>
          <cell r="H1890" t="str">
            <v>Cabezabellosa</v>
          </cell>
        </row>
        <row r="1891">
          <cell r="D1891" t="str">
            <v>10</v>
          </cell>
          <cell r="E1891" t="str">
            <v>Cáceres</v>
          </cell>
          <cell r="F1891" t="str">
            <v>035</v>
          </cell>
          <cell r="G1891" t="str">
            <v>8</v>
          </cell>
          <cell r="H1891" t="str">
            <v>Cabezuela del Valle</v>
          </cell>
        </row>
        <row r="1892">
          <cell r="D1892" t="str">
            <v>10</v>
          </cell>
          <cell r="E1892" t="str">
            <v>Cáceres</v>
          </cell>
          <cell r="F1892" t="str">
            <v>036</v>
          </cell>
          <cell r="G1892" t="str">
            <v>1</v>
          </cell>
          <cell r="H1892" t="str">
            <v>Cabrero</v>
          </cell>
        </row>
        <row r="1893">
          <cell r="D1893" t="str">
            <v>10</v>
          </cell>
          <cell r="E1893" t="str">
            <v>Cáceres</v>
          </cell>
          <cell r="F1893" t="str">
            <v>037</v>
          </cell>
          <cell r="G1893" t="str">
            <v>7</v>
          </cell>
          <cell r="H1893" t="str">
            <v>Cáceres</v>
          </cell>
        </row>
        <row r="1894">
          <cell r="D1894" t="str">
            <v>10</v>
          </cell>
          <cell r="E1894" t="str">
            <v>Cáceres</v>
          </cell>
          <cell r="F1894" t="str">
            <v>038</v>
          </cell>
          <cell r="G1894" t="str">
            <v>3</v>
          </cell>
          <cell r="H1894" t="str">
            <v>Cachorrilla</v>
          </cell>
        </row>
        <row r="1895">
          <cell r="D1895" t="str">
            <v>10</v>
          </cell>
          <cell r="E1895" t="str">
            <v>Cáceres</v>
          </cell>
          <cell r="F1895" t="str">
            <v>039</v>
          </cell>
          <cell r="G1895" t="str">
            <v>6</v>
          </cell>
          <cell r="H1895" t="str">
            <v>Cadalso</v>
          </cell>
        </row>
        <row r="1896">
          <cell r="D1896" t="str">
            <v>10</v>
          </cell>
          <cell r="E1896" t="str">
            <v>Cáceres</v>
          </cell>
          <cell r="F1896" t="str">
            <v>040</v>
          </cell>
          <cell r="G1896" t="str">
            <v>0</v>
          </cell>
          <cell r="H1896" t="str">
            <v>Calzadilla</v>
          </cell>
        </row>
        <row r="1897">
          <cell r="D1897" t="str">
            <v>10</v>
          </cell>
          <cell r="E1897" t="str">
            <v>Cáceres</v>
          </cell>
          <cell r="F1897" t="str">
            <v>041</v>
          </cell>
          <cell r="G1897" t="str">
            <v>7</v>
          </cell>
          <cell r="H1897" t="str">
            <v>Caminomorisco</v>
          </cell>
        </row>
        <row r="1898">
          <cell r="D1898" t="str">
            <v>10</v>
          </cell>
          <cell r="E1898" t="str">
            <v>Cáceres</v>
          </cell>
          <cell r="F1898" t="str">
            <v>042</v>
          </cell>
          <cell r="G1898" t="str">
            <v>2</v>
          </cell>
          <cell r="H1898" t="str">
            <v>Campillo de Deleitosa</v>
          </cell>
        </row>
        <row r="1899">
          <cell r="D1899" t="str">
            <v>10</v>
          </cell>
          <cell r="E1899" t="str">
            <v>Cáceres</v>
          </cell>
          <cell r="F1899" t="str">
            <v>043</v>
          </cell>
          <cell r="G1899" t="str">
            <v>8</v>
          </cell>
          <cell r="H1899" t="str">
            <v>Campo Lugar</v>
          </cell>
        </row>
        <row r="1900">
          <cell r="D1900" t="str">
            <v>10</v>
          </cell>
          <cell r="E1900" t="str">
            <v>Cáceres</v>
          </cell>
          <cell r="F1900" t="str">
            <v>044</v>
          </cell>
          <cell r="G1900" t="str">
            <v>3</v>
          </cell>
          <cell r="H1900" t="str">
            <v>Cañamero</v>
          </cell>
        </row>
        <row r="1901">
          <cell r="D1901" t="str">
            <v>10</v>
          </cell>
          <cell r="E1901" t="str">
            <v>Cáceres</v>
          </cell>
          <cell r="F1901" t="str">
            <v>045</v>
          </cell>
          <cell r="G1901" t="str">
            <v>6</v>
          </cell>
          <cell r="H1901" t="str">
            <v>Cañaveral</v>
          </cell>
        </row>
        <row r="1902">
          <cell r="D1902" t="str">
            <v>10</v>
          </cell>
          <cell r="E1902" t="str">
            <v>Cáceres</v>
          </cell>
          <cell r="F1902" t="str">
            <v>046</v>
          </cell>
          <cell r="G1902" t="str">
            <v>9</v>
          </cell>
          <cell r="H1902" t="str">
            <v>Carbajo</v>
          </cell>
        </row>
        <row r="1903">
          <cell r="D1903" t="str">
            <v>10</v>
          </cell>
          <cell r="E1903" t="str">
            <v>Cáceres</v>
          </cell>
          <cell r="F1903" t="str">
            <v>047</v>
          </cell>
          <cell r="G1903" t="str">
            <v>5</v>
          </cell>
          <cell r="H1903" t="str">
            <v>Carcaboso</v>
          </cell>
        </row>
        <row r="1904">
          <cell r="D1904" t="str">
            <v>10</v>
          </cell>
          <cell r="E1904" t="str">
            <v>Cáceres</v>
          </cell>
          <cell r="F1904" t="str">
            <v>048</v>
          </cell>
          <cell r="G1904" t="str">
            <v>1</v>
          </cell>
          <cell r="H1904" t="str">
            <v>Carrascalejo</v>
          </cell>
        </row>
        <row r="1905">
          <cell r="D1905" t="str">
            <v>10</v>
          </cell>
          <cell r="E1905" t="str">
            <v>Cáceres</v>
          </cell>
          <cell r="F1905" t="str">
            <v>049</v>
          </cell>
          <cell r="G1905" t="str">
            <v>4</v>
          </cell>
          <cell r="H1905" t="str">
            <v>Casar de Cáceres</v>
          </cell>
        </row>
        <row r="1906">
          <cell r="D1906" t="str">
            <v>10</v>
          </cell>
          <cell r="E1906" t="str">
            <v>Cáceres</v>
          </cell>
          <cell r="F1906" t="str">
            <v>050</v>
          </cell>
          <cell r="G1906" t="str">
            <v>7</v>
          </cell>
          <cell r="H1906" t="str">
            <v>Casar de Palomero</v>
          </cell>
        </row>
        <row r="1907">
          <cell r="D1907" t="str">
            <v>10</v>
          </cell>
          <cell r="E1907" t="str">
            <v>Cáceres</v>
          </cell>
          <cell r="F1907" t="str">
            <v>051</v>
          </cell>
          <cell r="G1907" t="str">
            <v>4</v>
          </cell>
          <cell r="H1907" t="str">
            <v>Casares de las Hurdes</v>
          </cell>
        </row>
        <row r="1908">
          <cell r="D1908" t="str">
            <v>10</v>
          </cell>
          <cell r="E1908" t="str">
            <v>Cáceres</v>
          </cell>
          <cell r="F1908" t="str">
            <v>052</v>
          </cell>
          <cell r="G1908" t="str">
            <v>9</v>
          </cell>
          <cell r="H1908" t="str">
            <v>Casas de Don Antonio</v>
          </cell>
        </row>
        <row r="1909">
          <cell r="D1909" t="str">
            <v>10</v>
          </cell>
          <cell r="E1909" t="str">
            <v>Cáceres</v>
          </cell>
          <cell r="F1909" t="str">
            <v>053</v>
          </cell>
          <cell r="G1909" t="str">
            <v>5</v>
          </cell>
          <cell r="H1909" t="str">
            <v>Casas de Don Gómez</v>
          </cell>
        </row>
        <row r="1910">
          <cell r="D1910" t="str">
            <v>10</v>
          </cell>
          <cell r="E1910" t="str">
            <v>Cáceres</v>
          </cell>
          <cell r="F1910" t="str">
            <v>054</v>
          </cell>
          <cell r="G1910" t="str">
            <v>0</v>
          </cell>
          <cell r="H1910" t="str">
            <v>Casas del Castañar</v>
          </cell>
        </row>
        <row r="1911">
          <cell r="D1911" t="str">
            <v>10</v>
          </cell>
          <cell r="E1911" t="str">
            <v>Cáceres</v>
          </cell>
          <cell r="F1911" t="str">
            <v>055</v>
          </cell>
          <cell r="G1911" t="str">
            <v>3</v>
          </cell>
          <cell r="H1911" t="str">
            <v>Casas del Monte</v>
          </cell>
        </row>
        <row r="1912">
          <cell r="D1912" t="str">
            <v>10</v>
          </cell>
          <cell r="E1912" t="str">
            <v>Cáceres</v>
          </cell>
          <cell r="F1912" t="str">
            <v>056</v>
          </cell>
          <cell r="G1912" t="str">
            <v>6</v>
          </cell>
          <cell r="H1912" t="str">
            <v>Casas de Millán</v>
          </cell>
        </row>
        <row r="1913">
          <cell r="D1913" t="str">
            <v>10</v>
          </cell>
          <cell r="E1913" t="str">
            <v>Cáceres</v>
          </cell>
          <cell r="F1913" t="str">
            <v>057</v>
          </cell>
          <cell r="G1913" t="str">
            <v>2</v>
          </cell>
          <cell r="H1913" t="str">
            <v>Casas de Miravete</v>
          </cell>
        </row>
        <row r="1914">
          <cell r="D1914" t="str">
            <v>10</v>
          </cell>
          <cell r="E1914" t="str">
            <v>Cáceres</v>
          </cell>
          <cell r="F1914" t="str">
            <v>058</v>
          </cell>
          <cell r="G1914" t="str">
            <v>8</v>
          </cell>
          <cell r="H1914" t="str">
            <v>Casatejada</v>
          </cell>
        </row>
        <row r="1915">
          <cell r="D1915" t="str">
            <v>10</v>
          </cell>
          <cell r="E1915" t="str">
            <v>Cáceres</v>
          </cell>
          <cell r="F1915" t="str">
            <v>059</v>
          </cell>
          <cell r="G1915" t="str">
            <v>1</v>
          </cell>
          <cell r="H1915" t="str">
            <v>Casillas de Coria</v>
          </cell>
        </row>
        <row r="1916">
          <cell r="D1916" t="str">
            <v>10</v>
          </cell>
          <cell r="E1916" t="str">
            <v>Cáceres</v>
          </cell>
          <cell r="F1916" t="str">
            <v>060</v>
          </cell>
          <cell r="G1916" t="str">
            <v>5</v>
          </cell>
          <cell r="H1916" t="str">
            <v>Castañar de Ibor</v>
          </cell>
        </row>
        <row r="1917">
          <cell r="D1917" t="str">
            <v>10</v>
          </cell>
          <cell r="E1917" t="str">
            <v>Cáceres</v>
          </cell>
          <cell r="F1917" t="str">
            <v>061</v>
          </cell>
          <cell r="G1917" t="str">
            <v>2</v>
          </cell>
          <cell r="H1917" t="str">
            <v>Ceclavín</v>
          </cell>
        </row>
        <row r="1918">
          <cell r="D1918" t="str">
            <v>10</v>
          </cell>
          <cell r="E1918" t="str">
            <v>Cáceres</v>
          </cell>
          <cell r="F1918" t="str">
            <v>062</v>
          </cell>
          <cell r="G1918" t="str">
            <v>7</v>
          </cell>
          <cell r="H1918" t="str">
            <v>Cedillo</v>
          </cell>
        </row>
        <row r="1919">
          <cell r="D1919" t="str">
            <v>10</v>
          </cell>
          <cell r="E1919" t="str">
            <v>Cáceres</v>
          </cell>
          <cell r="F1919" t="str">
            <v>063</v>
          </cell>
          <cell r="G1919" t="str">
            <v>3</v>
          </cell>
          <cell r="H1919" t="str">
            <v>Cerezo</v>
          </cell>
        </row>
        <row r="1920">
          <cell r="D1920" t="str">
            <v>10</v>
          </cell>
          <cell r="E1920" t="str">
            <v>Cáceres</v>
          </cell>
          <cell r="F1920" t="str">
            <v>064</v>
          </cell>
          <cell r="G1920" t="str">
            <v>8</v>
          </cell>
          <cell r="H1920" t="str">
            <v>Cilleros</v>
          </cell>
        </row>
        <row r="1921">
          <cell r="D1921" t="str">
            <v>10</v>
          </cell>
          <cell r="E1921" t="str">
            <v>Cáceres</v>
          </cell>
          <cell r="F1921" t="str">
            <v>065</v>
          </cell>
          <cell r="G1921" t="str">
            <v>1</v>
          </cell>
          <cell r="H1921" t="str">
            <v>Collado de la Vera</v>
          </cell>
        </row>
        <row r="1922">
          <cell r="D1922" t="str">
            <v>10</v>
          </cell>
          <cell r="E1922" t="str">
            <v>Cáceres</v>
          </cell>
          <cell r="F1922" t="str">
            <v>066</v>
          </cell>
          <cell r="G1922" t="str">
            <v>4</v>
          </cell>
          <cell r="H1922" t="str">
            <v>Conquista de la Sierra</v>
          </cell>
        </row>
        <row r="1923">
          <cell r="D1923" t="str">
            <v>10</v>
          </cell>
          <cell r="E1923" t="str">
            <v>Cáceres</v>
          </cell>
          <cell r="F1923" t="str">
            <v>067</v>
          </cell>
          <cell r="G1923" t="str">
            <v>0</v>
          </cell>
          <cell r="H1923" t="str">
            <v>Coria</v>
          </cell>
        </row>
        <row r="1924">
          <cell r="D1924" t="str">
            <v>10</v>
          </cell>
          <cell r="E1924" t="str">
            <v>Cáceres</v>
          </cell>
          <cell r="F1924" t="str">
            <v>068</v>
          </cell>
          <cell r="G1924" t="str">
            <v>6</v>
          </cell>
          <cell r="H1924" t="str">
            <v>Cuacos de Yuste</v>
          </cell>
        </row>
        <row r="1925">
          <cell r="D1925" t="str">
            <v>10</v>
          </cell>
          <cell r="E1925" t="str">
            <v>Cáceres</v>
          </cell>
          <cell r="F1925" t="str">
            <v>069</v>
          </cell>
          <cell r="G1925" t="str">
            <v>9</v>
          </cell>
          <cell r="H1925" t="str">
            <v>Cumbre, La</v>
          </cell>
        </row>
        <row r="1926">
          <cell r="D1926" t="str">
            <v>10</v>
          </cell>
          <cell r="E1926" t="str">
            <v>Cáceres</v>
          </cell>
          <cell r="F1926" t="str">
            <v>070</v>
          </cell>
          <cell r="G1926" t="str">
            <v>3</v>
          </cell>
          <cell r="H1926" t="str">
            <v>Deleitosa</v>
          </cell>
        </row>
        <row r="1927">
          <cell r="D1927" t="str">
            <v>10</v>
          </cell>
          <cell r="E1927" t="str">
            <v>Cáceres</v>
          </cell>
          <cell r="F1927" t="str">
            <v>071</v>
          </cell>
          <cell r="G1927" t="str">
            <v>0</v>
          </cell>
          <cell r="H1927" t="str">
            <v>Descargamaría</v>
          </cell>
        </row>
        <row r="1928">
          <cell r="D1928" t="str">
            <v>10</v>
          </cell>
          <cell r="E1928" t="str">
            <v>Cáceres</v>
          </cell>
          <cell r="F1928" t="str">
            <v>072</v>
          </cell>
          <cell r="G1928" t="str">
            <v>5</v>
          </cell>
          <cell r="H1928" t="str">
            <v>Eljas</v>
          </cell>
        </row>
        <row r="1929">
          <cell r="D1929" t="str">
            <v>10</v>
          </cell>
          <cell r="E1929" t="str">
            <v>Cáceres</v>
          </cell>
          <cell r="F1929" t="str">
            <v>073</v>
          </cell>
          <cell r="G1929" t="str">
            <v>1</v>
          </cell>
          <cell r="H1929" t="str">
            <v>Escurial</v>
          </cell>
        </row>
        <row r="1930">
          <cell r="D1930" t="str">
            <v>10</v>
          </cell>
          <cell r="E1930" t="str">
            <v>Cáceres</v>
          </cell>
          <cell r="F1930" t="str">
            <v>075</v>
          </cell>
          <cell r="G1930" t="str">
            <v>9</v>
          </cell>
          <cell r="H1930" t="str">
            <v>Fresnedoso de Ibor</v>
          </cell>
        </row>
        <row r="1931">
          <cell r="D1931" t="str">
            <v>10</v>
          </cell>
          <cell r="E1931" t="str">
            <v>Cáceres</v>
          </cell>
          <cell r="F1931" t="str">
            <v>076</v>
          </cell>
          <cell r="G1931" t="str">
            <v>2</v>
          </cell>
          <cell r="H1931" t="str">
            <v>Galisteo</v>
          </cell>
        </row>
        <row r="1932">
          <cell r="D1932" t="str">
            <v>10</v>
          </cell>
          <cell r="E1932" t="str">
            <v>Cáceres</v>
          </cell>
          <cell r="F1932" t="str">
            <v>077</v>
          </cell>
          <cell r="G1932" t="str">
            <v>8</v>
          </cell>
          <cell r="H1932" t="str">
            <v>Garciaz</v>
          </cell>
        </row>
        <row r="1933">
          <cell r="D1933" t="str">
            <v>10</v>
          </cell>
          <cell r="E1933" t="str">
            <v>Cáceres</v>
          </cell>
          <cell r="F1933" t="str">
            <v>078</v>
          </cell>
          <cell r="G1933" t="str">
            <v>4</v>
          </cell>
          <cell r="H1933" t="str">
            <v>Garganta, La</v>
          </cell>
        </row>
        <row r="1934">
          <cell r="D1934" t="str">
            <v>10</v>
          </cell>
          <cell r="E1934" t="str">
            <v>Cáceres</v>
          </cell>
          <cell r="F1934" t="str">
            <v>079</v>
          </cell>
          <cell r="G1934" t="str">
            <v>7</v>
          </cell>
          <cell r="H1934" t="str">
            <v>Garganta la Olla</v>
          </cell>
        </row>
        <row r="1935">
          <cell r="D1935" t="str">
            <v>10</v>
          </cell>
          <cell r="E1935" t="str">
            <v>Cáceres</v>
          </cell>
          <cell r="F1935" t="str">
            <v>080</v>
          </cell>
          <cell r="G1935" t="str">
            <v>1</v>
          </cell>
          <cell r="H1935" t="str">
            <v>Gargantilla</v>
          </cell>
        </row>
        <row r="1936">
          <cell r="D1936" t="str">
            <v>10</v>
          </cell>
          <cell r="E1936" t="str">
            <v>Cáceres</v>
          </cell>
          <cell r="F1936" t="str">
            <v>081</v>
          </cell>
          <cell r="G1936" t="str">
            <v>8</v>
          </cell>
          <cell r="H1936" t="str">
            <v>Gargüera</v>
          </cell>
        </row>
        <row r="1937">
          <cell r="D1937" t="str">
            <v>10</v>
          </cell>
          <cell r="E1937" t="str">
            <v>Cáceres</v>
          </cell>
          <cell r="F1937" t="str">
            <v>082</v>
          </cell>
          <cell r="G1937" t="str">
            <v>3</v>
          </cell>
          <cell r="H1937" t="str">
            <v>Garrovillas de Alconétar</v>
          </cell>
        </row>
        <row r="1938">
          <cell r="D1938" t="str">
            <v>10</v>
          </cell>
          <cell r="E1938" t="str">
            <v>Cáceres</v>
          </cell>
          <cell r="F1938" t="str">
            <v>083</v>
          </cell>
          <cell r="G1938" t="str">
            <v>9</v>
          </cell>
          <cell r="H1938" t="str">
            <v>Garvín</v>
          </cell>
        </row>
        <row r="1939">
          <cell r="D1939" t="str">
            <v>10</v>
          </cell>
          <cell r="E1939" t="str">
            <v>Cáceres</v>
          </cell>
          <cell r="F1939" t="str">
            <v>084</v>
          </cell>
          <cell r="G1939" t="str">
            <v>4</v>
          </cell>
          <cell r="H1939" t="str">
            <v>Gata</v>
          </cell>
        </row>
        <row r="1940">
          <cell r="D1940" t="str">
            <v>10</v>
          </cell>
          <cell r="E1940" t="str">
            <v>Cáceres</v>
          </cell>
          <cell r="F1940" t="str">
            <v>085</v>
          </cell>
          <cell r="G1940" t="str">
            <v>7</v>
          </cell>
          <cell r="H1940" t="str">
            <v>Gordo, El</v>
          </cell>
        </row>
        <row r="1941">
          <cell r="D1941" t="str">
            <v>10</v>
          </cell>
          <cell r="E1941" t="str">
            <v>Cáceres</v>
          </cell>
          <cell r="F1941" t="str">
            <v>086</v>
          </cell>
          <cell r="G1941" t="str">
            <v>0</v>
          </cell>
          <cell r="H1941" t="str">
            <v>Granja, La</v>
          </cell>
        </row>
        <row r="1942">
          <cell r="D1942" t="str">
            <v>10</v>
          </cell>
          <cell r="E1942" t="str">
            <v>Cáceres</v>
          </cell>
          <cell r="F1942" t="str">
            <v>087</v>
          </cell>
          <cell r="G1942" t="str">
            <v>6</v>
          </cell>
          <cell r="H1942" t="str">
            <v>Guadalupe</v>
          </cell>
        </row>
        <row r="1943">
          <cell r="D1943" t="str">
            <v>10</v>
          </cell>
          <cell r="E1943" t="str">
            <v>Cáceres</v>
          </cell>
          <cell r="F1943" t="str">
            <v>088</v>
          </cell>
          <cell r="G1943" t="str">
            <v>2</v>
          </cell>
          <cell r="H1943" t="str">
            <v>Guijo de Coria</v>
          </cell>
        </row>
        <row r="1944">
          <cell r="D1944" t="str">
            <v>10</v>
          </cell>
          <cell r="E1944" t="str">
            <v>Cáceres</v>
          </cell>
          <cell r="F1944" t="str">
            <v>089</v>
          </cell>
          <cell r="G1944" t="str">
            <v>5</v>
          </cell>
          <cell r="H1944" t="str">
            <v>Guijo de Galisteo</v>
          </cell>
        </row>
        <row r="1945">
          <cell r="D1945" t="str">
            <v>10</v>
          </cell>
          <cell r="E1945" t="str">
            <v>Cáceres</v>
          </cell>
          <cell r="F1945" t="str">
            <v>090</v>
          </cell>
          <cell r="G1945" t="str">
            <v>9</v>
          </cell>
          <cell r="H1945" t="str">
            <v>Guijo de Granadilla</v>
          </cell>
        </row>
        <row r="1946">
          <cell r="D1946" t="str">
            <v>10</v>
          </cell>
          <cell r="E1946" t="str">
            <v>Cáceres</v>
          </cell>
          <cell r="F1946" t="str">
            <v>091</v>
          </cell>
          <cell r="G1946" t="str">
            <v>6</v>
          </cell>
          <cell r="H1946" t="str">
            <v>Guijo de Santa Bárbara</v>
          </cell>
        </row>
        <row r="1947">
          <cell r="D1947" t="str">
            <v>10</v>
          </cell>
          <cell r="E1947" t="str">
            <v>Cáceres</v>
          </cell>
          <cell r="F1947" t="str">
            <v>092</v>
          </cell>
          <cell r="G1947" t="str">
            <v>1</v>
          </cell>
          <cell r="H1947" t="str">
            <v>Herguijuela</v>
          </cell>
        </row>
        <row r="1948">
          <cell r="D1948" t="str">
            <v>10</v>
          </cell>
          <cell r="E1948" t="str">
            <v>Cáceres</v>
          </cell>
          <cell r="F1948" t="str">
            <v>093</v>
          </cell>
          <cell r="G1948" t="str">
            <v>7</v>
          </cell>
          <cell r="H1948" t="str">
            <v>Hernán-Pérez</v>
          </cell>
        </row>
        <row r="1949">
          <cell r="D1949" t="str">
            <v>10</v>
          </cell>
          <cell r="E1949" t="str">
            <v>Cáceres</v>
          </cell>
          <cell r="F1949" t="str">
            <v>094</v>
          </cell>
          <cell r="G1949" t="str">
            <v>2</v>
          </cell>
          <cell r="H1949" t="str">
            <v>Herrera de Alcántara</v>
          </cell>
        </row>
        <row r="1950">
          <cell r="D1950" t="str">
            <v>10</v>
          </cell>
          <cell r="E1950" t="str">
            <v>Cáceres</v>
          </cell>
          <cell r="F1950" t="str">
            <v>095</v>
          </cell>
          <cell r="G1950" t="str">
            <v>5</v>
          </cell>
          <cell r="H1950" t="str">
            <v>Herreruela</v>
          </cell>
        </row>
        <row r="1951">
          <cell r="D1951" t="str">
            <v>10</v>
          </cell>
          <cell r="E1951" t="str">
            <v>Cáceres</v>
          </cell>
          <cell r="F1951" t="str">
            <v>096</v>
          </cell>
          <cell r="G1951" t="str">
            <v>8</v>
          </cell>
          <cell r="H1951" t="str">
            <v>Hervás</v>
          </cell>
        </row>
        <row r="1952">
          <cell r="D1952" t="str">
            <v>10</v>
          </cell>
          <cell r="E1952" t="str">
            <v>Cáceres</v>
          </cell>
          <cell r="F1952" t="str">
            <v>097</v>
          </cell>
          <cell r="G1952" t="str">
            <v>4</v>
          </cell>
          <cell r="H1952" t="str">
            <v>Higuera de Albalat</v>
          </cell>
        </row>
        <row r="1953">
          <cell r="D1953" t="str">
            <v>10</v>
          </cell>
          <cell r="E1953" t="str">
            <v>Cáceres</v>
          </cell>
          <cell r="F1953" t="str">
            <v>098</v>
          </cell>
          <cell r="G1953" t="str">
            <v>0</v>
          </cell>
          <cell r="H1953" t="str">
            <v>Hinojal</v>
          </cell>
        </row>
        <row r="1954">
          <cell r="D1954" t="str">
            <v>10</v>
          </cell>
          <cell r="E1954" t="str">
            <v>Cáceres</v>
          </cell>
          <cell r="F1954" t="str">
            <v>099</v>
          </cell>
          <cell r="G1954" t="str">
            <v>3</v>
          </cell>
          <cell r="H1954" t="str">
            <v>Holguera</v>
          </cell>
        </row>
        <row r="1955">
          <cell r="D1955" t="str">
            <v>10</v>
          </cell>
          <cell r="E1955" t="str">
            <v>Cáceres</v>
          </cell>
          <cell r="F1955" t="str">
            <v>100</v>
          </cell>
          <cell r="G1955" t="str">
            <v>7</v>
          </cell>
          <cell r="H1955" t="str">
            <v>Hoyos</v>
          </cell>
        </row>
        <row r="1956">
          <cell r="D1956" t="str">
            <v>10</v>
          </cell>
          <cell r="E1956" t="str">
            <v>Cáceres</v>
          </cell>
          <cell r="F1956" t="str">
            <v>101</v>
          </cell>
          <cell r="G1956" t="str">
            <v>4</v>
          </cell>
          <cell r="H1956" t="str">
            <v>Huélaga</v>
          </cell>
        </row>
        <row r="1957">
          <cell r="D1957" t="str">
            <v>10</v>
          </cell>
          <cell r="E1957" t="str">
            <v>Cáceres</v>
          </cell>
          <cell r="F1957" t="str">
            <v>102</v>
          </cell>
          <cell r="G1957" t="str">
            <v>9</v>
          </cell>
          <cell r="H1957" t="str">
            <v>Ibahernando</v>
          </cell>
        </row>
        <row r="1958">
          <cell r="D1958" t="str">
            <v>10</v>
          </cell>
          <cell r="E1958" t="str">
            <v>Cáceres</v>
          </cell>
          <cell r="F1958" t="str">
            <v>103</v>
          </cell>
          <cell r="G1958" t="str">
            <v>5</v>
          </cell>
          <cell r="H1958" t="str">
            <v>Jaraicejo</v>
          </cell>
        </row>
        <row r="1959">
          <cell r="D1959" t="str">
            <v>10</v>
          </cell>
          <cell r="E1959" t="str">
            <v>Cáceres</v>
          </cell>
          <cell r="F1959" t="str">
            <v>104</v>
          </cell>
          <cell r="G1959" t="str">
            <v>0</v>
          </cell>
          <cell r="H1959" t="str">
            <v>Jaraíz de la Vera</v>
          </cell>
        </row>
        <row r="1960">
          <cell r="D1960" t="str">
            <v>10</v>
          </cell>
          <cell r="E1960" t="str">
            <v>Cáceres</v>
          </cell>
          <cell r="F1960" t="str">
            <v>105</v>
          </cell>
          <cell r="G1960" t="str">
            <v>3</v>
          </cell>
          <cell r="H1960" t="str">
            <v>Jarandilla de la Vera</v>
          </cell>
        </row>
        <row r="1961">
          <cell r="D1961" t="str">
            <v>10</v>
          </cell>
          <cell r="E1961" t="str">
            <v>Cáceres</v>
          </cell>
          <cell r="F1961" t="str">
            <v>106</v>
          </cell>
          <cell r="G1961" t="str">
            <v>6</v>
          </cell>
          <cell r="H1961" t="str">
            <v>Jarilla</v>
          </cell>
        </row>
        <row r="1962">
          <cell r="D1962" t="str">
            <v>10</v>
          </cell>
          <cell r="E1962" t="str">
            <v>Cáceres</v>
          </cell>
          <cell r="F1962" t="str">
            <v>107</v>
          </cell>
          <cell r="G1962" t="str">
            <v>2</v>
          </cell>
          <cell r="H1962" t="str">
            <v>Jerte</v>
          </cell>
        </row>
        <row r="1963">
          <cell r="D1963" t="str">
            <v>10</v>
          </cell>
          <cell r="E1963" t="str">
            <v>Cáceres</v>
          </cell>
          <cell r="F1963" t="str">
            <v>108</v>
          </cell>
          <cell r="G1963" t="str">
            <v>8</v>
          </cell>
          <cell r="H1963" t="str">
            <v>Ladrillar</v>
          </cell>
        </row>
        <row r="1964">
          <cell r="D1964" t="str">
            <v>10</v>
          </cell>
          <cell r="E1964" t="str">
            <v>Cáceres</v>
          </cell>
          <cell r="F1964" t="str">
            <v>109</v>
          </cell>
          <cell r="G1964" t="str">
            <v>1</v>
          </cell>
          <cell r="H1964" t="str">
            <v>Logrosán</v>
          </cell>
        </row>
        <row r="1965">
          <cell r="D1965" t="str">
            <v>10</v>
          </cell>
          <cell r="E1965" t="str">
            <v>Cáceres</v>
          </cell>
          <cell r="F1965" t="str">
            <v>110</v>
          </cell>
          <cell r="G1965" t="str">
            <v>5</v>
          </cell>
          <cell r="H1965" t="str">
            <v>Losar de la Vera</v>
          </cell>
        </row>
        <row r="1966">
          <cell r="D1966" t="str">
            <v>10</v>
          </cell>
          <cell r="E1966" t="str">
            <v>Cáceres</v>
          </cell>
          <cell r="F1966" t="str">
            <v>111</v>
          </cell>
          <cell r="G1966" t="str">
            <v>2</v>
          </cell>
          <cell r="H1966" t="str">
            <v>Madrigal de la Vera</v>
          </cell>
        </row>
        <row r="1967">
          <cell r="D1967" t="str">
            <v>10</v>
          </cell>
          <cell r="E1967" t="str">
            <v>Cáceres</v>
          </cell>
          <cell r="F1967" t="str">
            <v>112</v>
          </cell>
          <cell r="G1967" t="str">
            <v>7</v>
          </cell>
          <cell r="H1967" t="str">
            <v>Madrigalejo</v>
          </cell>
        </row>
        <row r="1968">
          <cell r="D1968" t="str">
            <v>10</v>
          </cell>
          <cell r="E1968" t="str">
            <v>Cáceres</v>
          </cell>
          <cell r="F1968" t="str">
            <v>113</v>
          </cell>
          <cell r="G1968" t="str">
            <v>3</v>
          </cell>
          <cell r="H1968" t="str">
            <v>Madroñera</v>
          </cell>
        </row>
        <row r="1969">
          <cell r="D1969" t="str">
            <v>10</v>
          </cell>
          <cell r="E1969" t="str">
            <v>Cáceres</v>
          </cell>
          <cell r="F1969" t="str">
            <v>114</v>
          </cell>
          <cell r="G1969" t="str">
            <v>8</v>
          </cell>
          <cell r="H1969" t="str">
            <v>Majadas</v>
          </cell>
        </row>
        <row r="1970">
          <cell r="D1970" t="str">
            <v>10</v>
          </cell>
          <cell r="E1970" t="str">
            <v>Cáceres</v>
          </cell>
          <cell r="F1970" t="str">
            <v>115</v>
          </cell>
          <cell r="G1970" t="str">
            <v>1</v>
          </cell>
          <cell r="H1970" t="str">
            <v>Malpartida de Cáceres</v>
          </cell>
        </row>
        <row r="1971">
          <cell r="D1971" t="str">
            <v>10</v>
          </cell>
          <cell r="E1971" t="str">
            <v>Cáceres</v>
          </cell>
          <cell r="F1971" t="str">
            <v>116</v>
          </cell>
          <cell r="G1971" t="str">
            <v>4</v>
          </cell>
          <cell r="H1971" t="str">
            <v>Malpartida de Plasencia</v>
          </cell>
        </row>
        <row r="1972">
          <cell r="D1972" t="str">
            <v>10</v>
          </cell>
          <cell r="E1972" t="str">
            <v>Cáceres</v>
          </cell>
          <cell r="F1972" t="str">
            <v>117</v>
          </cell>
          <cell r="G1972" t="str">
            <v>0</v>
          </cell>
          <cell r="H1972" t="str">
            <v>Marchagaz</v>
          </cell>
        </row>
        <row r="1973">
          <cell r="D1973" t="str">
            <v>10</v>
          </cell>
          <cell r="E1973" t="str">
            <v>Cáceres</v>
          </cell>
          <cell r="F1973" t="str">
            <v>118</v>
          </cell>
          <cell r="G1973" t="str">
            <v>6</v>
          </cell>
          <cell r="H1973" t="str">
            <v>Mata de Alcántara</v>
          </cell>
        </row>
        <row r="1974">
          <cell r="D1974" t="str">
            <v>10</v>
          </cell>
          <cell r="E1974" t="str">
            <v>Cáceres</v>
          </cell>
          <cell r="F1974" t="str">
            <v>119</v>
          </cell>
          <cell r="G1974" t="str">
            <v>9</v>
          </cell>
          <cell r="H1974" t="str">
            <v>Membrío</v>
          </cell>
        </row>
        <row r="1975">
          <cell r="D1975" t="str">
            <v>10</v>
          </cell>
          <cell r="E1975" t="str">
            <v>Cáceres</v>
          </cell>
          <cell r="F1975" t="str">
            <v>120</v>
          </cell>
          <cell r="G1975" t="str">
            <v>3</v>
          </cell>
          <cell r="H1975" t="str">
            <v>Mesas de Ibor</v>
          </cell>
        </row>
        <row r="1976">
          <cell r="D1976" t="str">
            <v>10</v>
          </cell>
          <cell r="E1976" t="str">
            <v>Cáceres</v>
          </cell>
          <cell r="F1976" t="str">
            <v>121</v>
          </cell>
          <cell r="G1976" t="str">
            <v>0</v>
          </cell>
          <cell r="H1976" t="str">
            <v>Miajadas</v>
          </cell>
        </row>
        <row r="1977">
          <cell r="D1977" t="str">
            <v>10</v>
          </cell>
          <cell r="E1977" t="str">
            <v>Cáceres</v>
          </cell>
          <cell r="F1977" t="str">
            <v>122</v>
          </cell>
          <cell r="G1977" t="str">
            <v>5</v>
          </cell>
          <cell r="H1977" t="str">
            <v>Millanes</v>
          </cell>
        </row>
        <row r="1978">
          <cell r="D1978" t="str">
            <v>10</v>
          </cell>
          <cell r="E1978" t="str">
            <v>Cáceres</v>
          </cell>
          <cell r="F1978" t="str">
            <v>123</v>
          </cell>
          <cell r="G1978" t="str">
            <v>1</v>
          </cell>
          <cell r="H1978" t="str">
            <v>Mirabel</v>
          </cell>
        </row>
        <row r="1979">
          <cell r="D1979" t="str">
            <v>10</v>
          </cell>
          <cell r="E1979" t="str">
            <v>Cáceres</v>
          </cell>
          <cell r="F1979" t="str">
            <v>124</v>
          </cell>
          <cell r="G1979" t="str">
            <v>6</v>
          </cell>
          <cell r="H1979" t="str">
            <v>Mohedas de Granadilla</v>
          </cell>
        </row>
        <row r="1980">
          <cell r="D1980" t="str">
            <v>10</v>
          </cell>
          <cell r="E1980" t="str">
            <v>Cáceres</v>
          </cell>
          <cell r="F1980" t="str">
            <v>125</v>
          </cell>
          <cell r="G1980" t="str">
            <v>9</v>
          </cell>
          <cell r="H1980" t="str">
            <v>Monroy</v>
          </cell>
        </row>
        <row r="1981">
          <cell r="D1981" t="str">
            <v>10</v>
          </cell>
          <cell r="E1981" t="str">
            <v>Cáceres</v>
          </cell>
          <cell r="F1981" t="str">
            <v>126</v>
          </cell>
          <cell r="G1981" t="str">
            <v>2</v>
          </cell>
          <cell r="H1981" t="str">
            <v>Montánchez</v>
          </cell>
        </row>
        <row r="1982">
          <cell r="D1982" t="str">
            <v>10</v>
          </cell>
          <cell r="E1982" t="str">
            <v>Cáceres</v>
          </cell>
          <cell r="F1982" t="str">
            <v>127</v>
          </cell>
          <cell r="G1982" t="str">
            <v>8</v>
          </cell>
          <cell r="H1982" t="str">
            <v>Montehermoso</v>
          </cell>
        </row>
        <row r="1983">
          <cell r="D1983" t="str">
            <v>10</v>
          </cell>
          <cell r="E1983" t="str">
            <v>Cáceres</v>
          </cell>
          <cell r="F1983" t="str">
            <v>128</v>
          </cell>
          <cell r="G1983" t="str">
            <v>4</v>
          </cell>
          <cell r="H1983" t="str">
            <v>Moraleja</v>
          </cell>
        </row>
        <row r="1984">
          <cell r="D1984" t="str">
            <v>10</v>
          </cell>
          <cell r="E1984" t="str">
            <v>Cáceres</v>
          </cell>
          <cell r="F1984" t="str">
            <v>129</v>
          </cell>
          <cell r="G1984" t="str">
            <v>7</v>
          </cell>
          <cell r="H1984" t="str">
            <v>Morcillo</v>
          </cell>
        </row>
        <row r="1985">
          <cell r="D1985" t="str">
            <v>10</v>
          </cell>
          <cell r="E1985" t="str">
            <v>Cáceres</v>
          </cell>
          <cell r="F1985" t="str">
            <v>130</v>
          </cell>
          <cell r="G1985" t="str">
            <v>1</v>
          </cell>
          <cell r="H1985" t="str">
            <v>Navaconcejo</v>
          </cell>
        </row>
        <row r="1986">
          <cell r="D1986" t="str">
            <v>10</v>
          </cell>
          <cell r="E1986" t="str">
            <v>Cáceres</v>
          </cell>
          <cell r="F1986" t="str">
            <v>131</v>
          </cell>
          <cell r="G1986" t="str">
            <v>8</v>
          </cell>
          <cell r="H1986" t="str">
            <v>Navalmoral de la Mata</v>
          </cell>
        </row>
        <row r="1987">
          <cell r="D1987" t="str">
            <v>10</v>
          </cell>
          <cell r="E1987" t="str">
            <v>Cáceres</v>
          </cell>
          <cell r="F1987" t="str">
            <v>132</v>
          </cell>
          <cell r="G1987" t="str">
            <v>3</v>
          </cell>
          <cell r="H1987" t="str">
            <v>Navalvillar de Ibor</v>
          </cell>
        </row>
        <row r="1988">
          <cell r="D1988" t="str">
            <v>10</v>
          </cell>
          <cell r="E1988" t="str">
            <v>Cáceres</v>
          </cell>
          <cell r="F1988" t="str">
            <v>133</v>
          </cell>
          <cell r="G1988" t="str">
            <v>9</v>
          </cell>
          <cell r="H1988" t="str">
            <v>Navas del Madroño</v>
          </cell>
        </row>
        <row r="1989">
          <cell r="D1989" t="str">
            <v>10</v>
          </cell>
          <cell r="E1989" t="str">
            <v>Cáceres</v>
          </cell>
          <cell r="F1989" t="str">
            <v>134</v>
          </cell>
          <cell r="G1989" t="str">
            <v>4</v>
          </cell>
          <cell r="H1989" t="str">
            <v>Navezuelas</v>
          </cell>
        </row>
        <row r="1990">
          <cell r="D1990" t="str">
            <v>10</v>
          </cell>
          <cell r="E1990" t="str">
            <v>Cáceres</v>
          </cell>
          <cell r="F1990" t="str">
            <v>135</v>
          </cell>
          <cell r="G1990" t="str">
            <v>7</v>
          </cell>
          <cell r="H1990" t="str">
            <v>Nuñomoral</v>
          </cell>
        </row>
        <row r="1991">
          <cell r="D1991" t="str">
            <v>10</v>
          </cell>
          <cell r="E1991" t="str">
            <v>Cáceres</v>
          </cell>
          <cell r="F1991" t="str">
            <v>136</v>
          </cell>
          <cell r="G1991" t="str">
            <v>0</v>
          </cell>
          <cell r="H1991" t="str">
            <v>Oliva de Plasencia</v>
          </cell>
        </row>
        <row r="1992">
          <cell r="D1992" t="str">
            <v>10</v>
          </cell>
          <cell r="E1992" t="str">
            <v>Cáceres</v>
          </cell>
          <cell r="F1992" t="str">
            <v>137</v>
          </cell>
          <cell r="G1992" t="str">
            <v>6</v>
          </cell>
          <cell r="H1992" t="str">
            <v>Palomero</v>
          </cell>
        </row>
        <row r="1993">
          <cell r="D1993" t="str">
            <v>10</v>
          </cell>
          <cell r="E1993" t="str">
            <v>Cáceres</v>
          </cell>
          <cell r="F1993" t="str">
            <v>138</v>
          </cell>
          <cell r="G1993" t="str">
            <v>2</v>
          </cell>
          <cell r="H1993" t="str">
            <v>Pasarón de la Vera</v>
          </cell>
        </row>
        <row r="1994">
          <cell r="D1994" t="str">
            <v>10</v>
          </cell>
          <cell r="E1994" t="str">
            <v>Cáceres</v>
          </cell>
          <cell r="F1994" t="str">
            <v>139</v>
          </cell>
          <cell r="G1994" t="str">
            <v>5</v>
          </cell>
          <cell r="H1994" t="str">
            <v>Pedroso de Acim</v>
          </cell>
        </row>
        <row r="1995">
          <cell r="D1995" t="str">
            <v>10</v>
          </cell>
          <cell r="E1995" t="str">
            <v>Cáceres</v>
          </cell>
          <cell r="F1995" t="str">
            <v>140</v>
          </cell>
          <cell r="G1995" t="str">
            <v>9</v>
          </cell>
          <cell r="H1995" t="str">
            <v>Peraleda de la Mata</v>
          </cell>
        </row>
        <row r="1996">
          <cell r="D1996" t="str">
            <v>10</v>
          </cell>
          <cell r="E1996" t="str">
            <v>Cáceres</v>
          </cell>
          <cell r="F1996" t="str">
            <v>141</v>
          </cell>
          <cell r="G1996" t="str">
            <v>6</v>
          </cell>
          <cell r="H1996" t="str">
            <v>Peraleda de San Román</v>
          </cell>
        </row>
        <row r="1997">
          <cell r="D1997" t="str">
            <v>10</v>
          </cell>
          <cell r="E1997" t="str">
            <v>Cáceres</v>
          </cell>
          <cell r="F1997" t="str">
            <v>142</v>
          </cell>
          <cell r="G1997" t="str">
            <v>1</v>
          </cell>
          <cell r="H1997" t="str">
            <v>Perales del Puerto</v>
          </cell>
        </row>
        <row r="1998">
          <cell r="D1998" t="str">
            <v>10</v>
          </cell>
          <cell r="E1998" t="str">
            <v>Cáceres</v>
          </cell>
          <cell r="F1998" t="str">
            <v>143</v>
          </cell>
          <cell r="G1998" t="str">
            <v>7</v>
          </cell>
          <cell r="H1998" t="str">
            <v>Pescueza</v>
          </cell>
        </row>
        <row r="1999">
          <cell r="D1999" t="str">
            <v>10</v>
          </cell>
          <cell r="E1999" t="str">
            <v>Cáceres</v>
          </cell>
          <cell r="F1999" t="str">
            <v>144</v>
          </cell>
          <cell r="G1999" t="str">
            <v>2</v>
          </cell>
          <cell r="H1999" t="str">
            <v>Pesga, La</v>
          </cell>
        </row>
        <row r="2000">
          <cell r="D2000" t="str">
            <v>10</v>
          </cell>
          <cell r="E2000" t="str">
            <v>Cáceres</v>
          </cell>
          <cell r="F2000" t="str">
            <v>145</v>
          </cell>
          <cell r="G2000" t="str">
            <v>5</v>
          </cell>
          <cell r="H2000" t="str">
            <v>Piedras Albas</v>
          </cell>
        </row>
        <row r="2001">
          <cell r="D2001" t="str">
            <v>10</v>
          </cell>
          <cell r="E2001" t="str">
            <v>Cáceres</v>
          </cell>
          <cell r="F2001" t="str">
            <v>146</v>
          </cell>
          <cell r="G2001" t="str">
            <v>8</v>
          </cell>
          <cell r="H2001" t="str">
            <v>Pinofranqueado</v>
          </cell>
        </row>
        <row r="2002">
          <cell r="D2002" t="str">
            <v>10</v>
          </cell>
          <cell r="E2002" t="str">
            <v>Cáceres</v>
          </cell>
          <cell r="F2002" t="str">
            <v>147</v>
          </cell>
          <cell r="G2002" t="str">
            <v>4</v>
          </cell>
          <cell r="H2002" t="str">
            <v>Piornal</v>
          </cell>
        </row>
        <row r="2003">
          <cell r="D2003" t="str">
            <v>10</v>
          </cell>
          <cell r="E2003" t="str">
            <v>Cáceres</v>
          </cell>
          <cell r="F2003" t="str">
            <v>148</v>
          </cell>
          <cell r="G2003" t="str">
            <v>0</v>
          </cell>
          <cell r="H2003" t="str">
            <v>Plasencia</v>
          </cell>
        </row>
        <row r="2004">
          <cell r="D2004" t="str">
            <v>10</v>
          </cell>
          <cell r="E2004" t="str">
            <v>Cáceres</v>
          </cell>
          <cell r="F2004" t="str">
            <v>149</v>
          </cell>
          <cell r="G2004" t="str">
            <v>3</v>
          </cell>
          <cell r="H2004" t="str">
            <v>Plasenzuela</v>
          </cell>
        </row>
        <row r="2005">
          <cell r="D2005" t="str">
            <v>10</v>
          </cell>
          <cell r="E2005" t="str">
            <v>Cáceres</v>
          </cell>
          <cell r="F2005" t="str">
            <v>150</v>
          </cell>
          <cell r="G2005" t="str">
            <v>6</v>
          </cell>
          <cell r="H2005" t="str">
            <v>Portaje</v>
          </cell>
        </row>
        <row r="2006">
          <cell r="D2006" t="str">
            <v>10</v>
          </cell>
          <cell r="E2006" t="str">
            <v>Cáceres</v>
          </cell>
          <cell r="F2006" t="str">
            <v>151</v>
          </cell>
          <cell r="G2006" t="str">
            <v>3</v>
          </cell>
          <cell r="H2006" t="str">
            <v>Portezuelo</v>
          </cell>
        </row>
        <row r="2007">
          <cell r="D2007" t="str">
            <v>10</v>
          </cell>
          <cell r="E2007" t="str">
            <v>Cáceres</v>
          </cell>
          <cell r="F2007" t="str">
            <v>152</v>
          </cell>
          <cell r="G2007" t="str">
            <v>8</v>
          </cell>
          <cell r="H2007" t="str">
            <v>Pozuelo de Zarzón</v>
          </cell>
        </row>
        <row r="2008">
          <cell r="D2008" t="str">
            <v>10</v>
          </cell>
          <cell r="E2008" t="str">
            <v>Cáceres</v>
          </cell>
          <cell r="F2008" t="str">
            <v>153</v>
          </cell>
          <cell r="G2008" t="str">
            <v>4</v>
          </cell>
          <cell r="H2008" t="str">
            <v>Puerto de Santa Cruz</v>
          </cell>
        </row>
        <row r="2009">
          <cell r="D2009" t="str">
            <v>10</v>
          </cell>
          <cell r="E2009" t="str">
            <v>Cáceres</v>
          </cell>
          <cell r="F2009" t="str">
            <v>154</v>
          </cell>
          <cell r="G2009" t="str">
            <v>9</v>
          </cell>
          <cell r="H2009" t="str">
            <v>Rebollar</v>
          </cell>
        </row>
        <row r="2010">
          <cell r="D2010" t="str">
            <v>10</v>
          </cell>
          <cell r="E2010" t="str">
            <v>Cáceres</v>
          </cell>
          <cell r="F2010" t="str">
            <v>155</v>
          </cell>
          <cell r="G2010" t="str">
            <v>2</v>
          </cell>
          <cell r="H2010" t="str">
            <v>Riolobos</v>
          </cell>
        </row>
        <row r="2011">
          <cell r="D2011" t="str">
            <v>10</v>
          </cell>
          <cell r="E2011" t="str">
            <v>Cáceres</v>
          </cell>
          <cell r="F2011" t="str">
            <v>156</v>
          </cell>
          <cell r="G2011" t="str">
            <v>5</v>
          </cell>
          <cell r="H2011" t="str">
            <v>Robledillo de Gata</v>
          </cell>
        </row>
        <row r="2012">
          <cell r="D2012" t="str">
            <v>10</v>
          </cell>
          <cell r="E2012" t="str">
            <v>Cáceres</v>
          </cell>
          <cell r="F2012" t="str">
            <v>157</v>
          </cell>
          <cell r="G2012" t="str">
            <v>1</v>
          </cell>
          <cell r="H2012" t="str">
            <v>Robledillo de la Vera</v>
          </cell>
        </row>
        <row r="2013">
          <cell r="D2013" t="str">
            <v>10</v>
          </cell>
          <cell r="E2013" t="str">
            <v>Cáceres</v>
          </cell>
          <cell r="F2013" t="str">
            <v>158</v>
          </cell>
          <cell r="G2013" t="str">
            <v>7</v>
          </cell>
          <cell r="H2013" t="str">
            <v>Robledillo de Trujillo</v>
          </cell>
        </row>
        <row r="2014">
          <cell r="D2014" t="str">
            <v>10</v>
          </cell>
          <cell r="E2014" t="str">
            <v>Cáceres</v>
          </cell>
          <cell r="F2014" t="str">
            <v>159</v>
          </cell>
          <cell r="G2014" t="str">
            <v>0</v>
          </cell>
          <cell r="H2014" t="str">
            <v>Robledollano</v>
          </cell>
        </row>
        <row r="2015">
          <cell r="D2015" t="str">
            <v>10</v>
          </cell>
          <cell r="E2015" t="str">
            <v>Cáceres</v>
          </cell>
          <cell r="F2015" t="str">
            <v>160</v>
          </cell>
          <cell r="G2015" t="str">
            <v>4</v>
          </cell>
          <cell r="H2015" t="str">
            <v>Romangordo</v>
          </cell>
        </row>
        <row r="2016">
          <cell r="D2016" t="str">
            <v>10</v>
          </cell>
          <cell r="E2016" t="str">
            <v>Cáceres</v>
          </cell>
          <cell r="F2016" t="str">
            <v>161</v>
          </cell>
          <cell r="G2016" t="str">
            <v>1</v>
          </cell>
          <cell r="H2016" t="str">
            <v>Ruanes</v>
          </cell>
        </row>
        <row r="2017">
          <cell r="D2017" t="str">
            <v>10</v>
          </cell>
          <cell r="E2017" t="str">
            <v>Cáceres</v>
          </cell>
          <cell r="F2017" t="str">
            <v>162</v>
          </cell>
          <cell r="G2017" t="str">
            <v>6</v>
          </cell>
          <cell r="H2017" t="str">
            <v>Salorino</v>
          </cell>
        </row>
        <row r="2018">
          <cell r="D2018" t="str">
            <v>10</v>
          </cell>
          <cell r="E2018" t="str">
            <v>Cáceres</v>
          </cell>
          <cell r="F2018" t="str">
            <v>163</v>
          </cell>
          <cell r="G2018" t="str">
            <v>2</v>
          </cell>
          <cell r="H2018" t="str">
            <v>Salvatierra de Santiago</v>
          </cell>
        </row>
        <row r="2019">
          <cell r="D2019" t="str">
            <v>10</v>
          </cell>
          <cell r="E2019" t="str">
            <v>Cáceres</v>
          </cell>
          <cell r="F2019" t="str">
            <v>164</v>
          </cell>
          <cell r="G2019" t="str">
            <v>7</v>
          </cell>
          <cell r="H2019" t="str">
            <v>San Martín de Trevejo</v>
          </cell>
        </row>
        <row r="2020">
          <cell r="D2020" t="str">
            <v>10</v>
          </cell>
          <cell r="E2020" t="str">
            <v>Cáceres</v>
          </cell>
          <cell r="F2020" t="str">
            <v>165</v>
          </cell>
          <cell r="G2020" t="str">
            <v>0</v>
          </cell>
          <cell r="H2020" t="str">
            <v>Santa Ana</v>
          </cell>
        </row>
        <row r="2021">
          <cell r="D2021" t="str">
            <v>10</v>
          </cell>
          <cell r="E2021" t="str">
            <v>Cáceres</v>
          </cell>
          <cell r="F2021" t="str">
            <v>166</v>
          </cell>
          <cell r="G2021" t="str">
            <v>3</v>
          </cell>
          <cell r="H2021" t="str">
            <v>Santa Cruz de la Sierra</v>
          </cell>
        </row>
        <row r="2022">
          <cell r="D2022" t="str">
            <v>10</v>
          </cell>
          <cell r="E2022" t="str">
            <v>Cáceres</v>
          </cell>
          <cell r="F2022" t="str">
            <v>167</v>
          </cell>
          <cell r="G2022" t="str">
            <v>9</v>
          </cell>
          <cell r="H2022" t="str">
            <v>Santa Cruz de Paniagua</v>
          </cell>
        </row>
        <row r="2023">
          <cell r="D2023" t="str">
            <v>10</v>
          </cell>
          <cell r="E2023" t="str">
            <v>Cáceres</v>
          </cell>
          <cell r="F2023" t="str">
            <v>168</v>
          </cell>
          <cell r="G2023" t="str">
            <v>5</v>
          </cell>
          <cell r="H2023" t="str">
            <v>Santa Marta de Magasca</v>
          </cell>
        </row>
        <row r="2024">
          <cell r="D2024" t="str">
            <v>10</v>
          </cell>
          <cell r="E2024" t="str">
            <v>Cáceres</v>
          </cell>
          <cell r="F2024" t="str">
            <v>169</v>
          </cell>
          <cell r="G2024" t="str">
            <v>8</v>
          </cell>
          <cell r="H2024" t="str">
            <v>Santiago de Alcántara</v>
          </cell>
        </row>
        <row r="2025">
          <cell r="D2025" t="str">
            <v>10</v>
          </cell>
          <cell r="E2025" t="str">
            <v>Cáceres</v>
          </cell>
          <cell r="F2025" t="str">
            <v>170</v>
          </cell>
          <cell r="G2025" t="str">
            <v>2</v>
          </cell>
          <cell r="H2025" t="str">
            <v>Santiago del Campo</v>
          </cell>
        </row>
        <row r="2026">
          <cell r="D2026" t="str">
            <v>10</v>
          </cell>
          <cell r="E2026" t="str">
            <v>Cáceres</v>
          </cell>
          <cell r="F2026" t="str">
            <v>171</v>
          </cell>
          <cell r="G2026" t="str">
            <v>9</v>
          </cell>
          <cell r="H2026" t="str">
            <v>Santibáñez el Alto</v>
          </cell>
        </row>
        <row r="2027">
          <cell r="D2027" t="str">
            <v>10</v>
          </cell>
          <cell r="E2027" t="str">
            <v>Cáceres</v>
          </cell>
          <cell r="F2027" t="str">
            <v>172</v>
          </cell>
          <cell r="G2027" t="str">
            <v>4</v>
          </cell>
          <cell r="H2027" t="str">
            <v>Santibáñez el Bajo</v>
          </cell>
        </row>
        <row r="2028">
          <cell r="D2028" t="str">
            <v>10</v>
          </cell>
          <cell r="E2028" t="str">
            <v>Cáceres</v>
          </cell>
          <cell r="F2028" t="str">
            <v>173</v>
          </cell>
          <cell r="G2028" t="str">
            <v>0</v>
          </cell>
          <cell r="H2028" t="str">
            <v>Saucedilla</v>
          </cell>
        </row>
        <row r="2029">
          <cell r="D2029" t="str">
            <v>10</v>
          </cell>
          <cell r="E2029" t="str">
            <v>Cáceres</v>
          </cell>
          <cell r="F2029" t="str">
            <v>174</v>
          </cell>
          <cell r="G2029" t="str">
            <v>5</v>
          </cell>
          <cell r="H2029" t="str">
            <v>Segura de Toro</v>
          </cell>
        </row>
        <row r="2030">
          <cell r="D2030" t="str">
            <v>10</v>
          </cell>
          <cell r="E2030" t="str">
            <v>Cáceres</v>
          </cell>
          <cell r="F2030" t="str">
            <v>175</v>
          </cell>
          <cell r="G2030" t="str">
            <v>8</v>
          </cell>
          <cell r="H2030" t="str">
            <v>Serradilla</v>
          </cell>
        </row>
        <row r="2031">
          <cell r="D2031" t="str">
            <v>10</v>
          </cell>
          <cell r="E2031" t="str">
            <v>Cáceres</v>
          </cell>
          <cell r="F2031" t="str">
            <v>176</v>
          </cell>
          <cell r="G2031" t="str">
            <v>1</v>
          </cell>
          <cell r="H2031" t="str">
            <v>Serrejón</v>
          </cell>
        </row>
        <row r="2032">
          <cell r="D2032" t="str">
            <v>10</v>
          </cell>
          <cell r="E2032" t="str">
            <v>Cáceres</v>
          </cell>
          <cell r="F2032" t="str">
            <v>177</v>
          </cell>
          <cell r="G2032" t="str">
            <v>7</v>
          </cell>
          <cell r="H2032" t="str">
            <v>Sierra de Fuentes</v>
          </cell>
        </row>
        <row r="2033">
          <cell r="D2033" t="str">
            <v>10</v>
          </cell>
          <cell r="E2033" t="str">
            <v>Cáceres</v>
          </cell>
          <cell r="F2033" t="str">
            <v>178</v>
          </cell>
          <cell r="G2033" t="str">
            <v>3</v>
          </cell>
          <cell r="H2033" t="str">
            <v>Talaván</v>
          </cell>
        </row>
        <row r="2034">
          <cell r="D2034" t="str">
            <v>10</v>
          </cell>
          <cell r="E2034" t="str">
            <v>Cáceres</v>
          </cell>
          <cell r="F2034" t="str">
            <v>179</v>
          </cell>
          <cell r="G2034" t="str">
            <v>6</v>
          </cell>
          <cell r="H2034" t="str">
            <v>Talaveruela de la Vera</v>
          </cell>
        </row>
        <row r="2035">
          <cell r="D2035" t="str">
            <v>10</v>
          </cell>
          <cell r="E2035" t="str">
            <v>Cáceres</v>
          </cell>
          <cell r="F2035" t="str">
            <v>180</v>
          </cell>
          <cell r="G2035" t="str">
            <v>0</v>
          </cell>
          <cell r="H2035" t="str">
            <v>Talayuela</v>
          </cell>
        </row>
        <row r="2036">
          <cell r="D2036" t="str">
            <v>10</v>
          </cell>
          <cell r="E2036" t="str">
            <v>Cáceres</v>
          </cell>
          <cell r="F2036" t="str">
            <v>181</v>
          </cell>
          <cell r="G2036" t="str">
            <v>7</v>
          </cell>
          <cell r="H2036" t="str">
            <v>Tejeda de Tiétar</v>
          </cell>
        </row>
        <row r="2037">
          <cell r="D2037" t="str">
            <v>10</v>
          </cell>
          <cell r="E2037" t="str">
            <v>Cáceres</v>
          </cell>
          <cell r="F2037" t="str">
            <v>182</v>
          </cell>
          <cell r="G2037" t="str">
            <v>2</v>
          </cell>
          <cell r="H2037" t="str">
            <v>Toril</v>
          </cell>
        </row>
        <row r="2038">
          <cell r="D2038" t="str">
            <v>10</v>
          </cell>
          <cell r="E2038" t="str">
            <v>Cáceres</v>
          </cell>
          <cell r="F2038" t="str">
            <v>183</v>
          </cell>
          <cell r="G2038" t="str">
            <v>8</v>
          </cell>
          <cell r="H2038" t="str">
            <v>Tornavacas</v>
          </cell>
        </row>
        <row r="2039">
          <cell r="D2039" t="str">
            <v>10</v>
          </cell>
          <cell r="E2039" t="str">
            <v>Cáceres</v>
          </cell>
          <cell r="F2039" t="str">
            <v>184</v>
          </cell>
          <cell r="G2039" t="str">
            <v>3</v>
          </cell>
          <cell r="H2039" t="str">
            <v>Torno, El</v>
          </cell>
        </row>
        <row r="2040">
          <cell r="D2040" t="str">
            <v>10</v>
          </cell>
          <cell r="E2040" t="str">
            <v>Cáceres</v>
          </cell>
          <cell r="F2040" t="str">
            <v>185</v>
          </cell>
          <cell r="G2040" t="str">
            <v>6</v>
          </cell>
          <cell r="H2040" t="str">
            <v>Torrecilla de los Ángeles</v>
          </cell>
        </row>
        <row r="2041">
          <cell r="D2041" t="str">
            <v>10</v>
          </cell>
          <cell r="E2041" t="str">
            <v>Cáceres</v>
          </cell>
          <cell r="F2041" t="str">
            <v>186</v>
          </cell>
          <cell r="G2041" t="str">
            <v>9</v>
          </cell>
          <cell r="H2041" t="str">
            <v>Torrecillas de la Tiesa</v>
          </cell>
        </row>
        <row r="2042">
          <cell r="D2042" t="str">
            <v>10</v>
          </cell>
          <cell r="E2042" t="str">
            <v>Cáceres</v>
          </cell>
          <cell r="F2042" t="str">
            <v>187</v>
          </cell>
          <cell r="G2042" t="str">
            <v>5</v>
          </cell>
          <cell r="H2042" t="str">
            <v>Torre de Don Miguel</v>
          </cell>
        </row>
        <row r="2043">
          <cell r="D2043" t="str">
            <v>10</v>
          </cell>
          <cell r="E2043" t="str">
            <v>Cáceres</v>
          </cell>
          <cell r="F2043" t="str">
            <v>188</v>
          </cell>
          <cell r="G2043" t="str">
            <v>1</v>
          </cell>
          <cell r="H2043" t="str">
            <v>Torre de Santa María</v>
          </cell>
        </row>
        <row r="2044">
          <cell r="D2044" t="str">
            <v>10</v>
          </cell>
          <cell r="E2044" t="str">
            <v>Cáceres</v>
          </cell>
          <cell r="F2044" t="str">
            <v>189</v>
          </cell>
          <cell r="G2044" t="str">
            <v>4</v>
          </cell>
          <cell r="H2044" t="str">
            <v>Torrejoncillo</v>
          </cell>
        </row>
        <row r="2045">
          <cell r="D2045" t="str">
            <v>10</v>
          </cell>
          <cell r="E2045" t="str">
            <v>Cáceres</v>
          </cell>
          <cell r="F2045" t="str">
            <v>190</v>
          </cell>
          <cell r="G2045" t="str">
            <v>8</v>
          </cell>
          <cell r="H2045" t="str">
            <v>Torrejón el Rubio</v>
          </cell>
        </row>
        <row r="2046">
          <cell r="D2046" t="str">
            <v>10</v>
          </cell>
          <cell r="E2046" t="str">
            <v>Cáceres</v>
          </cell>
          <cell r="F2046" t="str">
            <v>191</v>
          </cell>
          <cell r="G2046" t="str">
            <v>5</v>
          </cell>
          <cell r="H2046" t="str">
            <v>Torremenga</v>
          </cell>
        </row>
        <row r="2047">
          <cell r="D2047" t="str">
            <v>10</v>
          </cell>
          <cell r="E2047" t="str">
            <v>Cáceres</v>
          </cell>
          <cell r="F2047" t="str">
            <v>192</v>
          </cell>
          <cell r="G2047" t="str">
            <v>0</v>
          </cell>
          <cell r="H2047" t="str">
            <v>Torremocha</v>
          </cell>
        </row>
        <row r="2048">
          <cell r="D2048" t="str">
            <v>10</v>
          </cell>
          <cell r="E2048" t="str">
            <v>Cáceres</v>
          </cell>
          <cell r="F2048" t="str">
            <v>193</v>
          </cell>
          <cell r="G2048" t="str">
            <v>6</v>
          </cell>
          <cell r="H2048" t="str">
            <v>Torreorgaz</v>
          </cell>
        </row>
        <row r="2049">
          <cell r="D2049" t="str">
            <v>10</v>
          </cell>
          <cell r="E2049" t="str">
            <v>Cáceres</v>
          </cell>
          <cell r="F2049" t="str">
            <v>194</v>
          </cell>
          <cell r="G2049" t="str">
            <v>1</v>
          </cell>
          <cell r="H2049" t="str">
            <v>Torrequemada</v>
          </cell>
        </row>
        <row r="2050">
          <cell r="D2050" t="str">
            <v>10</v>
          </cell>
          <cell r="E2050" t="str">
            <v>Cáceres</v>
          </cell>
          <cell r="F2050" t="str">
            <v>195</v>
          </cell>
          <cell r="G2050" t="str">
            <v>4</v>
          </cell>
          <cell r="H2050" t="str">
            <v>Trujillo</v>
          </cell>
        </row>
        <row r="2051">
          <cell r="D2051" t="str">
            <v>10</v>
          </cell>
          <cell r="E2051" t="str">
            <v>Cáceres</v>
          </cell>
          <cell r="F2051" t="str">
            <v>196</v>
          </cell>
          <cell r="G2051" t="str">
            <v>7</v>
          </cell>
          <cell r="H2051" t="str">
            <v>Valdastillas</v>
          </cell>
        </row>
        <row r="2052">
          <cell r="D2052" t="str">
            <v>10</v>
          </cell>
          <cell r="E2052" t="str">
            <v>Cáceres</v>
          </cell>
          <cell r="F2052" t="str">
            <v>197</v>
          </cell>
          <cell r="G2052" t="str">
            <v>3</v>
          </cell>
          <cell r="H2052" t="str">
            <v>Valdecañas de Tajo</v>
          </cell>
        </row>
        <row r="2053">
          <cell r="D2053" t="str">
            <v>10</v>
          </cell>
          <cell r="E2053" t="str">
            <v>Cáceres</v>
          </cell>
          <cell r="F2053" t="str">
            <v>198</v>
          </cell>
          <cell r="G2053" t="str">
            <v>9</v>
          </cell>
          <cell r="H2053" t="str">
            <v>Valdefuentes</v>
          </cell>
        </row>
        <row r="2054">
          <cell r="D2054" t="str">
            <v>10</v>
          </cell>
          <cell r="E2054" t="str">
            <v>Cáceres</v>
          </cell>
          <cell r="F2054" t="str">
            <v>199</v>
          </cell>
          <cell r="G2054" t="str">
            <v>2</v>
          </cell>
          <cell r="H2054" t="str">
            <v>Valdehúncar</v>
          </cell>
        </row>
        <row r="2055">
          <cell r="D2055" t="str">
            <v>10</v>
          </cell>
          <cell r="E2055" t="str">
            <v>Cáceres</v>
          </cell>
          <cell r="F2055" t="str">
            <v>200</v>
          </cell>
          <cell r="G2055" t="str">
            <v>6</v>
          </cell>
          <cell r="H2055" t="str">
            <v>Valdelacasa de Tajo</v>
          </cell>
        </row>
        <row r="2056">
          <cell r="D2056" t="str">
            <v>10</v>
          </cell>
          <cell r="E2056" t="str">
            <v>Cáceres</v>
          </cell>
          <cell r="F2056" t="str">
            <v>201</v>
          </cell>
          <cell r="G2056" t="str">
            <v>3</v>
          </cell>
          <cell r="H2056" t="str">
            <v>Valdemorales</v>
          </cell>
        </row>
        <row r="2057">
          <cell r="D2057" t="str">
            <v>10</v>
          </cell>
          <cell r="E2057" t="str">
            <v>Cáceres</v>
          </cell>
          <cell r="F2057" t="str">
            <v>202</v>
          </cell>
          <cell r="G2057" t="str">
            <v>8</v>
          </cell>
          <cell r="H2057" t="str">
            <v>Valdeobispo</v>
          </cell>
        </row>
        <row r="2058">
          <cell r="D2058" t="str">
            <v>10</v>
          </cell>
          <cell r="E2058" t="str">
            <v>Cáceres</v>
          </cell>
          <cell r="F2058" t="str">
            <v>203</v>
          </cell>
          <cell r="G2058" t="str">
            <v>4</v>
          </cell>
          <cell r="H2058" t="str">
            <v>Valencia de Alcántara</v>
          </cell>
        </row>
        <row r="2059">
          <cell r="D2059" t="str">
            <v>10</v>
          </cell>
          <cell r="E2059" t="str">
            <v>Cáceres</v>
          </cell>
          <cell r="F2059" t="str">
            <v>204</v>
          </cell>
          <cell r="G2059" t="str">
            <v>9</v>
          </cell>
          <cell r="H2059" t="str">
            <v>Valverde de la Vera</v>
          </cell>
        </row>
        <row r="2060">
          <cell r="D2060" t="str">
            <v>10</v>
          </cell>
          <cell r="E2060" t="str">
            <v>Cáceres</v>
          </cell>
          <cell r="F2060" t="str">
            <v>205</v>
          </cell>
          <cell r="G2060" t="str">
            <v>2</v>
          </cell>
          <cell r="H2060" t="str">
            <v>Valverde del Fresno</v>
          </cell>
        </row>
        <row r="2061">
          <cell r="D2061" t="str">
            <v>10</v>
          </cell>
          <cell r="E2061" t="str">
            <v>Cáceres</v>
          </cell>
          <cell r="F2061" t="str">
            <v>206</v>
          </cell>
          <cell r="G2061" t="str">
            <v>5</v>
          </cell>
          <cell r="H2061" t="str">
            <v>Viandar de la Vera</v>
          </cell>
        </row>
        <row r="2062">
          <cell r="D2062" t="str">
            <v>10</v>
          </cell>
          <cell r="E2062" t="str">
            <v>Cáceres</v>
          </cell>
          <cell r="F2062" t="str">
            <v>207</v>
          </cell>
          <cell r="G2062" t="str">
            <v>1</v>
          </cell>
          <cell r="H2062" t="str">
            <v>Villa del Campo</v>
          </cell>
        </row>
        <row r="2063">
          <cell r="D2063" t="str">
            <v>10</v>
          </cell>
          <cell r="E2063" t="str">
            <v>Cáceres</v>
          </cell>
          <cell r="F2063" t="str">
            <v>208</v>
          </cell>
          <cell r="G2063" t="str">
            <v>7</v>
          </cell>
          <cell r="H2063" t="str">
            <v>Villa del Rey</v>
          </cell>
        </row>
        <row r="2064">
          <cell r="D2064" t="str">
            <v>10</v>
          </cell>
          <cell r="E2064" t="str">
            <v>Cáceres</v>
          </cell>
          <cell r="F2064" t="str">
            <v>209</v>
          </cell>
          <cell r="G2064" t="str">
            <v>0</v>
          </cell>
          <cell r="H2064" t="str">
            <v>Villamesías</v>
          </cell>
        </row>
        <row r="2065">
          <cell r="D2065" t="str">
            <v>10</v>
          </cell>
          <cell r="E2065" t="str">
            <v>Cáceres</v>
          </cell>
          <cell r="F2065" t="str">
            <v>210</v>
          </cell>
          <cell r="G2065" t="str">
            <v>4</v>
          </cell>
          <cell r="H2065" t="str">
            <v>Villamiel</v>
          </cell>
        </row>
        <row r="2066">
          <cell r="D2066" t="str">
            <v>10</v>
          </cell>
          <cell r="E2066" t="str">
            <v>Cáceres</v>
          </cell>
          <cell r="F2066" t="str">
            <v>211</v>
          </cell>
          <cell r="G2066" t="str">
            <v>1</v>
          </cell>
          <cell r="H2066" t="str">
            <v>Villanueva de la Sierra</v>
          </cell>
        </row>
        <row r="2067">
          <cell r="D2067" t="str">
            <v>10</v>
          </cell>
          <cell r="E2067" t="str">
            <v>Cáceres</v>
          </cell>
          <cell r="F2067" t="str">
            <v>212</v>
          </cell>
          <cell r="G2067" t="str">
            <v>6</v>
          </cell>
          <cell r="H2067" t="str">
            <v>Villanueva de la Vera</v>
          </cell>
        </row>
        <row r="2068">
          <cell r="D2068" t="str">
            <v>10</v>
          </cell>
          <cell r="E2068" t="str">
            <v>Cáceres</v>
          </cell>
          <cell r="F2068" t="str">
            <v>213</v>
          </cell>
          <cell r="G2068" t="str">
            <v>2</v>
          </cell>
          <cell r="H2068" t="str">
            <v>Villar del Pedroso</v>
          </cell>
        </row>
        <row r="2069">
          <cell r="D2069" t="str">
            <v>10</v>
          </cell>
          <cell r="E2069" t="str">
            <v>Cáceres</v>
          </cell>
          <cell r="F2069" t="str">
            <v>214</v>
          </cell>
          <cell r="G2069" t="str">
            <v>7</v>
          </cell>
          <cell r="H2069" t="str">
            <v>Villar de Plasencia</v>
          </cell>
        </row>
        <row r="2070">
          <cell r="D2070" t="str">
            <v>10</v>
          </cell>
          <cell r="E2070" t="str">
            <v>Cáceres</v>
          </cell>
          <cell r="F2070" t="str">
            <v>215</v>
          </cell>
          <cell r="G2070" t="str">
            <v>0</v>
          </cell>
          <cell r="H2070" t="str">
            <v>Villasbuenas de Gata</v>
          </cell>
        </row>
        <row r="2071">
          <cell r="D2071" t="str">
            <v>10</v>
          </cell>
          <cell r="E2071" t="str">
            <v>Cáceres</v>
          </cell>
          <cell r="F2071" t="str">
            <v>216</v>
          </cell>
          <cell r="G2071" t="str">
            <v>3</v>
          </cell>
          <cell r="H2071" t="str">
            <v>Zarza de Granadilla</v>
          </cell>
        </row>
        <row r="2072">
          <cell r="D2072" t="str">
            <v>10</v>
          </cell>
          <cell r="E2072" t="str">
            <v>Cáceres</v>
          </cell>
          <cell r="F2072" t="str">
            <v>217</v>
          </cell>
          <cell r="G2072" t="str">
            <v>9</v>
          </cell>
          <cell r="H2072" t="str">
            <v>Zarza de Montánchez</v>
          </cell>
        </row>
        <row r="2073">
          <cell r="D2073" t="str">
            <v>10</v>
          </cell>
          <cell r="E2073" t="str">
            <v>Cáceres</v>
          </cell>
          <cell r="F2073" t="str">
            <v>218</v>
          </cell>
          <cell r="G2073" t="str">
            <v>5</v>
          </cell>
          <cell r="H2073" t="str">
            <v>Zarza la Mayor</v>
          </cell>
        </row>
        <row r="2074">
          <cell r="D2074" t="str">
            <v>10</v>
          </cell>
          <cell r="E2074" t="str">
            <v>Cáceres</v>
          </cell>
          <cell r="F2074" t="str">
            <v>219</v>
          </cell>
          <cell r="G2074" t="str">
            <v>8</v>
          </cell>
          <cell r="H2074" t="str">
            <v>Zorita</v>
          </cell>
        </row>
        <row r="2075">
          <cell r="D2075" t="str">
            <v>10</v>
          </cell>
          <cell r="E2075" t="str">
            <v>Cáceres</v>
          </cell>
          <cell r="F2075" t="str">
            <v>901</v>
          </cell>
          <cell r="G2075" t="str">
            <v>6</v>
          </cell>
          <cell r="H2075" t="str">
            <v>Rosalejo</v>
          </cell>
        </row>
        <row r="2076">
          <cell r="D2076" t="str">
            <v>10</v>
          </cell>
          <cell r="E2076" t="str">
            <v>Cáceres</v>
          </cell>
          <cell r="F2076" t="str">
            <v>902</v>
          </cell>
          <cell r="G2076" t="str">
            <v>1</v>
          </cell>
          <cell r="H2076" t="str">
            <v>Vegaviana</v>
          </cell>
        </row>
        <row r="2077">
          <cell r="D2077" t="str">
            <v>10</v>
          </cell>
          <cell r="E2077" t="str">
            <v>Cáceres</v>
          </cell>
          <cell r="F2077" t="str">
            <v>903</v>
          </cell>
          <cell r="G2077" t="str">
            <v>7</v>
          </cell>
          <cell r="H2077" t="str">
            <v>Alagón del Río</v>
          </cell>
        </row>
        <row r="2078">
          <cell r="D2078" t="str">
            <v>10</v>
          </cell>
          <cell r="E2078" t="str">
            <v>Cáceres</v>
          </cell>
          <cell r="F2078" t="str">
            <v>904</v>
          </cell>
          <cell r="G2078" t="str">
            <v>2</v>
          </cell>
          <cell r="H2078" t="str">
            <v>Tiétar</v>
          </cell>
        </row>
        <row r="2079">
          <cell r="D2079" t="str">
            <v>10</v>
          </cell>
          <cell r="E2079" t="str">
            <v>Cáceres</v>
          </cell>
          <cell r="F2079" t="str">
            <v>905</v>
          </cell>
          <cell r="G2079" t="str">
            <v>5</v>
          </cell>
          <cell r="H2079" t="str">
            <v>Pueblonuevo de Miramontes</v>
          </cell>
        </row>
        <row r="2080">
          <cell r="D2080" t="str">
            <v>11</v>
          </cell>
          <cell r="E2080" t="str">
            <v>Cádiz</v>
          </cell>
          <cell r="F2080" t="str">
            <v>001</v>
          </cell>
          <cell r="G2080" t="str">
            <v>2</v>
          </cell>
          <cell r="H2080" t="str">
            <v>Alcalá de los Gazules</v>
          </cell>
        </row>
        <row r="2081">
          <cell r="D2081" t="str">
            <v>11</v>
          </cell>
          <cell r="E2081" t="str">
            <v>Cádiz</v>
          </cell>
          <cell r="F2081" t="str">
            <v>002</v>
          </cell>
          <cell r="G2081" t="str">
            <v>7</v>
          </cell>
          <cell r="H2081" t="str">
            <v>Alcalá del Valle</v>
          </cell>
        </row>
        <row r="2082">
          <cell r="D2082" t="str">
            <v>11</v>
          </cell>
          <cell r="E2082" t="str">
            <v>Cádiz</v>
          </cell>
          <cell r="F2082" t="str">
            <v>003</v>
          </cell>
          <cell r="G2082" t="str">
            <v>3</v>
          </cell>
          <cell r="H2082" t="str">
            <v>Algar</v>
          </cell>
        </row>
        <row r="2083">
          <cell r="D2083" t="str">
            <v>11</v>
          </cell>
          <cell r="E2083" t="str">
            <v>Cádiz</v>
          </cell>
          <cell r="F2083" t="str">
            <v>005</v>
          </cell>
          <cell r="G2083" t="str">
            <v>1</v>
          </cell>
          <cell r="H2083" t="str">
            <v>Algodonales</v>
          </cell>
        </row>
        <row r="2084">
          <cell r="D2084" t="str">
            <v>11</v>
          </cell>
          <cell r="E2084" t="str">
            <v>Cádiz</v>
          </cell>
          <cell r="F2084" t="str">
            <v>006</v>
          </cell>
          <cell r="G2084" t="str">
            <v>4</v>
          </cell>
          <cell r="H2084" t="str">
            <v>Arcos de la Frontera</v>
          </cell>
        </row>
        <row r="2085">
          <cell r="D2085" t="str">
            <v>11</v>
          </cell>
          <cell r="E2085" t="str">
            <v>Cádiz</v>
          </cell>
          <cell r="F2085" t="str">
            <v>007</v>
          </cell>
          <cell r="G2085" t="str">
            <v>0</v>
          </cell>
          <cell r="H2085" t="str">
            <v>Barbate</v>
          </cell>
        </row>
        <row r="2086">
          <cell r="D2086" t="str">
            <v>11</v>
          </cell>
          <cell r="E2086" t="str">
            <v>Cádiz</v>
          </cell>
          <cell r="F2086" t="str">
            <v>009</v>
          </cell>
          <cell r="G2086" t="str">
            <v>9</v>
          </cell>
          <cell r="H2086" t="str">
            <v>Benaocaz</v>
          </cell>
        </row>
        <row r="2087">
          <cell r="D2087" t="str">
            <v>11</v>
          </cell>
          <cell r="E2087" t="str">
            <v>Cádiz</v>
          </cell>
          <cell r="F2087" t="str">
            <v>010</v>
          </cell>
          <cell r="G2087" t="str">
            <v>3</v>
          </cell>
          <cell r="H2087" t="str">
            <v>Bornos</v>
          </cell>
        </row>
        <row r="2088">
          <cell r="D2088" t="str">
            <v>11</v>
          </cell>
          <cell r="E2088" t="str">
            <v>Cádiz</v>
          </cell>
          <cell r="F2088" t="str">
            <v>011</v>
          </cell>
          <cell r="G2088" t="str">
            <v>0</v>
          </cell>
          <cell r="H2088" t="str">
            <v>Bosque, El</v>
          </cell>
        </row>
        <row r="2089">
          <cell r="D2089" t="str">
            <v>11</v>
          </cell>
          <cell r="E2089" t="str">
            <v>Cádiz</v>
          </cell>
          <cell r="F2089" t="str">
            <v>012</v>
          </cell>
          <cell r="G2089" t="str">
            <v>5</v>
          </cell>
          <cell r="H2089" t="str">
            <v>Cádiz</v>
          </cell>
        </row>
        <row r="2090">
          <cell r="D2090" t="str">
            <v>11</v>
          </cell>
          <cell r="E2090" t="str">
            <v>Cádiz</v>
          </cell>
          <cell r="F2090" t="str">
            <v>013</v>
          </cell>
          <cell r="G2090" t="str">
            <v>1</v>
          </cell>
          <cell r="H2090" t="str">
            <v>Castellar de la Frontera</v>
          </cell>
        </row>
        <row r="2091">
          <cell r="D2091" t="str">
            <v>11</v>
          </cell>
          <cell r="E2091" t="str">
            <v>Cádiz</v>
          </cell>
          <cell r="F2091" t="str">
            <v>014</v>
          </cell>
          <cell r="G2091" t="str">
            <v>6</v>
          </cell>
          <cell r="H2091" t="str">
            <v>Conil de la Frontera</v>
          </cell>
        </row>
        <row r="2092">
          <cell r="D2092" t="str">
            <v>11</v>
          </cell>
          <cell r="E2092" t="str">
            <v>Cádiz</v>
          </cell>
          <cell r="F2092" t="str">
            <v>015</v>
          </cell>
          <cell r="G2092" t="str">
            <v>9</v>
          </cell>
          <cell r="H2092" t="str">
            <v>Chiclana de la Frontera</v>
          </cell>
        </row>
        <row r="2093">
          <cell r="D2093" t="str">
            <v>11</v>
          </cell>
          <cell r="E2093" t="str">
            <v>Cádiz</v>
          </cell>
          <cell r="F2093" t="str">
            <v>016</v>
          </cell>
          <cell r="G2093" t="str">
            <v>2</v>
          </cell>
          <cell r="H2093" t="str">
            <v>Chipiona</v>
          </cell>
        </row>
        <row r="2094">
          <cell r="D2094" t="str">
            <v>11</v>
          </cell>
          <cell r="E2094" t="str">
            <v>Cádiz</v>
          </cell>
          <cell r="F2094" t="str">
            <v>017</v>
          </cell>
          <cell r="G2094" t="str">
            <v>8</v>
          </cell>
          <cell r="H2094" t="str">
            <v>Espera</v>
          </cell>
        </row>
        <row r="2095">
          <cell r="D2095" t="str">
            <v>11</v>
          </cell>
          <cell r="E2095" t="str">
            <v>Cádiz</v>
          </cell>
          <cell r="F2095" t="str">
            <v>018</v>
          </cell>
          <cell r="G2095" t="str">
            <v>4</v>
          </cell>
          <cell r="H2095" t="str">
            <v>Gastor, El</v>
          </cell>
        </row>
        <row r="2096">
          <cell r="D2096" t="str">
            <v>11</v>
          </cell>
          <cell r="E2096" t="str">
            <v>Cádiz</v>
          </cell>
          <cell r="F2096" t="str">
            <v>019</v>
          </cell>
          <cell r="G2096" t="str">
            <v>7</v>
          </cell>
          <cell r="H2096" t="str">
            <v>Grazalema</v>
          </cell>
        </row>
        <row r="2097">
          <cell r="D2097" t="str">
            <v>11</v>
          </cell>
          <cell r="E2097" t="str">
            <v>Cádiz</v>
          </cell>
          <cell r="F2097" t="str">
            <v>020</v>
          </cell>
          <cell r="G2097" t="str">
            <v>1</v>
          </cell>
          <cell r="H2097" t="str">
            <v>Jerez de la Frontera</v>
          </cell>
        </row>
        <row r="2098">
          <cell r="D2098" t="str">
            <v>11</v>
          </cell>
          <cell r="E2098" t="str">
            <v>Cádiz</v>
          </cell>
          <cell r="F2098" t="str">
            <v>021</v>
          </cell>
          <cell r="G2098" t="str">
            <v>8</v>
          </cell>
          <cell r="H2098" t="str">
            <v>Jimena de la Frontera</v>
          </cell>
        </row>
        <row r="2099">
          <cell r="D2099" t="str">
            <v>11</v>
          </cell>
          <cell r="E2099" t="str">
            <v>Cádiz</v>
          </cell>
          <cell r="F2099" t="str">
            <v>023</v>
          </cell>
          <cell r="G2099" t="str">
            <v>9</v>
          </cell>
          <cell r="H2099" t="str">
            <v>Medina Sidonia</v>
          </cell>
        </row>
        <row r="2100">
          <cell r="D2100" t="str">
            <v>11</v>
          </cell>
          <cell r="E2100" t="str">
            <v>Cádiz</v>
          </cell>
          <cell r="F2100" t="str">
            <v>024</v>
          </cell>
          <cell r="G2100" t="str">
            <v>4</v>
          </cell>
          <cell r="H2100" t="str">
            <v>Olvera</v>
          </cell>
        </row>
        <row r="2101">
          <cell r="D2101" t="str">
            <v>11</v>
          </cell>
          <cell r="E2101" t="str">
            <v>Cádiz</v>
          </cell>
          <cell r="F2101" t="str">
            <v>025</v>
          </cell>
          <cell r="G2101" t="str">
            <v>7</v>
          </cell>
          <cell r="H2101" t="str">
            <v>Paterna de Rivera</v>
          </cell>
        </row>
        <row r="2102">
          <cell r="D2102" t="str">
            <v>11</v>
          </cell>
          <cell r="E2102" t="str">
            <v>Cádiz</v>
          </cell>
          <cell r="F2102" t="str">
            <v>026</v>
          </cell>
          <cell r="G2102" t="str">
            <v>0</v>
          </cell>
          <cell r="H2102" t="str">
            <v>Prado del Rey</v>
          </cell>
        </row>
        <row r="2103">
          <cell r="D2103" t="str">
            <v>11</v>
          </cell>
          <cell r="E2103" t="str">
            <v>Cádiz</v>
          </cell>
          <cell r="F2103" t="str">
            <v>027</v>
          </cell>
          <cell r="G2103" t="str">
            <v>6</v>
          </cell>
          <cell r="H2103" t="str">
            <v>Puerto de Santa María, El</v>
          </cell>
        </row>
        <row r="2104">
          <cell r="D2104" t="str">
            <v>11</v>
          </cell>
          <cell r="E2104" t="str">
            <v>Cádiz</v>
          </cell>
          <cell r="F2104" t="str">
            <v>028</v>
          </cell>
          <cell r="G2104" t="str">
            <v>2</v>
          </cell>
          <cell r="H2104" t="str">
            <v>Puerto Real</v>
          </cell>
        </row>
        <row r="2105">
          <cell r="D2105" t="str">
            <v>11</v>
          </cell>
          <cell r="E2105" t="str">
            <v>Cádiz</v>
          </cell>
          <cell r="F2105" t="str">
            <v>029</v>
          </cell>
          <cell r="G2105" t="str">
            <v>5</v>
          </cell>
          <cell r="H2105" t="str">
            <v>Puerto Serrano</v>
          </cell>
        </row>
        <row r="2106">
          <cell r="D2106" t="str">
            <v>11</v>
          </cell>
          <cell r="E2106" t="str">
            <v>Cádiz</v>
          </cell>
          <cell r="F2106" t="str">
            <v>030</v>
          </cell>
          <cell r="G2106" t="str">
            <v>9</v>
          </cell>
          <cell r="H2106" t="str">
            <v>Rota</v>
          </cell>
        </row>
        <row r="2107">
          <cell r="D2107" t="str">
            <v>11</v>
          </cell>
          <cell r="E2107" t="str">
            <v>Cádiz</v>
          </cell>
          <cell r="F2107" t="str">
            <v>031</v>
          </cell>
          <cell r="G2107" t="str">
            <v>6</v>
          </cell>
          <cell r="H2107" t="str">
            <v>San Fernando</v>
          </cell>
        </row>
        <row r="2108">
          <cell r="D2108" t="str">
            <v>11</v>
          </cell>
          <cell r="E2108" t="str">
            <v>Cádiz</v>
          </cell>
          <cell r="F2108" t="str">
            <v>032</v>
          </cell>
          <cell r="G2108" t="str">
            <v>1</v>
          </cell>
          <cell r="H2108" t="str">
            <v>Sanlúcar de Barrameda</v>
          </cell>
        </row>
        <row r="2109">
          <cell r="D2109" t="str">
            <v>11</v>
          </cell>
          <cell r="E2109" t="str">
            <v>Cádiz</v>
          </cell>
          <cell r="F2109" t="str">
            <v>034</v>
          </cell>
          <cell r="G2109" t="str">
            <v>2</v>
          </cell>
          <cell r="H2109" t="str">
            <v>Setenil de las Bodegas</v>
          </cell>
        </row>
        <row r="2110">
          <cell r="D2110" t="str">
            <v>11</v>
          </cell>
          <cell r="E2110" t="str">
            <v>Cádiz</v>
          </cell>
          <cell r="F2110" t="str">
            <v>035</v>
          </cell>
          <cell r="G2110" t="str">
            <v>5</v>
          </cell>
          <cell r="H2110" t="str">
            <v>Tarifa</v>
          </cell>
        </row>
        <row r="2111">
          <cell r="D2111" t="str">
            <v>11</v>
          </cell>
          <cell r="E2111" t="str">
            <v>Cádiz</v>
          </cell>
          <cell r="F2111" t="str">
            <v>036</v>
          </cell>
          <cell r="G2111" t="str">
            <v>8</v>
          </cell>
          <cell r="H2111" t="str">
            <v>Torre Alháquime</v>
          </cell>
        </row>
        <row r="2112">
          <cell r="D2112" t="str">
            <v>11</v>
          </cell>
          <cell r="E2112" t="str">
            <v>Cádiz</v>
          </cell>
          <cell r="F2112" t="str">
            <v>037</v>
          </cell>
          <cell r="G2112" t="str">
            <v>4</v>
          </cell>
          <cell r="H2112" t="str">
            <v>Trebujena</v>
          </cell>
        </row>
        <row r="2113">
          <cell r="D2113" t="str">
            <v>11</v>
          </cell>
          <cell r="E2113" t="str">
            <v>Cádiz</v>
          </cell>
          <cell r="F2113" t="str">
            <v>038</v>
          </cell>
          <cell r="G2113" t="str">
            <v>0</v>
          </cell>
          <cell r="H2113" t="str">
            <v>Ubrique</v>
          </cell>
        </row>
        <row r="2114">
          <cell r="D2114" t="str">
            <v>11</v>
          </cell>
          <cell r="E2114" t="str">
            <v>Cádiz</v>
          </cell>
          <cell r="F2114" t="str">
            <v>039</v>
          </cell>
          <cell r="G2114" t="str">
            <v>3</v>
          </cell>
          <cell r="H2114" t="str">
            <v>Vejer de la Frontera</v>
          </cell>
        </row>
        <row r="2115">
          <cell r="D2115" t="str">
            <v>11</v>
          </cell>
          <cell r="E2115" t="str">
            <v>Cádiz</v>
          </cell>
          <cell r="F2115" t="str">
            <v>040</v>
          </cell>
          <cell r="G2115" t="str">
            <v>7</v>
          </cell>
          <cell r="H2115" t="str">
            <v>Villaluenga del Rosario</v>
          </cell>
        </row>
        <row r="2116">
          <cell r="D2116" t="str">
            <v>11</v>
          </cell>
          <cell r="E2116" t="str">
            <v>Cádiz</v>
          </cell>
          <cell r="F2116" t="str">
            <v>041</v>
          </cell>
          <cell r="G2116" t="str">
            <v>4</v>
          </cell>
          <cell r="H2116" t="str">
            <v>Villamartín</v>
          </cell>
        </row>
        <row r="2117">
          <cell r="D2117" t="str">
            <v>11</v>
          </cell>
          <cell r="E2117" t="str">
            <v>Cádiz</v>
          </cell>
          <cell r="F2117" t="str">
            <v>042</v>
          </cell>
          <cell r="G2117" t="str">
            <v>9</v>
          </cell>
          <cell r="H2117" t="str">
            <v>Zahara</v>
          </cell>
        </row>
        <row r="2118">
          <cell r="D2118" t="str">
            <v>11</v>
          </cell>
          <cell r="E2118" t="str">
            <v>Cádiz</v>
          </cell>
          <cell r="F2118" t="str">
            <v>901</v>
          </cell>
          <cell r="G2118" t="str">
            <v>3</v>
          </cell>
          <cell r="H2118" t="str">
            <v>Benalup-Casas Viejas</v>
          </cell>
        </row>
        <row r="2119">
          <cell r="D2119" t="str">
            <v>11</v>
          </cell>
          <cell r="E2119" t="str">
            <v>Cádiz</v>
          </cell>
          <cell r="F2119" t="str">
            <v>902</v>
          </cell>
          <cell r="G2119" t="str">
            <v>8</v>
          </cell>
          <cell r="H2119" t="str">
            <v>San José del Valle</v>
          </cell>
        </row>
        <row r="2120">
          <cell r="D2120" t="str">
            <v>11</v>
          </cell>
          <cell r="E2120" t="str">
            <v>Cádiz</v>
          </cell>
          <cell r="F2120" t="str">
            <v>903</v>
          </cell>
          <cell r="G2120">
            <v>4</v>
          </cell>
          <cell r="H2120" t="str">
            <v>San Martín del Tesorillo</v>
          </cell>
        </row>
        <row r="2121">
          <cell r="D2121" t="str">
            <v>12</v>
          </cell>
          <cell r="E2121" t="str">
            <v>Castellón/Castelló</v>
          </cell>
          <cell r="F2121" t="str">
            <v>001</v>
          </cell>
          <cell r="G2121" t="str">
            <v>7</v>
          </cell>
          <cell r="H2121" t="str">
            <v>Atzeneta del Maestrat</v>
          </cell>
        </row>
        <row r="2122">
          <cell r="D2122" t="str">
            <v>12</v>
          </cell>
          <cell r="E2122" t="str">
            <v>Castellón/Castelló</v>
          </cell>
          <cell r="F2122" t="str">
            <v>002</v>
          </cell>
          <cell r="G2122" t="str">
            <v>2</v>
          </cell>
          <cell r="H2122" t="str">
            <v>Aín</v>
          </cell>
        </row>
        <row r="2123">
          <cell r="D2123" t="str">
            <v>12</v>
          </cell>
          <cell r="E2123" t="str">
            <v>Castellón/Castelló</v>
          </cell>
          <cell r="F2123" t="str">
            <v>003</v>
          </cell>
          <cell r="G2123" t="str">
            <v>8</v>
          </cell>
          <cell r="H2123" t="str">
            <v>Albocàsser</v>
          </cell>
        </row>
        <row r="2124">
          <cell r="D2124" t="str">
            <v>12</v>
          </cell>
          <cell r="E2124" t="str">
            <v>Castellón/Castelló</v>
          </cell>
          <cell r="F2124" t="str">
            <v>004</v>
          </cell>
          <cell r="G2124" t="str">
            <v>3</v>
          </cell>
          <cell r="H2124" t="str">
            <v>Alcalà de Xivert</v>
          </cell>
        </row>
        <row r="2125">
          <cell r="D2125" t="str">
            <v>12</v>
          </cell>
          <cell r="E2125" t="str">
            <v>Castellón/Castelló</v>
          </cell>
          <cell r="F2125" t="str">
            <v>005</v>
          </cell>
          <cell r="G2125" t="str">
            <v>6</v>
          </cell>
          <cell r="H2125" t="str">
            <v>Alcora, l'</v>
          </cell>
        </row>
        <row r="2126">
          <cell r="D2126" t="str">
            <v>12</v>
          </cell>
          <cell r="E2126" t="str">
            <v>Castellón/Castelló</v>
          </cell>
          <cell r="F2126" t="str">
            <v>006</v>
          </cell>
          <cell r="G2126" t="str">
            <v>9</v>
          </cell>
          <cell r="H2126" t="str">
            <v>Alcudia de Veo</v>
          </cell>
        </row>
        <row r="2127">
          <cell r="D2127" t="str">
            <v>12</v>
          </cell>
          <cell r="E2127" t="str">
            <v>Castellón/Castelló</v>
          </cell>
          <cell r="F2127" t="str">
            <v>007</v>
          </cell>
          <cell r="G2127" t="str">
            <v>5</v>
          </cell>
          <cell r="H2127" t="str">
            <v>Alfondeguilla</v>
          </cell>
        </row>
        <row r="2128">
          <cell r="D2128" t="str">
            <v>12</v>
          </cell>
          <cell r="E2128" t="str">
            <v>Castellón/Castelló</v>
          </cell>
          <cell r="F2128" t="str">
            <v>008</v>
          </cell>
          <cell r="G2128" t="str">
            <v>1</v>
          </cell>
          <cell r="H2128" t="str">
            <v>Algimia de Almonacid</v>
          </cell>
        </row>
        <row r="2129">
          <cell r="D2129" t="str">
            <v>12</v>
          </cell>
          <cell r="E2129" t="str">
            <v>Castellón/Castelló</v>
          </cell>
          <cell r="F2129" t="str">
            <v>009</v>
          </cell>
          <cell r="G2129" t="str">
            <v>4</v>
          </cell>
          <cell r="H2129" t="str">
            <v>Almassora</v>
          </cell>
        </row>
        <row r="2130">
          <cell r="D2130" t="str">
            <v>12</v>
          </cell>
          <cell r="E2130" t="str">
            <v>Castellón/Castelló</v>
          </cell>
          <cell r="F2130" t="str">
            <v>010</v>
          </cell>
          <cell r="G2130" t="str">
            <v>8</v>
          </cell>
          <cell r="H2130" t="str">
            <v>Almedíjar</v>
          </cell>
        </row>
        <row r="2131">
          <cell r="D2131" t="str">
            <v>12</v>
          </cell>
          <cell r="E2131" t="str">
            <v>Castellón/Castelló</v>
          </cell>
          <cell r="F2131" t="str">
            <v>011</v>
          </cell>
          <cell r="G2131" t="str">
            <v>5</v>
          </cell>
          <cell r="H2131" t="str">
            <v>Almenara</v>
          </cell>
        </row>
        <row r="2132">
          <cell r="D2132" t="str">
            <v>12</v>
          </cell>
          <cell r="E2132" t="str">
            <v>Castellón/Castelló</v>
          </cell>
          <cell r="F2132" t="str">
            <v>012</v>
          </cell>
          <cell r="G2132" t="str">
            <v>0</v>
          </cell>
          <cell r="H2132" t="str">
            <v>Altura</v>
          </cell>
        </row>
        <row r="2133">
          <cell r="D2133" t="str">
            <v>12</v>
          </cell>
          <cell r="E2133" t="str">
            <v>Castellón/Castelló</v>
          </cell>
          <cell r="F2133" t="str">
            <v>013</v>
          </cell>
          <cell r="G2133" t="str">
            <v>6</v>
          </cell>
          <cell r="H2133" t="str">
            <v>Arañuel</v>
          </cell>
        </row>
        <row r="2134">
          <cell r="D2134" t="str">
            <v>12</v>
          </cell>
          <cell r="E2134" t="str">
            <v>Castellón/Castelló</v>
          </cell>
          <cell r="F2134" t="str">
            <v>014</v>
          </cell>
          <cell r="G2134" t="str">
            <v>1</v>
          </cell>
          <cell r="H2134" t="str">
            <v>Ares del Maestrat</v>
          </cell>
        </row>
        <row r="2135">
          <cell r="D2135" t="str">
            <v>12</v>
          </cell>
          <cell r="E2135" t="str">
            <v>Castellón/Castelló</v>
          </cell>
          <cell r="F2135" t="str">
            <v>015</v>
          </cell>
          <cell r="G2135" t="str">
            <v>4</v>
          </cell>
          <cell r="H2135" t="str">
            <v>Argelita</v>
          </cell>
        </row>
        <row r="2136">
          <cell r="D2136" t="str">
            <v>12</v>
          </cell>
          <cell r="E2136" t="str">
            <v>Castellón/Castelló</v>
          </cell>
          <cell r="F2136" t="str">
            <v>016</v>
          </cell>
          <cell r="G2136" t="str">
            <v>7</v>
          </cell>
          <cell r="H2136" t="str">
            <v>Artana</v>
          </cell>
        </row>
        <row r="2137">
          <cell r="D2137" t="str">
            <v>12</v>
          </cell>
          <cell r="E2137" t="str">
            <v>Castellón/Castelló</v>
          </cell>
          <cell r="F2137" t="str">
            <v>017</v>
          </cell>
          <cell r="G2137" t="str">
            <v>3</v>
          </cell>
          <cell r="H2137" t="str">
            <v>Ayódar</v>
          </cell>
        </row>
        <row r="2138">
          <cell r="D2138" t="str">
            <v>12</v>
          </cell>
          <cell r="E2138" t="str">
            <v>Castellón/Castelló</v>
          </cell>
          <cell r="F2138" t="str">
            <v>018</v>
          </cell>
          <cell r="G2138" t="str">
            <v>9</v>
          </cell>
          <cell r="H2138" t="str">
            <v>Azuébar</v>
          </cell>
        </row>
        <row r="2139">
          <cell r="D2139" t="str">
            <v>12</v>
          </cell>
          <cell r="E2139" t="str">
            <v>Castellón/Castelló</v>
          </cell>
          <cell r="F2139" t="str">
            <v>020</v>
          </cell>
          <cell r="G2139" t="str">
            <v>6</v>
          </cell>
          <cell r="H2139" t="str">
            <v>Barracas</v>
          </cell>
        </row>
        <row r="2140">
          <cell r="D2140" t="str">
            <v>12</v>
          </cell>
          <cell r="E2140" t="str">
            <v>Castellón/Castelló</v>
          </cell>
          <cell r="F2140" t="str">
            <v>021</v>
          </cell>
          <cell r="G2140" t="str">
            <v>3</v>
          </cell>
          <cell r="H2140" t="str">
            <v>Betxí</v>
          </cell>
        </row>
        <row r="2141">
          <cell r="D2141" t="str">
            <v>12</v>
          </cell>
          <cell r="E2141" t="str">
            <v>Castellón/Castelló</v>
          </cell>
          <cell r="F2141" t="str">
            <v>022</v>
          </cell>
          <cell r="G2141" t="str">
            <v>8</v>
          </cell>
          <cell r="H2141" t="str">
            <v>Bejís</v>
          </cell>
        </row>
        <row r="2142">
          <cell r="D2142" t="str">
            <v>12</v>
          </cell>
          <cell r="E2142" t="str">
            <v>Castellón/Castelló</v>
          </cell>
          <cell r="F2142" t="str">
            <v>024</v>
          </cell>
          <cell r="G2142" t="str">
            <v>9</v>
          </cell>
          <cell r="H2142" t="str">
            <v>Benafer</v>
          </cell>
        </row>
        <row r="2143">
          <cell r="D2143" t="str">
            <v>12</v>
          </cell>
          <cell r="E2143" t="str">
            <v>Castellón/Castelló</v>
          </cell>
          <cell r="F2143" t="str">
            <v>025</v>
          </cell>
          <cell r="G2143" t="str">
            <v>2</v>
          </cell>
          <cell r="H2143" t="str">
            <v>Benafigos</v>
          </cell>
        </row>
        <row r="2144">
          <cell r="D2144" t="str">
            <v>12</v>
          </cell>
          <cell r="E2144" t="str">
            <v>Castellón/Castelló</v>
          </cell>
          <cell r="F2144" t="str">
            <v>026</v>
          </cell>
          <cell r="G2144" t="str">
            <v>5</v>
          </cell>
          <cell r="H2144" t="str">
            <v>Benassal</v>
          </cell>
        </row>
        <row r="2145">
          <cell r="D2145" t="str">
            <v>12</v>
          </cell>
          <cell r="E2145" t="str">
            <v>Castellón/Castelló</v>
          </cell>
          <cell r="F2145" t="str">
            <v>027</v>
          </cell>
          <cell r="G2145" t="str">
            <v>1</v>
          </cell>
          <cell r="H2145" t="str">
            <v>Benicarló</v>
          </cell>
        </row>
        <row r="2146">
          <cell r="D2146" t="str">
            <v>12</v>
          </cell>
          <cell r="E2146" t="str">
            <v>Castellón/Castelló</v>
          </cell>
          <cell r="F2146" t="str">
            <v>028</v>
          </cell>
          <cell r="G2146" t="str">
            <v>7</v>
          </cell>
          <cell r="H2146" t="str">
            <v>Benicàssim/Benicasim</v>
          </cell>
        </row>
        <row r="2147">
          <cell r="D2147" t="str">
            <v>12</v>
          </cell>
          <cell r="E2147" t="str">
            <v>Castellón/Castelló</v>
          </cell>
          <cell r="F2147" t="str">
            <v>029</v>
          </cell>
          <cell r="G2147" t="str">
            <v>0</v>
          </cell>
          <cell r="H2147" t="str">
            <v>Benlloc</v>
          </cell>
        </row>
        <row r="2148">
          <cell r="D2148" t="str">
            <v>12</v>
          </cell>
          <cell r="E2148" t="str">
            <v>Castellón/Castelló</v>
          </cell>
          <cell r="F2148" t="str">
            <v>031</v>
          </cell>
          <cell r="G2148" t="str">
            <v>1</v>
          </cell>
          <cell r="H2148" t="str">
            <v>Borriol</v>
          </cell>
        </row>
        <row r="2149">
          <cell r="D2149" t="str">
            <v>12</v>
          </cell>
          <cell r="E2149" t="str">
            <v>Castellón/Castelló</v>
          </cell>
          <cell r="F2149" t="str">
            <v>032</v>
          </cell>
          <cell r="G2149" t="str">
            <v>6</v>
          </cell>
          <cell r="H2149" t="str">
            <v>Borriana/Burriana</v>
          </cell>
        </row>
        <row r="2150">
          <cell r="D2150" t="str">
            <v>12</v>
          </cell>
          <cell r="E2150" t="str">
            <v>Castellón/Castelló</v>
          </cell>
          <cell r="F2150" t="str">
            <v>033</v>
          </cell>
          <cell r="G2150" t="str">
            <v>2</v>
          </cell>
          <cell r="H2150" t="str">
            <v>Cabanes</v>
          </cell>
        </row>
        <row r="2151">
          <cell r="D2151" t="str">
            <v>12</v>
          </cell>
          <cell r="E2151" t="str">
            <v>Castellón/Castelló</v>
          </cell>
          <cell r="F2151" t="str">
            <v>034</v>
          </cell>
          <cell r="G2151" t="str">
            <v>7</v>
          </cell>
          <cell r="H2151" t="str">
            <v>Càlig</v>
          </cell>
        </row>
        <row r="2152">
          <cell r="D2152" t="str">
            <v>12</v>
          </cell>
          <cell r="E2152" t="str">
            <v>Castellón/Castelló</v>
          </cell>
          <cell r="F2152" t="str">
            <v>036</v>
          </cell>
          <cell r="G2152" t="str">
            <v>3</v>
          </cell>
          <cell r="H2152" t="str">
            <v>Canet lo Roig</v>
          </cell>
        </row>
        <row r="2153">
          <cell r="D2153" t="str">
            <v>12</v>
          </cell>
          <cell r="E2153" t="str">
            <v>Castellón/Castelló</v>
          </cell>
          <cell r="F2153" t="str">
            <v>037</v>
          </cell>
          <cell r="G2153" t="str">
            <v>9</v>
          </cell>
          <cell r="H2153" t="str">
            <v>Castell de Cabres</v>
          </cell>
        </row>
        <row r="2154">
          <cell r="D2154" t="str">
            <v>12</v>
          </cell>
          <cell r="E2154" t="str">
            <v>Castellón/Castelló</v>
          </cell>
          <cell r="F2154" t="str">
            <v>038</v>
          </cell>
          <cell r="G2154" t="str">
            <v>5</v>
          </cell>
          <cell r="H2154" t="str">
            <v>Castellfort</v>
          </cell>
        </row>
        <row r="2155">
          <cell r="D2155" t="str">
            <v>12</v>
          </cell>
          <cell r="E2155" t="str">
            <v>Castellón/Castelló</v>
          </cell>
          <cell r="F2155" t="str">
            <v>039</v>
          </cell>
          <cell r="G2155" t="str">
            <v>8</v>
          </cell>
          <cell r="H2155" t="str">
            <v>Castellnovo</v>
          </cell>
        </row>
        <row r="2156">
          <cell r="D2156" t="str">
            <v>12</v>
          </cell>
          <cell r="E2156" t="str">
            <v>Castellón/Castelló</v>
          </cell>
          <cell r="F2156" t="str">
            <v>040</v>
          </cell>
          <cell r="G2156" t="str">
            <v>2</v>
          </cell>
          <cell r="H2156" t="str">
            <v>Castelló de la Plana</v>
          </cell>
        </row>
        <row r="2157">
          <cell r="D2157" t="str">
            <v>12</v>
          </cell>
          <cell r="E2157" t="str">
            <v>Castellón/Castelló</v>
          </cell>
          <cell r="F2157" t="str">
            <v>041</v>
          </cell>
          <cell r="G2157" t="str">
            <v>9</v>
          </cell>
          <cell r="H2157" t="str">
            <v>Castillo de Villamalefa</v>
          </cell>
        </row>
        <row r="2158">
          <cell r="D2158" t="str">
            <v>12</v>
          </cell>
          <cell r="E2158" t="str">
            <v>Castellón/Castelló</v>
          </cell>
          <cell r="F2158" t="str">
            <v>042</v>
          </cell>
          <cell r="G2158" t="str">
            <v>4</v>
          </cell>
          <cell r="H2158" t="str">
            <v>Catí</v>
          </cell>
        </row>
        <row r="2159">
          <cell r="D2159" t="str">
            <v>12</v>
          </cell>
          <cell r="E2159" t="str">
            <v>Castellón/Castelló</v>
          </cell>
          <cell r="F2159" t="str">
            <v>043</v>
          </cell>
          <cell r="G2159" t="str">
            <v>0</v>
          </cell>
          <cell r="H2159" t="str">
            <v>Caudiel</v>
          </cell>
        </row>
        <row r="2160">
          <cell r="D2160" t="str">
            <v>12</v>
          </cell>
          <cell r="E2160" t="str">
            <v>Castellón/Castelló</v>
          </cell>
          <cell r="F2160" t="str">
            <v>044</v>
          </cell>
          <cell r="G2160" t="str">
            <v>5</v>
          </cell>
          <cell r="H2160" t="str">
            <v>Cervera del Maestre</v>
          </cell>
        </row>
        <row r="2161">
          <cell r="D2161" t="str">
            <v>12</v>
          </cell>
          <cell r="E2161" t="str">
            <v>Castellón/Castelló</v>
          </cell>
          <cell r="F2161" t="str">
            <v>045</v>
          </cell>
          <cell r="G2161" t="str">
            <v>8</v>
          </cell>
          <cell r="H2161" t="str">
            <v>Cinctorres</v>
          </cell>
        </row>
        <row r="2162">
          <cell r="D2162" t="str">
            <v>12</v>
          </cell>
          <cell r="E2162" t="str">
            <v>Castellón/Castelló</v>
          </cell>
          <cell r="F2162" t="str">
            <v>046</v>
          </cell>
          <cell r="G2162" t="str">
            <v>1</v>
          </cell>
          <cell r="H2162" t="str">
            <v>Cirat</v>
          </cell>
        </row>
        <row r="2163">
          <cell r="D2163" t="str">
            <v>12</v>
          </cell>
          <cell r="E2163" t="str">
            <v>Castellón/Castelló</v>
          </cell>
          <cell r="F2163" t="str">
            <v>048</v>
          </cell>
          <cell r="G2163" t="str">
            <v>3</v>
          </cell>
          <cell r="H2163" t="str">
            <v>Cortes de Arenoso</v>
          </cell>
        </row>
        <row r="2164">
          <cell r="D2164" t="str">
            <v>12</v>
          </cell>
          <cell r="E2164" t="str">
            <v>Castellón/Castelló</v>
          </cell>
          <cell r="F2164" t="str">
            <v>049</v>
          </cell>
          <cell r="G2164" t="str">
            <v>6</v>
          </cell>
          <cell r="H2164" t="str">
            <v>Costur</v>
          </cell>
        </row>
        <row r="2165">
          <cell r="D2165" t="str">
            <v>12</v>
          </cell>
          <cell r="E2165" t="str">
            <v>Castellón/Castelló</v>
          </cell>
          <cell r="F2165" t="str">
            <v>050</v>
          </cell>
          <cell r="G2165" t="str">
            <v>9</v>
          </cell>
          <cell r="H2165" t="str">
            <v>Coves de Vinromà, les</v>
          </cell>
        </row>
        <row r="2166">
          <cell r="D2166" t="str">
            <v>12</v>
          </cell>
          <cell r="E2166" t="str">
            <v>Castellón/Castelló</v>
          </cell>
          <cell r="F2166" t="str">
            <v>051</v>
          </cell>
          <cell r="G2166" t="str">
            <v>6</v>
          </cell>
          <cell r="H2166" t="str">
            <v>Culla</v>
          </cell>
        </row>
        <row r="2167">
          <cell r="D2167" t="str">
            <v>12</v>
          </cell>
          <cell r="E2167" t="str">
            <v>Castellón/Castelló</v>
          </cell>
          <cell r="F2167" t="str">
            <v>052</v>
          </cell>
          <cell r="G2167" t="str">
            <v>1</v>
          </cell>
          <cell r="H2167" t="str">
            <v>Xert</v>
          </cell>
        </row>
        <row r="2168">
          <cell r="D2168" t="str">
            <v>12</v>
          </cell>
          <cell r="E2168" t="str">
            <v>Castellón/Castelló</v>
          </cell>
          <cell r="F2168" t="str">
            <v>053</v>
          </cell>
          <cell r="G2168" t="str">
            <v>7</v>
          </cell>
          <cell r="H2168" t="str">
            <v>Chilches/Xilxes</v>
          </cell>
        </row>
        <row r="2169">
          <cell r="D2169" t="str">
            <v>12</v>
          </cell>
          <cell r="E2169" t="str">
            <v>Castellón/Castelló</v>
          </cell>
          <cell r="F2169" t="str">
            <v>055</v>
          </cell>
          <cell r="G2169" t="str">
            <v>5</v>
          </cell>
          <cell r="H2169" t="str">
            <v>Xodos/Chodos</v>
          </cell>
        </row>
        <row r="2170">
          <cell r="D2170" t="str">
            <v>12</v>
          </cell>
          <cell r="E2170" t="str">
            <v>Castellón/Castelló</v>
          </cell>
          <cell r="F2170" t="str">
            <v>056</v>
          </cell>
          <cell r="G2170" t="str">
            <v>8</v>
          </cell>
          <cell r="H2170" t="str">
            <v>Chóvar</v>
          </cell>
        </row>
        <row r="2171">
          <cell r="D2171" t="str">
            <v>12</v>
          </cell>
          <cell r="E2171" t="str">
            <v>Castellón/Castelló</v>
          </cell>
          <cell r="F2171" t="str">
            <v>057</v>
          </cell>
          <cell r="G2171" t="str">
            <v>4</v>
          </cell>
          <cell r="H2171" t="str">
            <v>Eslida</v>
          </cell>
        </row>
        <row r="2172">
          <cell r="D2172" t="str">
            <v>12</v>
          </cell>
          <cell r="E2172" t="str">
            <v>Castellón/Castelló</v>
          </cell>
          <cell r="F2172" t="str">
            <v>058</v>
          </cell>
          <cell r="G2172" t="str">
            <v>0</v>
          </cell>
          <cell r="H2172" t="str">
            <v>Espadilla</v>
          </cell>
        </row>
        <row r="2173">
          <cell r="D2173" t="str">
            <v>12</v>
          </cell>
          <cell r="E2173" t="str">
            <v>Castellón/Castelló</v>
          </cell>
          <cell r="F2173" t="str">
            <v>059</v>
          </cell>
          <cell r="G2173" t="str">
            <v>3</v>
          </cell>
          <cell r="H2173" t="str">
            <v>Fanzara</v>
          </cell>
        </row>
        <row r="2174">
          <cell r="D2174" t="str">
            <v>12</v>
          </cell>
          <cell r="E2174" t="str">
            <v>Castellón/Castelló</v>
          </cell>
          <cell r="F2174" t="str">
            <v>060</v>
          </cell>
          <cell r="G2174" t="str">
            <v>7</v>
          </cell>
          <cell r="H2174" t="str">
            <v>Figueroles</v>
          </cell>
        </row>
        <row r="2175">
          <cell r="D2175" t="str">
            <v>12</v>
          </cell>
          <cell r="E2175" t="str">
            <v>Castellón/Castelló</v>
          </cell>
          <cell r="F2175" t="str">
            <v>061</v>
          </cell>
          <cell r="G2175" t="str">
            <v>4</v>
          </cell>
          <cell r="H2175" t="str">
            <v>Forcall</v>
          </cell>
        </row>
        <row r="2176">
          <cell r="D2176" t="str">
            <v>12</v>
          </cell>
          <cell r="E2176" t="str">
            <v>Castellón/Castelló</v>
          </cell>
          <cell r="F2176" t="str">
            <v>063</v>
          </cell>
          <cell r="G2176" t="str">
            <v>5</v>
          </cell>
          <cell r="H2176" t="str">
            <v>Fuente la Reina</v>
          </cell>
        </row>
        <row r="2177">
          <cell r="D2177" t="str">
            <v>12</v>
          </cell>
          <cell r="E2177" t="str">
            <v>Castellón/Castelló</v>
          </cell>
          <cell r="F2177" t="str">
            <v>064</v>
          </cell>
          <cell r="G2177" t="str">
            <v>0</v>
          </cell>
          <cell r="H2177" t="str">
            <v>Fuentes de Ayódar</v>
          </cell>
        </row>
        <row r="2178">
          <cell r="D2178" t="str">
            <v>12</v>
          </cell>
          <cell r="E2178" t="str">
            <v>Castellón/Castelló</v>
          </cell>
          <cell r="F2178" t="str">
            <v>065</v>
          </cell>
          <cell r="G2178" t="str">
            <v>3</v>
          </cell>
          <cell r="H2178" t="str">
            <v>Gaibiel</v>
          </cell>
        </row>
        <row r="2179">
          <cell r="D2179" t="str">
            <v>12</v>
          </cell>
          <cell r="E2179" t="str">
            <v>Castellón/Castelló</v>
          </cell>
          <cell r="F2179" t="str">
            <v>067</v>
          </cell>
          <cell r="G2179" t="str">
            <v>2</v>
          </cell>
          <cell r="H2179" t="str">
            <v>Geldo</v>
          </cell>
        </row>
        <row r="2180">
          <cell r="D2180" t="str">
            <v>12</v>
          </cell>
          <cell r="E2180" t="str">
            <v>Castellón/Castelló</v>
          </cell>
          <cell r="F2180" t="str">
            <v>068</v>
          </cell>
          <cell r="G2180" t="str">
            <v>8</v>
          </cell>
          <cell r="H2180" t="str">
            <v>Herbers</v>
          </cell>
        </row>
        <row r="2181">
          <cell r="D2181" t="str">
            <v>12</v>
          </cell>
          <cell r="E2181" t="str">
            <v>Castellón/Castelló</v>
          </cell>
          <cell r="F2181" t="str">
            <v>069</v>
          </cell>
          <cell r="G2181" t="str">
            <v>1</v>
          </cell>
          <cell r="H2181" t="str">
            <v>Higueras</v>
          </cell>
        </row>
        <row r="2182">
          <cell r="D2182" t="str">
            <v>12</v>
          </cell>
          <cell r="E2182" t="str">
            <v>Castellón/Castelló</v>
          </cell>
          <cell r="F2182" t="str">
            <v>070</v>
          </cell>
          <cell r="G2182" t="str">
            <v>5</v>
          </cell>
          <cell r="H2182" t="str">
            <v>Jana, la</v>
          </cell>
        </row>
        <row r="2183">
          <cell r="D2183" t="str">
            <v>12</v>
          </cell>
          <cell r="E2183" t="str">
            <v>Castellón/Castelló</v>
          </cell>
          <cell r="F2183" t="str">
            <v>071</v>
          </cell>
          <cell r="G2183" t="str">
            <v>2</v>
          </cell>
          <cell r="H2183" t="str">
            <v>Jérica</v>
          </cell>
        </row>
        <row r="2184">
          <cell r="D2184" t="str">
            <v>12</v>
          </cell>
          <cell r="E2184" t="str">
            <v>Castellón/Castelló</v>
          </cell>
          <cell r="F2184" t="str">
            <v>072</v>
          </cell>
          <cell r="G2184" t="str">
            <v>7</v>
          </cell>
          <cell r="H2184" t="str">
            <v>Llucena/Lucena del Cid</v>
          </cell>
        </row>
        <row r="2185">
          <cell r="D2185" t="str">
            <v>12</v>
          </cell>
          <cell r="E2185" t="str">
            <v>Castellón/Castelló</v>
          </cell>
          <cell r="F2185" t="str">
            <v>073</v>
          </cell>
          <cell r="G2185" t="str">
            <v>3</v>
          </cell>
          <cell r="H2185" t="str">
            <v>Ludiente</v>
          </cell>
        </row>
        <row r="2186">
          <cell r="D2186" t="str">
            <v>12</v>
          </cell>
          <cell r="E2186" t="str">
            <v>Castellón/Castelló</v>
          </cell>
          <cell r="F2186" t="str">
            <v>074</v>
          </cell>
          <cell r="G2186" t="str">
            <v>8</v>
          </cell>
          <cell r="H2186" t="str">
            <v>Llosa, la</v>
          </cell>
        </row>
        <row r="2187">
          <cell r="D2187" t="str">
            <v>12</v>
          </cell>
          <cell r="E2187" t="str">
            <v>Castellón/Castelló</v>
          </cell>
          <cell r="F2187" t="str">
            <v>075</v>
          </cell>
          <cell r="G2187" t="str">
            <v>1</v>
          </cell>
          <cell r="H2187" t="str">
            <v>Mata de Morella, la</v>
          </cell>
        </row>
        <row r="2188">
          <cell r="D2188" t="str">
            <v>12</v>
          </cell>
          <cell r="E2188" t="str">
            <v>Castellón/Castelló</v>
          </cell>
          <cell r="F2188" t="str">
            <v>076</v>
          </cell>
          <cell r="G2188" t="str">
            <v>4</v>
          </cell>
          <cell r="H2188" t="str">
            <v>Matet</v>
          </cell>
        </row>
        <row r="2189">
          <cell r="D2189" t="str">
            <v>12</v>
          </cell>
          <cell r="E2189" t="str">
            <v>Castellón/Castelló</v>
          </cell>
          <cell r="F2189" t="str">
            <v>077</v>
          </cell>
          <cell r="G2189" t="str">
            <v>0</v>
          </cell>
          <cell r="H2189" t="str">
            <v>Moncofa</v>
          </cell>
        </row>
        <row r="2190">
          <cell r="D2190" t="str">
            <v>12</v>
          </cell>
          <cell r="E2190" t="str">
            <v>Castellón/Castelló</v>
          </cell>
          <cell r="F2190" t="str">
            <v>078</v>
          </cell>
          <cell r="G2190" t="str">
            <v>6</v>
          </cell>
          <cell r="H2190" t="str">
            <v>Montán</v>
          </cell>
        </row>
        <row r="2191">
          <cell r="D2191" t="str">
            <v>12</v>
          </cell>
          <cell r="E2191" t="str">
            <v>Castellón/Castelló</v>
          </cell>
          <cell r="F2191" t="str">
            <v>079</v>
          </cell>
          <cell r="G2191" t="str">
            <v>9</v>
          </cell>
          <cell r="H2191" t="str">
            <v>Montanejos</v>
          </cell>
        </row>
        <row r="2192">
          <cell r="D2192" t="str">
            <v>12</v>
          </cell>
          <cell r="E2192" t="str">
            <v>Castellón/Castelló</v>
          </cell>
          <cell r="F2192" t="str">
            <v>080</v>
          </cell>
          <cell r="G2192" t="str">
            <v>3</v>
          </cell>
          <cell r="H2192" t="str">
            <v>Morella</v>
          </cell>
        </row>
        <row r="2193">
          <cell r="D2193" t="str">
            <v>12</v>
          </cell>
          <cell r="E2193" t="str">
            <v>Castellón/Castelló</v>
          </cell>
          <cell r="F2193" t="str">
            <v>081</v>
          </cell>
          <cell r="G2193" t="str">
            <v>0</v>
          </cell>
          <cell r="H2193" t="str">
            <v>Navajas</v>
          </cell>
        </row>
        <row r="2194">
          <cell r="D2194" t="str">
            <v>12</v>
          </cell>
          <cell r="E2194" t="str">
            <v>Castellón/Castelló</v>
          </cell>
          <cell r="F2194" t="str">
            <v>082</v>
          </cell>
          <cell r="G2194" t="str">
            <v>5</v>
          </cell>
          <cell r="H2194" t="str">
            <v>Nules</v>
          </cell>
        </row>
        <row r="2195">
          <cell r="D2195" t="str">
            <v>12</v>
          </cell>
          <cell r="E2195" t="str">
            <v>Castellón/Castelló</v>
          </cell>
          <cell r="F2195" t="str">
            <v>083</v>
          </cell>
          <cell r="G2195" t="str">
            <v>1</v>
          </cell>
          <cell r="H2195" t="str">
            <v>Olocau del Rey</v>
          </cell>
        </row>
        <row r="2196">
          <cell r="D2196" t="str">
            <v>12</v>
          </cell>
          <cell r="E2196" t="str">
            <v>Castellón/Castelló</v>
          </cell>
          <cell r="F2196" t="str">
            <v>084</v>
          </cell>
          <cell r="G2196" t="str">
            <v>6</v>
          </cell>
          <cell r="H2196" t="str">
            <v>Onda</v>
          </cell>
        </row>
        <row r="2197">
          <cell r="D2197" t="str">
            <v>12</v>
          </cell>
          <cell r="E2197" t="str">
            <v>Castellón/Castelló</v>
          </cell>
          <cell r="F2197" t="str">
            <v>085</v>
          </cell>
          <cell r="G2197" t="str">
            <v>9</v>
          </cell>
          <cell r="H2197" t="str">
            <v>Orpesa/Oropesa del Mar</v>
          </cell>
        </row>
        <row r="2198">
          <cell r="D2198" t="str">
            <v>12</v>
          </cell>
          <cell r="E2198" t="str">
            <v>Castellón/Castelló</v>
          </cell>
          <cell r="F2198" t="str">
            <v>087</v>
          </cell>
          <cell r="G2198" t="str">
            <v>8</v>
          </cell>
          <cell r="H2198" t="str">
            <v>Palanques</v>
          </cell>
        </row>
        <row r="2199">
          <cell r="D2199" t="str">
            <v>12</v>
          </cell>
          <cell r="E2199" t="str">
            <v>Castellón/Castelló</v>
          </cell>
          <cell r="F2199" t="str">
            <v>088</v>
          </cell>
          <cell r="G2199" t="str">
            <v>4</v>
          </cell>
          <cell r="H2199" t="str">
            <v>Pavías</v>
          </cell>
        </row>
        <row r="2200">
          <cell r="D2200" t="str">
            <v>12</v>
          </cell>
          <cell r="E2200" t="str">
            <v>Castellón/Castelló</v>
          </cell>
          <cell r="F2200" t="str">
            <v>089</v>
          </cell>
          <cell r="G2200" t="str">
            <v>7</v>
          </cell>
          <cell r="H2200" t="str">
            <v>Peníscola/Peñíscola</v>
          </cell>
        </row>
        <row r="2201">
          <cell r="D2201" t="str">
            <v>12</v>
          </cell>
          <cell r="E2201" t="str">
            <v>Castellón/Castelló</v>
          </cell>
          <cell r="F2201" t="str">
            <v>090</v>
          </cell>
          <cell r="G2201" t="str">
            <v>1</v>
          </cell>
          <cell r="H2201" t="str">
            <v>Pina de Montalgrao</v>
          </cell>
        </row>
        <row r="2202">
          <cell r="D2202" t="str">
            <v>12</v>
          </cell>
          <cell r="E2202" t="str">
            <v>Castellón/Castelló</v>
          </cell>
          <cell r="F2202" t="str">
            <v>091</v>
          </cell>
          <cell r="G2202" t="str">
            <v>8</v>
          </cell>
          <cell r="H2202" t="str">
            <v>Portell de Morella</v>
          </cell>
        </row>
        <row r="2203">
          <cell r="D2203" t="str">
            <v>12</v>
          </cell>
          <cell r="E2203" t="str">
            <v>Castellón/Castelló</v>
          </cell>
          <cell r="F2203" t="str">
            <v>092</v>
          </cell>
          <cell r="G2203" t="str">
            <v>3</v>
          </cell>
          <cell r="H2203" t="str">
            <v>Puebla de Arenoso</v>
          </cell>
        </row>
        <row r="2204">
          <cell r="D2204" t="str">
            <v>12</v>
          </cell>
          <cell r="E2204" t="str">
            <v>Castellón/Castelló</v>
          </cell>
          <cell r="F2204" t="str">
            <v>093</v>
          </cell>
          <cell r="G2204" t="str">
            <v>9</v>
          </cell>
          <cell r="H2204" t="str">
            <v>Pobla de Benifassà, la</v>
          </cell>
        </row>
        <row r="2205">
          <cell r="D2205" t="str">
            <v>12</v>
          </cell>
          <cell r="E2205" t="str">
            <v>Castellón/Castelló</v>
          </cell>
          <cell r="F2205" t="str">
            <v>094</v>
          </cell>
          <cell r="G2205" t="str">
            <v>4</v>
          </cell>
          <cell r="H2205" t="str">
            <v>Pobla Tornesa, la</v>
          </cell>
        </row>
        <row r="2206">
          <cell r="D2206" t="str">
            <v>12</v>
          </cell>
          <cell r="E2206" t="str">
            <v>Castellón/Castelló</v>
          </cell>
          <cell r="F2206" t="str">
            <v>095</v>
          </cell>
          <cell r="G2206" t="str">
            <v>7</v>
          </cell>
          <cell r="H2206" t="str">
            <v>Ribesalbes</v>
          </cell>
        </row>
        <row r="2207">
          <cell r="D2207" t="str">
            <v>12</v>
          </cell>
          <cell r="E2207" t="str">
            <v>Castellón/Castelló</v>
          </cell>
          <cell r="F2207" t="str">
            <v>096</v>
          </cell>
          <cell r="G2207" t="str">
            <v>0</v>
          </cell>
          <cell r="H2207" t="str">
            <v>Rossell</v>
          </cell>
        </row>
        <row r="2208">
          <cell r="D2208" t="str">
            <v>12</v>
          </cell>
          <cell r="E2208" t="str">
            <v>Castellón/Castelló</v>
          </cell>
          <cell r="F2208" t="str">
            <v>097</v>
          </cell>
          <cell r="G2208" t="str">
            <v>6</v>
          </cell>
          <cell r="H2208" t="str">
            <v>Sacañet</v>
          </cell>
        </row>
        <row r="2209">
          <cell r="D2209" t="str">
            <v>12</v>
          </cell>
          <cell r="E2209" t="str">
            <v>Castellón/Castelló</v>
          </cell>
          <cell r="F2209" t="str">
            <v>098</v>
          </cell>
          <cell r="G2209" t="str">
            <v>2</v>
          </cell>
          <cell r="H2209" t="str">
            <v>Salzadella, la</v>
          </cell>
        </row>
        <row r="2210">
          <cell r="D2210" t="str">
            <v>12</v>
          </cell>
          <cell r="E2210" t="str">
            <v>Castellón/Castelló</v>
          </cell>
          <cell r="F2210" t="str">
            <v>099</v>
          </cell>
          <cell r="G2210" t="str">
            <v>5</v>
          </cell>
          <cell r="H2210" t="str">
            <v>Sant Jordi/San Jorge</v>
          </cell>
        </row>
        <row r="2211">
          <cell r="D2211" t="str">
            <v>12</v>
          </cell>
          <cell r="E2211" t="str">
            <v>Castellón/Castelló</v>
          </cell>
          <cell r="F2211" t="str">
            <v>100</v>
          </cell>
          <cell r="G2211" t="str">
            <v>9</v>
          </cell>
          <cell r="H2211" t="str">
            <v>Sant Mateu</v>
          </cell>
        </row>
        <row r="2212">
          <cell r="D2212" t="str">
            <v>12</v>
          </cell>
          <cell r="E2212" t="str">
            <v>Castellón/Castelló</v>
          </cell>
          <cell r="F2212" t="str">
            <v>101</v>
          </cell>
          <cell r="G2212" t="str">
            <v>6</v>
          </cell>
          <cell r="H2212" t="str">
            <v>San Rafael del Río</v>
          </cell>
        </row>
        <row r="2213">
          <cell r="D2213" t="str">
            <v>12</v>
          </cell>
          <cell r="E2213" t="str">
            <v>Castellón/Castelló</v>
          </cell>
          <cell r="F2213" t="str">
            <v>102</v>
          </cell>
          <cell r="G2213" t="str">
            <v>1</v>
          </cell>
          <cell r="H2213" t="str">
            <v>Santa Magdalena de Pulpis</v>
          </cell>
        </row>
        <row r="2214">
          <cell r="D2214" t="str">
            <v>12</v>
          </cell>
          <cell r="E2214" t="str">
            <v>Castellón/Castelló</v>
          </cell>
          <cell r="F2214" t="str">
            <v>103</v>
          </cell>
          <cell r="G2214" t="str">
            <v>7</v>
          </cell>
          <cell r="H2214" t="str">
            <v>Serratella, la</v>
          </cell>
        </row>
        <row r="2215">
          <cell r="D2215" t="str">
            <v>12</v>
          </cell>
          <cell r="E2215" t="str">
            <v>Castellón/Castelló</v>
          </cell>
          <cell r="F2215" t="str">
            <v>104</v>
          </cell>
          <cell r="G2215" t="str">
            <v>2</v>
          </cell>
          <cell r="H2215" t="str">
            <v>Segorbe</v>
          </cell>
        </row>
        <row r="2216">
          <cell r="D2216" t="str">
            <v>12</v>
          </cell>
          <cell r="E2216" t="str">
            <v>Castellón/Castelló</v>
          </cell>
          <cell r="F2216" t="str">
            <v>105</v>
          </cell>
          <cell r="G2216" t="str">
            <v>5</v>
          </cell>
          <cell r="H2216" t="str">
            <v>Sierra Engarcerán</v>
          </cell>
        </row>
        <row r="2217">
          <cell r="D2217" t="str">
            <v>12</v>
          </cell>
          <cell r="E2217" t="str">
            <v>Castellón/Castelló</v>
          </cell>
          <cell r="F2217" t="str">
            <v>106</v>
          </cell>
          <cell r="G2217" t="str">
            <v>8</v>
          </cell>
          <cell r="H2217" t="str">
            <v>Soneja</v>
          </cell>
        </row>
        <row r="2218">
          <cell r="D2218" t="str">
            <v>12</v>
          </cell>
          <cell r="E2218" t="str">
            <v>Castellón/Castelló</v>
          </cell>
          <cell r="F2218" t="str">
            <v>107</v>
          </cell>
          <cell r="G2218" t="str">
            <v>4</v>
          </cell>
          <cell r="H2218" t="str">
            <v>Sot de Ferrer</v>
          </cell>
        </row>
        <row r="2219">
          <cell r="D2219" t="str">
            <v>12</v>
          </cell>
          <cell r="E2219" t="str">
            <v>Castellón/Castelló</v>
          </cell>
          <cell r="F2219" t="str">
            <v>108</v>
          </cell>
          <cell r="G2219" t="str">
            <v>0</v>
          </cell>
          <cell r="H2219" t="str">
            <v>Suera/Sueras</v>
          </cell>
        </row>
        <row r="2220">
          <cell r="D2220" t="str">
            <v>12</v>
          </cell>
          <cell r="E2220" t="str">
            <v>Castellón/Castelló</v>
          </cell>
          <cell r="F2220" t="str">
            <v>109</v>
          </cell>
          <cell r="G2220" t="str">
            <v>3</v>
          </cell>
          <cell r="H2220" t="str">
            <v>Tales</v>
          </cell>
        </row>
        <row r="2221">
          <cell r="D2221" t="str">
            <v>12</v>
          </cell>
          <cell r="E2221" t="str">
            <v>Castellón/Castelló</v>
          </cell>
          <cell r="F2221" t="str">
            <v>110</v>
          </cell>
          <cell r="G2221" t="str">
            <v>7</v>
          </cell>
          <cell r="H2221" t="str">
            <v>Teresa</v>
          </cell>
        </row>
        <row r="2222">
          <cell r="D2222" t="str">
            <v>12</v>
          </cell>
          <cell r="E2222" t="str">
            <v>Castellón/Castelló</v>
          </cell>
          <cell r="F2222" t="str">
            <v>111</v>
          </cell>
          <cell r="G2222" t="str">
            <v>4</v>
          </cell>
          <cell r="H2222" t="str">
            <v>Tírig</v>
          </cell>
        </row>
        <row r="2223">
          <cell r="D2223" t="str">
            <v>12</v>
          </cell>
          <cell r="E2223" t="str">
            <v>Castellón/Castelló</v>
          </cell>
          <cell r="F2223" t="str">
            <v>112</v>
          </cell>
          <cell r="G2223" t="str">
            <v>9</v>
          </cell>
          <cell r="H2223" t="str">
            <v>Todolella</v>
          </cell>
        </row>
        <row r="2224">
          <cell r="D2224" t="str">
            <v>12</v>
          </cell>
          <cell r="E2224" t="str">
            <v>Castellón/Castelló</v>
          </cell>
          <cell r="F2224" t="str">
            <v>113</v>
          </cell>
          <cell r="G2224" t="str">
            <v>5</v>
          </cell>
          <cell r="H2224" t="str">
            <v>Toga</v>
          </cell>
        </row>
        <row r="2225">
          <cell r="D2225" t="str">
            <v>12</v>
          </cell>
          <cell r="E2225" t="str">
            <v>Castellón/Castelló</v>
          </cell>
          <cell r="F2225" t="str">
            <v>114</v>
          </cell>
          <cell r="G2225" t="str">
            <v>0</v>
          </cell>
          <cell r="H2225" t="str">
            <v>Torás</v>
          </cell>
        </row>
        <row r="2226">
          <cell r="D2226" t="str">
            <v>12</v>
          </cell>
          <cell r="E2226" t="str">
            <v>Castellón/Castelló</v>
          </cell>
          <cell r="F2226" t="str">
            <v>115</v>
          </cell>
          <cell r="G2226" t="str">
            <v>3</v>
          </cell>
          <cell r="H2226" t="str">
            <v>Toro, El</v>
          </cell>
        </row>
        <row r="2227">
          <cell r="D2227" t="str">
            <v>12</v>
          </cell>
          <cell r="E2227" t="str">
            <v>Castellón/Castelló</v>
          </cell>
          <cell r="F2227" t="str">
            <v>116</v>
          </cell>
          <cell r="G2227" t="str">
            <v>6</v>
          </cell>
          <cell r="H2227" t="str">
            <v>Torralba del Pinar</v>
          </cell>
        </row>
        <row r="2228">
          <cell r="D2228" t="str">
            <v>12</v>
          </cell>
          <cell r="E2228" t="str">
            <v>Castellón/Castelló</v>
          </cell>
          <cell r="F2228" t="str">
            <v>117</v>
          </cell>
          <cell r="G2228" t="str">
            <v>2</v>
          </cell>
          <cell r="H2228" t="str">
            <v>Torreblanca</v>
          </cell>
        </row>
        <row r="2229">
          <cell r="D2229" t="str">
            <v>12</v>
          </cell>
          <cell r="E2229" t="str">
            <v>Castellón/Castelló</v>
          </cell>
          <cell r="F2229" t="str">
            <v>118</v>
          </cell>
          <cell r="G2229" t="str">
            <v>8</v>
          </cell>
          <cell r="H2229" t="str">
            <v>Torrechiva</v>
          </cell>
        </row>
        <row r="2230">
          <cell r="D2230" t="str">
            <v>12</v>
          </cell>
          <cell r="E2230" t="str">
            <v>Castellón/Castelló</v>
          </cell>
          <cell r="F2230" t="str">
            <v>119</v>
          </cell>
          <cell r="G2230" t="str">
            <v>1</v>
          </cell>
          <cell r="H2230" t="str">
            <v>Torre d'en Besora, la</v>
          </cell>
        </row>
        <row r="2231">
          <cell r="D2231" t="str">
            <v>12</v>
          </cell>
          <cell r="E2231" t="str">
            <v>Castellón/Castelló</v>
          </cell>
          <cell r="F2231" t="str">
            <v>120</v>
          </cell>
          <cell r="G2231" t="str">
            <v>5</v>
          </cell>
          <cell r="H2231" t="str">
            <v>Torre d'en Doménec, la</v>
          </cell>
        </row>
        <row r="2232">
          <cell r="D2232" t="str">
            <v>12</v>
          </cell>
          <cell r="E2232" t="str">
            <v>Castellón/Castelló</v>
          </cell>
          <cell r="F2232" t="str">
            <v>121</v>
          </cell>
          <cell r="G2232" t="str">
            <v>2</v>
          </cell>
          <cell r="H2232" t="str">
            <v>Traiguera</v>
          </cell>
        </row>
        <row r="2233">
          <cell r="D2233" t="str">
            <v>12</v>
          </cell>
          <cell r="E2233" t="str">
            <v>Castellón/Castelló</v>
          </cell>
          <cell r="F2233" t="str">
            <v>122</v>
          </cell>
          <cell r="G2233" t="str">
            <v>7</v>
          </cell>
          <cell r="H2233" t="str">
            <v>Useres, les/Useras</v>
          </cell>
        </row>
        <row r="2234">
          <cell r="D2234" t="str">
            <v>12</v>
          </cell>
          <cell r="E2234" t="str">
            <v>Castellón/Castelló</v>
          </cell>
          <cell r="F2234" t="str">
            <v>123</v>
          </cell>
          <cell r="G2234" t="str">
            <v>3</v>
          </cell>
          <cell r="H2234" t="str">
            <v>Vallat</v>
          </cell>
        </row>
        <row r="2235">
          <cell r="D2235" t="str">
            <v>12</v>
          </cell>
          <cell r="E2235" t="str">
            <v>Castellón/Castelló</v>
          </cell>
          <cell r="F2235" t="str">
            <v>124</v>
          </cell>
          <cell r="G2235" t="str">
            <v>8</v>
          </cell>
          <cell r="H2235" t="str">
            <v>Vall d'Alba</v>
          </cell>
        </row>
        <row r="2236">
          <cell r="D2236" t="str">
            <v>12</v>
          </cell>
          <cell r="E2236" t="str">
            <v>Castellón/Castelló</v>
          </cell>
          <cell r="F2236" t="str">
            <v>125</v>
          </cell>
          <cell r="G2236" t="str">
            <v>1</v>
          </cell>
          <cell r="H2236" t="str">
            <v>Vall de Almonacid</v>
          </cell>
        </row>
        <row r="2237">
          <cell r="D2237" t="str">
            <v>12</v>
          </cell>
          <cell r="E2237" t="str">
            <v>Castellón/Castelló</v>
          </cell>
          <cell r="F2237" t="str">
            <v>126</v>
          </cell>
          <cell r="G2237" t="str">
            <v>4</v>
          </cell>
          <cell r="H2237" t="str">
            <v>Vall d'Uixó, la</v>
          </cell>
        </row>
        <row r="2238">
          <cell r="D2238" t="str">
            <v>12</v>
          </cell>
          <cell r="E2238" t="str">
            <v>Castellón/Castelló</v>
          </cell>
          <cell r="F2238" t="str">
            <v>127</v>
          </cell>
          <cell r="G2238" t="str">
            <v>0</v>
          </cell>
          <cell r="H2238" t="str">
            <v>Vallibona</v>
          </cell>
        </row>
        <row r="2239">
          <cell r="D2239" t="str">
            <v>12</v>
          </cell>
          <cell r="E2239" t="str">
            <v>Castellón/Castelló</v>
          </cell>
          <cell r="F2239" t="str">
            <v>128</v>
          </cell>
          <cell r="G2239" t="str">
            <v>6</v>
          </cell>
          <cell r="H2239" t="str">
            <v>Vilafamés</v>
          </cell>
        </row>
        <row r="2240">
          <cell r="D2240" t="str">
            <v>12</v>
          </cell>
          <cell r="E2240" t="str">
            <v>Castellón/Castelló</v>
          </cell>
          <cell r="F2240" t="str">
            <v>129</v>
          </cell>
          <cell r="G2240" t="str">
            <v>9</v>
          </cell>
          <cell r="H2240" t="str">
            <v>Vilafranca/Villafranca del Cid</v>
          </cell>
        </row>
        <row r="2241">
          <cell r="D2241" t="str">
            <v>12</v>
          </cell>
          <cell r="E2241" t="str">
            <v>Castellón/Castelló</v>
          </cell>
          <cell r="F2241" t="str">
            <v>130</v>
          </cell>
          <cell r="G2241" t="str">
            <v>3</v>
          </cell>
          <cell r="H2241" t="str">
            <v>Villahermosa del Río</v>
          </cell>
        </row>
        <row r="2242">
          <cell r="D2242" t="str">
            <v>12</v>
          </cell>
          <cell r="E2242" t="str">
            <v>Castellón/Castelló</v>
          </cell>
          <cell r="F2242" t="str">
            <v>131</v>
          </cell>
          <cell r="G2242" t="str">
            <v>0</v>
          </cell>
          <cell r="H2242" t="str">
            <v>Villamalur</v>
          </cell>
        </row>
        <row r="2243">
          <cell r="D2243" t="str">
            <v>12</v>
          </cell>
          <cell r="E2243" t="str">
            <v>Castellón/Castelló</v>
          </cell>
          <cell r="F2243" t="str">
            <v>132</v>
          </cell>
          <cell r="G2243" t="str">
            <v>5</v>
          </cell>
          <cell r="H2243" t="str">
            <v>Vilanova d'Alcolea</v>
          </cell>
        </row>
        <row r="2244">
          <cell r="D2244" t="str">
            <v>12</v>
          </cell>
          <cell r="E2244" t="str">
            <v>Castellón/Castelló</v>
          </cell>
          <cell r="F2244" t="str">
            <v>133</v>
          </cell>
          <cell r="G2244" t="str">
            <v>1</v>
          </cell>
          <cell r="H2244" t="str">
            <v>Villanueva de Viver</v>
          </cell>
        </row>
        <row r="2245">
          <cell r="D2245" t="str">
            <v>12</v>
          </cell>
          <cell r="E2245" t="str">
            <v>Castellón/Castelló</v>
          </cell>
          <cell r="F2245" t="str">
            <v>134</v>
          </cell>
          <cell r="G2245" t="str">
            <v>6</v>
          </cell>
          <cell r="H2245" t="str">
            <v>Vilar de Canes</v>
          </cell>
        </row>
        <row r="2246">
          <cell r="D2246" t="str">
            <v>12</v>
          </cell>
          <cell r="E2246" t="str">
            <v>Castellón/Castelló</v>
          </cell>
          <cell r="F2246" t="str">
            <v>135</v>
          </cell>
          <cell r="G2246" t="str">
            <v>9</v>
          </cell>
          <cell r="H2246" t="str">
            <v>Vila-real</v>
          </cell>
        </row>
        <row r="2247">
          <cell r="D2247" t="str">
            <v>12</v>
          </cell>
          <cell r="E2247" t="str">
            <v>Castellón/Castelló</v>
          </cell>
          <cell r="F2247" t="str">
            <v>136</v>
          </cell>
          <cell r="G2247" t="str">
            <v>2</v>
          </cell>
          <cell r="H2247" t="str">
            <v>Vilavella, la</v>
          </cell>
        </row>
        <row r="2248">
          <cell r="D2248" t="str">
            <v>12</v>
          </cell>
          <cell r="E2248" t="str">
            <v>Castellón/Castelló</v>
          </cell>
          <cell r="F2248" t="str">
            <v>137</v>
          </cell>
          <cell r="G2248" t="str">
            <v>8</v>
          </cell>
          <cell r="H2248" t="str">
            <v>Villores</v>
          </cell>
        </row>
        <row r="2249">
          <cell r="D2249" t="str">
            <v>12</v>
          </cell>
          <cell r="E2249" t="str">
            <v>Castellón/Castelló</v>
          </cell>
          <cell r="F2249" t="str">
            <v>138</v>
          </cell>
          <cell r="G2249" t="str">
            <v>4</v>
          </cell>
          <cell r="H2249" t="str">
            <v>Vinaròs</v>
          </cell>
        </row>
        <row r="2250">
          <cell r="D2250" t="str">
            <v>12</v>
          </cell>
          <cell r="E2250" t="str">
            <v>Castellón/Castelló</v>
          </cell>
          <cell r="F2250" t="str">
            <v>139</v>
          </cell>
          <cell r="G2250" t="str">
            <v>7</v>
          </cell>
          <cell r="H2250" t="str">
            <v>Vistabella del Maestrat</v>
          </cell>
        </row>
        <row r="2251">
          <cell r="D2251" t="str">
            <v>12</v>
          </cell>
          <cell r="E2251" t="str">
            <v>Castellón/Castelló</v>
          </cell>
          <cell r="F2251" t="str">
            <v>140</v>
          </cell>
          <cell r="G2251" t="str">
            <v>1</v>
          </cell>
          <cell r="H2251" t="str">
            <v>Viver</v>
          </cell>
        </row>
        <row r="2252">
          <cell r="D2252" t="str">
            <v>12</v>
          </cell>
          <cell r="E2252" t="str">
            <v>Castellón/Castelló</v>
          </cell>
          <cell r="F2252" t="str">
            <v>141</v>
          </cell>
          <cell r="G2252" t="str">
            <v>8</v>
          </cell>
          <cell r="H2252" t="str">
            <v>Zorita del Maestrazgo</v>
          </cell>
        </row>
        <row r="2253">
          <cell r="D2253" t="str">
            <v>12</v>
          </cell>
          <cell r="E2253" t="str">
            <v>Castellón/Castelló</v>
          </cell>
          <cell r="F2253" t="str">
            <v>142</v>
          </cell>
          <cell r="G2253" t="str">
            <v>3</v>
          </cell>
          <cell r="H2253" t="str">
            <v>Zucaina</v>
          </cell>
        </row>
        <row r="2254">
          <cell r="D2254" t="str">
            <v>12</v>
          </cell>
          <cell r="E2254" t="str">
            <v>Castellón/Castelló</v>
          </cell>
          <cell r="F2254" t="str">
            <v>901</v>
          </cell>
          <cell r="G2254" t="str">
            <v>8</v>
          </cell>
          <cell r="H2254" t="str">
            <v>Alqueries, les/Alquerías del Niño Perdido</v>
          </cell>
        </row>
        <row r="2255">
          <cell r="D2255" t="str">
            <v>12</v>
          </cell>
          <cell r="E2255" t="str">
            <v>Castellón/Castelló</v>
          </cell>
          <cell r="F2255" t="str">
            <v>902</v>
          </cell>
          <cell r="G2255" t="str">
            <v>3</v>
          </cell>
          <cell r="H2255" t="str">
            <v>Sant Joan de Moró</v>
          </cell>
        </row>
        <row r="2256">
          <cell r="D2256" t="str">
            <v>13</v>
          </cell>
          <cell r="E2256" t="str">
            <v>Ciudad Real</v>
          </cell>
          <cell r="F2256" t="str">
            <v>001</v>
          </cell>
          <cell r="G2256" t="str">
            <v>3</v>
          </cell>
          <cell r="H2256" t="str">
            <v>Abenójar</v>
          </cell>
        </row>
        <row r="2257">
          <cell r="D2257" t="str">
            <v>13</v>
          </cell>
          <cell r="E2257" t="str">
            <v>Ciudad Real</v>
          </cell>
          <cell r="F2257" t="str">
            <v>002</v>
          </cell>
          <cell r="G2257" t="str">
            <v>8</v>
          </cell>
          <cell r="H2257" t="str">
            <v>Agudo</v>
          </cell>
        </row>
        <row r="2258">
          <cell r="D2258" t="str">
            <v>13</v>
          </cell>
          <cell r="E2258" t="str">
            <v>Ciudad Real</v>
          </cell>
          <cell r="F2258" t="str">
            <v>003</v>
          </cell>
          <cell r="G2258" t="str">
            <v>4</v>
          </cell>
          <cell r="H2258" t="str">
            <v>Alamillo</v>
          </cell>
        </row>
        <row r="2259">
          <cell r="D2259" t="str">
            <v>13</v>
          </cell>
          <cell r="E2259" t="str">
            <v>Ciudad Real</v>
          </cell>
          <cell r="F2259" t="str">
            <v>004</v>
          </cell>
          <cell r="G2259" t="str">
            <v>9</v>
          </cell>
          <cell r="H2259" t="str">
            <v>Albaladejo</v>
          </cell>
        </row>
        <row r="2260">
          <cell r="D2260" t="str">
            <v>13</v>
          </cell>
          <cell r="E2260" t="str">
            <v>Ciudad Real</v>
          </cell>
          <cell r="F2260" t="str">
            <v>005</v>
          </cell>
          <cell r="G2260" t="str">
            <v>2</v>
          </cell>
          <cell r="H2260" t="str">
            <v>Alcázar de San Juan</v>
          </cell>
        </row>
        <row r="2261">
          <cell r="D2261" t="str">
            <v>13</v>
          </cell>
          <cell r="E2261" t="str">
            <v>Ciudad Real</v>
          </cell>
          <cell r="F2261" t="str">
            <v>006</v>
          </cell>
          <cell r="G2261" t="str">
            <v>5</v>
          </cell>
          <cell r="H2261" t="str">
            <v>Alcoba</v>
          </cell>
        </row>
        <row r="2262">
          <cell r="D2262" t="str">
            <v>13</v>
          </cell>
          <cell r="E2262" t="str">
            <v>Ciudad Real</v>
          </cell>
          <cell r="F2262" t="str">
            <v>007</v>
          </cell>
          <cell r="G2262" t="str">
            <v>1</v>
          </cell>
          <cell r="H2262" t="str">
            <v>Alcolea de Calatrava</v>
          </cell>
        </row>
        <row r="2263">
          <cell r="D2263" t="str">
            <v>13</v>
          </cell>
          <cell r="E2263" t="str">
            <v>Ciudad Real</v>
          </cell>
          <cell r="F2263" t="str">
            <v>008</v>
          </cell>
          <cell r="G2263" t="str">
            <v>7</v>
          </cell>
          <cell r="H2263" t="str">
            <v>Alcubillas</v>
          </cell>
        </row>
        <row r="2264">
          <cell r="D2264" t="str">
            <v>13</v>
          </cell>
          <cell r="E2264" t="str">
            <v>Ciudad Real</v>
          </cell>
          <cell r="F2264" t="str">
            <v>009</v>
          </cell>
          <cell r="G2264" t="str">
            <v>0</v>
          </cell>
          <cell r="H2264" t="str">
            <v>Aldea del Rey</v>
          </cell>
        </row>
        <row r="2265">
          <cell r="D2265" t="str">
            <v>13</v>
          </cell>
          <cell r="E2265" t="str">
            <v>Ciudad Real</v>
          </cell>
          <cell r="F2265" t="str">
            <v>010</v>
          </cell>
          <cell r="G2265" t="str">
            <v>4</v>
          </cell>
          <cell r="H2265" t="str">
            <v>Alhambra</v>
          </cell>
        </row>
        <row r="2266">
          <cell r="D2266" t="str">
            <v>13</v>
          </cell>
          <cell r="E2266" t="str">
            <v>Ciudad Real</v>
          </cell>
          <cell r="F2266" t="str">
            <v>011</v>
          </cell>
          <cell r="G2266" t="str">
            <v>1</v>
          </cell>
          <cell r="H2266" t="str">
            <v>Almadén</v>
          </cell>
        </row>
        <row r="2267">
          <cell r="D2267" t="str">
            <v>13</v>
          </cell>
          <cell r="E2267" t="str">
            <v>Ciudad Real</v>
          </cell>
          <cell r="F2267" t="str">
            <v>012</v>
          </cell>
          <cell r="G2267" t="str">
            <v>6</v>
          </cell>
          <cell r="H2267" t="str">
            <v>Almadenejos</v>
          </cell>
        </row>
        <row r="2268">
          <cell r="D2268" t="str">
            <v>13</v>
          </cell>
          <cell r="E2268" t="str">
            <v>Ciudad Real</v>
          </cell>
          <cell r="F2268" t="str">
            <v>013</v>
          </cell>
          <cell r="G2268" t="str">
            <v>2</v>
          </cell>
          <cell r="H2268" t="str">
            <v>Almagro</v>
          </cell>
        </row>
        <row r="2269">
          <cell r="D2269" t="str">
            <v>13</v>
          </cell>
          <cell r="E2269" t="str">
            <v>Ciudad Real</v>
          </cell>
          <cell r="F2269" t="str">
            <v>014</v>
          </cell>
          <cell r="G2269" t="str">
            <v>7</v>
          </cell>
          <cell r="H2269" t="str">
            <v>Almedina</v>
          </cell>
        </row>
        <row r="2270">
          <cell r="D2270" t="str">
            <v>13</v>
          </cell>
          <cell r="E2270" t="str">
            <v>Ciudad Real</v>
          </cell>
          <cell r="F2270" t="str">
            <v>015</v>
          </cell>
          <cell r="G2270" t="str">
            <v>0</v>
          </cell>
          <cell r="H2270" t="str">
            <v>Almodóvar del Campo</v>
          </cell>
        </row>
        <row r="2271">
          <cell r="D2271" t="str">
            <v>13</v>
          </cell>
          <cell r="E2271" t="str">
            <v>Ciudad Real</v>
          </cell>
          <cell r="F2271" t="str">
            <v>016</v>
          </cell>
          <cell r="G2271" t="str">
            <v>3</v>
          </cell>
          <cell r="H2271" t="str">
            <v>Almuradiel</v>
          </cell>
        </row>
        <row r="2272">
          <cell r="D2272" t="str">
            <v>13</v>
          </cell>
          <cell r="E2272" t="str">
            <v>Ciudad Real</v>
          </cell>
          <cell r="F2272" t="str">
            <v>017</v>
          </cell>
          <cell r="G2272" t="str">
            <v>9</v>
          </cell>
          <cell r="H2272" t="str">
            <v>Anchuras</v>
          </cell>
        </row>
        <row r="2273">
          <cell r="D2273" t="str">
            <v>13</v>
          </cell>
          <cell r="E2273" t="str">
            <v>Ciudad Real</v>
          </cell>
          <cell r="F2273" t="str">
            <v>018</v>
          </cell>
          <cell r="G2273" t="str">
            <v>5</v>
          </cell>
          <cell r="H2273" t="str">
            <v>Arenas de San Juan</v>
          </cell>
        </row>
        <row r="2274">
          <cell r="D2274" t="str">
            <v>13</v>
          </cell>
          <cell r="E2274" t="str">
            <v>Ciudad Real</v>
          </cell>
          <cell r="F2274" t="str">
            <v>019</v>
          </cell>
          <cell r="G2274" t="str">
            <v>8</v>
          </cell>
          <cell r="H2274" t="str">
            <v>Argamasilla de Alba</v>
          </cell>
        </row>
        <row r="2275">
          <cell r="D2275" t="str">
            <v>13</v>
          </cell>
          <cell r="E2275" t="str">
            <v>Ciudad Real</v>
          </cell>
          <cell r="F2275" t="str">
            <v>020</v>
          </cell>
          <cell r="G2275" t="str">
            <v>2</v>
          </cell>
          <cell r="H2275" t="str">
            <v>Argamasilla de Calatrava</v>
          </cell>
        </row>
        <row r="2276">
          <cell r="D2276" t="str">
            <v>13</v>
          </cell>
          <cell r="E2276" t="str">
            <v>Ciudad Real</v>
          </cell>
          <cell r="F2276" t="str">
            <v>021</v>
          </cell>
          <cell r="G2276" t="str">
            <v>9</v>
          </cell>
          <cell r="H2276" t="str">
            <v>Arroba de los Montes</v>
          </cell>
        </row>
        <row r="2277">
          <cell r="D2277" t="str">
            <v>13</v>
          </cell>
          <cell r="E2277" t="str">
            <v>Ciudad Real</v>
          </cell>
          <cell r="F2277" t="str">
            <v>022</v>
          </cell>
          <cell r="G2277" t="str">
            <v>4</v>
          </cell>
          <cell r="H2277" t="str">
            <v>Ballesteros de Calatrava</v>
          </cell>
        </row>
        <row r="2278">
          <cell r="D2278" t="str">
            <v>13</v>
          </cell>
          <cell r="E2278" t="str">
            <v>Ciudad Real</v>
          </cell>
          <cell r="F2278" t="str">
            <v>023</v>
          </cell>
          <cell r="G2278" t="str">
            <v>0</v>
          </cell>
          <cell r="H2278" t="str">
            <v>Bolaños de Calatrava</v>
          </cell>
        </row>
        <row r="2279">
          <cell r="D2279" t="str">
            <v>13</v>
          </cell>
          <cell r="E2279" t="str">
            <v>Ciudad Real</v>
          </cell>
          <cell r="F2279" t="str">
            <v>024</v>
          </cell>
          <cell r="G2279" t="str">
            <v>5</v>
          </cell>
          <cell r="H2279" t="str">
            <v>Brazatortas</v>
          </cell>
        </row>
        <row r="2280">
          <cell r="D2280" t="str">
            <v>13</v>
          </cell>
          <cell r="E2280" t="str">
            <v>Ciudad Real</v>
          </cell>
          <cell r="F2280" t="str">
            <v>025</v>
          </cell>
          <cell r="G2280" t="str">
            <v>8</v>
          </cell>
          <cell r="H2280" t="str">
            <v>Cabezarados</v>
          </cell>
        </row>
        <row r="2281">
          <cell r="D2281" t="str">
            <v>13</v>
          </cell>
          <cell r="E2281" t="str">
            <v>Ciudad Real</v>
          </cell>
          <cell r="F2281" t="str">
            <v>026</v>
          </cell>
          <cell r="G2281" t="str">
            <v>1</v>
          </cell>
          <cell r="H2281" t="str">
            <v>Cabezarrubias del Puerto</v>
          </cell>
        </row>
        <row r="2282">
          <cell r="D2282" t="str">
            <v>13</v>
          </cell>
          <cell r="E2282" t="str">
            <v>Ciudad Real</v>
          </cell>
          <cell r="F2282" t="str">
            <v>027</v>
          </cell>
          <cell r="G2282" t="str">
            <v>7</v>
          </cell>
          <cell r="H2282" t="str">
            <v>Calzada de Calatrava</v>
          </cell>
        </row>
        <row r="2283">
          <cell r="D2283" t="str">
            <v>13</v>
          </cell>
          <cell r="E2283" t="str">
            <v>Ciudad Real</v>
          </cell>
          <cell r="F2283" t="str">
            <v>028</v>
          </cell>
          <cell r="G2283" t="str">
            <v>3</v>
          </cell>
          <cell r="H2283" t="str">
            <v>Campo de Criptana</v>
          </cell>
        </row>
        <row r="2284">
          <cell r="D2284" t="str">
            <v>13</v>
          </cell>
          <cell r="E2284" t="str">
            <v>Ciudad Real</v>
          </cell>
          <cell r="F2284" t="str">
            <v>029</v>
          </cell>
          <cell r="G2284" t="str">
            <v>6</v>
          </cell>
          <cell r="H2284" t="str">
            <v>Cañada de Calatrava</v>
          </cell>
        </row>
        <row r="2285">
          <cell r="D2285" t="str">
            <v>13</v>
          </cell>
          <cell r="E2285" t="str">
            <v>Ciudad Real</v>
          </cell>
          <cell r="F2285" t="str">
            <v>030</v>
          </cell>
          <cell r="G2285" t="str">
            <v>0</v>
          </cell>
          <cell r="H2285" t="str">
            <v>Caracuel de Calatrava</v>
          </cell>
        </row>
        <row r="2286">
          <cell r="D2286" t="str">
            <v>13</v>
          </cell>
          <cell r="E2286" t="str">
            <v>Ciudad Real</v>
          </cell>
          <cell r="F2286" t="str">
            <v>031</v>
          </cell>
          <cell r="G2286" t="str">
            <v>7</v>
          </cell>
          <cell r="H2286" t="str">
            <v>Carrión de Calatrava</v>
          </cell>
        </row>
        <row r="2287">
          <cell r="D2287" t="str">
            <v>13</v>
          </cell>
          <cell r="E2287" t="str">
            <v>Ciudad Real</v>
          </cell>
          <cell r="F2287" t="str">
            <v>032</v>
          </cell>
          <cell r="G2287" t="str">
            <v>2</v>
          </cell>
          <cell r="H2287" t="str">
            <v>Carrizosa</v>
          </cell>
        </row>
        <row r="2288">
          <cell r="D2288" t="str">
            <v>13</v>
          </cell>
          <cell r="E2288" t="str">
            <v>Ciudad Real</v>
          </cell>
          <cell r="F2288" t="str">
            <v>033</v>
          </cell>
          <cell r="G2288" t="str">
            <v>8</v>
          </cell>
          <cell r="H2288" t="str">
            <v>Castellar de Santiago</v>
          </cell>
        </row>
        <row r="2289">
          <cell r="D2289" t="str">
            <v>13</v>
          </cell>
          <cell r="E2289" t="str">
            <v>Ciudad Real</v>
          </cell>
          <cell r="F2289" t="str">
            <v>034</v>
          </cell>
          <cell r="G2289" t="str">
            <v>3</v>
          </cell>
          <cell r="H2289" t="str">
            <v>Ciudad Real</v>
          </cell>
        </row>
        <row r="2290">
          <cell r="D2290" t="str">
            <v>13</v>
          </cell>
          <cell r="E2290" t="str">
            <v>Ciudad Real</v>
          </cell>
          <cell r="F2290" t="str">
            <v>035</v>
          </cell>
          <cell r="G2290" t="str">
            <v>6</v>
          </cell>
          <cell r="H2290" t="str">
            <v>Corral de Calatrava</v>
          </cell>
        </row>
        <row r="2291">
          <cell r="D2291" t="str">
            <v>13</v>
          </cell>
          <cell r="E2291" t="str">
            <v>Ciudad Real</v>
          </cell>
          <cell r="F2291" t="str">
            <v>036</v>
          </cell>
          <cell r="G2291" t="str">
            <v>9</v>
          </cell>
          <cell r="H2291" t="str">
            <v>Cortijos, Los</v>
          </cell>
        </row>
        <row r="2292">
          <cell r="D2292" t="str">
            <v>13</v>
          </cell>
          <cell r="E2292" t="str">
            <v>Ciudad Real</v>
          </cell>
          <cell r="F2292" t="str">
            <v>037</v>
          </cell>
          <cell r="G2292" t="str">
            <v>5</v>
          </cell>
          <cell r="H2292" t="str">
            <v>Cózar</v>
          </cell>
        </row>
        <row r="2293">
          <cell r="D2293" t="str">
            <v>13</v>
          </cell>
          <cell r="E2293" t="str">
            <v>Ciudad Real</v>
          </cell>
          <cell r="F2293" t="str">
            <v>038</v>
          </cell>
          <cell r="G2293" t="str">
            <v>1</v>
          </cell>
          <cell r="H2293" t="str">
            <v>Chillón</v>
          </cell>
        </row>
        <row r="2294">
          <cell r="D2294" t="str">
            <v>13</v>
          </cell>
          <cell r="E2294" t="str">
            <v>Ciudad Real</v>
          </cell>
          <cell r="F2294" t="str">
            <v>039</v>
          </cell>
          <cell r="G2294" t="str">
            <v>4</v>
          </cell>
          <cell r="H2294" t="str">
            <v>Daimiel</v>
          </cell>
        </row>
        <row r="2295">
          <cell r="D2295" t="str">
            <v>13</v>
          </cell>
          <cell r="E2295" t="str">
            <v>Ciudad Real</v>
          </cell>
          <cell r="F2295" t="str">
            <v>040</v>
          </cell>
          <cell r="G2295" t="str">
            <v>8</v>
          </cell>
          <cell r="H2295" t="str">
            <v>Fernán Caballero</v>
          </cell>
        </row>
        <row r="2296">
          <cell r="D2296" t="str">
            <v>13</v>
          </cell>
          <cell r="E2296" t="str">
            <v>Ciudad Real</v>
          </cell>
          <cell r="F2296" t="str">
            <v>041</v>
          </cell>
          <cell r="G2296" t="str">
            <v>5</v>
          </cell>
          <cell r="H2296" t="str">
            <v>Fontanarejo</v>
          </cell>
        </row>
        <row r="2297">
          <cell r="D2297" t="str">
            <v>13</v>
          </cell>
          <cell r="E2297" t="str">
            <v>Ciudad Real</v>
          </cell>
          <cell r="F2297" t="str">
            <v>042</v>
          </cell>
          <cell r="G2297" t="str">
            <v>0</v>
          </cell>
          <cell r="H2297" t="str">
            <v>Fuencaliente</v>
          </cell>
        </row>
        <row r="2298">
          <cell r="D2298" t="str">
            <v>13</v>
          </cell>
          <cell r="E2298" t="str">
            <v>Ciudad Real</v>
          </cell>
          <cell r="F2298" t="str">
            <v>043</v>
          </cell>
          <cell r="G2298" t="str">
            <v>6</v>
          </cell>
          <cell r="H2298" t="str">
            <v>Fuenllana</v>
          </cell>
        </row>
        <row r="2299">
          <cell r="D2299" t="str">
            <v>13</v>
          </cell>
          <cell r="E2299" t="str">
            <v>Ciudad Real</v>
          </cell>
          <cell r="F2299" t="str">
            <v>044</v>
          </cell>
          <cell r="G2299" t="str">
            <v>1</v>
          </cell>
          <cell r="H2299" t="str">
            <v>Fuente el Fresno</v>
          </cell>
        </row>
        <row r="2300">
          <cell r="D2300" t="str">
            <v>13</v>
          </cell>
          <cell r="E2300" t="str">
            <v>Ciudad Real</v>
          </cell>
          <cell r="F2300" t="str">
            <v>045</v>
          </cell>
          <cell r="G2300" t="str">
            <v>4</v>
          </cell>
          <cell r="H2300" t="str">
            <v>Granátula de Calatrava</v>
          </cell>
        </row>
        <row r="2301">
          <cell r="D2301" t="str">
            <v>13</v>
          </cell>
          <cell r="E2301" t="str">
            <v>Ciudad Real</v>
          </cell>
          <cell r="F2301" t="str">
            <v>046</v>
          </cell>
          <cell r="G2301" t="str">
            <v>7</v>
          </cell>
          <cell r="H2301" t="str">
            <v>Guadalmez</v>
          </cell>
        </row>
        <row r="2302">
          <cell r="D2302" t="str">
            <v>13</v>
          </cell>
          <cell r="E2302" t="str">
            <v>Ciudad Real</v>
          </cell>
          <cell r="F2302" t="str">
            <v>047</v>
          </cell>
          <cell r="G2302" t="str">
            <v>3</v>
          </cell>
          <cell r="H2302" t="str">
            <v>Herencia</v>
          </cell>
        </row>
        <row r="2303">
          <cell r="D2303" t="str">
            <v>13</v>
          </cell>
          <cell r="E2303" t="str">
            <v>Ciudad Real</v>
          </cell>
          <cell r="F2303" t="str">
            <v>048</v>
          </cell>
          <cell r="G2303" t="str">
            <v>9</v>
          </cell>
          <cell r="H2303" t="str">
            <v>Hinojosas de Calatrava</v>
          </cell>
        </row>
        <row r="2304">
          <cell r="D2304" t="str">
            <v>13</v>
          </cell>
          <cell r="E2304" t="str">
            <v>Ciudad Real</v>
          </cell>
          <cell r="F2304" t="str">
            <v>049</v>
          </cell>
          <cell r="G2304" t="str">
            <v>2</v>
          </cell>
          <cell r="H2304" t="str">
            <v>Horcajo de los Montes</v>
          </cell>
        </row>
        <row r="2305">
          <cell r="D2305" t="str">
            <v>13</v>
          </cell>
          <cell r="E2305" t="str">
            <v>Ciudad Real</v>
          </cell>
          <cell r="F2305" t="str">
            <v>050</v>
          </cell>
          <cell r="G2305" t="str">
            <v>5</v>
          </cell>
          <cell r="H2305" t="str">
            <v>Labores, Las</v>
          </cell>
        </row>
        <row r="2306">
          <cell r="D2306" t="str">
            <v>13</v>
          </cell>
          <cell r="E2306" t="str">
            <v>Ciudad Real</v>
          </cell>
          <cell r="F2306" t="str">
            <v>051</v>
          </cell>
          <cell r="G2306" t="str">
            <v>2</v>
          </cell>
          <cell r="H2306" t="str">
            <v>Luciana</v>
          </cell>
        </row>
        <row r="2307">
          <cell r="D2307" t="str">
            <v>13</v>
          </cell>
          <cell r="E2307" t="str">
            <v>Ciudad Real</v>
          </cell>
          <cell r="F2307" t="str">
            <v>052</v>
          </cell>
          <cell r="G2307" t="str">
            <v>7</v>
          </cell>
          <cell r="H2307" t="str">
            <v>Malagón</v>
          </cell>
        </row>
        <row r="2308">
          <cell r="D2308" t="str">
            <v>13</v>
          </cell>
          <cell r="E2308" t="str">
            <v>Ciudad Real</v>
          </cell>
          <cell r="F2308" t="str">
            <v>053</v>
          </cell>
          <cell r="G2308" t="str">
            <v>3</v>
          </cell>
          <cell r="H2308" t="str">
            <v>Manzanares</v>
          </cell>
        </row>
        <row r="2309">
          <cell r="D2309" t="str">
            <v>13</v>
          </cell>
          <cell r="E2309" t="str">
            <v>Ciudad Real</v>
          </cell>
          <cell r="F2309" t="str">
            <v>054</v>
          </cell>
          <cell r="G2309" t="str">
            <v>8</v>
          </cell>
          <cell r="H2309" t="str">
            <v>Membrilla</v>
          </cell>
        </row>
        <row r="2310">
          <cell r="D2310" t="str">
            <v>13</v>
          </cell>
          <cell r="E2310" t="str">
            <v>Ciudad Real</v>
          </cell>
          <cell r="F2310" t="str">
            <v>055</v>
          </cell>
          <cell r="G2310" t="str">
            <v>1</v>
          </cell>
          <cell r="H2310" t="str">
            <v>Mestanza</v>
          </cell>
        </row>
        <row r="2311">
          <cell r="D2311" t="str">
            <v>13</v>
          </cell>
          <cell r="E2311" t="str">
            <v>Ciudad Real</v>
          </cell>
          <cell r="F2311" t="str">
            <v>056</v>
          </cell>
          <cell r="G2311" t="str">
            <v>4</v>
          </cell>
          <cell r="H2311" t="str">
            <v>Miguelturra</v>
          </cell>
        </row>
        <row r="2312">
          <cell r="D2312" t="str">
            <v>13</v>
          </cell>
          <cell r="E2312" t="str">
            <v>Ciudad Real</v>
          </cell>
          <cell r="F2312" t="str">
            <v>057</v>
          </cell>
          <cell r="G2312" t="str">
            <v>0</v>
          </cell>
          <cell r="H2312" t="str">
            <v>Montiel</v>
          </cell>
        </row>
        <row r="2313">
          <cell r="D2313" t="str">
            <v>13</v>
          </cell>
          <cell r="E2313" t="str">
            <v>Ciudad Real</v>
          </cell>
          <cell r="F2313" t="str">
            <v>058</v>
          </cell>
          <cell r="G2313" t="str">
            <v>6</v>
          </cell>
          <cell r="H2313" t="str">
            <v>Moral de Calatrava</v>
          </cell>
        </row>
        <row r="2314">
          <cell r="D2314" t="str">
            <v>13</v>
          </cell>
          <cell r="E2314" t="str">
            <v>Ciudad Real</v>
          </cell>
          <cell r="F2314" t="str">
            <v>059</v>
          </cell>
          <cell r="G2314" t="str">
            <v>9</v>
          </cell>
          <cell r="H2314" t="str">
            <v>Navalpino</v>
          </cell>
        </row>
        <row r="2315">
          <cell r="D2315" t="str">
            <v>13</v>
          </cell>
          <cell r="E2315" t="str">
            <v>Ciudad Real</v>
          </cell>
          <cell r="F2315" t="str">
            <v>060</v>
          </cell>
          <cell r="G2315" t="str">
            <v>3</v>
          </cell>
          <cell r="H2315" t="str">
            <v>Navas de Estena</v>
          </cell>
        </row>
        <row r="2316">
          <cell r="D2316" t="str">
            <v>13</v>
          </cell>
          <cell r="E2316" t="str">
            <v>Ciudad Real</v>
          </cell>
          <cell r="F2316" t="str">
            <v>061</v>
          </cell>
          <cell r="G2316" t="str">
            <v>0</v>
          </cell>
          <cell r="H2316" t="str">
            <v>Pedro Muñoz</v>
          </cell>
        </row>
        <row r="2317">
          <cell r="D2317" t="str">
            <v>13</v>
          </cell>
          <cell r="E2317" t="str">
            <v>Ciudad Real</v>
          </cell>
          <cell r="F2317" t="str">
            <v>062</v>
          </cell>
          <cell r="G2317" t="str">
            <v>5</v>
          </cell>
          <cell r="H2317" t="str">
            <v>Picón</v>
          </cell>
        </row>
        <row r="2318">
          <cell r="D2318" t="str">
            <v>13</v>
          </cell>
          <cell r="E2318" t="str">
            <v>Ciudad Real</v>
          </cell>
          <cell r="F2318" t="str">
            <v>063</v>
          </cell>
          <cell r="G2318" t="str">
            <v>1</v>
          </cell>
          <cell r="H2318" t="str">
            <v>Piedrabuena</v>
          </cell>
        </row>
        <row r="2319">
          <cell r="D2319" t="str">
            <v>13</v>
          </cell>
          <cell r="E2319" t="str">
            <v>Ciudad Real</v>
          </cell>
          <cell r="F2319" t="str">
            <v>064</v>
          </cell>
          <cell r="G2319" t="str">
            <v>6</v>
          </cell>
          <cell r="H2319" t="str">
            <v>Poblete</v>
          </cell>
        </row>
        <row r="2320">
          <cell r="D2320" t="str">
            <v>13</v>
          </cell>
          <cell r="E2320" t="str">
            <v>Ciudad Real</v>
          </cell>
          <cell r="F2320" t="str">
            <v>065</v>
          </cell>
          <cell r="G2320" t="str">
            <v>9</v>
          </cell>
          <cell r="H2320" t="str">
            <v>Porzuna</v>
          </cell>
        </row>
        <row r="2321">
          <cell r="D2321" t="str">
            <v>13</v>
          </cell>
          <cell r="E2321" t="str">
            <v>Ciudad Real</v>
          </cell>
          <cell r="F2321" t="str">
            <v>066</v>
          </cell>
          <cell r="G2321" t="str">
            <v>2</v>
          </cell>
          <cell r="H2321" t="str">
            <v>Pozuelo de Calatrava</v>
          </cell>
        </row>
        <row r="2322">
          <cell r="D2322" t="str">
            <v>13</v>
          </cell>
          <cell r="E2322" t="str">
            <v>Ciudad Real</v>
          </cell>
          <cell r="F2322" t="str">
            <v>067</v>
          </cell>
          <cell r="G2322" t="str">
            <v>8</v>
          </cell>
          <cell r="H2322" t="str">
            <v>Pozuelos de Calatrava, Los</v>
          </cell>
        </row>
        <row r="2323">
          <cell r="D2323" t="str">
            <v>13</v>
          </cell>
          <cell r="E2323" t="str">
            <v>Ciudad Real</v>
          </cell>
          <cell r="F2323" t="str">
            <v>068</v>
          </cell>
          <cell r="G2323" t="str">
            <v>4</v>
          </cell>
          <cell r="H2323" t="str">
            <v>Puebla de Don Rodrigo</v>
          </cell>
        </row>
        <row r="2324">
          <cell r="D2324" t="str">
            <v>13</v>
          </cell>
          <cell r="E2324" t="str">
            <v>Ciudad Real</v>
          </cell>
          <cell r="F2324" t="str">
            <v>069</v>
          </cell>
          <cell r="G2324" t="str">
            <v>7</v>
          </cell>
          <cell r="H2324" t="str">
            <v>Puebla del Príncipe</v>
          </cell>
        </row>
        <row r="2325">
          <cell r="D2325" t="str">
            <v>13</v>
          </cell>
          <cell r="E2325" t="str">
            <v>Ciudad Real</v>
          </cell>
          <cell r="F2325" t="str">
            <v>070</v>
          </cell>
          <cell r="G2325" t="str">
            <v>1</v>
          </cell>
          <cell r="H2325" t="str">
            <v>Puerto Lápice</v>
          </cell>
        </row>
        <row r="2326">
          <cell r="D2326" t="str">
            <v>13</v>
          </cell>
          <cell r="E2326" t="str">
            <v>Ciudad Real</v>
          </cell>
          <cell r="F2326" t="str">
            <v>072</v>
          </cell>
          <cell r="G2326" t="str">
            <v>3</v>
          </cell>
          <cell r="H2326" t="str">
            <v>Retuerta del Bullaque</v>
          </cell>
        </row>
        <row r="2327">
          <cell r="D2327" t="str">
            <v>13</v>
          </cell>
          <cell r="E2327" t="str">
            <v>Ciudad Real</v>
          </cell>
          <cell r="F2327" t="str">
            <v>073</v>
          </cell>
          <cell r="G2327" t="str">
            <v>9</v>
          </cell>
          <cell r="H2327" t="str">
            <v>Saceruela</v>
          </cell>
        </row>
        <row r="2328">
          <cell r="D2328" t="str">
            <v>13</v>
          </cell>
          <cell r="E2328" t="str">
            <v>Ciudad Real</v>
          </cell>
          <cell r="F2328" t="str">
            <v>074</v>
          </cell>
          <cell r="G2328" t="str">
            <v>4</v>
          </cell>
          <cell r="H2328" t="str">
            <v>San Carlos del Valle</v>
          </cell>
        </row>
        <row r="2329">
          <cell r="D2329" t="str">
            <v>13</v>
          </cell>
          <cell r="E2329" t="str">
            <v>Ciudad Real</v>
          </cell>
          <cell r="F2329" t="str">
            <v>075</v>
          </cell>
          <cell r="G2329" t="str">
            <v>7</v>
          </cell>
          <cell r="H2329" t="str">
            <v>San Lorenzo de Calatrava</v>
          </cell>
        </row>
        <row r="2330">
          <cell r="D2330" t="str">
            <v>13</v>
          </cell>
          <cell r="E2330" t="str">
            <v>Ciudad Real</v>
          </cell>
          <cell r="F2330" t="str">
            <v>076</v>
          </cell>
          <cell r="G2330" t="str">
            <v>0</v>
          </cell>
          <cell r="H2330" t="str">
            <v>Santa Cruz de los Cáñamos</v>
          </cell>
        </row>
        <row r="2331">
          <cell r="D2331" t="str">
            <v>13</v>
          </cell>
          <cell r="E2331" t="str">
            <v>Ciudad Real</v>
          </cell>
          <cell r="F2331" t="str">
            <v>077</v>
          </cell>
          <cell r="G2331" t="str">
            <v>6</v>
          </cell>
          <cell r="H2331" t="str">
            <v>Santa Cruz de Mudela</v>
          </cell>
        </row>
        <row r="2332">
          <cell r="D2332" t="str">
            <v>13</v>
          </cell>
          <cell r="E2332" t="str">
            <v>Ciudad Real</v>
          </cell>
          <cell r="F2332" t="str">
            <v>078</v>
          </cell>
          <cell r="G2332" t="str">
            <v>2</v>
          </cell>
          <cell r="H2332" t="str">
            <v>Socuéllamos</v>
          </cell>
        </row>
        <row r="2333">
          <cell r="D2333" t="str">
            <v>13</v>
          </cell>
          <cell r="E2333" t="str">
            <v>Ciudad Real</v>
          </cell>
          <cell r="F2333" t="str">
            <v>079</v>
          </cell>
          <cell r="G2333" t="str">
            <v>5</v>
          </cell>
          <cell r="H2333" t="str">
            <v>Solana, La</v>
          </cell>
        </row>
        <row r="2334">
          <cell r="D2334" t="str">
            <v>13</v>
          </cell>
          <cell r="E2334" t="str">
            <v>Ciudad Real</v>
          </cell>
          <cell r="F2334" t="str">
            <v>080</v>
          </cell>
          <cell r="G2334" t="str">
            <v>9</v>
          </cell>
          <cell r="H2334" t="str">
            <v>Solana del Pino</v>
          </cell>
        </row>
        <row r="2335">
          <cell r="D2335" t="str">
            <v>13</v>
          </cell>
          <cell r="E2335" t="str">
            <v>Ciudad Real</v>
          </cell>
          <cell r="F2335" t="str">
            <v>081</v>
          </cell>
          <cell r="G2335" t="str">
            <v>6</v>
          </cell>
          <cell r="H2335" t="str">
            <v>Terrinches</v>
          </cell>
        </row>
        <row r="2336">
          <cell r="D2336" t="str">
            <v>13</v>
          </cell>
          <cell r="E2336" t="str">
            <v>Ciudad Real</v>
          </cell>
          <cell r="F2336" t="str">
            <v>082</v>
          </cell>
          <cell r="G2336" t="str">
            <v>1</v>
          </cell>
          <cell r="H2336" t="str">
            <v>Tomelloso</v>
          </cell>
        </row>
        <row r="2337">
          <cell r="D2337" t="str">
            <v>13</v>
          </cell>
          <cell r="E2337" t="str">
            <v>Ciudad Real</v>
          </cell>
          <cell r="F2337" t="str">
            <v>083</v>
          </cell>
          <cell r="G2337" t="str">
            <v>7</v>
          </cell>
          <cell r="H2337" t="str">
            <v>Torralba de Calatrava</v>
          </cell>
        </row>
        <row r="2338">
          <cell r="D2338" t="str">
            <v>13</v>
          </cell>
          <cell r="E2338" t="str">
            <v>Ciudad Real</v>
          </cell>
          <cell r="F2338" t="str">
            <v>084</v>
          </cell>
          <cell r="G2338" t="str">
            <v>2</v>
          </cell>
          <cell r="H2338" t="str">
            <v>Torre de Juan Abad</v>
          </cell>
        </row>
        <row r="2339">
          <cell r="D2339" t="str">
            <v>13</v>
          </cell>
          <cell r="E2339" t="str">
            <v>Ciudad Real</v>
          </cell>
          <cell r="F2339" t="str">
            <v>085</v>
          </cell>
          <cell r="G2339" t="str">
            <v>5</v>
          </cell>
          <cell r="H2339" t="str">
            <v>Torrenueva</v>
          </cell>
        </row>
        <row r="2340">
          <cell r="D2340" t="str">
            <v>13</v>
          </cell>
          <cell r="E2340" t="str">
            <v>Ciudad Real</v>
          </cell>
          <cell r="F2340" t="str">
            <v>086</v>
          </cell>
          <cell r="G2340" t="str">
            <v>8</v>
          </cell>
          <cell r="H2340" t="str">
            <v>Valdemanco del Esteras</v>
          </cell>
        </row>
        <row r="2341">
          <cell r="D2341" t="str">
            <v>13</v>
          </cell>
          <cell r="E2341" t="str">
            <v>Ciudad Real</v>
          </cell>
          <cell r="F2341" t="str">
            <v>087</v>
          </cell>
          <cell r="G2341" t="str">
            <v>4</v>
          </cell>
          <cell r="H2341" t="str">
            <v>Valdepeñas</v>
          </cell>
        </row>
        <row r="2342">
          <cell r="D2342" t="str">
            <v>13</v>
          </cell>
          <cell r="E2342" t="str">
            <v>Ciudad Real</v>
          </cell>
          <cell r="F2342" t="str">
            <v>088</v>
          </cell>
          <cell r="G2342" t="str">
            <v>0</v>
          </cell>
          <cell r="H2342" t="str">
            <v>Valenzuela de Calatrava</v>
          </cell>
        </row>
        <row r="2343">
          <cell r="D2343" t="str">
            <v>13</v>
          </cell>
          <cell r="E2343" t="str">
            <v>Ciudad Real</v>
          </cell>
          <cell r="F2343" t="str">
            <v>089</v>
          </cell>
          <cell r="G2343" t="str">
            <v>3</v>
          </cell>
          <cell r="H2343" t="str">
            <v>Villahermosa</v>
          </cell>
        </row>
        <row r="2344">
          <cell r="D2344" t="str">
            <v>13</v>
          </cell>
          <cell r="E2344" t="str">
            <v>Ciudad Real</v>
          </cell>
          <cell r="F2344" t="str">
            <v>090</v>
          </cell>
          <cell r="G2344" t="str">
            <v>7</v>
          </cell>
          <cell r="H2344" t="str">
            <v>Villamanrique</v>
          </cell>
        </row>
        <row r="2345">
          <cell r="D2345" t="str">
            <v>13</v>
          </cell>
          <cell r="E2345" t="str">
            <v>Ciudad Real</v>
          </cell>
          <cell r="F2345" t="str">
            <v>091</v>
          </cell>
          <cell r="G2345" t="str">
            <v>4</v>
          </cell>
          <cell r="H2345" t="str">
            <v>Villamayor de Calatrava</v>
          </cell>
        </row>
        <row r="2346">
          <cell r="D2346" t="str">
            <v>13</v>
          </cell>
          <cell r="E2346" t="str">
            <v>Ciudad Real</v>
          </cell>
          <cell r="F2346" t="str">
            <v>092</v>
          </cell>
          <cell r="G2346" t="str">
            <v>9</v>
          </cell>
          <cell r="H2346" t="str">
            <v>Villanueva de la Fuente</v>
          </cell>
        </row>
        <row r="2347">
          <cell r="D2347" t="str">
            <v>13</v>
          </cell>
          <cell r="E2347" t="str">
            <v>Ciudad Real</v>
          </cell>
          <cell r="F2347" t="str">
            <v>093</v>
          </cell>
          <cell r="G2347" t="str">
            <v>5</v>
          </cell>
          <cell r="H2347" t="str">
            <v>Villanueva de los Infantes</v>
          </cell>
        </row>
        <row r="2348">
          <cell r="D2348" t="str">
            <v>13</v>
          </cell>
          <cell r="E2348" t="str">
            <v>Ciudad Real</v>
          </cell>
          <cell r="F2348" t="str">
            <v>094</v>
          </cell>
          <cell r="G2348" t="str">
            <v>0</v>
          </cell>
          <cell r="H2348" t="str">
            <v>Villanueva de San Carlos</v>
          </cell>
        </row>
        <row r="2349">
          <cell r="D2349" t="str">
            <v>13</v>
          </cell>
          <cell r="E2349" t="str">
            <v>Ciudad Real</v>
          </cell>
          <cell r="F2349" t="str">
            <v>095</v>
          </cell>
          <cell r="G2349" t="str">
            <v>3</v>
          </cell>
          <cell r="H2349" t="str">
            <v>Villar del Pozo</v>
          </cell>
        </row>
        <row r="2350">
          <cell r="D2350" t="str">
            <v>13</v>
          </cell>
          <cell r="E2350" t="str">
            <v>Ciudad Real</v>
          </cell>
          <cell r="F2350" t="str">
            <v>096</v>
          </cell>
          <cell r="G2350" t="str">
            <v>6</v>
          </cell>
          <cell r="H2350" t="str">
            <v>Villarrubia de los Ojos</v>
          </cell>
        </row>
        <row r="2351">
          <cell r="D2351" t="str">
            <v>13</v>
          </cell>
          <cell r="E2351" t="str">
            <v>Ciudad Real</v>
          </cell>
          <cell r="F2351" t="str">
            <v>097</v>
          </cell>
          <cell r="G2351" t="str">
            <v>2</v>
          </cell>
          <cell r="H2351" t="str">
            <v>Villarta de San Juan</v>
          </cell>
        </row>
        <row r="2352">
          <cell r="D2352" t="str">
            <v>13</v>
          </cell>
          <cell r="E2352" t="str">
            <v>Ciudad Real</v>
          </cell>
          <cell r="F2352" t="str">
            <v>098</v>
          </cell>
          <cell r="G2352" t="str">
            <v>8</v>
          </cell>
          <cell r="H2352" t="str">
            <v>Viso del Marqués</v>
          </cell>
        </row>
        <row r="2353">
          <cell r="D2353" t="str">
            <v>13</v>
          </cell>
          <cell r="E2353" t="str">
            <v>Ciudad Real</v>
          </cell>
          <cell r="F2353" t="str">
            <v>901</v>
          </cell>
          <cell r="G2353" t="str">
            <v>4</v>
          </cell>
          <cell r="H2353" t="str">
            <v>Robledo, El</v>
          </cell>
        </row>
        <row r="2354">
          <cell r="D2354" t="str">
            <v>13</v>
          </cell>
          <cell r="E2354" t="str">
            <v>Ciudad Real</v>
          </cell>
          <cell r="F2354" t="str">
            <v>902</v>
          </cell>
          <cell r="G2354" t="str">
            <v>9</v>
          </cell>
          <cell r="H2354" t="str">
            <v>Ruidera</v>
          </cell>
        </row>
        <row r="2355">
          <cell r="D2355" t="str">
            <v>13</v>
          </cell>
          <cell r="E2355" t="str">
            <v>Ciudad Real</v>
          </cell>
          <cell r="F2355" t="str">
            <v>903</v>
          </cell>
          <cell r="G2355" t="str">
            <v>5</v>
          </cell>
          <cell r="H2355" t="str">
            <v>Arenales de San Gregorio</v>
          </cell>
        </row>
        <row r="2356">
          <cell r="D2356" t="str">
            <v>13</v>
          </cell>
          <cell r="E2356" t="str">
            <v>Ciudad Real</v>
          </cell>
          <cell r="F2356" t="str">
            <v>904</v>
          </cell>
          <cell r="G2356" t="str">
            <v>0</v>
          </cell>
          <cell r="H2356" t="str">
            <v>Llanos del Caudillo</v>
          </cell>
        </row>
        <row r="2357">
          <cell r="D2357" t="str">
            <v>14</v>
          </cell>
          <cell r="E2357" t="str">
            <v>Córdoba</v>
          </cell>
          <cell r="F2357" t="str">
            <v>001</v>
          </cell>
          <cell r="G2357" t="str">
            <v>8</v>
          </cell>
          <cell r="H2357" t="str">
            <v>Adamuz</v>
          </cell>
        </row>
        <row r="2358">
          <cell r="D2358" t="str">
            <v>14</v>
          </cell>
          <cell r="E2358" t="str">
            <v>Córdoba</v>
          </cell>
          <cell r="F2358" t="str">
            <v>002</v>
          </cell>
          <cell r="G2358" t="str">
            <v>3</v>
          </cell>
          <cell r="H2358" t="str">
            <v>Aguilar de la Frontera</v>
          </cell>
        </row>
        <row r="2359">
          <cell r="D2359" t="str">
            <v>14</v>
          </cell>
          <cell r="E2359" t="str">
            <v>Córdoba</v>
          </cell>
          <cell r="F2359" t="str">
            <v>003</v>
          </cell>
          <cell r="G2359" t="str">
            <v>9</v>
          </cell>
          <cell r="H2359" t="str">
            <v>Alcaracejos</v>
          </cell>
        </row>
        <row r="2360">
          <cell r="D2360" t="str">
            <v>14</v>
          </cell>
          <cell r="E2360" t="str">
            <v>Córdoba</v>
          </cell>
          <cell r="F2360" t="str">
            <v>004</v>
          </cell>
          <cell r="G2360" t="str">
            <v>4</v>
          </cell>
          <cell r="H2360" t="str">
            <v>Almedinilla</v>
          </cell>
        </row>
        <row r="2361">
          <cell r="D2361" t="str">
            <v>14</v>
          </cell>
          <cell r="E2361" t="str">
            <v>Córdoba</v>
          </cell>
          <cell r="F2361" t="str">
            <v>005</v>
          </cell>
          <cell r="G2361" t="str">
            <v>7</v>
          </cell>
          <cell r="H2361" t="str">
            <v>Almodóvar del Río</v>
          </cell>
        </row>
        <row r="2362">
          <cell r="D2362" t="str">
            <v>14</v>
          </cell>
          <cell r="E2362" t="str">
            <v>Córdoba</v>
          </cell>
          <cell r="F2362" t="str">
            <v>006</v>
          </cell>
          <cell r="G2362" t="str">
            <v>0</v>
          </cell>
          <cell r="H2362" t="str">
            <v>Añora</v>
          </cell>
        </row>
        <row r="2363">
          <cell r="D2363" t="str">
            <v>14</v>
          </cell>
          <cell r="E2363" t="str">
            <v>Córdoba</v>
          </cell>
          <cell r="F2363" t="str">
            <v>007</v>
          </cell>
          <cell r="G2363" t="str">
            <v>6</v>
          </cell>
          <cell r="H2363" t="str">
            <v>Baena</v>
          </cell>
        </row>
        <row r="2364">
          <cell r="D2364" t="str">
            <v>14</v>
          </cell>
          <cell r="E2364" t="str">
            <v>Córdoba</v>
          </cell>
          <cell r="F2364" t="str">
            <v>008</v>
          </cell>
          <cell r="G2364" t="str">
            <v>2</v>
          </cell>
          <cell r="H2364" t="str">
            <v>Belalcázar</v>
          </cell>
        </row>
        <row r="2365">
          <cell r="D2365" t="str">
            <v>14</v>
          </cell>
          <cell r="E2365" t="str">
            <v>Córdoba</v>
          </cell>
          <cell r="F2365" t="str">
            <v>010</v>
          </cell>
          <cell r="G2365" t="str">
            <v>9</v>
          </cell>
          <cell r="H2365" t="str">
            <v>Benamejí</v>
          </cell>
        </row>
        <row r="2366">
          <cell r="D2366" t="str">
            <v>14</v>
          </cell>
          <cell r="E2366" t="str">
            <v>Córdoba</v>
          </cell>
          <cell r="F2366" t="str">
            <v>012</v>
          </cell>
          <cell r="G2366" t="str">
            <v>1</v>
          </cell>
          <cell r="H2366" t="str">
            <v>Bujalance</v>
          </cell>
        </row>
        <row r="2367">
          <cell r="D2367" t="str">
            <v>14</v>
          </cell>
          <cell r="E2367" t="str">
            <v>Córdoba</v>
          </cell>
          <cell r="F2367" t="str">
            <v>013</v>
          </cell>
          <cell r="G2367" t="str">
            <v>7</v>
          </cell>
          <cell r="H2367" t="str">
            <v>Cabra</v>
          </cell>
        </row>
        <row r="2368">
          <cell r="D2368" t="str">
            <v>14</v>
          </cell>
          <cell r="E2368" t="str">
            <v>Córdoba</v>
          </cell>
          <cell r="F2368" t="str">
            <v>014</v>
          </cell>
          <cell r="G2368" t="str">
            <v>2</v>
          </cell>
          <cell r="H2368" t="str">
            <v>Cañete de las Torres</v>
          </cell>
        </row>
        <row r="2369">
          <cell r="D2369" t="str">
            <v>14</v>
          </cell>
          <cell r="E2369" t="str">
            <v>Córdoba</v>
          </cell>
          <cell r="F2369" t="str">
            <v>015</v>
          </cell>
          <cell r="G2369" t="str">
            <v>5</v>
          </cell>
          <cell r="H2369" t="str">
            <v>Carcabuey</v>
          </cell>
        </row>
        <row r="2370">
          <cell r="D2370" t="str">
            <v>14</v>
          </cell>
          <cell r="E2370" t="str">
            <v>Córdoba</v>
          </cell>
          <cell r="F2370" t="str">
            <v>016</v>
          </cell>
          <cell r="G2370" t="str">
            <v>8</v>
          </cell>
          <cell r="H2370" t="str">
            <v>Cardeña</v>
          </cell>
        </row>
        <row r="2371">
          <cell r="D2371" t="str">
            <v>14</v>
          </cell>
          <cell r="E2371" t="str">
            <v>Córdoba</v>
          </cell>
          <cell r="F2371" t="str">
            <v>017</v>
          </cell>
          <cell r="G2371" t="str">
            <v>4</v>
          </cell>
          <cell r="H2371" t="str">
            <v>Carlota, La</v>
          </cell>
        </row>
        <row r="2372">
          <cell r="D2372" t="str">
            <v>14</v>
          </cell>
          <cell r="E2372" t="str">
            <v>Córdoba</v>
          </cell>
          <cell r="F2372" t="str">
            <v>018</v>
          </cell>
          <cell r="G2372" t="str">
            <v>0</v>
          </cell>
          <cell r="H2372" t="str">
            <v>Carpio, El</v>
          </cell>
        </row>
        <row r="2373">
          <cell r="D2373" t="str">
            <v>14</v>
          </cell>
          <cell r="E2373" t="str">
            <v>Córdoba</v>
          </cell>
          <cell r="F2373" t="str">
            <v>019</v>
          </cell>
          <cell r="G2373" t="str">
            <v>3</v>
          </cell>
          <cell r="H2373" t="str">
            <v>Castro del Río</v>
          </cell>
        </row>
        <row r="2374">
          <cell r="D2374" t="str">
            <v>14</v>
          </cell>
          <cell r="E2374" t="str">
            <v>Córdoba</v>
          </cell>
          <cell r="F2374" t="str">
            <v>020</v>
          </cell>
          <cell r="G2374" t="str">
            <v>7</v>
          </cell>
          <cell r="H2374" t="str">
            <v>Conquista</v>
          </cell>
        </row>
        <row r="2375">
          <cell r="D2375" t="str">
            <v>14</v>
          </cell>
          <cell r="E2375" t="str">
            <v>Córdoba</v>
          </cell>
          <cell r="F2375" t="str">
            <v>021</v>
          </cell>
          <cell r="G2375" t="str">
            <v>4</v>
          </cell>
          <cell r="H2375" t="str">
            <v>Córdoba</v>
          </cell>
        </row>
        <row r="2376">
          <cell r="D2376" t="str">
            <v>14</v>
          </cell>
          <cell r="E2376" t="str">
            <v>Córdoba</v>
          </cell>
          <cell r="F2376" t="str">
            <v>022</v>
          </cell>
          <cell r="G2376" t="str">
            <v>9</v>
          </cell>
          <cell r="H2376" t="str">
            <v>Doña Mencía</v>
          </cell>
        </row>
        <row r="2377">
          <cell r="D2377" t="str">
            <v>14</v>
          </cell>
          <cell r="E2377" t="str">
            <v>Córdoba</v>
          </cell>
          <cell r="F2377" t="str">
            <v>023</v>
          </cell>
          <cell r="G2377" t="str">
            <v>5</v>
          </cell>
          <cell r="H2377" t="str">
            <v>Dos Torres</v>
          </cell>
        </row>
        <row r="2378">
          <cell r="D2378" t="str">
            <v>14</v>
          </cell>
          <cell r="E2378" t="str">
            <v>Córdoba</v>
          </cell>
          <cell r="F2378" t="str">
            <v>024</v>
          </cell>
          <cell r="G2378" t="str">
            <v>0</v>
          </cell>
          <cell r="H2378" t="str">
            <v>Encinas Reales</v>
          </cell>
        </row>
        <row r="2379">
          <cell r="D2379" t="str">
            <v>14</v>
          </cell>
          <cell r="E2379" t="str">
            <v>Córdoba</v>
          </cell>
          <cell r="F2379" t="str">
            <v>025</v>
          </cell>
          <cell r="G2379" t="str">
            <v>3</v>
          </cell>
          <cell r="H2379" t="str">
            <v>Espejo</v>
          </cell>
        </row>
        <row r="2380">
          <cell r="D2380" t="str">
            <v>14</v>
          </cell>
          <cell r="E2380" t="str">
            <v>Córdoba</v>
          </cell>
          <cell r="F2380" t="str">
            <v>027</v>
          </cell>
          <cell r="G2380" t="str">
            <v>2</v>
          </cell>
          <cell r="H2380" t="str">
            <v>Fernán-Núñez</v>
          </cell>
        </row>
        <row r="2381">
          <cell r="D2381" t="str">
            <v>14</v>
          </cell>
          <cell r="E2381" t="str">
            <v>Córdoba</v>
          </cell>
          <cell r="F2381" t="str">
            <v>028</v>
          </cell>
          <cell r="G2381" t="str">
            <v>8</v>
          </cell>
          <cell r="H2381" t="str">
            <v>Fuente la Lancha</v>
          </cell>
        </row>
        <row r="2382">
          <cell r="D2382" t="str">
            <v>14</v>
          </cell>
          <cell r="E2382" t="str">
            <v>Córdoba</v>
          </cell>
          <cell r="F2382" t="str">
            <v>030</v>
          </cell>
          <cell r="G2382" t="str">
            <v>5</v>
          </cell>
          <cell r="H2382" t="str">
            <v>Fuente Palmera</v>
          </cell>
        </row>
        <row r="2383">
          <cell r="D2383" t="str">
            <v>14</v>
          </cell>
          <cell r="E2383" t="str">
            <v>Córdoba</v>
          </cell>
          <cell r="F2383" t="str">
            <v>031</v>
          </cell>
          <cell r="G2383" t="str">
            <v>2</v>
          </cell>
          <cell r="H2383" t="str">
            <v>Fuente-Tójar</v>
          </cell>
        </row>
        <row r="2384">
          <cell r="D2384" t="str">
            <v>14</v>
          </cell>
          <cell r="E2384" t="str">
            <v>Córdoba</v>
          </cell>
          <cell r="F2384" t="str">
            <v>033</v>
          </cell>
          <cell r="G2384" t="str">
            <v>3</v>
          </cell>
          <cell r="H2384" t="str">
            <v>Guadalcázar</v>
          </cell>
        </row>
        <row r="2385">
          <cell r="D2385" t="str">
            <v>14</v>
          </cell>
          <cell r="E2385" t="str">
            <v>Córdoba</v>
          </cell>
          <cell r="F2385" t="str">
            <v>034</v>
          </cell>
          <cell r="G2385" t="str">
            <v>8</v>
          </cell>
          <cell r="H2385" t="str">
            <v>Guijo, El</v>
          </cell>
        </row>
        <row r="2386">
          <cell r="D2386" t="str">
            <v>14</v>
          </cell>
          <cell r="E2386" t="str">
            <v>Córdoba</v>
          </cell>
          <cell r="F2386" t="str">
            <v>035</v>
          </cell>
          <cell r="G2386" t="str">
            <v>1</v>
          </cell>
          <cell r="H2386" t="str">
            <v>Hinojosa del Duque</v>
          </cell>
        </row>
        <row r="2387">
          <cell r="D2387" t="str">
            <v>14</v>
          </cell>
          <cell r="E2387" t="str">
            <v>Córdoba</v>
          </cell>
          <cell r="F2387" t="str">
            <v>036</v>
          </cell>
          <cell r="G2387" t="str">
            <v>4</v>
          </cell>
          <cell r="H2387" t="str">
            <v>Hornachuelos</v>
          </cell>
        </row>
        <row r="2388">
          <cell r="D2388" t="str">
            <v>14</v>
          </cell>
          <cell r="E2388" t="str">
            <v>Córdoba</v>
          </cell>
          <cell r="F2388" t="str">
            <v>037</v>
          </cell>
          <cell r="G2388" t="str">
            <v>0</v>
          </cell>
          <cell r="H2388" t="str">
            <v>Iznájar</v>
          </cell>
        </row>
        <row r="2389">
          <cell r="D2389" t="str">
            <v>14</v>
          </cell>
          <cell r="E2389" t="str">
            <v>Córdoba</v>
          </cell>
          <cell r="F2389" t="str">
            <v>038</v>
          </cell>
          <cell r="G2389" t="str">
            <v>6</v>
          </cell>
          <cell r="H2389" t="str">
            <v>Lucena</v>
          </cell>
        </row>
        <row r="2390">
          <cell r="D2390" t="str">
            <v>14</v>
          </cell>
          <cell r="E2390" t="str">
            <v>Córdoba</v>
          </cell>
          <cell r="F2390" t="str">
            <v>039</v>
          </cell>
          <cell r="G2390" t="str">
            <v>9</v>
          </cell>
          <cell r="H2390" t="str">
            <v>Luque</v>
          </cell>
        </row>
        <row r="2391">
          <cell r="D2391" t="str">
            <v>14</v>
          </cell>
          <cell r="E2391" t="str">
            <v>Córdoba</v>
          </cell>
          <cell r="F2391" t="str">
            <v>040</v>
          </cell>
          <cell r="G2391" t="str">
            <v>3</v>
          </cell>
          <cell r="H2391" t="str">
            <v>Montalbán de Córdoba</v>
          </cell>
        </row>
        <row r="2392">
          <cell r="D2392" t="str">
            <v>14</v>
          </cell>
          <cell r="E2392" t="str">
            <v>Córdoba</v>
          </cell>
          <cell r="F2392" t="str">
            <v>041</v>
          </cell>
          <cell r="G2392" t="str">
            <v>0</v>
          </cell>
          <cell r="H2392" t="str">
            <v>Montemayor</v>
          </cell>
        </row>
        <row r="2393">
          <cell r="D2393" t="str">
            <v>14</v>
          </cell>
          <cell r="E2393" t="str">
            <v>Córdoba</v>
          </cell>
          <cell r="F2393" t="str">
            <v>042</v>
          </cell>
          <cell r="G2393" t="str">
            <v>5</v>
          </cell>
          <cell r="H2393" t="str">
            <v>Montilla</v>
          </cell>
        </row>
        <row r="2394">
          <cell r="D2394" t="str">
            <v>14</v>
          </cell>
          <cell r="E2394" t="str">
            <v>Córdoba</v>
          </cell>
          <cell r="F2394" t="str">
            <v>043</v>
          </cell>
          <cell r="G2394" t="str">
            <v>1</v>
          </cell>
          <cell r="H2394" t="str">
            <v>Montoro</v>
          </cell>
        </row>
        <row r="2395">
          <cell r="D2395" t="str">
            <v>14</v>
          </cell>
          <cell r="E2395" t="str">
            <v>Córdoba</v>
          </cell>
          <cell r="F2395" t="str">
            <v>044</v>
          </cell>
          <cell r="G2395" t="str">
            <v>6</v>
          </cell>
          <cell r="H2395" t="str">
            <v>Monturque</v>
          </cell>
        </row>
        <row r="2396">
          <cell r="D2396" t="str">
            <v>14</v>
          </cell>
          <cell r="E2396" t="str">
            <v>Córdoba</v>
          </cell>
          <cell r="F2396" t="str">
            <v>045</v>
          </cell>
          <cell r="G2396" t="str">
            <v>9</v>
          </cell>
          <cell r="H2396" t="str">
            <v>Moriles</v>
          </cell>
        </row>
        <row r="2397">
          <cell r="D2397" t="str">
            <v>14</v>
          </cell>
          <cell r="E2397" t="str">
            <v>Córdoba</v>
          </cell>
          <cell r="F2397" t="str">
            <v>046</v>
          </cell>
          <cell r="G2397" t="str">
            <v>2</v>
          </cell>
          <cell r="H2397" t="str">
            <v>Nueva Carteya</v>
          </cell>
        </row>
        <row r="2398">
          <cell r="D2398" t="str">
            <v>14</v>
          </cell>
          <cell r="E2398" t="str">
            <v>Córdoba</v>
          </cell>
          <cell r="F2398" t="str">
            <v>048</v>
          </cell>
          <cell r="G2398" t="str">
            <v>4</v>
          </cell>
          <cell r="H2398" t="str">
            <v>Palenciana</v>
          </cell>
        </row>
        <row r="2399">
          <cell r="D2399" t="str">
            <v>14</v>
          </cell>
          <cell r="E2399" t="str">
            <v>Córdoba</v>
          </cell>
          <cell r="F2399" t="str">
            <v>049</v>
          </cell>
          <cell r="G2399" t="str">
            <v>7</v>
          </cell>
          <cell r="H2399" t="str">
            <v>Palma del Río</v>
          </cell>
        </row>
        <row r="2400">
          <cell r="D2400" t="str">
            <v>14</v>
          </cell>
          <cell r="E2400" t="str">
            <v>Córdoba</v>
          </cell>
          <cell r="F2400" t="str">
            <v>050</v>
          </cell>
          <cell r="G2400" t="str">
            <v>0</v>
          </cell>
          <cell r="H2400" t="str">
            <v>Pedro Abad</v>
          </cell>
        </row>
        <row r="2401">
          <cell r="D2401" t="str">
            <v>14</v>
          </cell>
          <cell r="E2401" t="str">
            <v>Córdoba</v>
          </cell>
          <cell r="F2401" t="str">
            <v>051</v>
          </cell>
          <cell r="G2401" t="str">
            <v>7</v>
          </cell>
          <cell r="H2401" t="str">
            <v>Pedroche</v>
          </cell>
        </row>
        <row r="2402">
          <cell r="D2402" t="str">
            <v>14</v>
          </cell>
          <cell r="E2402" t="str">
            <v>Córdoba</v>
          </cell>
          <cell r="F2402" t="str">
            <v>053</v>
          </cell>
          <cell r="G2402" t="str">
            <v>8</v>
          </cell>
          <cell r="H2402" t="str">
            <v>Posadas</v>
          </cell>
        </row>
        <row r="2403">
          <cell r="D2403" t="str">
            <v>14</v>
          </cell>
          <cell r="E2403" t="str">
            <v>Córdoba</v>
          </cell>
          <cell r="F2403" t="str">
            <v>054</v>
          </cell>
          <cell r="G2403" t="str">
            <v>3</v>
          </cell>
          <cell r="H2403" t="str">
            <v>Pozoblanco</v>
          </cell>
        </row>
        <row r="2404">
          <cell r="D2404" t="str">
            <v>14</v>
          </cell>
          <cell r="E2404" t="str">
            <v>Córdoba</v>
          </cell>
          <cell r="F2404" t="str">
            <v>055</v>
          </cell>
          <cell r="G2404" t="str">
            <v>6</v>
          </cell>
          <cell r="H2404" t="str">
            <v>Priego de Córdoba</v>
          </cell>
        </row>
        <row r="2405">
          <cell r="D2405" t="str">
            <v>14</v>
          </cell>
          <cell r="E2405" t="str">
            <v>Córdoba</v>
          </cell>
          <cell r="F2405" t="str">
            <v>056</v>
          </cell>
          <cell r="G2405" t="str">
            <v>9</v>
          </cell>
          <cell r="H2405" t="str">
            <v>Puente Genil</v>
          </cell>
        </row>
        <row r="2406">
          <cell r="D2406" t="str">
            <v>14</v>
          </cell>
          <cell r="E2406" t="str">
            <v>Córdoba</v>
          </cell>
          <cell r="F2406" t="str">
            <v>057</v>
          </cell>
          <cell r="G2406" t="str">
            <v>5</v>
          </cell>
          <cell r="H2406" t="str">
            <v>Rambla, La</v>
          </cell>
        </row>
        <row r="2407">
          <cell r="D2407" t="str">
            <v>14</v>
          </cell>
          <cell r="E2407" t="str">
            <v>Córdoba</v>
          </cell>
          <cell r="F2407" t="str">
            <v>058</v>
          </cell>
          <cell r="G2407" t="str">
            <v>1</v>
          </cell>
          <cell r="H2407" t="str">
            <v>Rute</v>
          </cell>
        </row>
        <row r="2408">
          <cell r="D2408" t="str">
            <v>14</v>
          </cell>
          <cell r="E2408" t="str">
            <v>Córdoba</v>
          </cell>
          <cell r="F2408" t="str">
            <v>059</v>
          </cell>
          <cell r="G2408" t="str">
            <v>4</v>
          </cell>
          <cell r="H2408" t="str">
            <v>San Sebastián de los Ballesteros</v>
          </cell>
        </row>
        <row r="2409">
          <cell r="D2409" t="str">
            <v>14</v>
          </cell>
          <cell r="E2409" t="str">
            <v>Córdoba</v>
          </cell>
          <cell r="F2409" t="str">
            <v>060</v>
          </cell>
          <cell r="G2409" t="str">
            <v>8</v>
          </cell>
          <cell r="H2409" t="str">
            <v>Santaella</v>
          </cell>
        </row>
        <row r="2410">
          <cell r="D2410" t="str">
            <v>14</v>
          </cell>
          <cell r="E2410" t="str">
            <v>Córdoba</v>
          </cell>
          <cell r="F2410" t="str">
            <v>061</v>
          </cell>
          <cell r="G2410" t="str">
            <v>5</v>
          </cell>
          <cell r="H2410" t="str">
            <v>Santa Eufemia</v>
          </cell>
        </row>
        <row r="2411">
          <cell r="D2411" t="str">
            <v>14</v>
          </cell>
          <cell r="E2411" t="str">
            <v>Córdoba</v>
          </cell>
          <cell r="F2411" t="str">
            <v>062</v>
          </cell>
          <cell r="G2411" t="str">
            <v>0</v>
          </cell>
          <cell r="H2411" t="str">
            <v>Torrecampo</v>
          </cell>
        </row>
        <row r="2412">
          <cell r="D2412" t="str">
            <v>14</v>
          </cell>
          <cell r="E2412" t="str">
            <v>Córdoba</v>
          </cell>
          <cell r="F2412" t="str">
            <v>063</v>
          </cell>
          <cell r="G2412" t="str">
            <v>6</v>
          </cell>
          <cell r="H2412" t="str">
            <v>Valenzuela</v>
          </cell>
        </row>
        <row r="2413">
          <cell r="D2413" t="str">
            <v>14</v>
          </cell>
          <cell r="E2413" t="str">
            <v>Córdoba</v>
          </cell>
          <cell r="F2413" t="str">
            <v>065</v>
          </cell>
          <cell r="G2413" t="str">
            <v>4</v>
          </cell>
          <cell r="H2413" t="str">
            <v>Victoria, La</v>
          </cell>
        </row>
        <row r="2414">
          <cell r="D2414" t="str">
            <v>14</v>
          </cell>
          <cell r="E2414" t="str">
            <v>Córdoba</v>
          </cell>
          <cell r="F2414" t="str">
            <v>066</v>
          </cell>
          <cell r="G2414" t="str">
            <v>7</v>
          </cell>
          <cell r="H2414" t="str">
            <v>Villa del Río</v>
          </cell>
        </row>
        <row r="2415">
          <cell r="D2415" t="str">
            <v>14</v>
          </cell>
          <cell r="E2415" t="str">
            <v>Córdoba</v>
          </cell>
          <cell r="F2415" t="str">
            <v>067</v>
          </cell>
          <cell r="G2415" t="str">
            <v>3</v>
          </cell>
          <cell r="H2415" t="str">
            <v>Villafranca de Córdoba</v>
          </cell>
        </row>
        <row r="2416">
          <cell r="D2416" t="str">
            <v>14</v>
          </cell>
          <cell r="E2416" t="str">
            <v>Córdoba</v>
          </cell>
          <cell r="F2416" t="str">
            <v>069</v>
          </cell>
          <cell r="G2416" t="str">
            <v>2</v>
          </cell>
          <cell r="H2416" t="str">
            <v>Villanueva de Córdoba</v>
          </cell>
        </row>
        <row r="2417">
          <cell r="D2417" t="str">
            <v>14</v>
          </cell>
          <cell r="E2417" t="str">
            <v>Córdoba</v>
          </cell>
          <cell r="F2417" t="str">
            <v>070</v>
          </cell>
          <cell r="G2417" t="str">
            <v>6</v>
          </cell>
          <cell r="H2417" t="str">
            <v>Villanueva del Duque</v>
          </cell>
        </row>
        <row r="2418">
          <cell r="D2418" t="str">
            <v>14</v>
          </cell>
          <cell r="E2418" t="str">
            <v>Córdoba</v>
          </cell>
          <cell r="F2418" t="str">
            <v>072</v>
          </cell>
          <cell r="G2418" t="str">
            <v>8</v>
          </cell>
          <cell r="H2418" t="str">
            <v>Villaralto</v>
          </cell>
        </row>
        <row r="2419">
          <cell r="D2419" t="str">
            <v>14</v>
          </cell>
          <cell r="E2419" t="str">
            <v>Córdoba</v>
          </cell>
          <cell r="F2419" t="str">
            <v>074</v>
          </cell>
          <cell r="G2419" t="str">
            <v>9</v>
          </cell>
          <cell r="H2419" t="str">
            <v>Viso, El</v>
          </cell>
        </row>
        <row r="2420">
          <cell r="D2420" t="str">
            <v>14</v>
          </cell>
          <cell r="E2420" t="str">
            <v>Córdoba</v>
          </cell>
          <cell r="F2420" t="str">
            <v>075</v>
          </cell>
          <cell r="G2420" t="str">
            <v>2</v>
          </cell>
          <cell r="H2420" t="str">
            <v>Zuheros</v>
          </cell>
        </row>
        <row r="2421">
          <cell r="D2421" t="str">
            <v>14</v>
          </cell>
          <cell r="E2421" t="str">
            <v>Córdoba</v>
          </cell>
          <cell r="F2421" t="str">
            <v>901</v>
          </cell>
          <cell r="G2421" t="str">
            <v>9</v>
          </cell>
          <cell r="H2421" t="str">
            <v>Fuente Carreteros</v>
          </cell>
        </row>
        <row r="2422">
          <cell r="D2422" t="str">
            <v>14</v>
          </cell>
          <cell r="E2422" t="str">
            <v>Córdoba</v>
          </cell>
          <cell r="F2422" t="str">
            <v>902</v>
          </cell>
          <cell r="G2422" t="str">
            <v>4</v>
          </cell>
          <cell r="H2422" t="str">
            <v>Guijarrosa, La</v>
          </cell>
        </row>
        <row r="2423">
          <cell r="D2423" t="str">
            <v>15</v>
          </cell>
          <cell r="E2423" t="str">
            <v>Coruña, A</v>
          </cell>
          <cell r="F2423" t="str">
            <v>001</v>
          </cell>
          <cell r="G2423" t="str">
            <v>1</v>
          </cell>
          <cell r="H2423" t="str">
            <v>Abegondo</v>
          </cell>
        </row>
        <row r="2424">
          <cell r="D2424" t="str">
            <v>15</v>
          </cell>
          <cell r="E2424" t="str">
            <v>Coruña, A</v>
          </cell>
          <cell r="F2424" t="str">
            <v>002</v>
          </cell>
          <cell r="G2424" t="str">
            <v>6</v>
          </cell>
          <cell r="H2424" t="str">
            <v>Ames</v>
          </cell>
        </row>
        <row r="2425">
          <cell r="D2425" t="str">
            <v>15</v>
          </cell>
          <cell r="E2425" t="str">
            <v>Coruña, A</v>
          </cell>
          <cell r="F2425" t="str">
            <v>003</v>
          </cell>
          <cell r="G2425" t="str">
            <v>2</v>
          </cell>
          <cell r="H2425" t="str">
            <v>Aranga</v>
          </cell>
        </row>
        <row r="2426">
          <cell r="D2426" t="str">
            <v>15</v>
          </cell>
          <cell r="E2426" t="str">
            <v>Coruña, A</v>
          </cell>
          <cell r="F2426" t="str">
            <v>004</v>
          </cell>
          <cell r="G2426" t="str">
            <v>7</v>
          </cell>
          <cell r="H2426" t="str">
            <v>Ares</v>
          </cell>
        </row>
        <row r="2427">
          <cell r="D2427" t="str">
            <v>15</v>
          </cell>
          <cell r="E2427" t="str">
            <v>Coruña, A</v>
          </cell>
          <cell r="F2427" t="str">
            <v>005</v>
          </cell>
          <cell r="G2427" t="str">
            <v>0</v>
          </cell>
          <cell r="H2427" t="str">
            <v>Arteixo</v>
          </cell>
        </row>
        <row r="2428">
          <cell r="D2428" t="str">
            <v>15</v>
          </cell>
          <cell r="E2428" t="str">
            <v>Coruña, A</v>
          </cell>
          <cell r="F2428" t="str">
            <v>006</v>
          </cell>
          <cell r="G2428" t="str">
            <v>3</v>
          </cell>
          <cell r="H2428" t="str">
            <v>Arzúa</v>
          </cell>
        </row>
        <row r="2429">
          <cell r="D2429" t="str">
            <v>15</v>
          </cell>
          <cell r="E2429" t="str">
            <v>Coruña, A</v>
          </cell>
          <cell r="F2429" t="str">
            <v>007</v>
          </cell>
          <cell r="G2429" t="str">
            <v>9</v>
          </cell>
          <cell r="H2429" t="str">
            <v>Baña, A</v>
          </cell>
        </row>
        <row r="2430">
          <cell r="D2430" t="str">
            <v>15</v>
          </cell>
          <cell r="E2430" t="str">
            <v>Coruña, A</v>
          </cell>
          <cell r="F2430" t="str">
            <v>008</v>
          </cell>
          <cell r="G2430" t="str">
            <v>5</v>
          </cell>
          <cell r="H2430" t="str">
            <v>Bergondo</v>
          </cell>
        </row>
        <row r="2431">
          <cell r="D2431" t="str">
            <v>15</v>
          </cell>
          <cell r="E2431" t="str">
            <v>Coruña, A</v>
          </cell>
          <cell r="F2431" t="str">
            <v>009</v>
          </cell>
          <cell r="G2431" t="str">
            <v>8</v>
          </cell>
          <cell r="H2431" t="str">
            <v>Betanzos</v>
          </cell>
        </row>
        <row r="2432">
          <cell r="D2432" t="str">
            <v>15</v>
          </cell>
          <cell r="E2432" t="str">
            <v>Coruña, A</v>
          </cell>
          <cell r="F2432" t="str">
            <v>010</v>
          </cell>
          <cell r="G2432" t="str">
            <v>2</v>
          </cell>
          <cell r="H2432" t="str">
            <v>Boimorto</v>
          </cell>
        </row>
        <row r="2433">
          <cell r="D2433" t="str">
            <v>15</v>
          </cell>
          <cell r="E2433" t="str">
            <v>Coruña, A</v>
          </cell>
          <cell r="F2433" t="str">
            <v>011</v>
          </cell>
          <cell r="G2433" t="str">
            <v>9</v>
          </cell>
          <cell r="H2433" t="str">
            <v>Boiro</v>
          </cell>
        </row>
        <row r="2434">
          <cell r="D2434" t="str">
            <v>15</v>
          </cell>
          <cell r="E2434" t="str">
            <v>Coruña, A</v>
          </cell>
          <cell r="F2434" t="str">
            <v>012</v>
          </cell>
          <cell r="G2434" t="str">
            <v>4</v>
          </cell>
          <cell r="H2434" t="str">
            <v>Boqueixón</v>
          </cell>
        </row>
        <row r="2435">
          <cell r="D2435" t="str">
            <v>15</v>
          </cell>
          <cell r="E2435" t="str">
            <v>Coruña, A</v>
          </cell>
          <cell r="F2435" t="str">
            <v>013</v>
          </cell>
          <cell r="G2435" t="str">
            <v>0</v>
          </cell>
          <cell r="H2435" t="str">
            <v>Brión</v>
          </cell>
        </row>
        <row r="2436">
          <cell r="D2436" t="str">
            <v>15</v>
          </cell>
          <cell r="E2436" t="str">
            <v>Coruña, A</v>
          </cell>
          <cell r="F2436" t="str">
            <v>014</v>
          </cell>
          <cell r="G2436" t="str">
            <v>5</v>
          </cell>
          <cell r="H2436" t="str">
            <v>Cabana de Bergantiños</v>
          </cell>
        </row>
        <row r="2437">
          <cell r="D2437" t="str">
            <v>15</v>
          </cell>
          <cell r="E2437" t="str">
            <v>Coruña, A</v>
          </cell>
          <cell r="F2437" t="str">
            <v>016</v>
          </cell>
          <cell r="G2437" t="str">
            <v>1</v>
          </cell>
          <cell r="H2437" t="str">
            <v>Camariñas</v>
          </cell>
        </row>
        <row r="2438">
          <cell r="D2438" t="str">
            <v>15</v>
          </cell>
          <cell r="E2438" t="str">
            <v>Coruña, A</v>
          </cell>
          <cell r="F2438" t="str">
            <v>017</v>
          </cell>
          <cell r="G2438" t="str">
            <v>7</v>
          </cell>
          <cell r="H2438" t="str">
            <v>Cambre</v>
          </cell>
        </row>
        <row r="2439">
          <cell r="D2439" t="str">
            <v>15</v>
          </cell>
          <cell r="E2439" t="str">
            <v>Coruña, A</v>
          </cell>
          <cell r="F2439" t="str">
            <v>019</v>
          </cell>
          <cell r="G2439" t="str">
            <v>6</v>
          </cell>
          <cell r="H2439" t="str">
            <v>Carballo</v>
          </cell>
        </row>
        <row r="2440">
          <cell r="D2440" t="str">
            <v>15</v>
          </cell>
          <cell r="E2440" t="str">
            <v>Coruña, A</v>
          </cell>
          <cell r="F2440" t="str">
            <v>020</v>
          </cell>
          <cell r="G2440" t="str">
            <v>0</v>
          </cell>
          <cell r="H2440" t="str">
            <v>Carnota</v>
          </cell>
        </row>
        <row r="2441">
          <cell r="D2441" t="str">
            <v>15</v>
          </cell>
          <cell r="E2441" t="str">
            <v>Coruña, A</v>
          </cell>
          <cell r="F2441" t="str">
            <v>022</v>
          </cell>
          <cell r="G2441" t="str">
            <v>2</v>
          </cell>
          <cell r="H2441" t="str">
            <v>Cedeira</v>
          </cell>
        </row>
        <row r="2442">
          <cell r="D2442" t="str">
            <v>15</v>
          </cell>
          <cell r="E2442" t="str">
            <v>Coruña, A</v>
          </cell>
          <cell r="F2442" t="str">
            <v>023</v>
          </cell>
          <cell r="G2442" t="str">
            <v>8</v>
          </cell>
          <cell r="H2442" t="str">
            <v>Cee</v>
          </cell>
        </row>
        <row r="2443">
          <cell r="D2443" t="str">
            <v>15</v>
          </cell>
          <cell r="E2443" t="str">
            <v>Coruña, A</v>
          </cell>
          <cell r="F2443" t="str">
            <v>027</v>
          </cell>
          <cell r="G2443" t="str">
            <v>5</v>
          </cell>
          <cell r="H2443" t="str">
            <v>Coirós</v>
          </cell>
        </row>
        <row r="2444">
          <cell r="D2444" t="str">
            <v>15</v>
          </cell>
          <cell r="E2444" t="str">
            <v>Coruña, A</v>
          </cell>
          <cell r="F2444" t="str">
            <v>028</v>
          </cell>
          <cell r="G2444" t="str">
            <v>1</v>
          </cell>
          <cell r="H2444" t="str">
            <v>Corcubión</v>
          </cell>
        </row>
        <row r="2445">
          <cell r="D2445" t="str">
            <v>15</v>
          </cell>
          <cell r="E2445" t="str">
            <v>Coruña, A</v>
          </cell>
          <cell r="F2445" t="str">
            <v>029</v>
          </cell>
          <cell r="G2445" t="str">
            <v>4</v>
          </cell>
          <cell r="H2445" t="str">
            <v>Coristanco</v>
          </cell>
        </row>
        <row r="2446">
          <cell r="D2446" t="str">
            <v>15</v>
          </cell>
          <cell r="E2446" t="str">
            <v>Coruña, A</v>
          </cell>
          <cell r="F2446" t="str">
            <v>030</v>
          </cell>
          <cell r="G2446" t="str">
            <v>8</v>
          </cell>
          <cell r="H2446" t="str">
            <v>Coruña, A</v>
          </cell>
        </row>
        <row r="2447">
          <cell r="D2447" t="str">
            <v>15</v>
          </cell>
          <cell r="E2447" t="str">
            <v>Coruña, A</v>
          </cell>
          <cell r="F2447" t="str">
            <v>031</v>
          </cell>
          <cell r="G2447" t="str">
            <v>5</v>
          </cell>
          <cell r="H2447" t="str">
            <v>Culleredo</v>
          </cell>
        </row>
        <row r="2448">
          <cell r="D2448" t="str">
            <v>15</v>
          </cell>
          <cell r="E2448" t="str">
            <v>Coruña, A</v>
          </cell>
          <cell r="F2448" t="str">
            <v>032</v>
          </cell>
          <cell r="G2448" t="str">
            <v>0</v>
          </cell>
          <cell r="H2448" t="str">
            <v>Curtis</v>
          </cell>
        </row>
        <row r="2449">
          <cell r="D2449" t="str">
            <v>15</v>
          </cell>
          <cell r="E2449" t="str">
            <v>Coruña, A</v>
          </cell>
          <cell r="F2449" t="str">
            <v>033</v>
          </cell>
          <cell r="G2449" t="str">
            <v>6</v>
          </cell>
          <cell r="H2449" t="str">
            <v>Dodro</v>
          </cell>
        </row>
        <row r="2450">
          <cell r="D2450" t="str">
            <v>15</v>
          </cell>
          <cell r="E2450" t="str">
            <v>Coruña, A</v>
          </cell>
          <cell r="F2450" t="str">
            <v>034</v>
          </cell>
          <cell r="G2450" t="str">
            <v>1</v>
          </cell>
          <cell r="H2450" t="str">
            <v>Dumbría</v>
          </cell>
        </row>
        <row r="2451">
          <cell r="D2451" t="str">
            <v>15</v>
          </cell>
          <cell r="E2451" t="str">
            <v>Coruña, A</v>
          </cell>
          <cell r="F2451" t="str">
            <v>035</v>
          </cell>
          <cell r="G2451" t="str">
            <v>4</v>
          </cell>
          <cell r="H2451" t="str">
            <v>Fene</v>
          </cell>
        </row>
        <row r="2452">
          <cell r="D2452" t="str">
            <v>15</v>
          </cell>
          <cell r="E2452" t="str">
            <v>Coruña, A</v>
          </cell>
          <cell r="F2452" t="str">
            <v>037</v>
          </cell>
          <cell r="G2452" t="str">
            <v>3</v>
          </cell>
          <cell r="H2452" t="str">
            <v>Fisterra</v>
          </cell>
        </row>
        <row r="2453">
          <cell r="D2453" t="str">
            <v>15</v>
          </cell>
          <cell r="E2453" t="str">
            <v>Coruña, A</v>
          </cell>
          <cell r="F2453" t="str">
            <v>038</v>
          </cell>
          <cell r="G2453" t="str">
            <v>9</v>
          </cell>
          <cell r="H2453" t="str">
            <v>Frades</v>
          </cell>
        </row>
        <row r="2454">
          <cell r="D2454" t="str">
            <v>15</v>
          </cell>
          <cell r="E2454" t="str">
            <v>Coruña, A</v>
          </cell>
          <cell r="F2454" t="str">
            <v>039</v>
          </cell>
          <cell r="G2454" t="str">
            <v>2</v>
          </cell>
          <cell r="H2454" t="str">
            <v>Irixoa</v>
          </cell>
        </row>
        <row r="2455">
          <cell r="D2455" t="str">
            <v>15</v>
          </cell>
          <cell r="E2455" t="str">
            <v>Coruña, A</v>
          </cell>
          <cell r="F2455" t="str">
            <v>040</v>
          </cell>
          <cell r="G2455" t="str">
            <v>6</v>
          </cell>
          <cell r="H2455" t="str">
            <v>Laxe</v>
          </cell>
        </row>
        <row r="2456">
          <cell r="D2456" t="str">
            <v>15</v>
          </cell>
          <cell r="E2456" t="str">
            <v>Coruña, A</v>
          </cell>
          <cell r="F2456" t="str">
            <v>042</v>
          </cell>
          <cell r="G2456" t="str">
            <v>8</v>
          </cell>
          <cell r="H2456" t="str">
            <v>Lousame</v>
          </cell>
        </row>
        <row r="2457">
          <cell r="D2457" t="str">
            <v>15</v>
          </cell>
          <cell r="E2457" t="str">
            <v>Coruña, A</v>
          </cell>
          <cell r="F2457" t="str">
            <v>043</v>
          </cell>
          <cell r="G2457" t="str">
            <v>4</v>
          </cell>
          <cell r="H2457" t="str">
            <v>Malpica de Bergantiños</v>
          </cell>
        </row>
        <row r="2458">
          <cell r="D2458" t="str">
            <v>15</v>
          </cell>
          <cell r="E2458" t="str">
            <v>Coruña, A</v>
          </cell>
          <cell r="F2458" t="str">
            <v>045</v>
          </cell>
          <cell r="G2458" t="str">
            <v>2</v>
          </cell>
          <cell r="H2458" t="str">
            <v>Mazaricos</v>
          </cell>
        </row>
        <row r="2459">
          <cell r="D2459" t="str">
            <v>15</v>
          </cell>
          <cell r="E2459" t="str">
            <v>Coruña, A</v>
          </cell>
          <cell r="F2459" t="str">
            <v>046</v>
          </cell>
          <cell r="G2459" t="str">
            <v>5</v>
          </cell>
          <cell r="H2459" t="str">
            <v>Melide</v>
          </cell>
        </row>
        <row r="2460">
          <cell r="D2460" t="str">
            <v>15</v>
          </cell>
          <cell r="E2460" t="str">
            <v>Coruña, A</v>
          </cell>
          <cell r="F2460" t="str">
            <v>047</v>
          </cell>
          <cell r="G2460" t="str">
            <v>1</v>
          </cell>
          <cell r="H2460" t="str">
            <v>Mesía</v>
          </cell>
        </row>
        <row r="2461">
          <cell r="D2461" t="str">
            <v>15</v>
          </cell>
          <cell r="E2461" t="str">
            <v>Coruña, A</v>
          </cell>
          <cell r="F2461" t="str">
            <v>048</v>
          </cell>
          <cell r="G2461" t="str">
            <v>7</v>
          </cell>
          <cell r="H2461" t="str">
            <v>Miño</v>
          </cell>
        </row>
        <row r="2462">
          <cell r="D2462" t="str">
            <v>15</v>
          </cell>
          <cell r="E2462" t="str">
            <v>Coruña, A</v>
          </cell>
          <cell r="F2462" t="str">
            <v>051</v>
          </cell>
          <cell r="G2462" t="str">
            <v>0</v>
          </cell>
          <cell r="H2462" t="str">
            <v>Mugardos</v>
          </cell>
        </row>
        <row r="2463">
          <cell r="D2463" t="str">
            <v>15</v>
          </cell>
          <cell r="E2463" t="str">
            <v>Coruña, A</v>
          </cell>
          <cell r="F2463" t="str">
            <v>052</v>
          </cell>
          <cell r="G2463" t="str">
            <v>5</v>
          </cell>
          <cell r="H2463" t="str">
            <v>Muxía</v>
          </cell>
        </row>
        <row r="2464">
          <cell r="D2464" t="str">
            <v>15</v>
          </cell>
          <cell r="E2464" t="str">
            <v>Coruña, A</v>
          </cell>
          <cell r="F2464" t="str">
            <v>053</v>
          </cell>
          <cell r="G2464" t="str">
            <v>1</v>
          </cell>
          <cell r="H2464" t="str">
            <v>Muros</v>
          </cell>
        </row>
        <row r="2465">
          <cell r="D2465" t="str">
            <v>15</v>
          </cell>
          <cell r="E2465" t="str">
            <v>Coruña, A</v>
          </cell>
          <cell r="F2465" t="str">
            <v>054</v>
          </cell>
          <cell r="G2465" t="str">
            <v>6</v>
          </cell>
          <cell r="H2465" t="str">
            <v>Narón</v>
          </cell>
        </row>
        <row r="2466">
          <cell r="D2466" t="str">
            <v>15</v>
          </cell>
          <cell r="E2466" t="str">
            <v>Coruña, A</v>
          </cell>
          <cell r="F2466" t="str">
            <v>055</v>
          </cell>
          <cell r="G2466" t="str">
            <v>9</v>
          </cell>
          <cell r="H2466" t="str">
            <v>Neda</v>
          </cell>
        </row>
        <row r="2467">
          <cell r="D2467" t="str">
            <v>15</v>
          </cell>
          <cell r="E2467" t="str">
            <v>Coruña, A</v>
          </cell>
          <cell r="F2467" t="str">
            <v>056</v>
          </cell>
          <cell r="G2467" t="str">
            <v>2</v>
          </cell>
          <cell r="H2467" t="str">
            <v>Negreira</v>
          </cell>
        </row>
        <row r="2468">
          <cell r="D2468" t="str">
            <v>15</v>
          </cell>
          <cell r="E2468" t="str">
            <v>Coruña, A</v>
          </cell>
          <cell r="F2468" t="str">
            <v>057</v>
          </cell>
          <cell r="G2468" t="str">
            <v>8</v>
          </cell>
          <cell r="H2468" t="str">
            <v>Noia</v>
          </cell>
        </row>
        <row r="2469">
          <cell r="D2469" t="str">
            <v>15</v>
          </cell>
          <cell r="E2469" t="str">
            <v>Coruña, A</v>
          </cell>
          <cell r="F2469" t="str">
            <v>058</v>
          </cell>
          <cell r="G2469" t="str">
            <v>4</v>
          </cell>
          <cell r="H2469" t="str">
            <v>Oleiros</v>
          </cell>
        </row>
        <row r="2470">
          <cell r="D2470" t="str">
            <v>15</v>
          </cell>
          <cell r="E2470" t="str">
            <v>Coruña, A</v>
          </cell>
          <cell r="F2470" t="str">
            <v>060</v>
          </cell>
          <cell r="G2470" t="str">
            <v>1</v>
          </cell>
          <cell r="H2470" t="str">
            <v>Oroso</v>
          </cell>
        </row>
        <row r="2471">
          <cell r="D2471" t="str">
            <v>15</v>
          </cell>
          <cell r="E2471" t="str">
            <v>Coruña, A</v>
          </cell>
          <cell r="F2471" t="str">
            <v>062</v>
          </cell>
          <cell r="G2471" t="str">
            <v>3</v>
          </cell>
          <cell r="H2471" t="str">
            <v>Outes</v>
          </cell>
        </row>
        <row r="2472">
          <cell r="D2472" t="str">
            <v>15</v>
          </cell>
          <cell r="E2472" t="str">
            <v>Coruña, A</v>
          </cell>
          <cell r="F2472" t="str">
            <v>064</v>
          </cell>
          <cell r="G2472" t="str">
            <v>4</v>
          </cell>
          <cell r="H2472" t="str">
            <v>Paderne</v>
          </cell>
        </row>
        <row r="2473">
          <cell r="D2473" t="str">
            <v>15</v>
          </cell>
          <cell r="E2473" t="str">
            <v>Coruña, A</v>
          </cell>
          <cell r="F2473" t="str">
            <v>065</v>
          </cell>
          <cell r="G2473" t="str">
            <v>7</v>
          </cell>
          <cell r="H2473" t="str">
            <v>Padrón</v>
          </cell>
        </row>
        <row r="2474">
          <cell r="D2474" t="str">
            <v>15</v>
          </cell>
          <cell r="E2474" t="str">
            <v>Coruña, A</v>
          </cell>
          <cell r="F2474" t="str">
            <v>066</v>
          </cell>
          <cell r="G2474" t="str">
            <v>0</v>
          </cell>
          <cell r="H2474" t="str">
            <v>Pino, O</v>
          </cell>
        </row>
        <row r="2475">
          <cell r="D2475" t="str">
            <v>15</v>
          </cell>
          <cell r="E2475" t="str">
            <v>Coruña, A</v>
          </cell>
          <cell r="F2475" t="str">
            <v>067</v>
          </cell>
          <cell r="G2475" t="str">
            <v>6</v>
          </cell>
          <cell r="H2475" t="str">
            <v>Pobra do Caramiñal, A</v>
          </cell>
        </row>
        <row r="2476">
          <cell r="D2476" t="str">
            <v>15</v>
          </cell>
          <cell r="E2476" t="str">
            <v>Coruña, A</v>
          </cell>
          <cell r="F2476" t="str">
            <v>068</v>
          </cell>
          <cell r="G2476" t="str">
            <v>2</v>
          </cell>
          <cell r="H2476" t="str">
            <v>Ponteceso</v>
          </cell>
        </row>
        <row r="2477">
          <cell r="D2477" t="str">
            <v>15</v>
          </cell>
          <cell r="E2477" t="str">
            <v>Coruña, A</v>
          </cell>
          <cell r="F2477" t="str">
            <v>069</v>
          </cell>
          <cell r="G2477" t="str">
            <v>5</v>
          </cell>
          <cell r="H2477" t="str">
            <v>Pontedeume</v>
          </cell>
        </row>
        <row r="2478">
          <cell r="D2478" t="str">
            <v>15</v>
          </cell>
          <cell r="E2478" t="str">
            <v>Coruña, A</v>
          </cell>
          <cell r="F2478" t="str">
            <v>071</v>
          </cell>
          <cell r="G2478" t="str">
            <v>6</v>
          </cell>
          <cell r="H2478" t="str">
            <v>Porto do Son</v>
          </cell>
        </row>
        <row r="2479">
          <cell r="D2479" t="str">
            <v>15</v>
          </cell>
          <cell r="E2479" t="str">
            <v>Coruña, A</v>
          </cell>
          <cell r="F2479" t="str">
            <v>072</v>
          </cell>
          <cell r="G2479" t="str">
            <v>1</v>
          </cell>
          <cell r="H2479" t="str">
            <v>Rianxo</v>
          </cell>
        </row>
        <row r="2480">
          <cell r="D2480" t="str">
            <v>15</v>
          </cell>
          <cell r="E2480" t="str">
            <v>Coruña, A</v>
          </cell>
          <cell r="F2480" t="str">
            <v>073</v>
          </cell>
          <cell r="G2480" t="str">
            <v>7</v>
          </cell>
          <cell r="H2480" t="str">
            <v>Ribeira</v>
          </cell>
        </row>
        <row r="2481">
          <cell r="D2481" t="str">
            <v>15</v>
          </cell>
          <cell r="E2481" t="str">
            <v>Coruña, A</v>
          </cell>
          <cell r="F2481" t="str">
            <v>074</v>
          </cell>
          <cell r="G2481" t="str">
            <v>2</v>
          </cell>
          <cell r="H2481" t="str">
            <v>Rois</v>
          </cell>
        </row>
        <row r="2482">
          <cell r="D2482" t="str">
            <v>15</v>
          </cell>
          <cell r="E2482" t="str">
            <v>Coruña, A</v>
          </cell>
          <cell r="F2482" t="str">
            <v>075</v>
          </cell>
          <cell r="G2482" t="str">
            <v>5</v>
          </cell>
          <cell r="H2482" t="str">
            <v>Sada</v>
          </cell>
        </row>
        <row r="2483">
          <cell r="D2483" t="str">
            <v>15</v>
          </cell>
          <cell r="E2483" t="str">
            <v>Coruña, A</v>
          </cell>
          <cell r="F2483" t="str">
            <v>077</v>
          </cell>
          <cell r="G2483" t="str">
            <v>4</v>
          </cell>
          <cell r="H2483" t="str">
            <v>Santa Comba</v>
          </cell>
        </row>
        <row r="2484">
          <cell r="D2484" t="str">
            <v>15</v>
          </cell>
          <cell r="E2484" t="str">
            <v>Coruña, A</v>
          </cell>
          <cell r="F2484" t="str">
            <v>078</v>
          </cell>
          <cell r="G2484" t="str">
            <v>0</v>
          </cell>
          <cell r="H2484" t="str">
            <v>Santiago de Compostela</v>
          </cell>
        </row>
        <row r="2485">
          <cell r="D2485" t="str">
            <v>15</v>
          </cell>
          <cell r="E2485" t="str">
            <v>Coruña, A</v>
          </cell>
          <cell r="F2485" t="str">
            <v>079</v>
          </cell>
          <cell r="G2485" t="str">
            <v>3</v>
          </cell>
          <cell r="H2485" t="str">
            <v>Santiso</v>
          </cell>
        </row>
        <row r="2486">
          <cell r="D2486" t="str">
            <v>15</v>
          </cell>
          <cell r="E2486" t="str">
            <v>Coruña, A</v>
          </cell>
          <cell r="F2486" t="str">
            <v>080</v>
          </cell>
          <cell r="G2486" t="str">
            <v>7</v>
          </cell>
          <cell r="H2486" t="str">
            <v>Sobrado</v>
          </cell>
        </row>
        <row r="2487">
          <cell r="D2487" t="str">
            <v>15</v>
          </cell>
          <cell r="E2487" t="str">
            <v>Coruña, A</v>
          </cell>
          <cell r="F2487" t="str">
            <v>082</v>
          </cell>
          <cell r="G2487" t="str">
            <v>9</v>
          </cell>
          <cell r="H2487" t="str">
            <v>Teo</v>
          </cell>
        </row>
        <row r="2488">
          <cell r="D2488" t="str">
            <v>15</v>
          </cell>
          <cell r="E2488" t="str">
            <v>Coruña, A</v>
          </cell>
          <cell r="F2488" t="str">
            <v>083</v>
          </cell>
          <cell r="G2488" t="str">
            <v>5</v>
          </cell>
          <cell r="H2488" t="str">
            <v>Toques</v>
          </cell>
        </row>
        <row r="2489">
          <cell r="D2489" t="str">
            <v>15</v>
          </cell>
          <cell r="E2489" t="str">
            <v>Coruña, A</v>
          </cell>
          <cell r="F2489" t="str">
            <v>085</v>
          </cell>
          <cell r="G2489" t="str">
            <v>3</v>
          </cell>
          <cell r="H2489" t="str">
            <v>Touro</v>
          </cell>
        </row>
        <row r="2490">
          <cell r="D2490" t="str">
            <v>15</v>
          </cell>
          <cell r="E2490" t="str">
            <v>Coruña, A</v>
          </cell>
          <cell r="F2490" t="str">
            <v>086</v>
          </cell>
          <cell r="G2490" t="str">
            <v>6</v>
          </cell>
          <cell r="H2490" t="str">
            <v>Trazo</v>
          </cell>
        </row>
        <row r="2491">
          <cell r="D2491" t="str">
            <v>15</v>
          </cell>
          <cell r="E2491" t="str">
            <v>Coruña, A</v>
          </cell>
          <cell r="F2491" t="str">
            <v>087</v>
          </cell>
          <cell r="G2491" t="str">
            <v>2</v>
          </cell>
          <cell r="H2491" t="str">
            <v>Valdoviño</v>
          </cell>
        </row>
        <row r="2492">
          <cell r="D2492" t="str">
            <v>15</v>
          </cell>
          <cell r="E2492" t="str">
            <v>Coruña, A</v>
          </cell>
          <cell r="F2492" t="str">
            <v>088</v>
          </cell>
          <cell r="G2492" t="str">
            <v>8</v>
          </cell>
          <cell r="H2492" t="str">
            <v>Val do Dubra</v>
          </cell>
        </row>
        <row r="2493">
          <cell r="D2493" t="str">
            <v>15</v>
          </cell>
          <cell r="E2493" t="str">
            <v>Coruña, A</v>
          </cell>
          <cell r="F2493" t="str">
            <v>089</v>
          </cell>
          <cell r="G2493" t="str">
            <v>1</v>
          </cell>
          <cell r="H2493" t="str">
            <v>Vedra</v>
          </cell>
        </row>
        <row r="2494">
          <cell r="D2494" t="str">
            <v>15</v>
          </cell>
          <cell r="E2494" t="str">
            <v>Coruña, A</v>
          </cell>
          <cell r="F2494" t="str">
            <v>090</v>
          </cell>
          <cell r="G2494" t="str">
            <v>5</v>
          </cell>
          <cell r="H2494" t="str">
            <v>Vilasantar</v>
          </cell>
        </row>
        <row r="2495">
          <cell r="D2495" t="str">
            <v>15</v>
          </cell>
          <cell r="E2495" t="str">
            <v>Coruña, A</v>
          </cell>
          <cell r="F2495" t="str">
            <v>091</v>
          </cell>
          <cell r="G2495" t="str">
            <v>2</v>
          </cell>
          <cell r="H2495" t="str">
            <v>Vilarmaior</v>
          </cell>
        </row>
        <row r="2496">
          <cell r="D2496" t="str">
            <v>15</v>
          </cell>
          <cell r="E2496" t="str">
            <v>Coruña, A</v>
          </cell>
          <cell r="F2496" t="str">
            <v>092</v>
          </cell>
          <cell r="G2496" t="str">
            <v>7</v>
          </cell>
          <cell r="H2496" t="str">
            <v>Vimianzo</v>
          </cell>
        </row>
        <row r="2497">
          <cell r="D2497" t="str">
            <v>15</v>
          </cell>
          <cell r="E2497" t="str">
            <v>Coruña, A</v>
          </cell>
          <cell r="F2497" t="str">
            <v>093</v>
          </cell>
          <cell r="G2497" t="str">
            <v>3</v>
          </cell>
          <cell r="H2497" t="str">
            <v>Zas</v>
          </cell>
        </row>
        <row r="2498">
          <cell r="D2498" t="str">
            <v>15</v>
          </cell>
          <cell r="E2498" t="str">
            <v>Coruña, A</v>
          </cell>
          <cell r="F2498" t="str">
            <v>901</v>
          </cell>
          <cell r="G2498" t="str">
            <v>2</v>
          </cell>
          <cell r="H2498" t="str">
            <v>Cariño</v>
          </cell>
        </row>
        <row r="2499">
          <cell r="D2499" t="str">
            <v>15</v>
          </cell>
          <cell r="E2499" t="str">
            <v>Coruña, A</v>
          </cell>
          <cell r="F2499" t="str">
            <v>902</v>
          </cell>
          <cell r="G2499" t="str">
            <v>7</v>
          </cell>
          <cell r="H2499" t="str">
            <v>Oza-Cesuras</v>
          </cell>
        </row>
        <row r="2500">
          <cell r="D2500" t="str">
            <v>16</v>
          </cell>
          <cell r="E2500" t="str">
            <v>Cuenca</v>
          </cell>
          <cell r="F2500" t="str">
            <v>001</v>
          </cell>
          <cell r="G2500" t="str">
            <v>4</v>
          </cell>
          <cell r="H2500" t="str">
            <v>Abia de la Obispalía</v>
          </cell>
        </row>
        <row r="2501">
          <cell r="D2501" t="str">
            <v>16</v>
          </cell>
          <cell r="E2501" t="str">
            <v>Cuenca</v>
          </cell>
          <cell r="F2501" t="str">
            <v>002</v>
          </cell>
          <cell r="G2501" t="str">
            <v>9</v>
          </cell>
          <cell r="H2501" t="str">
            <v>Acebrón, El</v>
          </cell>
        </row>
        <row r="2502">
          <cell r="D2502" t="str">
            <v>16</v>
          </cell>
          <cell r="E2502" t="str">
            <v>Cuenca</v>
          </cell>
          <cell r="F2502" t="str">
            <v>003</v>
          </cell>
          <cell r="G2502" t="str">
            <v>5</v>
          </cell>
          <cell r="H2502" t="str">
            <v>Alarcón</v>
          </cell>
        </row>
        <row r="2503">
          <cell r="D2503" t="str">
            <v>16</v>
          </cell>
          <cell r="E2503" t="str">
            <v>Cuenca</v>
          </cell>
          <cell r="F2503" t="str">
            <v>004</v>
          </cell>
          <cell r="G2503" t="str">
            <v>0</v>
          </cell>
          <cell r="H2503" t="str">
            <v>Albaladejo del Cuende</v>
          </cell>
        </row>
        <row r="2504">
          <cell r="D2504" t="str">
            <v>16</v>
          </cell>
          <cell r="E2504" t="str">
            <v>Cuenca</v>
          </cell>
          <cell r="F2504" t="str">
            <v>005</v>
          </cell>
          <cell r="G2504" t="str">
            <v>3</v>
          </cell>
          <cell r="H2504" t="str">
            <v>Albalate de las Nogueras</v>
          </cell>
        </row>
        <row r="2505">
          <cell r="D2505" t="str">
            <v>16</v>
          </cell>
          <cell r="E2505" t="str">
            <v>Cuenca</v>
          </cell>
          <cell r="F2505" t="str">
            <v>006</v>
          </cell>
          <cell r="G2505" t="str">
            <v>6</v>
          </cell>
          <cell r="H2505" t="str">
            <v>Albendea</v>
          </cell>
        </row>
        <row r="2506">
          <cell r="D2506" t="str">
            <v>16</v>
          </cell>
          <cell r="E2506" t="str">
            <v>Cuenca</v>
          </cell>
          <cell r="F2506" t="str">
            <v>007</v>
          </cell>
          <cell r="G2506" t="str">
            <v>2</v>
          </cell>
          <cell r="H2506" t="str">
            <v>Alberca de Záncara, La</v>
          </cell>
        </row>
        <row r="2507">
          <cell r="D2507" t="str">
            <v>16</v>
          </cell>
          <cell r="E2507" t="str">
            <v>Cuenca</v>
          </cell>
          <cell r="F2507" t="str">
            <v>008</v>
          </cell>
          <cell r="G2507" t="str">
            <v>8</v>
          </cell>
          <cell r="H2507" t="str">
            <v>Alcalá de la Vega</v>
          </cell>
        </row>
        <row r="2508">
          <cell r="D2508" t="str">
            <v>16</v>
          </cell>
          <cell r="E2508" t="str">
            <v>Cuenca</v>
          </cell>
          <cell r="F2508" t="str">
            <v>009</v>
          </cell>
          <cell r="G2508" t="str">
            <v>1</v>
          </cell>
          <cell r="H2508" t="str">
            <v>Alcantud</v>
          </cell>
        </row>
        <row r="2509">
          <cell r="D2509" t="str">
            <v>16</v>
          </cell>
          <cell r="E2509" t="str">
            <v>Cuenca</v>
          </cell>
          <cell r="F2509" t="str">
            <v>010</v>
          </cell>
          <cell r="G2509" t="str">
            <v>5</v>
          </cell>
          <cell r="H2509" t="str">
            <v>Alcázar del Rey</v>
          </cell>
        </row>
        <row r="2510">
          <cell r="D2510" t="str">
            <v>16</v>
          </cell>
          <cell r="E2510" t="str">
            <v>Cuenca</v>
          </cell>
          <cell r="F2510" t="str">
            <v>011</v>
          </cell>
          <cell r="G2510" t="str">
            <v>2</v>
          </cell>
          <cell r="H2510" t="str">
            <v>Alcohujate</v>
          </cell>
        </row>
        <row r="2511">
          <cell r="D2511" t="str">
            <v>16</v>
          </cell>
          <cell r="E2511" t="str">
            <v>Cuenca</v>
          </cell>
          <cell r="F2511" t="str">
            <v>012</v>
          </cell>
          <cell r="G2511" t="str">
            <v>7</v>
          </cell>
          <cell r="H2511" t="str">
            <v>Alconchel de la Estrella</v>
          </cell>
        </row>
        <row r="2512">
          <cell r="D2512" t="str">
            <v>16</v>
          </cell>
          <cell r="E2512" t="str">
            <v>Cuenca</v>
          </cell>
          <cell r="F2512" t="str">
            <v>013</v>
          </cell>
          <cell r="G2512" t="str">
            <v>3</v>
          </cell>
          <cell r="H2512" t="str">
            <v>Algarra</v>
          </cell>
        </row>
        <row r="2513">
          <cell r="D2513" t="str">
            <v>16</v>
          </cell>
          <cell r="E2513" t="str">
            <v>Cuenca</v>
          </cell>
          <cell r="F2513" t="str">
            <v>014</v>
          </cell>
          <cell r="G2513" t="str">
            <v>8</v>
          </cell>
          <cell r="H2513" t="str">
            <v>Aliaguilla</v>
          </cell>
        </row>
        <row r="2514">
          <cell r="D2514" t="str">
            <v>16</v>
          </cell>
          <cell r="E2514" t="str">
            <v>Cuenca</v>
          </cell>
          <cell r="F2514" t="str">
            <v>015</v>
          </cell>
          <cell r="G2514" t="str">
            <v>1</v>
          </cell>
          <cell r="H2514" t="str">
            <v>Almarcha, La</v>
          </cell>
        </row>
        <row r="2515">
          <cell r="D2515" t="str">
            <v>16</v>
          </cell>
          <cell r="E2515" t="str">
            <v>Cuenca</v>
          </cell>
          <cell r="F2515" t="str">
            <v>016</v>
          </cell>
          <cell r="G2515" t="str">
            <v>4</v>
          </cell>
          <cell r="H2515" t="str">
            <v>Almendros</v>
          </cell>
        </row>
        <row r="2516">
          <cell r="D2516" t="str">
            <v>16</v>
          </cell>
          <cell r="E2516" t="str">
            <v>Cuenca</v>
          </cell>
          <cell r="F2516" t="str">
            <v>017</v>
          </cell>
          <cell r="G2516" t="str">
            <v>0</v>
          </cell>
          <cell r="H2516" t="str">
            <v>Almodóvar del Pinar</v>
          </cell>
        </row>
        <row r="2517">
          <cell r="D2517" t="str">
            <v>16</v>
          </cell>
          <cell r="E2517" t="str">
            <v>Cuenca</v>
          </cell>
          <cell r="F2517" t="str">
            <v>018</v>
          </cell>
          <cell r="G2517" t="str">
            <v>6</v>
          </cell>
          <cell r="H2517" t="str">
            <v>Almonacid del Marquesado</v>
          </cell>
        </row>
        <row r="2518">
          <cell r="D2518" t="str">
            <v>16</v>
          </cell>
          <cell r="E2518" t="str">
            <v>Cuenca</v>
          </cell>
          <cell r="F2518" t="str">
            <v>019</v>
          </cell>
          <cell r="G2518" t="str">
            <v>9</v>
          </cell>
          <cell r="H2518" t="str">
            <v>Altarejos</v>
          </cell>
        </row>
        <row r="2519">
          <cell r="D2519" t="str">
            <v>16</v>
          </cell>
          <cell r="E2519" t="str">
            <v>Cuenca</v>
          </cell>
          <cell r="F2519" t="str">
            <v>020</v>
          </cell>
          <cell r="G2519" t="str">
            <v>3</v>
          </cell>
          <cell r="H2519" t="str">
            <v>Arandilla del Arroyo</v>
          </cell>
        </row>
        <row r="2520">
          <cell r="D2520" t="str">
            <v>16</v>
          </cell>
          <cell r="E2520" t="str">
            <v>Cuenca</v>
          </cell>
          <cell r="F2520" t="str">
            <v>022</v>
          </cell>
          <cell r="G2520" t="str">
            <v>5</v>
          </cell>
          <cell r="H2520" t="str">
            <v>Arcos de la Sierra</v>
          </cell>
        </row>
        <row r="2521">
          <cell r="D2521" t="str">
            <v>16</v>
          </cell>
          <cell r="E2521" t="str">
            <v>Cuenca</v>
          </cell>
          <cell r="F2521" t="str">
            <v>023</v>
          </cell>
          <cell r="G2521" t="str">
            <v>1</v>
          </cell>
          <cell r="H2521" t="str">
            <v>Chillarón de Cuenca</v>
          </cell>
        </row>
        <row r="2522">
          <cell r="D2522" t="str">
            <v>16</v>
          </cell>
          <cell r="E2522" t="str">
            <v>Cuenca</v>
          </cell>
          <cell r="F2522" t="str">
            <v>024</v>
          </cell>
          <cell r="G2522" t="str">
            <v>6</v>
          </cell>
          <cell r="H2522" t="str">
            <v>Arguisuelas</v>
          </cell>
        </row>
        <row r="2523">
          <cell r="D2523" t="str">
            <v>16</v>
          </cell>
          <cell r="E2523" t="str">
            <v>Cuenca</v>
          </cell>
          <cell r="F2523" t="str">
            <v>025</v>
          </cell>
          <cell r="G2523" t="str">
            <v>9</v>
          </cell>
          <cell r="H2523" t="str">
            <v>Arrancacepas</v>
          </cell>
        </row>
        <row r="2524">
          <cell r="D2524" t="str">
            <v>16</v>
          </cell>
          <cell r="E2524" t="str">
            <v>Cuenca</v>
          </cell>
          <cell r="F2524" t="str">
            <v>026</v>
          </cell>
          <cell r="G2524" t="str">
            <v>2</v>
          </cell>
          <cell r="H2524" t="str">
            <v>Atalaya del Cañavate</v>
          </cell>
        </row>
        <row r="2525">
          <cell r="D2525" t="str">
            <v>16</v>
          </cell>
          <cell r="E2525" t="str">
            <v>Cuenca</v>
          </cell>
          <cell r="F2525" t="str">
            <v>027</v>
          </cell>
          <cell r="G2525" t="str">
            <v>8</v>
          </cell>
          <cell r="H2525" t="str">
            <v>Barajas de Melo</v>
          </cell>
        </row>
        <row r="2526">
          <cell r="D2526" t="str">
            <v>16</v>
          </cell>
          <cell r="E2526" t="str">
            <v>Cuenca</v>
          </cell>
          <cell r="F2526" t="str">
            <v>029</v>
          </cell>
          <cell r="G2526" t="str">
            <v>7</v>
          </cell>
          <cell r="H2526" t="str">
            <v>Barchín del Hoyo</v>
          </cell>
        </row>
        <row r="2527">
          <cell r="D2527" t="str">
            <v>16</v>
          </cell>
          <cell r="E2527" t="str">
            <v>Cuenca</v>
          </cell>
          <cell r="F2527" t="str">
            <v>030</v>
          </cell>
          <cell r="G2527" t="str">
            <v>1</v>
          </cell>
          <cell r="H2527" t="str">
            <v>Bascuñana de San Pedro</v>
          </cell>
        </row>
        <row r="2528">
          <cell r="D2528" t="str">
            <v>16</v>
          </cell>
          <cell r="E2528" t="str">
            <v>Cuenca</v>
          </cell>
          <cell r="F2528" t="str">
            <v>031</v>
          </cell>
          <cell r="G2528" t="str">
            <v>8</v>
          </cell>
          <cell r="H2528" t="str">
            <v>Beamud</v>
          </cell>
        </row>
        <row r="2529">
          <cell r="D2529" t="str">
            <v>16</v>
          </cell>
          <cell r="E2529" t="str">
            <v>Cuenca</v>
          </cell>
          <cell r="F2529" t="str">
            <v>032</v>
          </cell>
          <cell r="G2529" t="str">
            <v>3</v>
          </cell>
          <cell r="H2529" t="str">
            <v>Belinchón</v>
          </cell>
        </row>
        <row r="2530">
          <cell r="D2530" t="str">
            <v>16</v>
          </cell>
          <cell r="E2530" t="str">
            <v>Cuenca</v>
          </cell>
          <cell r="F2530" t="str">
            <v>033</v>
          </cell>
          <cell r="G2530" t="str">
            <v>9</v>
          </cell>
          <cell r="H2530" t="str">
            <v>Belmonte</v>
          </cell>
        </row>
        <row r="2531">
          <cell r="D2531" t="str">
            <v>16</v>
          </cell>
          <cell r="E2531" t="str">
            <v>Cuenca</v>
          </cell>
          <cell r="F2531" t="str">
            <v>034</v>
          </cell>
          <cell r="G2531" t="str">
            <v>4</v>
          </cell>
          <cell r="H2531" t="str">
            <v>Belmontejo</v>
          </cell>
        </row>
        <row r="2532">
          <cell r="D2532" t="str">
            <v>16</v>
          </cell>
          <cell r="E2532" t="str">
            <v>Cuenca</v>
          </cell>
          <cell r="F2532" t="str">
            <v>035</v>
          </cell>
          <cell r="G2532" t="str">
            <v>7</v>
          </cell>
          <cell r="H2532" t="str">
            <v>Beteta</v>
          </cell>
        </row>
        <row r="2533">
          <cell r="D2533" t="str">
            <v>16</v>
          </cell>
          <cell r="E2533" t="str">
            <v>Cuenca</v>
          </cell>
          <cell r="F2533" t="str">
            <v>036</v>
          </cell>
          <cell r="G2533" t="str">
            <v>0</v>
          </cell>
          <cell r="H2533" t="str">
            <v>Boniches</v>
          </cell>
        </row>
        <row r="2534">
          <cell r="D2534" t="str">
            <v>16</v>
          </cell>
          <cell r="E2534" t="str">
            <v>Cuenca</v>
          </cell>
          <cell r="F2534" t="str">
            <v>038</v>
          </cell>
          <cell r="G2534" t="str">
            <v>2</v>
          </cell>
          <cell r="H2534" t="str">
            <v>Buciegas</v>
          </cell>
        </row>
        <row r="2535">
          <cell r="D2535" t="str">
            <v>16</v>
          </cell>
          <cell r="E2535" t="str">
            <v>Cuenca</v>
          </cell>
          <cell r="F2535" t="str">
            <v>039</v>
          </cell>
          <cell r="G2535" t="str">
            <v>5</v>
          </cell>
          <cell r="H2535" t="str">
            <v>Buenache de Alarcón</v>
          </cell>
        </row>
        <row r="2536">
          <cell r="D2536" t="str">
            <v>16</v>
          </cell>
          <cell r="E2536" t="str">
            <v>Cuenca</v>
          </cell>
          <cell r="F2536" t="str">
            <v>040</v>
          </cell>
          <cell r="G2536" t="str">
            <v>9</v>
          </cell>
          <cell r="H2536" t="str">
            <v>Buenache de la Sierra</v>
          </cell>
        </row>
        <row r="2537">
          <cell r="D2537" t="str">
            <v>16</v>
          </cell>
          <cell r="E2537" t="str">
            <v>Cuenca</v>
          </cell>
          <cell r="F2537" t="str">
            <v>042</v>
          </cell>
          <cell r="G2537" t="str">
            <v>1</v>
          </cell>
          <cell r="H2537" t="str">
            <v>Campillo de Altobuey</v>
          </cell>
        </row>
        <row r="2538">
          <cell r="D2538" t="str">
            <v>16</v>
          </cell>
          <cell r="E2538" t="str">
            <v>Cuenca</v>
          </cell>
          <cell r="F2538" t="str">
            <v>043</v>
          </cell>
          <cell r="G2538" t="str">
            <v>7</v>
          </cell>
          <cell r="H2538" t="str">
            <v>Campillos-Paravientos</v>
          </cell>
        </row>
        <row r="2539">
          <cell r="D2539" t="str">
            <v>16</v>
          </cell>
          <cell r="E2539" t="str">
            <v>Cuenca</v>
          </cell>
          <cell r="F2539" t="str">
            <v>044</v>
          </cell>
          <cell r="G2539" t="str">
            <v>2</v>
          </cell>
          <cell r="H2539" t="str">
            <v>Campillos-Sierra</v>
          </cell>
        </row>
        <row r="2540">
          <cell r="D2540" t="str">
            <v>16</v>
          </cell>
          <cell r="E2540" t="str">
            <v>Cuenca</v>
          </cell>
          <cell r="F2540" t="str">
            <v>045</v>
          </cell>
          <cell r="G2540" t="str">
            <v>5</v>
          </cell>
          <cell r="H2540" t="str">
            <v>Canalejas del Arroyo</v>
          </cell>
        </row>
        <row r="2541">
          <cell r="D2541" t="str">
            <v>16</v>
          </cell>
          <cell r="E2541" t="str">
            <v>Cuenca</v>
          </cell>
          <cell r="F2541" t="str">
            <v>046</v>
          </cell>
          <cell r="G2541" t="str">
            <v>8</v>
          </cell>
          <cell r="H2541" t="str">
            <v>Cañada del Hoyo</v>
          </cell>
        </row>
        <row r="2542">
          <cell r="D2542" t="str">
            <v>16</v>
          </cell>
          <cell r="E2542" t="str">
            <v>Cuenca</v>
          </cell>
          <cell r="F2542" t="str">
            <v>047</v>
          </cell>
          <cell r="G2542" t="str">
            <v>4</v>
          </cell>
          <cell r="H2542" t="str">
            <v>Cañada Juncosa</v>
          </cell>
        </row>
        <row r="2543">
          <cell r="D2543" t="str">
            <v>16</v>
          </cell>
          <cell r="E2543" t="str">
            <v>Cuenca</v>
          </cell>
          <cell r="F2543" t="str">
            <v>048</v>
          </cell>
          <cell r="G2543" t="str">
            <v>0</v>
          </cell>
          <cell r="H2543" t="str">
            <v>Cañamares</v>
          </cell>
        </row>
        <row r="2544">
          <cell r="D2544" t="str">
            <v>16</v>
          </cell>
          <cell r="E2544" t="str">
            <v>Cuenca</v>
          </cell>
          <cell r="F2544" t="str">
            <v>049</v>
          </cell>
          <cell r="G2544" t="str">
            <v>3</v>
          </cell>
          <cell r="H2544" t="str">
            <v>Cañavate, El</v>
          </cell>
        </row>
        <row r="2545">
          <cell r="D2545" t="str">
            <v>16</v>
          </cell>
          <cell r="E2545" t="str">
            <v>Cuenca</v>
          </cell>
          <cell r="F2545" t="str">
            <v>050</v>
          </cell>
          <cell r="G2545" t="str">
            <v>6</v>
          </cell>
          <cell r="H2545" t="str">
            <v>Cañaveras</v>
          </cell>
        </row>
        <row r="2546">
          <cell r="D2546" t="str">
            <v>16</v>
          </cell>
          <cell r="E2546" t="str">
            <v>Cuenca</v>
          </cell>
          <cell r="F2546" t="str">
            <v>051</v>
          </cell>
          <cell r="G2546" t="str">
            <v>3</v>
          </cell>
          <cell r="H2546" t="str">
            <v>Cañaveruelas</v>
          </cell>
        </row>
        <row r="2547">
          <cell r="D2547" t="str">
            <v>16</v>
          </cell>
          <cell r="E2547" t="str">
            <v>Cuenca</v>
          </cell>
          <cell r="F2547" t="str">
            <v>052</v>
          </cell>
          <cell r="G2547" t="str">
            <v>8</v>
          </cell>
          <cell r="H2547" t="str">
            <v>Cañete</v>
          </cell>
        </row>
        <row r="2548">
          <cell r="D2548" t="str">
            <v>16</v>
          </cell>
          <cell r="E2548" t="str">
            <v>Cuenca</v>
          </cell>
          <cell r="F2548" t="str">
            <v>053</v>
          </cell>
          <cell r="G2548" t="str">
            <v>4</v>
          </cell>
          <cell r="H2548" t="str">
            <v>Cañizares</v>
          </cell>
        </row>
        <row r="2549">
          <cell r="D2549" t="str">
            <v>16</v>
          </cell>
          <cell r="E2549" t="str">
            <v>Cuenca</v>
          </cell>
          <cell r="F2549" t="str">
            <v>055</v>
          </cell>
          <cell r="G2549" t="str">
            <v>2</v>
          </cell>
          <cell r="H2549" t="str">
            <v>Carboneras de Guadazaón</v>
          </cell>
        </row>
        <row r="2550">
          <cell r="D2550" t="str">
            <v>16</v>
          </cell>
          <cell r="E2550" t="str">
            <v>Cuenca</v>
          </cell>
          <cell r="F2550" t="str">
            <v>056</v>
          </cell>
          <cell r="G2550" t="str">
            <v>5</v>
          </cell>
          <cell r="H2550" t="str">
            <v>Cardenete</v>
          </cell>
        </row>
        <row r="2551">
          <cell r="D2551" t="str">
            <v>16</v>
          </cell>
          <cell r="E2551" t="str">
            <v>Cuenca</v>
          </cell>
          <cell r="F2551" t="str">
            <v>057</v>
          </cell>
          <cell r="G2551" t="str">
            <v>1</v>
          </cell>
          <cell r="H2551" t="str">
            <v>Carrascosa</v>
          </cell>
        </row>
        <row r="2552">
          <cell r="D2552" t="str">
            <v>16</v>
          </cell>
          <cell r="E2552" t="str">
            <v>Cuenca</v>
          </cell>
          <cell r="F2552" t="str">
            <v>058</v>
          </cell>
          <cell r="G2552" t="str">
            <v>7</v>
          </cell>
          <cell r="H2552" t="str">
            <v>Carrascosa de Haro</v>
          </cell>
        </row>
        <row r="2553">
          <cell r="D2553" t="str">
            <v>16</v>
          </cell>
          <cell r="E2553" t="str">
            <v>Cuenca</v>
          </cell>
          <cell r="F2553" t="str">
            <v>060</v>
          </cell>
          <cell r="G2553" t="str">
            <v>4</v>
          </cell>
          <cell r="H2553" t="str">
            <v>Casas de Benítez</v>
          </cell>
        </row>
        <row r="2554">
          <cell r="D2554" t="str">
            <v>16</v>
          </cell>
          <cell r="E2554" t="str">
            <v>Cuenca</v>
          </cell>
          <cell r="F2554" t="str">
            <v>061</v>
          </cell>
          <cell r="G2554" t="str">
            <v>1</v>
          </cell>
          <cell r="H2554" t="str">
            <v>Casas de Fernando Alonso</v>
          </cell>
        </row>
        <row r="2555">
          <cell r="D2555" t="str">
            <v>16</v>
          </cell>
          <cell r="E2555" t="str">
            <v>Cuenca</v>
          </cell>
          <cell r="F2555" t="str">
            <v>062</v>
          </cell>
          <cell r="G2555" t="str">
            <v>6</v>
          </cell>
          <cell r="H2555" t="str">
            <v>Casas de Garcimolina</v>
          </cell>
        </row>
        <row r="2556">
          <cell r="D2556" t="str">
            <v>16</v>
          </cell>
          <cell r="E2556" t="str">
            <v>Cuenca</v>
          </cell>
          <cell r="F2556" t="str">
            <v>063</v>
          </cell>
          <cell r="G2556" t="str">
            <v>2</v>
          </cell>
          <cell r="H2556" t="str">
            <v>Casas de Guijarro</v>
          </cell>
        </row>
        <row r="2557">
          <cell r="D2557" t="str">
            <v>16</v>
          </cell>
          <cell r="E2557" t="str">
            <v>Cuenca</v>
          </cell>
          <cell r="F2557" t="str">
            <v>064</v>
          </cell>
          <cell r="G2557" t="str">
            <v>7</v>
          </cell>
          <cell r="H2557" t="str">
            <v>Casas de Haro</v>
          </cell>
        </row>
        <row r="2558">
          <cell r="D2558" t="str">
            <v>16</v>
          </cell>
          <cell r="E2558" t="str">
            <v>Cuenca</v>
          </cell>
          <cell r="F2558" t="str">
            <v>065</v>
          </cell>
          <cell r="G2558" t="str">
            <v>0</v>
          </cell>
          <cell r="H2558" t="str">
            <v>Casas de los Pinos</v>
          </cell>
        </row>
        <row r="2559">
          <cell r="D2559" t="str">
            <v>16</v>
          </cell>
          <cell r="E2559" t="str">
            <v>Cuenca</v>
          </cell>
          <cell r="F2559" t="str">
            <v>066</v>
          </cell>
          <cell r="G2559" t="str">
            <v>3</v>
          </cell>
          <cell r="H2559" t="str">
            <v>Casasimarro</v>
          </cell>
        </row>
        <row r="2560">
          <cell r="D2560" t="str">
            <v>16</v>
          </cell>
          <cell r="E2560" t="str">
            <v>Cuenca</v>
          </cell>
          <cell r="F2560" t="str">
            <v>067</v>
          </cell>
          <cell r="G2560" t="str">
            <v>9</v>
          </cell>
          <cell r="H2560" t="str">
            <v>Castejón</v>
          </cell>
        </row>
        <row r="2561">
          <cell r="D2561" t="str">
            <v>16</v>
          </cell>
          <cell r="E2561" t="str">
            <v>Cuenca</v>
          </cell>
          <cell r="F2561" t="str">
            <v>068</v>
          </cell>
          <cell r="G2561" t="str">
            <v>5</v>
          </cell>
          <cell r="H2561" t="str">
            <v>Castillejo de Iniesta</v>
          </cell>
        </row>
        <row r="2562">
          <cell r="D2562" t="str">
            <v>16</v>
          </cell>
          <cell r="E2562" t="str">
            <v>Cuenca</v>
          </cell>
          <cell r="F2562" t="str">
            <v>070</v>
          </cell>
          <cell r="G2562" t="str">
            <v>2</v>
          </cell>
          <cell r="H2562" t="str">
            <v>Castillejo-Sierra</v>
          </cell>
        </row>
        <row r="2563">
          <cell r="D2563" t="str">
            <v>16</v>
          </cell>
          <cell r="E2563" t="str">
            <v>Cuenca</v>
          </cell>
          <cell r="F2563" t="str">
            <v>071</v>
          </cell>
          <cell r="G2563" t="str">
            <v>9</v>
          </cell>
          <cell r="H2563" t="str">
            <v>Castillo-Albaráñez</v>
          </cell>
        </row>
        <row r="2564">
          <cell r="D2564" t="str">
            <v>16</v>
          </cell>
          <cell r="E2564" t="str">
            <v>Cuenca</v>
          </cell>
          <cell r="F2564" t="str">
            <v>072</v>
          </cell>
          <cell r="G2564" t="str">
            <v>4</v>
          </cell>
          <cell r="H2564" t="str">
            <v>Castillo de Garcimuñoz</v>
          </cell>
        </row>
        <row r="2565">
          <cell r="D2565" t="str">
            <v>16</v>
          </cell>
          <cell r="E2565" t="str">
            <v>Cuenca</v>
          </cell>
          <cell r="F2565" t="str">
            <v>073</v>
          </cell>
          <cell r="G2565" t="str">
            <v>0</v>
          </cell>
          <cell r="H2565" t="str">
            <v>Cervera del Llano</v>
          </cell>
        </row>
        <row r="2566">
          <cell r="D2566" t="str">
            <v>16</v>
          </cell>
          <cell r="E2566" t="str">
            <v>Cuenca</v>
          </cell>
          <cell r="F2566" t="str">
            <v>074</v>
          </cell>
          <cell r="G2566" t="str">
            <v>5</v>
          </cell>
          <cell r="H2566" t="str">
            <v>Cierva, La</v>
          </cell>
        </row>
        <row r="2567">
          <cell r="D2567" t="str">
            <v>16</v>
          </cell>
          <cell r="E2567" t="str">
            <v>Cuenca</v>
          </cell>
          <cell r="F2567" t="str">
            <v>078</v>
          </cell>
          <cell r="G2567" t="str">
            <v>3</v>
          </cell>
          <cell r="H2567" t="str">
            <v>Cuenca</v>
          </cell>
        </row>
        <row r="2568">
          <cell r="D2568" t="str">
            <v>16</v>
          </cell>
          <cell r="E2568" t="str">
            <v>Cuenca</v>
          </cell>
          <cell r="F2568" t="str">
            <v>079</v>
          </cell>
          <cell r="G2568" t="str">
            <v>6</v>
          </cell>
          <cell r="H2568" t="str">
            <v>Cueva del Hierro</v>
          </cell>
        </row>
        <row r="2569">
          <cell r="D2569" t="str">
            <v>16</v>
          </cell>
          <cell r="E2569" t="str">
            <v>Cuenca</v>
          </cell>
          <cell r="F2569" t="str">
            <v>081</v>
          </cell>
          <cell r="G2569" t="str">
            <v>7</v>
          </cell>
          <cell r="H2569" t="str">
            <v>Chumillas</v>
          </cell>
        </row>
        <row r="2570">
          <cell r="D2570" t="str">
            <v>16</v>
          </cell>
          <cell r="E2570" t="str">
            <v>Cuenca</v>
          </cell>
          <cell r="F2570" t="str">
            <v>082</v>
          </cell>
          <cell r="G2570" t="str">
            <v>2</v>
          </cell>
          <cell r="H2570" t="str">
            <v>Enguídanos</v>
          </cell>
        </row>
        <row r="2571">
          <cell r="D2571" t="str">
            <v>16</v>
          </cell>
          <cell r="E2571" t="str">
            <v>Cuenca</v>
          </cell>
          <cell r="F2571" t="str">
            <v>083</v>
          </cell>
          <cell r="G2571" t="str">
            <v>8</v>
          </cell>
          <cell r="H2571" t="str">
            <v>Fresneda de Altarejos</v>
          </cell>
        </row>
        <row r="2572">
          <cell r="D2572" t="str">
            <v>16</v>
          </cell>
          <cell r="E2572" t="str">
            <v>Cuenca</v>
          </cell>
          <cell r="F2572" t="str">
            <v>084</v>
          </cell>
          <cell r="G2572" t="str">
            <v>3</v>
          </cell>
          <cell r="H2572" t="str">
            <v>Fresneda de la Sierra</v>
          </cell>
        </row>
        <row r="2573">
          <cell r="D2573" t="str">
            <v>16</v>
          </cell>
          <cell r="E2573" t="str">
            <v>Cuenca</v>
          </cell>
          <cell r="F2573" t="str">
            <v>085</v>
          </cell>
          <cell r="G2573" t="str">
            <v>6</v>
          </cell>
          <cell r="H2573" t="str">
            <v>Frontera, La</v>
          </cell>
        </row>
        <row r="2574">
          <cell r="D2574" t="str">
            <v>16</v>
          </cell>
          <cell r="E2574" t="str">
            <v>Cuenca</v>
          </cell>
          <cell r="F2574" t="str">
            <v>086</v>
          </cell>
          <cell r="G2574" t="str">
            <v>9</v>
          </cell>
          <cell r="H2574" t="str">
            <v>Fuente de Pedro Naharro</v>
          </cell>
        </row>
        <row r="2575">
          <cell r="D2575" t="str">
            <v>16</v>
          </cell>
          <cell r="E2575" t="str">
            <v>Cuenca</v>
          </cell>
          <cell r="F2575" t="str">
            <v>087</v>
          </cell>
          <cell r="G2575" t="str">
            <v>5</v>
          </cell>
          <cell r="H2575" t="str">
            <v>Fuentelespino de Haro</v>
          </cell>
        </row>
        <row r="2576">
          <cell r="D2576" t="str">
            <v>16</v>
          </cell>
          <cell r="E2576" t="str">
            <v>Cuenca</v>
          </cell>
          <cell r="F2576" t="str">
            <v>088</v>
          </cell>
          <cell r="G2576" t="str">
            <v>1</v>
          </cell>
          <cell r="H2576" t="str">
            <v>Fuentelespino de Moya</v>
          </cell>
        </row>
        <row r="2577">
          <cell r="D2577" t="str">
            <v>16</v>
          </cell>
          <cell r="E2577" t="str">
            <v>Cuenca</v>
          </cell>
          <cell r="F2577" t="str">
            <v>089</v>
          </cell>
          <cell r="G2577" t="str">
            <v>4</v>
          </cell>
          <cell r="H2577" t="str">
            <v>Fuentes</v>
          </cell>
        </row>
        <row r="2578">
          <cell r="D2578" t="str">
            <v>16</v>
          </cell>
          <cell r="E2578" t="str">
            <v>Cuenca</v>
          </cell>
          <cell r="F2578" t="str">
            <v>091</v>
          </cell>
          <cell r="G2578" t="str">
            <v>5</v>
          </cell>
          <cell r="H2578" t="str">
            <v>Fuertescusa</v>
          </cell>
        </row>
        <row r="2579">
          <cell r="D2579" t="str">
            <v>16</v>
          </cell>
          <cell r="E2579" t="str">
            <v>Cuenca</v>
          </cell>
          <cell r="F2579" t="str">
            <v>092</v>
          </cell>
          <cell r="G2579" t="str">
            <v>0</v>
          </cell>
          <cell r="H2579" t="str">
            <v>Gabaldón</v>
          </cell>
        </row>
        <row r="2580">
          <cell r="D2580" t="str">
            <v>16</v>
          </cell>
          <cell r="E2580" t="str">
            <v>Cuenca</v>
          </cell>
          <cell r="F2580" t="str">
            <v>093</v>
          </cell>
          <cell r="G2580" t="str">
            <v>6</v>
          </cell>
          <cell r="H2580" t="str">
            <v>Garaballa</v>
          </cell>
        </row>
        <row r="2581">
          <cell r="D2581" t="str">
            <v>16</v>
          </cell>
          <cell r="E2581" t="str">
            <v>Cuenca</v>
          </cell>
          <cell r="F2581" t="str">
            <v>094</v>
          </cell>
          <cell r="G2581" t="str">
            <v>1</v>
          </cell>
          <cell r="H2581" t="str">
            <v>Gascueña</v>
          </cell>
        </row>
        <row r="2582">
          <cell r="D2582" t="str">
            <v>16</v>
          </cell>
          <cell r="E2582" t="str">
            <v>Cuenca</v>
          </cell>
          <cell r="F2582" t="str">
            <v>095</v>
          </cell>
          <cell r="G2582" t="str">
            <v>4</v>
          </cell>
          <cell r="H2582" t="str">
            <v>Graja de Campalbo</v>
          </cell>
        </row>
        <row r="2583">
          <cell r="D2583" t="str">
            <v>16</v>
          </cell>
          <cell r="E2583" t="str">
            <v>Cuenca</v>
          </cell>
          <cell r="F2583" t="str">
            <v>096</v>
          </cell>
          <cell r="G2583" t="str">
            <v>7</v>
          </cell>
          <cell r="H2583" t="str">
            <v>Graja de Iniesta</v>
          </cell>
        </row>
        <row r="2584">
          <cell r="D2584" t="str">
            <v>16</v>
          </cell>
          <cell r="E2584" t="str">
            <v>Cuenca</v>
          </cell>
          <cell r="F2584" t="str">
            <v>097</v>
          </cell>
          <cell r="G2584" t="str">
            <v>3</v>
          </cell>
          <cell r="H2584" t="str">
            <v>Henarejos</v>
          </cell>
        </row>
        <row r="2585">
          <cell r="D2585" t="str">
            <v>16</v>
          </cell>
          <cell r="E2585" t="str">
            <v>Cuenca</v>
          </cell>
          <cell r="F2585" t="str">
            <v>098</v>
          </cell>
          <cell r="G2585" t="str">
            <v>9</v>
          </cell>
          <cell r="H2585" t="str">
            <v>Herrumblar, El</v>
          </cell>
        </row>
        <row r="2586">
          <cell r="D2586" t="str">
            <v>16</v>
          </cell>
          <cell r="E2586" t="str">
            <v>Cuenca</v>
          </cell>
          <cell r="F2586" t="str">
            <v>099</v>
          </cell>
          <cell r="G2586" t="str">
            <v>2</v>
          </cell>
          <cell r="H2586" t="str">
            <v>Hinojosa, La</v>
          </cell>
        </row>
        <row r="2587">
          <cell r="D2587" t="str">
            <v>16</v>
          </cell>
          <cell r="E2587" t="str">
            <v>Cuenca</v>
          </cell>
          <cell r="F2587" t="str">
            <v>100</v>
          </cell>
          <cell r="G2587" t="str">
            <v>6</v>
          </cell>
          <cell r="H2587" t="str">
            <v>Hinojosos, Los</v>
          </cell>
        </row>
        <row r="2588">
          <cell r="D2588" t="str">
            <v>16</v>
          </cell>
          <cell r="E2588" t="str">
            <v>Cuenca</v>
          </cell>
          <cell r="F2588" t="str">
            <v>101</v>
          </cell>
          <cell r="G2588" t="str">
            <v>3</v>
          </cell>
          <cell r="H2588" t="str">
            <v>Hito, El</v>
          </cell>
        </row>
        <row r="2589">
          <cell r="D2589" t="str">
            <v>16</v>
          </cell>
          <cell r="E2589" t="str">
            <v>Cuenca</v>
          </cell>
          <cell r="F2589" t="str">
            <v>102</v>
          </cell>
          <cell r="G2589" t="str">
            <v>8</v>
          </cell>
          <cell r="H2589" t="str">
            <v>Honrubia</v>
          </cell>
        </row>
        <row r="2590">
          <cell r="D2590" t="str">
            <v>16</v>
          </cell>
          <cell r="E2590" t="str">
            <v>Cuenca</v>
          </cell>
          <cell r="F2590" t="str">
            <v>103</v>
          </cell>
          <cell r="G2590" t="str">
            <v>4</v>
          </cell>
          <cell r="H2590" t="str">
            <v>Hontanaya</v>
          </cell>
        </row>
        <row r="2591">
          <cell r="D2591" t="str">
            <v>16</v>
          </cell>
          <cell r="E2591" t="str">
            <v>Cuenca</v>
          </cell>
          <cell r="F2591" t="str">
            <v>104</v>
          </cell>
          <cell r="G2591" t="str">
            <v>9</v>
          </cell>
          <cell r="H2591" t="str">
            <v>Hontecillas</v>
          </cell>
        </row>
        <row r="2592">
          <cell r="D2592" t="str">
            <v>16</v>
          </cell>
          <cell r="E2592" t="str">
            <v>Cuenca</v>
          </cell>
          <cell r="F2592" t="str">
            <v>106</v>
          </cell>
          <cell r="G2592" t="str">
            <v>5</v>
          </cell>
          <cell r="H2592" t="str">
            <v>Horcajo de Santiago</v>
          </cell>
        </row>
        <row r="2593">
          <cell r="D2593" t="str">
            <v>16</v>
          </cell>
          <cell r="E2593" t="str">
            <v>Cuenca</v>
          </cell>
          <cell r="F2593" t="str">
            <v>107</v>
          </cell>
          <cell r="G2593" t="str">
            <v>1</v>
          </cell>
          <cell r="H2593" t="str">
            <v>Huélamo</v>
          </cell>
        </row>
        <row r="2594">
          <cell r="D2594" t="str">
            <v>16</v>
          </cell>
          <cell r="E2594" t="str">
            <v>Cuenca</v>
          </cell>
          <cell r="F2594" t="str">
            <v>108</v>
          </cell>
          <cell r="G2594" t="str">
            <v>7</v>
          </cell>
          <cell r="H2594" t="str">
            <v>Huelves</v>
          </cell>
        </row>
        <row r="2595">
          <cell r="D2595" t="str">
            <v>16</v>
          </cell>
          <cell r="E2595" t="str">
            <v>Cuenca</v>
          </cell>
          <cell r="F2595" t="str">
            <v>109</v>
          </cell>
          <cell r="G2595" t="str">
            <v>0</v>
          </cell>
          <cell r="H2595" t="str">
            <v>Huérguina</v>
          </cell>
        </row>
        <row r="2596">
          <cell r="D2596" t="str">
            <v>16</v>
          </cell>
          <cell r="E2596" t="str">
            <v>Cuenca</v>
          </cell>
          <cell r="F2596" t="str">
            <v>110</v>
          </cell>
          <cell r="G2596" t="str">
            <v>4</v>
          </cell>
          <cell r="H2596" t="str">
            <v>Huerta de la Obispalía</v>
          </cell>
        </row>
        <row r="2597">
          <cell r="D2597" t="str">
            <v>16</v>
          </cell>
          <cell r="E2597" t="str">
            <v>Cuenca</v>
          </cell>
          <cell r="F2597" t="str">
            <v>111</v>
          </cell>
          <cell r="G2597" t="str">
            <v>1</v>
          </cell>
          <cell r="H2597" t="str">
            <v>Huerta del Marquesado</v>
          </cell>
        </row>
        <row r="2598">
          <cell r="D2598" t="str">
            <v>16</v>
          </cell>
          <cell r="E2598" t="str">
            <v>Cuenca</v>
          </cell>
          <cell r="F2598" t="str">
            <v>112</v>
          </cell>
          <cell r="G2598" t="str">
            <v>6</v>
          </cell>
          <cell r="H2598" t="str">
            <v>Huete</v>
          </cell>
        </row>
        <row r="2599">
          <cell r="D2599" t="str">
            <v>16</v>
          </cell>
          <cell r="E2599" t="str">
            <v>Cuenca</v>
          </cell>
          <cell r="F2599" t="str">
            <v>113</v>
          </cell>
          <cell r="G2599" t="str">
            <v>2</v>
          </cell>
          <cell r="H2599" t="str">
            <v>Iniesta</v>
          </cell>
        </row>
        <row r="2600">
          <cell r="D2600" t="str">
            <v>16</v>
          </cell>
          <cell r="E2600" t="str">
            <v>Cuenca</v>
          </cell>
          <cell r="F2600" t="str">
            <v>115</v>
          </cell>
          <cell r="G2600" t="str">
            <v>0</v>
          </cell>
          <cell r="H2600" t="str">
            <v>Laguna del Marquesado</v>
          </cell>
        </row>
        <row r="2601">
          <cell r="D2601" t="str">
            <v>16</v>
          </cell>
          <cell r="E2601" t="str">
            <v>Cuenca</v>
          </cell>
          <cell r="F2601" t="str">
            <v>116</v>
          </cell>
          <cell r="G2601" t="str">
            <v>3</v>
          </cell>
          <cell r="H2601" t="str">
            <v>Lagunaseca</v>
          </cell>
        </row>
        <row r="2602">
          <cell r="D2602" t="str">
            <v>16</v>
          </cell>
          <cell r="E2602" t="str">
            <v>Cuenca</v>
          </cell>
          <cell r="F2602" t="str">
            <v>117</v>
          </cell>
          <cell r="G2602" t="str">
            <v>9</v>
          </cell>
          <cell r="H2602" t="str">
            <v>Landete</v>
          </cell>
        </row>
        <row r="2603">
          <cell r="D2603" t="str">
            <v>16</v>
          </cell>
          <cell r="E2603" t="str">
            <v>Cuenca</v>
          </cell>
          <cell r="F2603" t="str">
            <v>118</v>
          </cell>
          <cell r="G2603" t="str">
            <v>5</v>
          </cell>
          <cell r="H2603" t="str">
            <v>Ledaña</v>
          </cell>
        </row>
        <row r="2604">
          <cell r="D2604" t="str">
            <v>16</v>
          </cell>
          <cell r="E2604" t="str">
            <v>Cuenca</v>
          </cell>
          <cell r="F2604" t="str">
            <v>119</v>
          </cell>
          <cell r="G2604" t="str">
            <v>8</v>
          </cell>
          <cell r="H2604" t="str">
            <v>Leganiel</v>
          </cell>
        </row>
        <row r="2605">
          <cell r="D2605" t="str">
            <v>16</v>
          </cell>
          <cell r="E2605" t="str">
            <v>Cuenca</v>
          </cell>
          <cell r="F2605" t="str">
            <v>121</v>
          </cell>
          <cell r="G2605" t="str">
            <v>9</v>
          </cell>
          <cell r="H2605" t="str">
            <v>Majadas, Las</v>
          </cell>
        </row>
        <row r="2606">
          <cell r="D2606" t="str">
            <v>16</v>
          </cell>
          <cell r="E2606" t="str">
            <v>Cuenca</v>
          </cell>
          <cell r="F2606" t="str">
            <v>122</v>
          </cell>
          <cell r="G2606" t="str">
            <v>4</v>
          </cell>
          <cell r="H2606" t="str">
            <v>Mariana</v>
          </cell>
        </row>
        <row r="2607">
          <cell r="D2607" t="str">
            <v>16</v>
          </cell>
          <cell r="E2607" t="str">
            <v>Cuenca</v>
          </cell>
          <cell r="F2607" t="str">
            <v>123</v>
          </cell>
          <cell r="G2607" t="str">
            <v>0</v>
          </cell>
          <cell r="H2607" t="str">
            <v>Masegosa</v>
          </cell>
        </row>
        <row r="2608">
          <cell r="D2608" t="str">
            <v>16</v>
          </cell>
          <cell r="E2608" t="str">
            <v>Cuenca</v>
          </cell>
          <cell r="F2608" t="str">
            <v>124</v>
          </cell>
          <cell r="G2608" t="str">
            <v>5</v>
          </cell>
          <cell r="H2608" t="str">
            <v>Mesas, Las</v>
          </cell>
        </row>
        <row r="2609">
          <cell r="D2609" t="str">
            <v>16</v>
          </cell>
          <cell r="E2609" t="str">
            <v>Cuenca</v>
          </cell>
          <cell r="F2609" t="str">
            <v>125</v>
          </cell>
          <cell r="G2609" t="str">
            <v>8</v>
          </cell>
          <cell r="H2609" t="str">
            <v>Minglanilla</v>
          </cell>
        </row>
        <row r="2610">
          <cell r="D2610" t="str">
            <v>16</v>
          </cell>
          <cell r="E2610" t="str">
            <v>Cuenca</v>
          </cell>
          <cell r="F2610" t="str">
            <v>126</v>
          </cell>
          <cell r="G2610" t="str">
            <v>1</v>
          </cell>
          <cell r="H2610" t="str">
            <v>Mira</v>
          </cell>
        </row>
        <row r="2611">
          <cell r="D2611" t="str">
            <v>16</v>
          </cell>
          <cell r="E2611" t="str">
            <v>Cuenca</v>
          </cell>
          <cell r="F2611" t="str">
            <v>128</v>
          </cell>
          <cell r="G2611" t="str">
            <v>3</v>
          </cell>
          <cell r="H2611" t="str">
            <v>Monreal del Llano</v>
          </cell>
        </row>
        <row r="2612">
          <cell r="D2612" t="str">
            <v>16</v>
          </cell>
          <cell r="E2612" t="str">
            <v>Cuenca</v>
          </cell>
          <cell r="F2612" t="str">
            <v>129</v>
          </cell>
          <cell r="G2612" t="str">
            <v>6</v>
          </cell>
          <cell r="H2612" t="str">
            <v>Montalbanejo</v>
          </cell>
        </row>
        <row r="2613">
          <cell r="D2613" t="str">
            <v>16</v>
          </cell>
          <cell r="E2613" t="str">
            <v>Cuenca</v>
          </cell>
          <cell r="F2613" t="str">
            <v>130</v>
          </cell>
          <cell r="G2613" t="str">
            <v>0</v>
          </cell>
          <cell r="H2613" t="str">
            <v>Montalbo</v>
          </cell>
        </row>
        <row r="2614">
          <cell r="D2614" t="str">
            <v>16</v>
          </cell>
          <cell r="E2614" t="str">
            <v>Cuenca</v>
          </cell>
          <cell r="F2614" t="str">
            <v>131</v>
          </cell>
          <cell r="G2614" t="str">
            <v>7</v>
          </cell>
          <cell r="H2614" t="str">
            <v>Monteagudo de las Salinas</v>
          </cell>
        </row>
        <row r="2615">
          <cell r="D2615" t="str">
            <v>16</v>
          </cell>
          <cell r="E2615" t="str">
            <v>Cuenca</v>
          </cell>
          <cell r="F2615" t="str">
            <v>132</v>
          </cell>
          <cell r="G2615" t="str">
            <v>2</v>
          </cell>
          <cell r="H2615" t="str">
            <v>Mota de Altarejos</v>
          </cell>
        </row>
        <row r="2616">
          <cell r="D2616" t="str">
            <v>16</v>
          </cell>
          <cell r="E2616" t="str">
            <v>Cuenca</v>
          </cell>
          <cell r="F2616" t="str">
            <v>133</v>
          </cell>
          <cell r="G2616" t="str">
            <v>8</v>
          </cell>
          <cell r="H2616" t="str">
            <v>Mota del Cuervo</v>
          </cell>
        </row>
        <row r="2617">
          <cell r="D2617" t="str">
            <v>16</v>
          </cell>
          <cell r="E2617" t="str">
            <v>Cuenca</v>
          </cell>
          <cell r="F2617" t="str">
            <v>134</v>
          </cell>
          <cell r="G2617" t="str">
            <v>3</v>
          </cell>
          <cell r="H2617" t="str">
            <v>Motilla del Palancar</v>
          </cell>
        </row>
        <row r="2618">
          <cell r="D2618" t="str">
            <v>16</v>
          </cell>
          <cell r="E2618" t="str">
            <v>Cuenca</v>
          </cell>
          <cell r="F2618" t="str">
            <v>135</v>
          </cell>
          <cell r="G2618" t="str">
            <v>6</v>
          </cell>
          <cell r="H2618" t="str">
            <v>Moya</v>
          </cell>
        </row>
        <row r="2619">
          <cell r="D2619" t="str">
            <v>16</v>
          </cell>
          <cell r="E2619" t="str">
            <v>Cuenca</v>
          </cell>
          <cell r="F2619" t="str">
            <v>137</v>
          </cell>
          <cell r="G2619" t="str">
            <v>5</v>
          </cell>
          <cell r="H2619" t="str">
            <v>Narboneta</v>
          </cell>
        </row>
        <row r="2620">
          <cell r="D2620" t="str">
            <v>16</v>
          </cell>
          <cell r="E2620" t="str">
            <v>Cuenca</v>
          </cell>
          <cell r="F2620" t="str">
            <v>139</v>
          </cell>
          <cell r="G2620" t="str">
            <v>4</v>
          </cell>
          <cell r="H2620" t="str">
            <v>Olivares de Júcar</v>
          </cell>
        </row>
        <row r="2621">
          <cell r="D2621" t="str">
            <v>16</v>
          </cell>
          <cell r="E2621" t="str">
            <v>Cuenca</v>
          </cell>
          <cell r="F2621" t="str">
            <v>140</v>
          </cell>
          <cell r="G2621" t="str">
            <v>8</v>
          </cell>
          <cell r="H2621" t="str">
            <v>Olmeda de la Cuesta</v>
          </cell>
        </row>
        <row r="2622">
          <cell r="D2622" t="str">
            <v>16</v>
          </cell>
          <cell r="E2622" t="str">
            <v>Cuenca</v>
          </cell>
          <cell r="F2622" t="str">
            <v>141</v>
          </cell>
          <cell r="G2622" t="str">
            <v>5</v>
          </cell>
          <cell r="H2622" t="str">
            <v>Olmeda del Rey</v>
          </cell>
        </row>
        <row r="2623">
          <cell r="D2623" t="str">
            <v>16</v>
          </cell>
          <cell r="E2623" t="str">
            <v>Cuenca</v>
          </cell>
          <cell r="F2623" t="str">
            <v>142</v>
          </cell>
          <cell r="G2623" t="str">
            <v>0</v>
          </cell>
          <cell r="H2623" t="str">
            <v>Olmedilla de Alarcón</v>
          </cell>
        </row>
        <row r="2624">
          <cell r="D2624" t="str">
            <v>16</v>
          </cell>
          <cell r="E2624" t="str">
            <v>Cuenca</v>
          </cell>
          <cell r="F2624" t="str">
            <v>143</v>
          </cell>
          <cell r="G2624" t="str">
            <v>6</v>
          </cell>
          <cell r="H2624" t="str">
            <v>Olmedilla de Eliz</v>
          </cell>
        </row>
        <row r="2625">
          <cell r="D2625" t="str">
            <v>16</v>
          </cell>
          <cell r="E2625" t="str">
            <v>Cuenca</v>
          </cell>
          <cell r="F2625" t="str">
            <v>145</v>
          </cell>
          <cell r="G2625" t="str">
            <v>4</v>
          </cell>
          <cell r="H2625" t="str">
            <v>Osa de la Vega</v>
          </cell>
        </row>
        <row r="2626">
          <cell r="D2626" t="str">
            <v>16</v>
          </cell>
          <cell r="E2626" t="str">
            <v>Cuenca</v>
          </cell>
          <cell r="F2626" t="str">
            <v>146</v>
          </cell>
          <cell r="G2626" t="str">
            <v>7</v>
          </cell>
          <cell r="H2626" t="str">
            <v>Pajarón</v>
          </cell>
        </row>
        <row r="2627">
          <cell r="D2627" t="str">
            <v>16</v>
          </cell>
          <cell r="E2627" t="str">
            <v>Cuenca</v>
          </cell>
          <cell r="F2627" t="str">
            <v>147</v>
          </cell>
          <cell r="G2627" t="str">
            <v>3</v>
          </cell>
          <cell r="H2627" t="str">
            <v>Pajaroncillo</v>
          </cell>
        </row>
        <row r="2628">
          <cell r="D2628" t="str">
            <v>16</v>
          </cell>
          <cell r="E2628" t="str">
            <v>Cuenca</v>
          </cell>
          <cell r="F2628" t="str">
            <v>148</v>
          </cell>
          <cell r="G2628" t="str">
            <v>9</v>
          </cell>
          <cell r="H2628" t="str">
            <v>Palomares del Campo</v>
          </cell>
        </row>
        <row r="2629">
          <cell r="D2629" t="str">
            <v>16</v>
          </cell>
          <cell r="E2629" t="str">
            <v>Cuenca</v>
          </cell>
          <cell r="F2629" t="str">
            <v>149</v>
          </cell>
          <cell r="G2629" t="str">
            <v>2</v>
          </cell>
          <cell r="H2629" t="str">
            <v>Palomera</v>
          </cell>
        </row>
        <row r="2630">
          <cell r="D2630" t="str">
            <v>16</v>
          </cell>
          <cell r="E2630" t="str">
            <v>Cuenca</v>
          </cell>
          <cell r="F2630" t="str">
            <v>150</v>
          </cell>
          <cell r="G2630" t="str">
            <v>5</v>
          </cell>
          <cell r="H2630" t="str">
            <v>Paracuellos</v>
          </cell>
        </row>
        <row r="2631">
          <cell r="D2631" t="str">
            <v>16</v>
          </cell>
          <cell r="E2631" t="str">
            <v>Cuenca</v>
          </cell>
          <cell r="F2631" t="str">
            <v>151</v>
          </cell>
          <cell r="G2631" t="str">
            <v>2</v>
          </cell>
          <cell r="H2631" t="str">
            <v>Paredes</v>
          </cell>
        </row>
        <row r="2632">
          <cell r="D2632" t="str">
            <v>16</v>
          </cell>
          <cell r="E2632" t="str">
            <v>Cuenca</v>
          </cell>
          <cell r="F2632" t="str">
            <v>152</v>
          </cell>
          <cell r="G2632" t="str">
            <v>7</v>
          </cell>
          <cell r="H2632" t="str">
            <v>Parra de las Vegas, La</v>
          </cell>
        </row>
        <row r="2633">
          <cell r="D2633" t="str">
            <v>16</v>
          </cell>
          <cell r="E2633" t="str">
            <v>Cuenca</v>
          </cell>
          <cell r="F2633" t="str">
            <v>153</v>
          </cell>
          <cell r="G2633" t="str">
            <v>3</v>
          </cell>
          <cell r="H2633" t="str">
            <v>Pedernoso, El</v>
          </cell>
        </row>
        <row r="2634">
          <cell r="D2634" t="str">
            <v>16</v>
          </cell>
          <cell r="E2634" t="str">
            <v>Cuenca</v>
          </cell>
          <cell r="F2634" t="str">
            <v>154</v>
          </cell>
          <cell r="G2634" t="str">
            <v>8</v>
          </cell>
          <cell r="H2634" t="str">
            <v>Pedroñeras, Las</v>
          </cell>
        </row>
        <row r="2635">
          <cell r="D2635" t="str">
            <v>16</v>
          </cell>
          <cell r="E2635" t="str">
            <v>Cuenca</v>
          </cell>
          <cell r="F2635" t="str">
            <v>155</v>
          </cell>
          <cell r="G2635" t="str">
            <v>1</v>
          </cell>
          <cell r="H2635" t="str">
            <v>Peral, El</v>
          </cell>
        </row>
        <row r="2636">
          <cell r="D2636" t="str">
            <v>16</v>
          </cell>
          <cell r="E2636" t="str">
            <v>Cuenca</v>
          </cell>
          <cell r="F2636" t="str">
            <v>156</v>
          </cell>
          <cell r="G2636" t="str">
            <v>4</v>
          </cell>
          <cell r="H2636" t="str">
            <v>Peraleja, La</v>
          </cell>
        </row>
        <row r="2637">
          <cell r="D2637" t="str">
            <v>16</v>
          </cell>
          <cell r="E2637" t="str">
            <v>Cuenca</v>
          </cell>
          <cell r="F2637" t="str">
            <v>157</v>
          </cell>
          <cell r="G2637" t="str">
            <v>0</v>
          </cell>
          <cell r="H2637" t="str">
            <v>Pesquera, La</v>
          </cell>
        </row>
        <row r="2638">
          <cell r="D2638" t="str">
            <v>16</v>
          </cell>
          <cell r="E2638" t="str">
            <v>Cuenca</v>
          </cell>
          <cell r="F2638" t="str">
            <v>158</v>
          </cell>
          <cell r="G2638" t="str">
            <v>6</v>
          </cell>
          <cell r="H2638" t="str">
            <v>Picazo, El</v>
          </cell>
        </row>
        <row r="2639">
          <cell r="D2639" t="str">
            <v>16</v>
          </cell>
          <cell r="E2639" t="str">
            <v>Cuenca</v>
          </cell>
          <cell r="F2639" t="str">
            <v>159</v>
          </cell>
          <cell r="G2639" t="str">
            <v>9</v>
          </cell>
          <cell r="H2639" t="str">
            <v>Pinarejo</v>
          </cell>
        </row>
        <row r="2640">
          <cell r="D2640" t="str">
            <v>16</v>
          </cell>
          <cell r="E2640" t="str">
            <v>Cuenca</v>
          </cell>
          <cell r="F2640" t="str">
            <v>160</v>
          </cell>
          <cell r="G2640" t="str">
            <v>3</v>
          </cell>
          <cell r="H2640" t="str">
            <v>Pineda de Gigüela</v>
          </cell>
        </row>
        <row r="2641">
          <cell r="D2641" t="str">
            <v>16</v>
          </cell>
          <cell r="E2641" t="str">
            <v>Cuenca</v>
          </cell>
          <cell r="F2641" t="str">
            <v>161</v>
          </cell>
          <cell r="G2641" t="str">
            <v>0</v>
          </cell>
          <cell r="H2641" t="str">
            <v>Piqueras del Castillo</v>
          </cell>
        </row>
        <row r="2642">
          <cell r="D2642" t="str">
            <v>16</v>
          </cell>
          <cell r="E2642" t="str">
            <v>Cuenca</v>
          </cell>
          <cell r="F2642" t="str">
            <v>162</v>
          </cell>
          <cell r="G2642" t="str">
            <v>5</v>
          </cell>
          <cell r="H2642" t="str">
            <v>Portalrubio de Guadamejud</v>
          </cell>
        </row>
        <row r="2643">
          <cell r="D2643" t="str">
            <v>16</v>
          </cell>
          <cell r="E2643" t="str">
            <v>Cuenca</v>
          </cell>
          <cell r="F2643" t="str">
            <v>163</v>
          </cell>
          <cell r="G2643" t="str">
            <v>1</v>
          </cell>
          <cell r="H2643" t="str">
            <v>Portilla</v>
          </cell>
        </row>
        <row r="2644">
          <cell r="D2644" t="str">
            <v>16</v>
          </cell>
          <cell r="E2644" t="str">
            <v>Cuenca</v>
          </cell>
          <cell r="F2644" t="str">
            <v>165</v>
          </cell>
          <cell r="G2644" t="str">
            <v>9</v>
          </cell>
          <cell r="H2644" t="str">
            <v>Poyatos</v>
          </cell>
        </row>
        <row r="2645">
          <cell r="D2645" t="str">
            <v>16</v>
          </cell>
          <cell r="E2645" t="str">
            <v>Cuenca</v>
          </cell>
          <cell r="F2645" t="str">
            <v>166</v>
          </cell>
          <cell r="G2645" t="str">
            <v>2</v>
          </cell>
          <cell r="H2645" t="str">
            <v>Pozoamargo</v>
          </cell>
        </row>
        <row r="2646">
          <cell r="D2646" t="str">
            <v>16</v>
          </cell>
          <cell r="E2646" t="str">
            <v>Cuenca</v>
          </cell>
          <cell r="F2646" t="str">
            <v>167</v>
          </cell>
          <cell r="G2646" t="str">
            <v>8</v>
          </cell>
          <cell r="H2646" t="str">
            <v>Pozorrubio de Santiago</v>
          </cell>
        </row>
        <row r="2647">
          <cell r="D2647" t="str">
            <v>16</v>
          </cell>
          <cell r="E2647" t="str">
            <v>Cuenca</v>
          </cell>
          <cell r="F2647" t="str">
            <v>169</v>
          </cell>
          <cell r="G2647" t="str">
            <v>7</v>
          </cell>
          <cell r="H2647" t="str">
            <v>Pozuelo, El</v>
          </cell>
        </row>
        <row r="2648">
          <cell r="D2648" t="str">
            <v>16</v>
          </cell>
          <cell r="E2648" t="str">
            <v>Cuenca</v>
          </cell>
          <cell r="F2648" t="str">
            <v>170</v>
          </cell>
          <cell r="G2648" t="str">
            <v>1</v>
          </cell>
          <cell r="H2648" t="str">
            <v>Priego</v>
          </cell>
        </row>
        <row r="2649">
          <cell r="D2649" t="str">
            <v>16</v>
          </cell>
          <cell r="E2649" t="str">
            <v>Cuenca</v>
          </cell>
          <cell r="F2649" t="str">
            <v>171</v>
          </cell>
          <cell r="G2649" t="str">
            <v>8</v>
          </cell>
          <cell r="H2649" t="str">
            <v>Provencio, El</v>
          </cell>
        </row>
        <row r="2650">
          <cell r="D2650" t="str">
            <v>16</v>
          </cell>
          <cell r="E2650" t="str">
            <v>Cuenca</v>
          </cell>
          <cell r="F2650" t="str">
            <v>172</v>
          </cell>
          <cell r="G2650" t="str">
            <v>3</v>
          </cell>
          <cell r="H2650" t="str">
            <v>Puebla de Almenara</v>
          </cell>
        </row>
        <row r="2651">
          <cell r="D2651" t="str">
            <v>16</v>
          </cell>
          <cell r="E2651" t="str">
            <v>Cuenca</v>
          </cell>
          <cell r="F2651" t="str">
            <v>174</v>
          </cell>
          <cell r="G2651" t="str">
            <v>4</v>
          </cell>
          <cell r="H2651" t="str">
            <v>Puebla del Salvador</v>
          </cell>
        </row>
        <row r="2652">
          <cell r="D2652" t="str">
            <v>16</v>
          </cell>
          <cell r="E2652" t="str">
            <v>Cuenca</v>
          </cell>
          <cell r="F2652" t="str">
            <v>175</v>
          </cell>
          <cell r="G2652" t="str">
            <v>7</v>
          </cell>
          <cell r="H2652" t="str">
            <v>Quintanar del Rey</v>
          </cell>
        </row>
        <row r="2653">
          <cell r="D2653" t="str">
            <v>16</v>
          </cell>
          <cell r="E2653" t="str">
            <v>Cuenca</v>
          </cell>
          <cell r="F2653" t="str">
            <v>176</v>
          </cell>
          <cell r="G2653" t="str">
            <v>0</v>
          </cell>
          <cell r="H2653" t="str">
            <v>Rada de Haro</v>
          </cell>
        </row>
        <row r="2654">
          <cell r="D2654" t="str">
            <v>16</v>
          </cell>
          <cell r="E2654" t="str">
            <v>Cuenca</v>
          </cell>
          <cell r="F2654" t="str">
            <v>177</v>
          </cell>
          <cell r="G2654" t="str">
            <v>6</v>
          </cell>
          <cell r="H2654" t="str">
            <v>Reíllo</v>
          </cell>
        </row>
        <row r="2655">
          <cell r="D2655" t="str">
            <v>16</v>
          </cell>
          <cell r="E2655" t="str">
            <v>Cuenca</v>
          </cell>
          <cell r="F2655" t="str">
            <v>181</v>
          </cell>
          <cell r="G2655" t="str">
            <v>6</v>
          </cell>
          <cell r="H2655" t="str">
            <v>Rozalén del Monte</v>
          </cell>
        </row>
        <row r="2656">
          <cell r="D2656" t="str">
            <v>16</v>
          </cell>
          <cell r="E2656" t="str">
            <v>Cuenca</v>
          </cell>
          <cell r="F2656" t="str">
            <v>185</v>
          </cell>
          <cell r="G2656" t="str">
            <v>5</v>
          </cell>
          <cell r="H2656" t="str">
            <v>Saceda-Trasierra</v>
          </cell>
        </row>
        <row r="2657">
          <cell r="D2657" t="str">
            <v>16</v>
          </cell>
          <cell r="E2657" t="str">
            <v>Cuenca</v>
          </cell>
          <cell r="F2657" t="str">
            <v>186</v>
          </cell>
          <cell r="G2657" t="str">
            <v>8</v>
          </cell>
          <cell r="H2657" t="str">
            <v>Saelices</v>
          </cell>
        </row>
        <row r="2658">
          <cell r="D2658" t="str">
            <v>16</v>
          </cell>
          <cell r="E2658" t="str">
            <v>Cuenca</v>
          </cell>
          <cell r="F2658" t="str">
            <v>187</v>
          </cell>
          <cell r="G2658" t="str">
            <v>4</v>
          </cell>
          <cell r="H2658" t="str">
            <v>Salinas del Manzano</v>
          </cell>
        </row>
        <row r="2659">
          <cell r="D2659" t="str">
            <v>16</v>
          </cell>
          <cell r="E2659" t="str">
            <v>Cuenca</v>
          </cell>
          <cell r="F2659" t="str">
            <v>188</v>
          </cell>
          <cell r="G2659" t="str">
            <v>0</v>
          </cell>
          <cell r="H2659" t="str">
            <v>Salmeroncillos</v>
          </cell>
        </row>
        <row r="2660">
          <cell r="D2660" t="str">
            <v>16</v>
          </cell>
          <cell r="E2660" t="str">
            <v>Cuenca</v>
          </cell>
          <cell r="F2660" t="str">
            <v>189</v>
          </cell>
          <cell r="G2660" t="str">
            <v>3</v>
          </cell>
          <cell r="H2660" t="str">
            <v>Salvacañete</v>
          </cell>
        </row>
        <row r="2661">
          <cell r="D2661" t="str">
            <v>16</v>
          </cell>
          <cell r="E2661" t="str">
            <v>Cuenca</v>
          </cell>
          <cell r="F2661" t="str">
            <v>190</v>
          </cell>
          <cell r="G2661" t="str">
            <v>7</v>
          </cell>
          <cell r="H2661" t="str">
            <v>San Clemente</v>
          </cell>
        </row>
        <row r="2662">
          <cell r="D2662" t="str">
            <v>16</v>
          </cell>
          <cell r="E2662" t="str">
            <v>Cuenca</v>
          </cell>
          <cell r="F2662" t="str">
            <v>191</v>
          </cell>
          <cell r="G2662" t="str">
            <v>4</v>
          </cell>
          <cell r="H2662" t="str">
            <v>San Lorenzo de la Parrilla</v>
          </cell>
        </row>
        <row r="2663">
          <cell r="D2663" t="str">
            <v>16</v>
          </cell>
          <cell r="E2663" t="str">
            <v>Cuenca</v>
          </cell>
          <cell r="F2663" t="str">
            <v>192</v>
          </cell>
          <cell r="G2663" t="str">
            <v>9</v>
          </cell>
          <cell r="H2663" t="str">
            <v>San Martín de Boniches</v>
          </cell>
        </row>
        <row r="2664">
          <cell r="D2664" t="str">
            <v>16</v>
          </cell>
          <cell r="E2664" t="str">
            <v>Cuenca</v>
          </cell>
          <cell r="F2664" t="str">
            <v>193</v>
          </cell>
          <cell r="G2664" t="str">
            <v>5</v>
          </cell>
          <cell r="H2664" t="str">
            <v>San Pedro Palmiches</v>
          </cell>
        </row>
        <row r="2665">
          <cell r="D2665" t="str">
            <v>16</v>
          </cell>
          <cell r="E2665" t="str">
            <v>Cuenca</v>
          </cell>
          <cell r="F2665" t="str">
            <v>194</v>
          </cell>
          <cell r="G2665" t="str">
            <v>0</v>
          </cell>
          <cell r="H2665" t="str">
            <v>Santa Cruz de Moya</v>
          </cell>
        </row>
        <row r="2666">
          <cell r="D2666" t="str">
            <v>16</v>
          </cell>
          <cell r="E2666" t="str">
            <v>Cuenca</v>
          </cell>
          <cell r="F2666" t="str">
            <v>195</v>
          </cell>
          <cell r="G2666" t="str">
            <v>3</v>
          </cell>
          <cell r="H2666" t="str">
            <v>Santa María del Campo Rus</v>
          </cell>
        </row>
        <row r="2667">
          <cell r="D2667" t="str">
            <v>16</v>
          </cell>
          <cell r="E2667" t="str">
            <v>Cuenca</v>
          </cell>
          <cell r="F2667" t="str">
            <v>196</v>
          </cell>
          <cell r="G2667" t="str">
            <v>6</v>
          </cell>
          <cell r="H2667" t="str">
            <v>Santa María de los Llanos</v>
          </cell>
        </row>
        <row r="2668">
          <cell r="D2668" t="str">
            <v>16</v>
          </cell>
          <cell r="E2668" t="str">
            <v>Cuenca</v>
          </cell>
          <cell r="F2668" t="str">
            <v>197</v>
          </cell>
          <cell r="G2668" t="str">
            <v>2</v>
          </cell>
          <cell r="H2668" t="str">
            <v>Santa María del Val</v>
          </cell>
        </row>
        <row r="2669">
          <cell r="D2669" t="str">
            <v>16</v>
          </cell>
          <cell r="E2669" t="str">
            <v>Cuenca</v>
          </cell>
          <cell r="F2669" t="str">
            <v>198</v>
          </cell>
          <cell r="G2669" t="str">
            <v>8</v>
          </cell>
          <cell r="H2669" t="str">
            <v>Sisante</v>
          </cell>
        </row>
        <row r="2670">
          <cell r="D2670" t="str">
            <v>16</v>
          </cell>
          <cell r="E2670" t="str">
            <v>Cuenca</v>
          </cell>
          <cell r="F2670" t="str">
            <v>199</v>
          </cell>
          <cell r="G2670" t="str">
            <v>1</v>
          </cell>
          <cell r="H2670" t="str">
            <v>Solera de Gabaldón</v>
          </cell>
        </row>
        <row r="2671">
          <cell r="D2671" t="str">
            <v>16</v>
          </cell>
          <cell r="E2671" t="str">
            <v>Cuenca</v>
          </cell>
          <cell r="F2671" t="str">
            <v>202</v>
          </cell>
          <cell r="G2671" t="str">
            <v>7</v>
          </cell>
          <cell r="H2671" t="str">
            <v>Talayuelas</v>
          </cell>
        </row>
        <row r="2672">
          <cell r="D2672" t="str">
            <v>16</v>
          </cell>
          <cell r="E2672" t="str">
            <v>Cuenca</v>
          </cell>
          <cell r="F2672" t="str">
            <v>203</v>
          </cell>
          <cell r="G2672" t="str">
            <v>3</v>
          </cell>
          <cell r="H2672" t="str">
            <v>Tarancón</v>
          </cell>
        </row>
        <row r="2673">
          <cell r="D2673" t="str">
            <v>16</v>
          </cell>
          <cell r="E2673" t="str">
            <v>Cuenca</v>
          </cell>
          <cell r="F2673" t="str">
            <v>204</v>
          </cell>
          <cell r="G2673" t="str">
            <v>8</v>
          </cell>
          <cell r="H2673" t="str">
            <v>Tébar</v>
          </cell>
        </row>
        <row r="2674">
          <cell r="D2674" t="str">
            <v>16</v>
          </cell>
          <cell r="E2674" t="str">
            <v>Cuenca</v>
          </cell>
          <cell r="F2674" t="str">
            <v>205</v>
          </cell>
          <cell r="G2674" t="str">
            <v>1</v>
          </cell>
          <cell r="H2674" t="str">
            <v>Tejadillos</v>
          </cell>
        </row>
        <row r="2675">
          <cell r="D2675" t="str">
            <v>16</v>
          </cell>
          <cell r="E2675" t="str">
            <v>Cuenca</v>
          </cell>
          <cell r="F2675" t="str">
            <v>206</v>
          </cell>
          <cell r="G2675" t="str">
            <v>4</v>
          </cell>
          <cell r="H2675" t="str">
            <v>Tinajas</v>
          </cell>
        </row>
        <row r="2676">
          <cell r="D2676" t="str">
            <v>16</v>
          </cell>
          <cell r="E2676" t="str">
            <v>Cuenca</v>
          </cell>
          <cell r="F2676" t="str">
            <v>209</v>
          </cell>
          <cell r="G2676" t="str">
            <v>9</v>
          </cell>
          <cell r="H2676" t="str">
            <v>Torralba</v>
          </cell>
        </row>
        <row r="2677">
          <cell r="D2677" t="str">
            <v>16</v>
          </cell>
          <cell r="E2677" t="str">
            <v>Cuenca</v>
          </cell>
          <cell r="F2677" t="str">
            <v>211</v>
          </cell>
          <cell r="G2677" t="str">
            <v>0</v>
          </cell>
          <cell r="H2677" t="str">
            <v>Torrejoncillo del Rey</v>
          </cell>
        </row>
        <row r="2678">
          <cell r="D2678" t="str">
            <v>16</v>
          </cell>
          <cell r="E2678" t="str">
            <v>Cuenca</v>
          </cell>
          <cell r="F2678" t="str">
            <v>212</v>
          </cell>
          <cell r="G2678" t="str">
            <v>5</v>
          </cell>
          <cell r="H2678" t="str">
            <v>Torrubia del Campo</v>
          </cell>
        </row>
        <row r="2679">
          <cell r="D2679" t="str">
            <v>16</v>
          </cell>
          <cell r="E2679" t="str">
            <v>Cuenca</v>
          </cell>
          <cell r="F2679" t="str">
            <v>213</v>
          </cell>
          <cell r="G2679" t="str">
            <v>1</v>
          </cell>
          <cell r="H2679" t="str">
            <v>Torrubia del Castillo</v>
          </cell>
        </row>
        <row r="2680">
          <cell r="D2680" t="str">
            <v>16</v>
          </cell>
          <cell r="E2680" t="str">
            <v>Cuenca</v>
          </cell>
          <cell r="F2680" t="str">
            <v>215</v>
          </cell>
          <cell r="G2680" t="str">
            <v>9</v>
          </cell>
          <cell r="H2680" t="str">
            <v>Tragacete</v>
          </cell>
        </row>
        <row r="2681">
          <cell r="D2681" t="str">
            <v>16</v>
          </cell>
          <cell r="E2681" t="str">
            <v>Cuenca</v>
          </cell>
          <cell r="F2681" t="str">
            <v>216</v>
          </cell>
          <cell r="G2681" t="str">
            <v>2</v>
          </cell>
          <cell r="H2681" t="str">
            <v>Tresjuncos</v>
          </cell>
        </row>
        <row r="2682">
          <cell r="D2682" t="str">
            <v>16</v>
          </cell>
          <cell r="E2682" t="str">
            <v>Cuenca</v>
          </cell>
          <cell r="F2682" t="str">
            <v>217</v>
          </cell>
          <cell r="G2682" t="str">
            <v>8</v>
          </cell>
          <cell r="H2682" t="str">
            <v>Tribaldos</v>
          </cell>
        </row>
        <row r="2683">
          <cell r="D2683" t="str">
            <v>16</v>
          </cell>
          <cell r="E2683" t="str">
            <v>Cuenca</v>
          </cell>
          <cell r="F2683" t="str">
            <v>218</v>
          </cell>
          <cell r="G2683" t="str">
            <v>4</v>
          </cell>
          <cell r="H2683" t="str">
            <v>Uclés</v>
          </cell>
        </row>
        <row r="2684">
          <cell r="D2684" t="str">
            <v>16</v>
          </cell>
          <cell r="E2684" t="str">
            <v>Cuenca</v>
          </cell>
          <cell r="F2684" t="str">
            <v>219</v>
          </cell>
          <cell r="G2684" t="str">
            <v>7</v>
          </cell>
          <cell r="H2684" t="str">
            <v>Uña</v>
          </cell>
        </row>
        <row r="2685">
          <cell r="D2685" t="str">
            <v>16</v>
          </cell>
          <cell r="E2685" t="str">
            <v>Cuenca</v>
          </cell>
          <cell r="F2685" t="str">
            <v>224</v>
          </cell>
          <cell r="G2685" t="str">
            <v>4</v>
          </cell>
          <cell r="H2685" t="str">
            <v>Valdemeca</v>
          </cell>
        </row>
        <row r="2686">
          <cell r="D2686" t="str">
            <v>16</v>
          </cell>
          <cell r="E2686" t="str">
            <v>Cuenca</v>
          </cell>
          <cell r="F2686" t="str">
            <v>225</v>
          </cell>
          <cell r="G2686" t="str">
            <v>7</v>
          </cell>
          <cell r="H2686" t="str">
            <v>Valdemorillo de la Sierra</v>
          </cell>
        </row>
        <row r="2687">
          <cell r="D2687" t="str">
            <v>16</v>
          </cell>
          <cell r="E2687" t="str">
            <v>Cuenca</v>
          </cell>
          <cell r="F2687" t="str">
            <v>227</v>
          </cell>
          <cell r="G2687" t="str">
            <v>6</v>
          </cell>
          <cell r="H2687" t="str">
            <v>Valdemoro-Sierra</v>
          </cell>
        </row>
        <row r="2688">
          <cell r="D2688" t="str">
            <v>16</v>
          </cell>
          <cell r="E2688" t="str">
            <v>Cuenca</v>
          </cell>
          <cell r="F2688" t="str">
            <v>228</v>
          </cell>
          <cell r="G2688" t="str">
            <v>2</v>
          </cell>
          <cell r="H2688" t="str">
            <v>Valdeolivas</v>
          </cell>
        </row>
        <row r="2689">
          <cell r="D2689" t="str">
            <v>16</v>
          </cell>
          <cell r="E2689" t="str">
            <v>Cuenca</v>
          </cell>
          <cell r="F2689" t="str">
            <v>231</v>
          </cell>
          <cell r="G2689" t="str">
            <v>6</v>
          </cell>
          <cell r="H2689" t="str">
            <v>Valhermoso de la Fuente</v>
          </cell>
        </row>
        <row r="2690">
          <cell r="D2690" t="str">
            <v>16</v>
          </cell>
          <cell r="E2690" t="str">
            <v>Cuenca</v>
          </cell>
          <cell r="F2690" t="str">
            <v>234</v>
          </cell>
          <cell r="G2690" t="str">
            <v>2</v>
          </cell>
          <cell r="H2690" t="str">
            <v>Valsalobre</v>
          </cell>
        </row>
        <row r="2691">
          <cell r="D2691" t="str">
            <v>16</v>
          </cell>
          <cell r="E2691" t="str">
            <v>Cuenca</v>
          </cell>
          <cell r="F2691" t="str">
            <v>236</v>
          </cell>
          <cell r="G2691" t="str">
            <v>8</v>
          </cell>
          <cell r="H2691" t="str">
            <v>Valverde de Júcar</v>
          </cell>
        </row>
        <row r="2692">
          <cell r="D2692" t="str">
            <v>16</v>
          </cell>
          <cell r="E2692" t="str">
            <v>Cuenca</v>
          </cell>
          <cell r="F2692" t="str">
            <v>237</v>
          </cell>
          <cell r="G2692" t="str">
            <v>4</v>
          </cell>
          <cell r="H2692" t="str">
            <v>Valverdejo</v>
          </cell>
        </row>
        <row r="2693">
          <cell r="D2693" t="str">
            <v>16</v>
          </cell>
          <cell r="E2693" t="str">
            <v>Cuenca</v>
          </cell>
          <cell r="F2693" t="str">
            <v>238</v>
          </cell>
          <cell r="G2693" t="str">
            <v>0</v>
          </cell>
          <cell r="H2693" t="str">
            <v>Vara de Rey</v>
          </cell>
        </row>
        <row r="2694">
          <cell r="D2694" t="str">
            <v>16</v>
          </cell>
          <cell r="E2694" t="str">
            <v>Cuenca</v>
          </cell>
          <cell r="F2694" t="str">
            <v>239</v>
          </cell>
          <cell r="G2694" t="str">
            <v>3</v>
          </cell>
          <cell r="H2694" t="str">
            <v>Vega del Codorno</v>
          </cell>
        </row>
        <row r="2695">
          <cell r="D2695" t="str">
            <v>16</v>
          </cell>
          <cell r="E2695" t="str">
            <v>Cuenca</v>
          </cell>
          <cell r="F2695" t="str">
            <v>240</v>
          </cell>
          <cell r="G2695" t="str">
            <v>7</v>
          </cell>
          <cell r="H2695" t="str">
            <v>Vellisca</v>
          </cell>
        </row>
        <row r="2696">
          <cell r="D2696" t="str">
            <v>16</v>
          </cell>
          <cell r="E2696" t="str">
            <v>Cuenca</v>
          </cell>
          <cell r="F2696" t="str">
            <v>242</v>
          </cell>
          <cell r="G2696" t="str">
            <v>9</v>
          </cell>
          <cell r="H2696" t="str">
            <v>Villaconejos de Trabaque</v>
          </cell>
        </row>
        <row r="2697">
          <cell r="D2697" t="str">
            <v>16</v>
          </cell>
          <cell r="E2697" t="str">
            <v>Cuenca</v>
          </cell>
          <cell r="F2697" t="str">
            <v>243</v>
          </cell>
          <cell r="G2697" t="str">
            <v>5</v>
          </cell>
          <cell r="H2697" t="str">
            <v>Villaescusa de Haro</v>
          </cell>
        </row>
        <row r="2698">
          <cell r="D2698" t="str">
            <v>16</v>
          </cell>
          <cell r="E2698" t="str">
            <v>Cuenca</v>
          </cell>
          <cell r="F2698" t="str">
            <v>244</v>
          </cell>
          <cell r="G2698" t="str">
            <v>0</v>
          </cell>
          <cell r="H2698" t="str">
            <v>Villagarcía del Llano</v>
          </cell>
        </row>
        <row r="2699">
          <cell r="D2699" t="str">
            <v>16</v>
          </cell>
          <cell r="E2699" t="str">
            <v>Cuenca</v>
          </cell>
          <cell r="F2699" t="str">
            <v>245</v>
          </cell>
          <cell r="G2699" t="str">
            <v>3</v>
          </cell>
          <cell r="H2699" t="str">
            <v>Villalba de la Sierra</v>
          </cell>
        </row>
        <row r="2700">
          <cell r="D2700" t="str">
            <v>16</v>
          </cell>
          <cell r="E2700" t="str">
            <v>Cuenca</v>
          </cell>
          <cell r="F2700" t="str">
            <v>246</v>
          </cell>
          <cell r="G2700" t="str">
            <v>6</v>
          </cell>
          <cell r="H2700" t="str">
            <v>Villalba del Rey</v>
          </cell>
        </row>
        <row r="2701">
          <cell r="D2701" t="str">
            <v>16</v>
          </cell>
          <cell r="E2701" t="str">
            <v>Cuenca</v>
          </cell>
          <cell r="F2701" t="str">
            <v>247</v>
          </cell>
          <cell r="G2701" t="str">
            <v>2</v>
          </cell>
          <cell r="H2701" t="str">
            <v>Villalgordo del Marquesado</v>
          </cell>
        </row>
        <row r="2702">
          <cell r="D2702" t="str">
            <v>16</v>
          </cell>
          <cell r="E2702" t="str">
            <v>Cuenca</v>
          </cell>
          <cell r="F2702" t="str">
            <v>248</v>
          </cell>
          <cell r="G2702" t="str">
            <v>8</v>
          </cell>
          <cell r="H2702" t="str">
            <v>Villalpardo</v>
          </cell>
        </row>
        <row r="2703">
          <cell r="D2703" t="str">
            <v>16</v>
          </cell>
          <cell r="E2703" t="str">
            <v>Cuenca</v>
          </cell>
          <cell r="F2703" t="str">
            <v>249</v>
          </cell>
          <cell r="G2703" t="str">
            <v>1</v>
          </cell>
          <cell r="H2703" t="str">
            <v>Villamayor de Santiago</v>
          </cell>
        </row>
        <row r="2704">
          <cell r="D2704" t="str">
            <v>16</v>
          </cell>
          <cell r="E2704" t="str">
            <v>Cuenca</v>
          </cell>
          <cell r="F2704" t="str">
            <v>250</v>
          </cell>
          <cell r="G2704" t="str">
            <v>4</v>
          </cell>
          <cell r="H2704" t="str">
            <v>Villanueva de Guadamejud</v>
          </cell>
        </row>
        <row r="2705">
          <cell r="D2705" t="str">
            <v>16</v>
          </cell>
          <cell r="E2705" t="str">
            <v>Cuenca</v>
          </cell>
          <cell r="F2705" t="str">
            <v>251</v>
          </cell>
          <cell r="G2705" t="str">
            <v>1</v>
          </cell>
          <cell r="H2705" t="str">
            <v>Villanueva de la Jara</v>
          </cell>
        </row>
        <row r="2706">
          <cell r="D2706" t="str">
            <v>16</v>
          </cell>
          <cell r="E2706" t="str">
            <v>Cuenca</v>
          </cell>
          <cell r="F2706" t="str">
            <v>253</v>
          </cell>
          <cell r="G2706" t="str">
            <v>2</v>
          </cell>
          <cell r="H2706" t="str">
            <v>Villar de Cañas</v>
          </cell>
        </row>
        <row r="2707">
          <cell r="D2707" t="str">
            <v>16</v>
          </cell>
          <cell r="E2707" t="str">
            <v>Cuenca</v>
          </cell>
          <cell r="F2707" t="str">
            <v>254</v>
          </cell>
          <cell r="G2707" t="str">
            <v>7</v>
          </cell>
          <cell r="H2707" t="str">
            <v>Villar de Domingo García</v>
          </cell>
        </row>
        <row r="2708">
          <cell r="D2708" t="str">
            <v>16</v>
          </cell>
          <cell r="E2708" t="str">
            <v>Cuenca</v>
          </cell>
          <cell r="F2708" t="str">
            <v>255</v>
          </cell>
          <cell r="G2708" t="str">
            <v>0</v>
          </cell>
          <cell r="H2708" t="str">
            <v>Villar de la Encina</v>
          </cell>
        </row>
        <row r="2709">
          <cell r="D2709" t="str">
            <v>16</v>
          </cell>
          <cell r="E2709" t="str">
            <v>Cuenca</v>
          </cell>
          <cell r="F2709" t="str">
            <v>258</v>
          </cell>
          <cell r="G2709" t="str">
            <v>5</v>
          </cell>
          <cell r="H2709" t="str">
            <v>Villar del Humo</v>
          </cell>
        </row>
        <row r="2710">
          <cell r="D2710" t="str">
            <v>16</v>
          </cell>
          <cell r="E2710" t="str">
            <v>Cuenca</v>
          </cell>
          <cell r="F2710" t="str">
            <v>259</v>
          </cell>
          <cell r="G2710" t="str">
            <v>8</v>
          </cell>
          <cell r="H2710" t="str">
            <v>Villar del Infantado</v>
          </cell>
        </row>
        <row r="2711">
          <cell r="D2711" t="str">
            <v>16</v>
          </cell>
          <cell r="E2711" t="str">
            <v>Cuenca</v>
          </cell>
          <cell r="F2711" t="str">
            <v>263</v>
          </cell>
          <cell r="G2711" t="str">
            <v>0</v>
          </cell>
          <cell r="H2711" t="str">
            <v>Villar de Olalla</v>
          </cell>
        </row>
        <row r="2712">
          <cell r="D2712" t="str">
            <v>16</v>
          </cell>
          <cell r="E2712" t="str">
            <v>Cuenca</v>
          </cell>
          <cell r="F2712" t="str">
            <v>264</v>
          </cell>
          <cell r="G2712" t="str">
            <v>5</v>
          </cell>
          <cell r="H2712" t="str">
            <v>Villarejo de Fuentes</v>
          </cell>
        </row>
        <row r="2713">
          <cell r="D2713" t="str">
            <v>16</v>
          </cell>
          <cell r="E2713" t="str">
            <v>Cuenca</v>
          </cell>
          <cell r="F2713" t="str">
            <v>265</v>
          </cell>
          <cell r="G2713" t="str">
            <v>8</v>
          </cell>
          <cell r="H2713" t="str">
            <v>Villarejo de la Peñuela</v>
          </cell>
        </row>
        <row r="2714">
          <cell r="D2714" t="str">
            <v>16</v>
          </cell>
          <cell r="E2714" t="str">
            <v>Cuenca</v>
          </cell>
          <cell r="F2714" t="str">
            <v>266</v>
          </cell>
          <cell r="G2714" t="str">
            <v>1</v>
          </cell>
          <cell r="H2714" t="str">
            <v>Villarejo-Periesteban</v>
          </cell>
        </row>
        <row r="2715">
          <cell r="D2715" t="str">
            <v>16</v>
          </cell>
          <cell r="E2715" t="str">
            <v>Cuenca</v>
          </cell>
          <cell r="F2715" t="str">
            <v>269</v>
          </cell>
          <cell r="G2715" t="str">
            <v>6</v>
          </cell>
          <cell r="H2715" t="str">
            <v>Villares del Saz</v>
          </cell>
        </row>
        <row r="2716">
          <cell r="D2716" t="str">
            <v>16</v>
          </cell>
          <cell r="E2716" t="str">
            <v>Cuenca</v>
          </cell>
          <cell r="F2716" t="str">
            <v>270</v>
          </cell>
          <cell r="G2716" t="str">
            <v>0</v>
          </cell>
          <cell r="H2716" t="str">
            <v>Villarrubio</v>
          </cell>
        </row>
        <row r="2717">
          <cell r="D2717" t="str">
            <v>16</v>
          </cell>
          <cell r="E2717" t="str">
            <v>Cuenca</v>
          </cell>
          <cell r="F2717" t="str">
            <v>271</v>
          </cell>
          <cell r="G2717" t="str">
            <v>7</v>
          </cell>
          <cell r="H2717" t="str">
            <v>Villarta</v>
          </cell>
        </row>
        <row r="2718">
          <cell r="D2718" t="str">
            <v>16</v>
          </cell>
          <cell r="E2718" t="str">
            <v>Cuenca</v>
          </cell>
          <cell r="F2718" t="str">
            <v>272</v>
          </cell>
          <cell r="G2718" t="str">
            <v>2</v>
          </cell>
          <cell r="H2718" t="str">
            <v>Villas de la Ventosa</v>
          </cell>
        </row>
        <row r="2719">
          <cell r="D2719" t="str">
            <v>16</v>
          </cell>
          <cell r="E2719" t="str">
            <v>Cuenca</v>
          </cell>
          <cell r="F2719" t="str">
            <v>273</v>
          </cell>
          <cell r="G2719" t="str">
            <v>8</v>
          </cell>
          <cell r="H2719" t="str">
            <v>Villaverde y Pasaconsol</v>
          </cell>
        </row>
        <row r="2720">
          <cell r="D2720" t="str">
            <v>16</v>
          </cell>
          <cell r="E2720" t="str">
            <v>Cuenca</v>
          </cell>
          <cell r="F2720" t="str">
            <v>274</v>
          </cell>
          <cell r="G2720" t="str">
            <v>3</v>
          </cell>
          <cell r="H2720" t="str">
            <v>Víllora</v>
          </cell>
        </row>
        <row r="2721">
          <cell r="D2721" t="str">
            <v>16</v>
          </cell>
          <cell r="E2721" t="str">
            <v>Cuenca</v>
          </cell>
          <cell r="F2721" t="str">
            <v>275</v>
          </cell>
          <cell r="G2721" t="str">
            <v>6</v>
          </cell>
          <cell r="H2721" t="str">
            <v>Vindel</v>
          </cell>
        </row>
        <row r="2722">
          <cell r="D2722" t="str">
            <v>16</v>
          </cell>
          <cell r="E2722" t="str">
            <v>Cuenca</v>
          </cell>
          <cell r="F2722" t="str">
            <v>276</v>
          </cell>
          <cell r="G2722" t="str">
            <v>9</v>
          </cell>
          <cell r="H2722" t="str">
            <v>Yémeda</v>
          </cell>
        </row>
        <row r="2723">
          <cell r="D2723" t="str">
            <v>16</v>
          </cell>
          <cell r="E2723" t="str">
            <v>Cuenca</v>
          </cell>
          <cell r="F2723" t="str">
            <v>277</v>
          </cell>
          <cell r="G2723" t="str">
            <v>5</v>
          </cell>
          <cell r="H2723" t="str">
            <v>Zafra de Záncara</v>
          </cell>
        </row>
        <row r="2724">
          <cell r="D2724" t="str">
            <v>16</v>
          </cell>
          <cell r="E2724" t="str">
            <v>Cuenca</v>
          </cell>
          <cell r="F2724" t="str">
            <v>278</v>
          </cell>
          <cell r="G2724" t="str">
            <v>1</v>
          </cell>
          <cell r="H2724" t="str">
            <v>Zafrilla</v>
          </cell>
        </row>
        <row r="2725">
          <cell r="D2725" t="str">
            <v>16</v>
          </cell>
          <cell r="E2725" t="str">
            <v>Cuenca</v>
          </cell>
          <cell r="F2725" t="str">
            <v>279</v>
          </cell>
          <cell r="G2725" t="str">
            <v>4</v>
          </cell>
          <cell r="H2725" t="str">
            <v>Zarza de Tajo</v>
          </cell>
        </row>
        <row r="2726">
          <cell r="D2726" t="str">
            <v>16</v>
          </cell>
          <cell r="E2726" t="str">
            <v>Cuenca</v>
          </cell>
          <cell r="F2726" t="str">
            <v>280</v>
          </cell>
          <cell r="G2726" t="str">
            <v>8</v>
          </cell>
          <cell r="H2726" t="str">
            <v>Zarzuela</v>
          </cell>
        </row>
        <row r="2727">
          <cell r="D2727" t="str">
            <v>16</v>
          </cell>
          <cell r="E2727" t="str">
            <v>Cuenca</v>
          </cell>
          <cell r="F2727" t="str">
            <v>901</v>
          </cell>
          <cell r="G2727" t="str">
            <v>5</v>
          </cell>
          <cell r="H2727" t="str">
            <v>Campos del Paraíso</v>
          </cell>
        </row>
        <row r="2728">
          <cell r="D2728" t="str">
            <v>16</v>
          </cell>
          <cell r="E2728" t="str">
            <v>Cuenca</v>
          </cell>
          <cell r="F2728" t="str">
            <v>902</v>
          </cell>
          <cell r="G2728" t="str">
            <v>0</v>
          </cell>
          <cell r="H2728" t="str">
            <v>Valdetórtola</v>
          </cell>
        </row>
        <row r="2729">
          <cell r="D2729" t="str">
            <v>16</v>
          </cell>
          <cell r="E2729" t="str">
            <v>Cuenca</v>
          </cell>
          <cell r="F2729" t="str">
            <v>903</v>
          </cell>
          <cell r="G2729" t="str">
            <v>6</v>
          </cell>
          <cell r="H2729" t="str">
            <v>Valeras, Las</v>
          </cell>
        </row>
        <row r="2730">
          <cell r="D2730" t="str">
            <v>16</v>
          </cell>
          <cell r="E2730" t="str">
            <v>Cuenca</v>
          </cell>
          <cell r="F2730" t="str">
            <v>904</v>
          </cell>
          <cell r="G2730" t="str">
            <v>1</v>
          </cell>
          <cell r="H2730" t="str">
            <v>Fuentenava de Jábaga</v>
          </cell>
        </row>
        <row r="2731">
          <cell r="D2731" t="str">
            <v>16</v>
          </cell>
          <cell r="E2731" t="str">
            <v>Cuenca</v>
          </cell>
          <cell r="F2731" t="str">
            <v>905</v>
          </cell>
          <cell r="G2731" t="str">
            <v>4</v>
          </cell>
          <cell r="H2731" t="str">
            <v>Arcas</v>
          </cell>
        </row>
        <row r="2732">
          <cell r="D2732" t="str">
            <v>16</v>
          </cell>
          <cell r="E2732" t="str">
            <v>Cuenca</v>
          </cell>
          <cell r="F2732" t="str">
            <v>906</v>
          </cell>
          <cell r="G2732" t="str">
            <v>7</v>
          </cell>
          <cell r="H2732" t="str">
            <v>Valdecolmenas, Los</v>
          </cell>
        </row>
        <row r="2733">
          <cell r="D2733" t="str">
            <v>16</v>
          </cell>
          <cell r="E2733" t="str">
            <v>Cuenca</v>
          </cell>
          <cell r="F2733" t="str">
            <v>908</v>
          </cell>
          <cell r="G2733" t="str">
            <v>9</v>
          </cell>
          <cell r="H2733" t="str">
            <v>Pozorrubielos de la Mancha</v>
          </cell>
        </row>
        <row r="2734">
          <cell r="D2734" t="str">
            <v>16</v>
          </cell>
          <cell r="E2734" t="str">
            <v>Cuenca</v>
          </cell>
          <cell r="F2734" t="str">
            <v>909</v>
          </cell>
          <cell r="G2734" t="str">
            <v>2</v>
          </cell>
          <cell r="H2734" t="str">
            <v>Sotorribas</v>
          </cell>
        </row>
        <row r="2735">
          <cell r="D2735" t="str">
            <v>16</v>
          </cell>
          <cell r="E2735" t="str">
            <v>Cuenca</v>
          </cell>
          <cell r="F2735" t="str">
            <v>910</v>
          </cell>
          <cell r="G2735" t="str">
            <v>6</v>
          </cell>
          <cell r="H2735" t="str">
            <v>Villar y Velasco</v>
          </cell>
        </row>
        <row r="2736">
          <cell r="D2736" t="str">
            <v>17</v>
          </cell>
          <cell r="E2736" t="str">
            <v>Girona</v>
          </cell>
          <cell r="F2736" t="str">
            <v>001</v>
          </cell>
          <cell r="G2736" t="str">
            <v>0</v>
          </cell>
          <cell r="H2736" t="str">
            <v>Agullana</v>
          </cell>
        </row>
        <row r="2737">
          <cell r="D2737" t="str">
            <v>17</v>
          </cell>
          <cell r="E2737" t="str">
            <v>Girona</v>
          </cell>
          <cell r="F2737" t="str">
            <v>002</v>
          </cell>
          <cell r="G2737" t="str">
            <v>5</v>
          </cell>
          <cell r="H2737" t="str">
            <v>Aiguaviva</v>
          </cell>
        </row>
        <row r="2738">
          <cell r="D2738" t="str">
            <v>17</v>
          </cell>
          <cell r="E2738" t="str">
            <v>Girona</v>
          </cell>
          <cell r="F2738" t="str">
            <v>003</v>
          </cell>
          <cell r="G2738" t="str">
            <v>1</v>
          </cell>
          <cell r="H2738" t="str">
            <v>Albanyà</v>
          </cell>
        </row>
        <row r="2739">
          <cell r="D2739" t="str">
            <v>17</v>
          </cell>
          <cell r="E2739" t="str">
            <v>Girona</v>
          </cell>
          <cell r="F2739" t="str">
            <v>004</v>
          </cell>
          <cell r="G2739" t="str">
            <v>6</v>
          </cell>
          <cell r="H2739" t="str">
            <v>Albons</v>
          </cell>
        </row>
        <row r="2740">
          <cell r="D2740" t="str">
            <v>17</v>
          </cell>
          <cell r="E2740" t="str">
            <v>Girona</v>
          </cell>
          <cell r="F2740" t="str">
            <v>005</v>
          </cell>
          <cell r="G2740" t="str">
            <v>9</v>
          </cell>
          <cell r="H2740" t="str">
            <v>Far d'Empordà, El</v>
          </cell>
        </row>
        <row r="2741">
          <cell r="D2741" t="str">
            <v>17</v>
          </cell>
          <cell r="E2741" t="str">
            <v>Girona</v>
          </cell>
          <cell r="F2741" t="str">
            <v>006</v>
          </cell>
          <cell r="G2741" t="str">
            <v>2</v>
          </cell>
          <cell r="H2741" t="str">
            <v>Alp</v>
          </cell>
        </row>
        <row r="2742">
          <cell r="D2742" t="str">
            <v>17</v>
          </cell>
          <cell r="E2742" t="str">
            <v>Girona</v>
          </cell>
          <cell r="F2742" t="str">
            <v>007</v>
          </cell>
          <cell r="G2742" t="str">
            <v>8</v>
          </cell>
          <cell r="H2742" t="str">
            <v>Amer</v>
          </cell>
        </row>
        <row r="2743">
          <cell r="D2743" t="str">
            <v>17</v>
          </cell>
          <cell r="E2743" t="str">
            <v>Girona</v>
          </cell>
          <cell r="F2743" t="str">
            <v>008</v>
          </cell>
          <cell r="G2743" t="str">
            <v>4</v>
          </cell>
          <cell r="H2743" t="str">
            <v>Anglès</v>
          </cell>
        </row>
        <row r="2744">
          <cell r="D2744" t="str">
            <v>17</v>
          </cell>
          <cell r="E2744" t="str">
            <v>Girona</v>
          </cell>
          <cell r="F2744" t="str">
            <v>009</v>
          </cell>
          <cell r="G2744" t="str">
            <v>7</v>
          </cell>
          <cell r="H2744" t="str">
            <v>Arbúcies</v>
          </cell>
        </row>
        <row r="2745">
          <cell r="D2745" t="str">
            <v>17</v>
          </cell>
          <cell r="E2745" t="str">
            <v>Girona</v>
          </cell>
          <cell r="F2745" t="str">
            <v>010</v>
          </cell>
          <cell r="G2745" t="str">
            <v>1</v>
          </cell>
          <cell r="H2745" t="str">
            <v>Argelaguer</v>
          </cell>
        </row>
        <row r="2746">
          <cell r="D2746" t="str">
            <v>17</v>
          </cell>
          <cell r="E2746" t="str">
            <v>Girona</v>
          </cell>
          <cell r="F2746" t="str">
            <v>011</v>
          </cell>
          <cell r="G2746" t="str">
            <v>8</v>
          </cell>
          <cell r="H2746" t="str">
            <v>Armentera, L'</v>
          </cell>
        </row>
        <row r="2747">
          <cell r="D2747" t="str">
            <v>17</v>
          </cell>
          <cell r="E2747" t="str">
            <v>Girona</v>
          </cell>
          <cell r="F2747" t="str">
            <v>012</v>
          </cell>
          <cell r="G2747" t="str">
            <v>3</v>
          </cell>
          <cell r="H2747" t="str">
            <v>Avinyonet de Puigventós</v>
          </cell>
        </row>
        <row r="2748">
          <cell r="D2748" t="str">
            <v>17</v>
          </cell>
          <cell r="E2748" t="str">
            <v>Girona</v>
          </cell>
          <cell r="F2748" t="str">
            <v>013</v>
          </cell>
          <cell r="G2748" t="str">
            <v>9</v>
          </cell>
          <cell r="H2748" t="str">
            <v>Begur</v>
          </cell>
        </row>
        <row r="2749">
          <cell r="D2749" t="str">
            <v>17</v>
          </cell>
          <cell r="E2749" t="str">
            <v>Girona</v>
          </cell>
          <cell r="F2749" t="str">
            <v>014</v>
          </cell>
          <cell r="G2749" t="str">
            <v>4</v>
          </cell>
          <cell r="H2749" t="str">
            <v>Vajol, La</v>
          </cell>
        </row>
        <row r="2750">
          <cell r="D2750" t="str">
            <v>17</v>
          </cell>
          <cell r="E2750" t="str">
            <v>Girona</v>
          </cell>
          <cell r="F2750" t="str">
            <v>015</v>
          </cell>
          <cell r="G2750" t="str">
            <v>7</v>
          </cell>
          <cell r="H2750" t="str">
            <v>Banyoles</v>
          </cell>
        </row>
        <row r="2751">
          <cell r="D2751" t="str">
            <v>17</v>
          </cell>
          <cell r="E2751" t="str">
            <v>Girona</v>
          </cell>
          <cell r="F2751" t="str">
            <v>016</v>
          </cell>
          <cell r="G2751" t="str">
            <v>0</v>
          </cell>
          <cell r="H2751" t="str">
            <v>Bàscara</v>
          </cell>
        </row>
        <row r="2752">
          <cell r="D2752" t="str">
            <v>17</v>
          </cell>
          <cell r="E2752" t="str">
            <v>Girona</v>
          </cell>
          <cell r="F2752" t="str">
            <v>018</v>
          </cell>
          <cell r="G2752" t="str">
            <v>2</v>
          </cell>
          <cell r="H2752" t="str">
            <v>Bellcaire d'Empordà</v>
          </cell>
        </row>
        <row r="2753">
          <cell r="D2753" t="str">
            <v>17</v>
          </cell>
          <cell r="E2753" t="str">
            <v>Girona</v>
          </cell>
          <cell r="F2753" t="str">
            <v>019</v>
          </cell>
          <cell r="G2753" t="str">
            <v>5</v>
          </cell>
          <cell r="H2753" t="str">
            <v>Besalú</v>
          </cell>
        </row>
        <row r="2754">
          <cell r="D2754" t="str">
            <v>17</v>
          </cell>
          <cell r="E2754" t="str">
            <v>Girona</v>
          </cell>
          <cell r="F2754" t="str">
            <v>020</v>
          </cell>
          <cell r="G2754" t="str">
            <v>9</v>
          </cell>
          <cell r="H2754" t="str">
            <v>Bescanó</v>
          </cell>
        </row>
        <row r="2755">
          <cell r="D2755" t="str">
            <v>17</v>
          </cell>
          <cell r="E2755" t="str">
            <v>Girona</v>
          </cell>
          <cell r="F2755" t="str">
            <v>021</v>
          </cell>
          <cell r="G2755" t="str">
            <v>6</v>
          </cell>
          <cell r="H2755" t="str">
            <v>Beuda</v>
          </cell>
        </row>
        <row r="2756">
          <cell r="D2756" t="str">
            <v>17</v>
          </cell>
          <cell r="E2756" t="str">
            <v>Girona</v>
          </cell>
          <cell r="F2756" t="str">
            <v>022</v>
          </cell>
          <cell r="G2756" t="str">
            <v>1</v>
          </cell>
          <cell r="H2756" t="str">
            <v>Bisbal d'Empordà, La</v>
          </cell>
        </row>
        <row r="2757">
          <cell r="D2757" t="str">
            <v>17</v>
          </cell>
          <cell r="E2757" t="str">
            <v>Girona</v>
          </cell>
          <cell r="F2757" t="str">
            <v>023</v>
          </cell>
          <cell r="G2757" t="str">
            <v>7</v>
          </cell>
          <cell r="H2757" t="str">
            <v>Blanes</v>
          </cell>
        </row>
        <row r="2758">
          <cell r="D2758" t="str">
            <v>17</v>
          </cell>
          <cell r="E2758" t="str">
            <v>Girona</v>
          </cell>
          <cell r="F2758" t="str">
            <v>024</v>
          </cell>
          <cell r="G2758" t="str">
            <v>2</v>
          </cell>
          <cell r="H2758" t="str">
            <v>Bolvir</v>
          </cell>
        </row>
        <row r="2759">
          <cell r="D2759" t="str">
            <v>17</v>
          </cell>
          <cell r="E2759" t="str">
            <v>Girona</v>
          </cell>
          <cell r="F2759" t="str">
            <v>025</v>
          </cell>
          <cell r="G2759" t="str">
            <v>5</v>
          </cell>
          <cell r="H2759" t="str">
            <v>Bordils</v>
          </cell>
        </row>
        <row r="2760">
          <cell r="D2760" t="str">
            <v>17</v>
          </cell>
          <cell r="E2760" t="str">
            <v>Girona</v>
          </cell>
          <cell r="F2760" t="str">
            <v>026</v>
          </cell>
          <cell r="G2760" t="str">
            <v>8</v>
          </cell>
          <cell r="H2760" t="str">
            <v>Borrassà</v>
          </cell>
        </row>
        <row r="2761">
          <cell r="D2761" t="str">
            <v>17</v>
          </cell>
          <cell r="E2761" t="str">
            <v>Girona</v>
          </cell>
          <cell r="F2761" t="str">
            <v>027</v>
          </cell>
          <cell r="G2761" t="str">
            <v>4</v>
          </cell>
          <cell r="H2761" t="str">
            <v>Breda</v>
          </cell>
        </row>
        <row r="2762">
          <cell r="D2762" t="str">
            <v>17</v>
          </cell>
          <cell r="E2762" t="str">
            <v>Girona</v>
          </cell>
          <cell r="F2762" t="str">
            <v>028</v>
          </cell>
          <cell r="G2762" t="str">
            <v>0</v>
          </cell>
          <cell r="H2762" t="str">
            <v>Brunyola i Sant Martí Sapresa</v>
          </cell>
        </row>
        <row r="2763">
          <cell r="D2763" t="str">
            <v>17</v>
          </cell>
          <cell r="E2763" t="str">
            <v>Girona</v>
          </cell>
          <cell r="F2763" t="str">
            <v>029</v>
          </cell>
          <cell r="G2763" t="str">
            <v>3</v>
          </cell>
          <cell r="H2763" t="str">
            <v>Boadella i les Escaules</v>
          </cell>
        </row>
        <row r="2764">
          <cell r="D2764" t="str">
            <v>17</v>
          </cell>
          <cell r="E2764" t="str">
            <v>Girona</v>
          </cell>
          <cell r="F2764" t="str">
            <v>030</v>
          </cell>
          <cell r="G2764" t="str">
            <v>7</v>
          </cell>
          <cell r="H2764" t="str">
            <v>Cabanes</v>
          </cell>
        </row>
        <row r="2765">
          <cell r="D2765" t="str">
            <v>17</v>
          </cell>
          <cell r="E2765" t="str">
            <v>Girona</v>
          </cell>
          <cell r="F2765" t="str">
            <v>031</v>
          </cell>
          <cell r="G2765" t="str">
            <v>4</v>
          </cell>
          <cell r="H2765" t="str">
            <v>Cabanelles</v>
          </cell>
        </row>
        <row r="2766">
          <cell r="D2766" t="str">
            <v>17</v>
          </cell>
          <cell r="E2766" t="str">
            <v>Girona</v>
          </cell>
          <cell r="F2766" t="str">
            <v>032</v>
          </cell>
          <cell r="G2766" t="str">
            <v>9</v>
          </cell>
          <cell r="H2766" t="str">
            <v>Cadaqués</v>
          </cell>
        </row>
        <row r="2767">
          <cell r="D2767" t="str">
            <v>17</v>
          </cell>
          <cell r="E2767" t="str">
            <v>Girona</v>
          </cell>
          <cell r="F2767" t="str">
            <v>033</v>
          </cell>
          <cell r="G2767" t="str">
            <v>5</v>
          </cell>
          <cell r="H2767" t="str">
            <v>Caldes de Malavella</v>
          </cell>
        </row>
        <row r="2768">
          <cell r="D2768" t="str">
            <v>17</v>
          </cell>
          <cell r="E2768" t="str">
            <v>Girona</v>
          </cell>
          <cell r="F2768" t="str">
            <v>034</v>
          </cell>
          <cell r="G2768" t="str">
            <v>0</v>
          </cell>
          <cell r="H2768" t="str">
            <v>Calonge i Sant Antoni</v>
          </cell>
        </row>
        <row r="2769">
          <cell r="D2769" t="str">
            <v>17</v>
          </cell>
          <cell r="E2769" t="str">
            <v>Girona</v>
          </cell>
          <cell r="F2769" t="str">
            <v>035</v>
          </cell>
          <cell r="G2769" t="str">
            <v>3</v>
          </cell>
          <cell r="H2769" t="str">
            <v>Camós</v>
          </cell>
        </row>
        <row r="2770">
          <cell r="D2770" t="str">
            <v>17</v>
          </cell>
          <cell r="E2770" t="str">
            <v>Girona</v>
          </cell>
          <cell r="F2770" t="str">
            <v>036</v>
          </cell>
          <cell r="G2770" t="str">
            <v>6</v>
          </cell>
          <cell r="H2770" t="str">
            <v>Campdevànol</v>
          </cell>
        </row>
        <row r="2771">
          <cell r="D2771" t="str">
            <v>17</v>
          </cell>
          <cell r="E2771" t="str">
            <v>Girona</v>
          </cell>
          <cell r="F2771" t="str">
            <v>037</v>
          </cell>
          <cell r="G2771" t="str">
            <v>2</v>
          </cell>
          <cell r="H2771" t="str">
            <v>Campelles</v>
          </cell>
        </row>
        <row r="2772">
          <cell r="D2772" t="str">
            <v>17</v>
          </cell>
          <cell r="E2772" t="str">
            <v>Girona</v>
          </cell>
          <cell r="F2772" t="str">
            <v>038</v>
          </cell>
          <cell r="G2772" t="str">
            <v>8</v>
          </cell>
          <cell r="H2772" t="str">
            <v>Campllong</v>
          </cell>
        </row>
        <row r="2773">
          <cell r="D2773" t="str">
            <v>17</v>
          </cell>
          <cell r="E2773" t="str">
            <v>Girona</v>
          </cell>
          <cell r="F2773" t="str">
            <v>039</v>
          </cell>
          <cell r="G2773" t="str">
            <v>1</v>
          </cell>
          <cell r="H2773" t="str">
            <v>Camprodon</v>
          </cell>
        </row>
        <row r="2774">
          <cell r="D2774" t="str">
            <v>17</v>
          </cell>
          <cell r="E2774" t="str">
            <v>Girona</v>
          </cell>
          <cell r="F2774" t="str">
            <v>040</v>
          </cell>
          <cell r="G2774" t="str">
            <v>5</v>
          </cell>
          <cell r="H2774" t="str">
            <v>Canet d'Adri</v>
          </cell>
        </row>
        <row r="2775">
          <cell r="D2775" t="str">
            <v>17</v>
          </cell>
          <cell r="E2775" t="str">
            <v>Girona</v>
          </cell>
          <cell r="F2775" t="str">
            <v>041</v>
          </cell>
          <cell r="G2775" t="str">
            <v>2</v>
          </cell>
          <cell r="H2775" t="str">
            <v>Cantallops</v>
          </cell>
        </row>
        <row r="2776">
          <cell r="D2776" t="str">
            <v>17</v>
          </cell>
          <cell r="E2776" t="str">
            <v>Girona</v>
          </cell>
          <cell r="F2776" t="str">
            <v>042</v>
          </cell>
          <cell r="G2776" t="str">
            <v>7</v>
          </cell>
          <cell r="H2776" t="str">
            <v>Capmany</v>
          </cell>
        </row>
        <row r="2777">
          <cell r="D2777" t="str">
            <v>17</v>
          </cell>
          <cell r="E2777" t="str">
            <v>Girona</v>
          </cell>
          <cell r="F2777" t="str">
            <v>043</v>
          </cell>
          <cell r="G2777" t="str">
            <v>3</v>
          </cell>
          <cell r="H2777" t="str">
            <v>Queralbs</v>
          </cell>
        </row>
        <row r="2778">
          <cell r="D2778" t="str">
            <v>17</v>
          </cell>
          <cell r="E2778" t="str">
            <v>Girona</v>
          </cell>
          <cell r="F2778" t="str">
            <v>044</v>
          </cell>
          <cell r="G2778" t="str">
            <v>8</v>
          </cell>
          <cell r="H2778" t="str">
            <v>Cassà de la Selva</v>
          </cell>
        </row>
        <row r="2779">
          <cell r="D2779" t="str">
            <v>17</v>
          </cell>
          <cell r="E2779" t="str">
            <v>Girona</v>
          </cell>
          <cell r="F2779" t="str">
            <v>046</v>
          </cell>
          <cell r="G2779" t="str">
            <v>4</v>
          </cell>
          <cell r="H2779" t="str">
            <v>Castellfollit de la Roca</v>
          </cell>
        </row>
        <row r="2780">
          <cell r="D2780" t="str">
            <v>17</v>
          </cell>
          <cell r="E2780" t="str">
            <v>Girona</v>
          </cell>
          <cell r="F2780" t="str">
            <v>047</v>
          </cell>
          <cell r="G2780" t="str">
            <v>0</v>
          </cell>
          <cell r="H2780" t="str">
            <v>Castelló d'Empúries</v>
          </cell>
        </row>
        <row r="2781">
          <cell r="D2781" t="str">
            <v>17</v>
          </cell>
          <cell r="E2781" t="str">
            <v>Girona</v>
          </cell>
          <cell r="F2781" t="str">
            <v>048</v>
          </cell>
          <cell r="G2781" t="str">
            <v>6</v>
          </cell>
          <cell r="H2781" t="str">
            <v>Castell d'Aro, Platja d'Aro i s'Agaró</v>
          </cell>
        </row>
        <row r="2782">
          <cell r="D2782" t="str">
            <v>17</v>
          </cell>
          <cell r="E2782" t="str">
            <v>Girona</v>
          </cell>
          <cell r="F2782" t="str">
            <v>049</v>
          </cell>
          <cell r="G2782" t="str">
            <v>9</v>
          </cell>
          <cell r="H2782" t="str">
            <v>Celrà</v>
          </cell>
        </row>
        <row r="2783">
          <cell r="D2783" t="str">
            <v>17</v>
          </cell>
          <cell r="E2783" t="str">
            <v>Girona</v>
          </cell>
          <cell r="F2783" t="str">
            <v>050</v>
          </cell>
          <cell r="G2783" t="str">
            <v>2</v>
          </cell>
          <cell r="H2783" t="str">
            <v>Cervià de Ter</v>
          </cell>
        </row>
        <row r="2784">
          <cell r="D2784" t="str">
            <v>17</v>
          </cell>
          <cell r="E2784" t="str">
            <v>Girona</v>
          </cell>
          <cell r="F2784" t="str">
            <v>051</v>
          </cell>
          <cell r="G2784" t="str">
            <v>9</v>
          </cell>
          <cell r="H2784" t="str">
            <v>Cistella</v>
          </cell>
        </row>
        <row r="2785">
          <cell r="D2785" t="str">
            <v>17</v>
          </cell>
          <cell r="E2785" t="str">
            <v>Girona</v>
          </cell>
          <cell r="F2785" t="str">
            <v>052</v>
          </cell>
          <cell r="G2785" t="str">
            <v>4</v>
          </cell>
          <cell r="H2785" t="str">
            <v>Siurana</v>
          </cell>
        </row>
        <row r="2786">
          <cell r="D2786" t="str">
            <v>17</v>
          </cell>
          <cell r="E2786" t="str">
            <v>Girona</v>
          </cell>
          <cell r="F2786" t="str">
            <v>054</v>
          </cell>
          <cell r="G2786" t="str">
            <v>5</v>
          </cell>
          <cell r="H2786" t="str">
            <v>Colera</v>
          </cell>
        </row>
        <row r="2787">
          <cell r="D2787" t="str">
            <v>17</v>
          </cell>
          <cell r="E2787" t="str">
            <v>Girona</v>
          </cell>
          <cell r="F2787" t="str">
            <v>055</v>
          </cell>
          <cell r="G2787" t="str">
            <v>8</v>
          </cell>
          <cell r="H2787" t="str">
            <v>Colomers</v>
          </cell>
        </row>
        <row r="2788">
          <cell r="D2788" t="str">
            <v>17</v>
          </cell>
          <cell r="E2788" t="str">
            <v>Girona</v>
          </cell>
          <cell r="F2788" t="str">
            <v>056</v>
          </cell>
          <cell r="G2788" t="str">
            <v>1</v>
          </cell>
          <cell r="H2788" t="str">
            <v>Cornellà del Terri</v>
          </cell>
        </row>
        <row r="2789">
          <cell r="D2789" t="str">
            <v>17</v>
          </cell>
          <cell r="E2789" t="str">
            <v>Girona</v>
          </cell>
          <cell r="F2789" t="str">
            <v>057</v>
          </cell>
          <cell r="G2789" t="str">
            <v>7</v>
          </cell>
          <cell r="H2789" t="str">
            <v>Corçà</v>
          </cell>
        </row>
        <row r="2790">
          <cell r="D2790" t="str">
            <v>17</v>
          </cell>
          <cell r="E2790" t="str">
            <v>Girona</v>
          </cell>
          <cell r="F2790" t="str">
            <v>058</v>
          </cell>
          <cell r="G2790" t="str">
            <v>3</v>
          </cell>
          <cell r="H2790" t="str">
            <v>Crespià</v>
          </cell>
        </row>
        <row r="2791">
          <cell r="D2791" t="str">
            <v>17</v>
          </cell>
          <cell r="E2791" t="str">
            <v>Girona</v>
          </cell>
          <cell r="F2791" t="str">
            <v>060</v>
          </cell>
          <cell r="G2791" t="str">
            <v>0</v>
          </cell>
          <cell r="H2791" t="str">
            <v>Darnius</v>
          </cell>
        </row>
        <row r="2792">
          <cell r="D2792" t="str">
            <v>17</v>
          </cell>
          <cell r="E2792" t="str">
            <v>Girona</v>
          </cell>
          <cell r="F2792" t="str">
            <v>061</v>
          </cell>
          <cell r="G2792" t="str">
            <v>7</v>
          </cell>
          <cell r="H2792" t="str">
            <v>Das</v>
          </cell>
        </row>
        <row r="2793">
          <cell r="D2793" t="str">
            <v>17</v>
          </cell>
          <cell r="E2793" t="str">
            <v>Girona</v>
          </cell>
          <cell r="F2793" t="str">
            <v>062</v>
          </cell>
          <cell r="G2793" t="str">
            <v>2</v>
          </cell>
          <cell r="H2793" t="str">
            <v>Escala, L'</v>
          </cell>
        </row>
        <row r="2794">
          <cell r="D2794" t="str">
            <v>17</v>
          </cell>
          <cell r="E2794" t="str">
            <v>Girona</v>
          </cell>
          <cell r="F2794" t="str">
            <v>063</v>
          </cell>
          <cell r="G2794" t="str">
            <v>8</v>
          </cell>
          <cell r="H2794" t="str">
            <v>Espinelves</v>
          </cell>
        </row>
        <row r="2795">
          <cell r="D2795" t="str">
            <v>17</v>
          </cell>
          <cell r="E2795" t="str">
            <v>Girona</v>
          </cell>
          <cell r="F2795" t="str">
            <v>064</v>
          </cell>
          <cell r="G2795" t="str">
            <v>3</v>
          </cell>
          <cell r="H2795" t="str">
            <v>Espolla</v>
          </cell>
        </row>
        <row r="2796">
          <cell r="D2796" t="str">
            <v>17</v>
          </cell>
          <cell r="E2796" t="str">
            <v>Girona</v>
          </cell>
          <cell r="F2796" t="str">
            <v>065</v>
          </cell>
          <cell r="G2796" t="str">
            <v>6</v>
          </cell>
          <cell r="H2796" t="str">
            <v>Esponellà</v>
          </cell>
        </row>
        <row r="2797">
          <cell r="D2797" t="str">
            <v>17</v>
          </cell>
          <cell r="E2797" t="str">
            <v>Girona</v>
          </cell>
          <cell r="F2797" t="str">
            <v>066</v>
          </cell>
          <cell r="G2797" t="str">
            <v>9</v>
          </cell>
          <cell r="H2797" t="str">
            <v>Figueres</v>
          </cell>
        </row>
        <row r="2798">
          <cell r="D2798" t="str">
            <v>17</v>
          </cell>
          <cell r="E2798" t="str">
            <v>Girona</v>
          </cell>
          <cell r="F2798" t="str">
            <v>067</v>
          </cell>
          <cell r="G2798" t="str">
            <v>5</v>
          </cell>
          <cell r="H2798" t="str">
            <v>Flaçà</v>
          </cell>
        </row>
        <row r="2799">
          <cell r="D2799" t="str">
            <v>17</v>
          </cell>
          <cell r="E2799" t="str">
            <v>Girona</v>
          </cell>
          <cell r="F2799" t="str">
            <v>068</v>
          </cell>
          <cell r="G2799" t="str">
            <v>1</v>
          </cell>
          <cell r="H2799" t="str">
            <v>Foixà</v>
          </cell>
        </row>
        <row r="2800">
          <cell r="D2800" t="str">
            <v>17</v>
          </cell>
          <cell r="E2800" t="str">
            <v>Girona</v>
          </cell>
          <cell r="F2800" t="str">
            <v>069</v>
          </cell>
          <cell r="G2800" t="str">
            <v>4</v>
          </cell>
          <cell r="H2800" t="str">
            <v>Fontanals de Cerdanya</v>
          </cell>
        </row>
        <row r="2801">
          <cell r="D2801" t="str">
            <v>17</v>
          </cell>
          <cell r="E2801" t="str">
            <v>Girona</v>
          </cell>
          <cell r="F2801" t="str">
            <v>070</v>
          </cell>
          <cell r="G2801" t="str">
            <v>8</v>
          </cell>
          <cell r="H2801" t="str">
            <v>Fontanilles</v>
          </cell>
        </row>
        <row r="2802">
          <cell r="D2802" t="str">
            <v>17</v>
          </cell>
          <cell r="E2802" t="str">
            <v>Girona</v>
          </cell>
          <cell r="F2802" t="str">
            <v>071</v>
          </cell>
          <cell r="G2802" t="str">
            <v>5</v>
          </cell>
          <cell r="H2802" t="str">
            <v>Fontcoberta</v>
          </cell>
        </row>
        <row r="2803">
          <cell r="D2803" t="str">
            <v>17</v>
          </cell>
          <cell r="E2803" t="str">
            <v>Girona</v>
          </cell>
          <cell r="F2803" t="str">
            <v>073</v>
          </cell>
          <cell r="G2803" t="str">
            <v>6</v>
          </cell>
          <cell r="H2803" t="str">
            <v>Fornells de la Selva</v>
          </cell>
        </row>
        <row r="2804">
          <cell r="D2804" t="str">
            <v>17</v>
          </cell>
          <cell r="E2804" t="str">
            <v>Girona</v>
          </cell>
          <cell r="F2804" t="str">
            <v>074</v>
          </cell>
          <cell r="G2804" t="str">
            <v>1</v>
          </cell>
          <cell r="H2804" t="str">
            <v>Fortià</v>
          </cell>
        </row>
        <row r="2805">
          <cell r="D2805" t="str">
            <v>17</v>
          </cell>
          <cell r="E2805" t="str">
            <v>Girona</v>
          </cell>
          <cell r="F2805" t="str">
            <v>075</v>
          </cell>
          <cell r="G2805" t="str">
            <v>4</v>
          </cell>
          <cell r="H2805" t="str">
            <v>Garrigàs</v>
          </cell>
        </row>
        <row r="2806">
          <cell r="D2806" t="str">
            <v>17</v>
          </cell>
          <cell r="E2806" t="str">
            <v>Girona</v>
          </cell>
          <cell r="F2806" t="str">
            <v>076</v>
          </cell>
          <cell r="G2806" t="str">
            <v>7</v>
          </cell>
          <cell r="H2806" t="str">
            <v>Garrigoles</v>
          </cell>
        </row>
        <row r="2807">
          <cell r="D2807" t="str">
            <v>17</v>
          </cell>
          <cell r="E2807" t="str">
            <v>Girona</v>
          </cell>
          <cell r="F2807" t="str">
            <v>077</v>
          </cell>
          <cell r="G2807" t="str">
            <v>3</v>
          </cell>
          <cell r="H2807" t="str">
            <v>Garriguella</v>
          </cell>
        </row>
        <row r="2808">
          <cell r="D2808" t="str">
            <v>17</v>
          </cell>
          <cell r="E2808" t="str">
            <v>Girona</v>
          </cell>
          <cell r="F2808" t="str">
            <v>078</v>
          </cell>
          <cell r="G2808" t="str">
            <v>9</v>
          </cell>
          <cell r="H2808" t="str">
            <v>Ger</v>
          </cell>
        </row>
        <row r="2809">
          <cell r="D2809" t="str">
            <v>17</v>
          </cell>
          <cell r="E2809" t="str">
            <v>Girona</v>
          </cell>
          <cell r="F2809" t="str">
            <v>079</v>
          </cell>
          <cell r="G2809" t="str">
            <v>2</v>
          </cell>
          <cell r="H2809" t="str">
            <v>Girona</v>
          </cell>
        </row>
        <row r="2810">
          <cell r="D2810" t="str">
            <v>17</v>
          </cell>
          <cell r="E2810" t="str">
            <v>Girona</v>
          </cell>
          <cell r="F2810" t="str">
            <v>080</v>
          </cell>
          <cell r="G2810" t="str">
            <v>6</v>
          </cell>
          <cell r="H2810" t="str">
            <v>Gombrèn</v>
          </cell>
        </row>
        <row r="2811">
          <cell r="D2811" t="str">
            <v>17</v>
          </cell>
          <cell r="E2811" t="str">
            <v>Girona</v>
          </cell>
          <cell r="F2811" t="str">
            <v>081</v>
          </cell>
          <cell r="G2811" t="str">
            <v>3</v>
          </cell>
          <cell r="H2811" t="str">
            <v>Gualta</v>
          </cell>
        </row>
        <row r="2812">
          <cell r="D2812" t="str">
            <v>17</v>
          </cell>
          <cell r="E2812" t="str">
            <v>Girona</v>
          </cell>
          <cell r="F2812" t="str">
            <v>082</v>
          </cell>
          <cell r="G2812" t="str">
            <v>8</v>
          </cell>
          <cell r="H2812" t="str">
            <v>Guils de Cerdanya</v>
          </cell>
        </row>
        <row r="2813">
          <cell r="D2813" t="str">
            <v>17</v>
          </cell>
          <cell r="E2813" t="str">
            <v>Girona</v>
          </cell>
          <cell r="F2813" t="str">
            <v>083</v>
          </cell>
          <cell r="G2813" t="str">
            <v>4</v>
          </cell>
          <cell r="H2813" t="str">
            <v>Hostalric</v>
          </cell>
        </row>
        <row r="2814">
          <cell r="D2814" t="str">
            <v>17</v>
          </cell>
          <cell r="E2814" t="str">
            <v>Girona</v>
          </cell>
          <cell r="F2814" t="str">
            <v>084</v>
          </cell>
          <cell r="G2814" t="str">
            <v>9</v>
          </cell>
          <cell r="H2814" t="str">
            <v>Isòvol</v>
          </cell>
        </row>
        <row r="2815">
          <cell r="D2815" t="str">
            <v>17</v>
          </cell>
          <cell r="E2815" t="str">
            <v>Girona</v>
          </cell>
          <cell r="F2815" t="str">
            <v>085</v>
          </cell>
          <cell r="G2815" t="str">
            <v>2</v>
          </cell>
          <cell r="H2815" t="str">
            <v>Jafre</v>
          </cell>
        </row>
        <row r="2816">
          <cell r="D2816" t="str">
            <v>17</v>
          </cell>
          <cell r="E2816" t="str">
            <v>Girona</v>
          </cell>
          <cell r="F2816" t="str">
            <v>086</v>
          </cell>
          <cell r="G2816" t="str">
            <v>5</v>
          </cell>
          <cell r="H2816" t="str">
            <v>Jonquera, La</v>
          </cell>
        </row>
        <row r="2817">
          <cell r="D2817" t="str">
            <v>17</v>
          </cell>
          <cell r="E2817" t="str">
            <v>Girona</v>
          </cell>
          <cell r="F2817" t="str">
            <v>087</v>
          </cell>
          <cell r="G2817" t="str">
            <v>1</v>
          </cell>
          <cell r="H2817" t="str">
            <v>Juià</v>
          </cell>
        </row>
        <row r="2818">
          <cell r="D2818" t="str">
            <v>17</v>
          </cell>
          <cell r="E2818" t="str">
            <v>Girona</v>
          </cell>
          <cell r="F2818" t="str">
            <v>088</v>
          </cell>
          <cell r="G2818" t="str">
            <v>7</v>
          </cell>
          <cell r="H2818" t="str">
            <v>Lladó</v>
          </cell>
        </row>
        <row r="2819">
          <cell r="D2819" t="str">
            <v>17</v>
          </cell>
          <cell r="E2819" t="str">
            <v>Girona</v>
          </cell>
          <cell r="F2819" t="str">
            <v>089</v>
          </cell>
          <cell r="G2819" t="str">
            <v>0</v>
          </cell>
          <cell r="H2819" t="str">
            <v>Llagostera</v>
          </cell>
        </row>
        <row r="2820">
          <cell r="D2820" t="str">
            <v>17</v>
          </cell>
          <cell r="E2820" t="str">
            <v>Girona</v>
          </cell>
          <cell r="F2820" t="str">
            <v>090</v>
          </cell>
          <cell r="G2820" t="str">
            <v>4</v>
          </cell>
          <cell r="H2820" t="str">
            <v>Llambilles</v>
          </cell>
        </row>
        <row r="2821">
          <cell r="D2821" t="str">
            <v>17</v>
          </cell>
          <cell r="E2821" t="str">
            <v>Girona</v>
          </cell>
          <cell r="F2821" t="str">
            <v>091</v>
          </cell>
          <cell r="G2821" t="str">
            <v>1</v>
          </cell>
          <cell r="H2821" t="str">
            <v>Llanars</v>
          </cell>
        </row>
        <row r="2822">
          <cell r="D2822" t="str">
            <v>17</v>
          </cell>
          <cell r="E2822" t="str">
            <v>Girona</v>
          </cell>
          <cell r="F2822" t="str">
            <v>092</v>
          </cell>
          <cell r="G2822" t="str">
            <v>6</v>
          </cell>
          <cell r="H2822" t="str">
            <v>Llançà</v>
          </cell>
        </row>
        <row r="2823">
          <cell r="D2823" t="str">
            <v>17</v>
          </cell>
          <cell r="E2823" t="str">
            <v>Girona</v>
          </cell>
          <cell r="F2823" t="str">
            <v>093</v>
          </cell>
          <cell r="G2823" t="str">
            <v>2</v>
          </cell>
          <cell r="H2823" t="str">
            <v>Llers</v>
          </cell>
        </row>
        <row r="2824">
          <cell r="D2824" t="str">
            <v>17</v>
          </cell>
          <cell r="E2824" t="str">
            <v>Girona</v>
          </cell>
          <cell r="F2824" t="str">
            <v>094</v>
          </cell>
          <cell r="G2824" t="str">
            <v>7</v>
          </cell>
          <cell r="H2824" t="str">
            <v>Llívia</v>
          </cell>
        </row>
        <row r="2825">
          <cell r="D2825" t="str">
            <v>17</v>
          </cell>
          <cell r="E2825" t="str">
            <v>Girona</v>
          </cell>
          <cell r="F2825" t="str">
            <v>095</v>
          </cell>
          <cell r="G2825" t="str">
            <v>0</v>
          </cell>
          <cell r="H2825" t="str">
            <v>Lloret de Mar</v>
          </cell>
        </row>
        <row r="2826">
          <cell r="D2826" t="str">
            <v>17</v>
          </cell>
          <cell r="E2826" t="str">
            <v>Girona</v>
          </cell>
          <cell r="F2826" t="str">
            <v>096</v>
          </cell>
          <cell r="G2826" t="str">
            <v>3</v>
          </cell>
          <cell r="H2826" t="str">
            <v>Llosses, Les</v>
          </cell>
        </row>
        <row r="2827">
          <cell r="D2827" t="str">
            <v>17</v>
          </cell>
          <cell r="E2827" t="str">
            <v>Girona</v>
          </cell>
          <cell r="F2827" t="str">
            <v>097</v>
          </cell>
          <cell r="G2827" t="str">
            <v>9</v>
          </cell>
          <cell r="H2827" t="str">
            <v>Madremanya</v>
          </cell>
        </row>
        <row r="2828">
          <cell r="D2828" t="str">
            <v>17</v>
          </cell>
          <cell r="E2828" t="str">
            <v>Girona</v>
          </cell>
          <cell r="F2828" t="str">
            <v>098</v>
          </cell>
          <cell r="G2828" t="str">
            <v>5</v>
          </cell>
          <cell r="H2828" t="str">
            <v>Maià de Montcal</v>
          </cell>
        </row>
        <row r="2829">
          <cell r="D2829" t="str">
            <v>17</v>
          </cell>
          <cell r="E2829" t="str">
            <v>Girona</v>
          </cell>
          <cell r="F2829" t="str">
            <v>099</v>
          </cell>
          <cell r="G2829" t="str">
            <v>8</v>
          </cell>
          <cell r="H2829" t="str">
            <v>Meranges</v>
          </cell>
        </row>
        <row r="2830">
          <cell r="D2830" t="str">
            <v>17</v>
          </cell>
          <cell r="E2830" t="str">
            <v>Girona</v>
          </cell>
          <cell r="F2830" t="str">
            <v>100</v>
          </cell>
          <cell r="G2830" t="str">
            <v>2</v>
          </cell>
          <cell r="H2830" t="str">
            <v>Masarac</v>
          </cell>
        </row>
        <row r="2831">
          <cell r="D2831" t="str">
            <v>17</v>
          </cell>
          <cell r="E2831" t="str">
            <v>Girona</v>
          </cell>
          <cell r="F2831" t="str">
            <v>101</v>
          </cell>
          <cell r="G2831" t="str">
            <v>9</v>
          </cell>
          <cell r="H2831" t="str">
            <v>Massanes</v>
          </cell>
        </row>
        <row r="2832">
          <cell r="D2832" t="str">
            <v>17</v>
          </cell>
          <cell r="E2832" t="str">
            <v>Girona</v>
          </cell>
          <cell r="F2832" t="str">
            <v>102</v>
          </cell>
          <cell r="G2832" t="str">
            <v>4</v>
          </cell>
          <cell r="H2832" t="str">
            <v>Maçanet de Cabrenys</v>
          </cell>
        </row>
        <row r="2833">
          <cell r="D2833" t="str">
            <v>17</v>
          </cell>
          <cell r="E2833" t="str">
            <v>Girona</v>
          </cell>
          <cell r="F2833" t="str">
            <v>103</v>
          </cell>
          <cell r="G2833" t="str">
            <v>0</v>
          </cell>
          <cell r="H2833" t="str">
            <v>Maçanet de la Selva</v>
          </cell>
        </row>
        <row r="2834">
          <cell r="D2834" t="str">
            <v>17</v>
          </cell>
          <cell r="E2834" t="str">
            <v>Girona</v>
          </cell>
          <cell r="F2834" t="str">
            <v>105</v>
          </cell>
          <cell r="G2834" t="str">
            <v>8</v>
          </cell>
          <cell r="H2834" t="str">
            <v>Mieres</v>
          </cell>
        </row>
        <row r="2835">
          <cell r="D2835" t="str">
            <v>17</v>
          </cell>
          <cell r="E2835" t="str">
            <v>Girona</v>
          </cell>
          <cell r="F2835" t="str">
            <v>106</v>
          </cell>
          <cell r="G2835" t="str">
            <v>1</v>
          </cell>
          <cell r="H2835" t="str">
            <v>Mollet de Peralada</v>
          </cell>
        </row>
        <row r="2836">
          <cell r="D2836" t="str">
            <v>17</v>
          </cell>
          <cell r="E2836" t="str">
            <v>Girona</v>
          </cell>
          <cell r="F2836" t="str">
            <v>107</v>
          </cell>
          <cell r="G2836" t="str">
            <v>7</v>
          </cell>
          <cell r="H2836" t="str">
            <v>Molló</v>
          </cell>
        </row>
        <row r="2837">
          <cell r="D2837" t="str">
            <v>17</v>
          </cell>
          <cell r="E2837" t="str">
            <v>Girona</v>
          </cell>
          <cell r="F2837" t="str">
            <v>109</v>
          </cell>
          <cell r="G2837" t="str">
            <v>6</v>
          </cell>
          <cell r="H2837" t="str">
            <v>Montagut i Oix</v>
          </cell>
        </row>
        <row r="2838">
          <cell r="D2838" t="str">
            <v>17</v>
          </cell>
          <cell r="E2838" t="str">
            <v>Girona</v>
          </cell>
          <cell r="F2838" t="str">
            <v>110</v>
          </cell>
          <cell r="G2838" t="str">
            <v>0</v>
          </cell>
          <cell r="H2838" t="str">
            <v>Mont-ras</v>
          </cell>
        </row>
        <row r="2839">
          <cell r="D2839" t="str">
            <v>17</v>
          </cell>
          <cell r="E2839" t="str">
            <v>Girona</v>
          </cell>
          <cell r="F2839" t="str">
            <v>111</v>
          </cell>
          <cell r="G2839" t="str">
            <v>7</v>
          </cell>
          <cell r="H2839" t="str">
            <v>Navata</v>
          </cell>
        </row>
        <row r="2840">
          <cell r="D2840" t="str">
            <v>17</v>
          </cell>
          <cell r="E2840" t="str">
            <v>Girona</v>
          </cell>
          <cell r="F2840" t="str">
            <v>112</v>
          </cell>
          <cell r="G2840" t="str">
            <v>2</v>
          </cell>
          <cell r="H2840" t="str">
            <v>Ogassa</v>
          </cell>
        </row>
        <row r="2841">
          <cell r="D2841" t="str">
            <v>17</v>
          </cell>
          <cell r="E2841" t="str">
            <v>Girona</v>
          </cell>
          <cell r="F2841" t="str">
            <v>114</v>
          </cell>
          <cell r="G2841" t="str">
            <v>3</v>
          </cell>
          <cell r="H2841" t="str">
            <v>Olot</v>
          </cell>
        </row>
        <row r="2842">
          <cell r="D2842" t="str">
            <v>17</v>
          </cell>
          <cell r="E2842" t="str">
            <v>Girona</v>
          </cell>
          <cell r="F2842" t="str">
            <v>115</v>
          </cell>
          <cell r="G2842" t="str">
            <v>6</v>
          </cell>
          <cell r="H2842" t="str">
            <v>Ordis</v>
          </cell>
        </row>
        <row r="2843">
          <cell r="D2843" t="str">
            <v>17</v>
          </cell>
          <cell r="E2843" t="str">
            <v>Girona</v>
          </cell>
          <cell r="F2843" t="str">
            <v>116</v>
          </cell>
          <cell r="G2843" t="str">
            <v>9</v>
          </cell>
          <cell r="H2843" t="str">
            <v>Osor</v>
          </cell>
        </row>
        <row r="2844">
          <cell r="D2844" t="str">
            <v>17</v>
          </cell>
          <cell r="E2844" t="str">
            <v>Girona</v>
          </cell>
          <cell r="F2844" t="str">
            <v>117</v>
          </cell>
          <cell r="G2844" t="str">
            <v>5</v>
          </cell>
          <cell r="H2844" t="str">
            <v>Palafrugell</v>
          </cell>
        </row>
        <row r="2845">
          <cell r="D2845" t="str">
            <v>17</v>
          </cell>
          <cell r="E2845" t="str">
            <v>Girona</v>
          </cell>
          <cell r="F2845" t="str">
            <v>118</v>
          </cell>
          <cell r="G2845" t="str">
            <v>1</v>
          </cell>
          <cell r="H2845" t="str">
            <v>Palamós</v>
          </cell>
        </row>
        <row r="2846">
          <cell r="D2846" t="str">
            <v>17</v>
          </cell>
          <cell r="E2846" t="str">
            <v>Girona</v>
          </cell>
          <cell r="F2846" t="str">
            <v>119</v>
          </cell>
          <cell r="G2846" t="str">
            <v>4</v>
          </cell>
          <cell r="H2846" t="str">
            <v>Palau de Santa Eulàlia</v>
          </cell>
        </row>
        <row r="2847">
          <cell r="D2847" t="str">
            <v>17</v>
          </cell>
          <cell r="E2847" t="str">
            <v>Girona</v>
          </cell>
          <cell r="F2847" t="str">
            <v>120</v>
          </cell>
          <cell r="G2847" t="str">
            <v>8</v>
          </cell>
          <cell r="H2847" t="str">
            <v>Palau-saverdera</v>
          </cell>
        </row>
        <row r="2848">
          <cell r="D2848" t="str">
            <v>17</v>
          </cell>
          <cell r="E2848" t="str">
            <v>Girona</v>
          </cell>
          <cell r="F2848" t="str">
            <v>121</v>
          </cell>
          <cell r="G2848" t="str">
            <v>5</v>
          </cell>
          <cell r="H2848" t="str">
            <v>Palau-sator</v>
          </cell>
        </row>
        <row r="2849">
          <cell r="D2849" t="str">
            <v>17</v>
          </cell>
          <cell r="E2849" t="str">
            <v>Girona</v>
          </cell>
          <cell r="F2849" t="str">
            <v>123</v>
          </cell>
          <cell r="G2849" t="str">
            <v>6</v>
          </cell>
          <cell r="H2849" t="str">
            <v>Palol de Revardit</v>
          </cell>
        </row>
        <row r="2850">
          <cell r="D2850" t="str">
            <v>17</v>
          </cell>
          <cell r="E2850" t="str">
            <v>Girona</v>
          </cell>
          <cell r="F2850" t="str">
            <v>124</v>
          </cell>
          <cell r="G2850" t="str">
            <v>1</v>
          </cell>
          <cell r="H2850" t="str">
            <v>Pals</v>
          </cell>
        </row>
        <row r="2851">
          <cell r="D2851" t="str">
            <v>17</v>
          </cell>
          <cell r="E2851" t="str">
            <v>Girona</v>
          </cell>
          <cell r="F2851" t="str">
            <v>125</v>
          </cell>
          <cell r="G2851" t="str">
            <v>4</v>
          </cell>
          <cell r="H2851" t="str">
            <v>Pardines</v>
          </cell>
        </row>
        <row r="2852">
          <cell r="D2852" t="str">
            <v>17</v>
          </cell>
          <cell r="E2852" t="str">
            <v>Girona</v>
          </cell>
          <cell r="F2852" t="str">
            <v>126</v>
          </cell>
          <cell r="G2852" t="str">
            <v>7</v>
          </cell>
          <cell r="H2852" t="str">
            <v>Parlavà</v>
          </cell>
        </row>
        <row r="2853">
          <cell r="D2853" t="str">
            <v>17</v>
          </cell>
          <cell r="E2853" t="str">
            <v>Girona</v>
          </cell>
          <cell r="F2853" t="str">
            <v>128</v>
          </cell>
          <cell r="G2853" t="str">
            <v>9</v>
          </cell>
          <cell r="H2853" t="str">
            <v>Pau</v>
          </cell>
        </row>
        <row r="2854">
          <cell r="D2854" t="str">
            <v>17</v>
          </cell>
          <cell r="E2854" t="str">
            <v>Girona</v>
          </cell>
          <cell r="F2854" t="str">
            <v>129</v>
          </cell>
          <cell r="G2854" t="str">
            <v>2</v>
          </cell>
          <cell r="H2854" t="str">
            <v>Pedret i Marzà</v>
          </cell>
        </row>
        <row r="2855">
          <cell r="D2855" t="str">
            <v>17</v>
          </cell>
          <cell r="E2855" t="str">
            <v>Girona</v>
          </cell>
          <cell r="F2855" t="str">
            <v>130</v>
          </cell>
          <cell r="G2855" t="str">
            <v>6</v>
          </cell>
          <cell r="H2855" t="str">
            <v>Pera, La</v>
          </cell>
        </row>
        <row r="2856">
          <cell r="D2856" t="str">
            <v>17</v>
          </cell>
          <cell r="E2856" t="str">
            <v>Girona</v>
          </cell>
          <cell r="F2856" t="str">
            <v>132</v>
          </cell>
          <cell r="G2856" t="str">
            <v>8</v>
          </cell>
          <cell r="H2856" t="str">
            <v>Peralada</v>
          </cell>
        </row>
        <row r="2857">
          <cell r="D2857" t="str">
            <v>17</v>
          </cell>
          <cell r="E2857" t="str">
            <v>Girona</v>
          </cell>
          <cell r="F2857" t="str">
            <v>133</v>
          </cell>
          <cell r="G2857" t="str">
            <v>4</v>
          </cell>
          <cell r="H2857" t="str">
            <v>Planes d'Hostoles, Les</v>
          </cell>
        </row>
        <row r="2858">
          <cell r="D2858" t="str">
            <v>17</v>
          </cell>
          <cell r="E2858" t="str">
            <v>Girona</v>
          </cell>
          <cell r="F2858" t="str">
            <v>134</v>
          </cell>
          <cell r="G2858" t="str">
            <v>9</v>
          </cell>
          <cell r="H2858" t="str">
            <v>Planoles</v>
          </cell>
        </row>
        <row r="2859">
          <cell r="D2859" t="str">
            <v>17</v>
          </cell>
          <cell r="E2859" t="str">
            <v>Girona</v>
          </cell>
          <cell r="F2859" t="str">
            <v>135</v>
          </cell>
          <cell r="G2859" t="str">
            <v>2</v>
          </cell>
          <cell r="H2859" t="str">
            <v>Pont de Molins</v>
          </cell>
        </row>
        <row r="2860">
          <cell r="D2860" t="str">
            <v>17</v>
          </cell>
          <cell r="E2860" t="str">
            <v>Girona</v>
          </cell>
          <cell r="F2860" t="str">
            <v>136</v>
          </cell>
          <cell r="G2860" t="str">
            <v>5</v>
          </cell>
          <cell r="H2860" t="str">
            <v>Pontós</v>
          </cell>
        </row>
        <row r="2861">
          <cell r="D2861" t="str">
            <v>17</v>
          </cell>
          <cell r="E2861" t="str">
            <v>Girona</v>
          </cell>
          <cell r="F2861" t="str">
            <v>137</v>
          </cell>
          <cell r="G2861" t="str">
            <v>1</v>
          </cell>
          <cell r="H2861" t="str">
            <v>Porqueres</v>
          </cell>
        </row>
        <row r="2862">
          <cell r="D2862" t="str">
            <v>17</v>
          </cell>
          <cell r="E2862" t="str">
            <v>Girona</v>
          </cell>
          <cell r="F2862" t="str">
            <v>138</v>
          </cell>
          <cell r="G2862" t="str">
            <v>7</v>
          </cell>
          <cell r="H2862" t="str">
            <v>Portbou</v>
          </cell>
        </row>
        <row r="2863">
          <cell r="D2863" t="str">
            <v>17</v>
          </cell>
          <cell r="E2863" t="str">
            <v>Girona</v>
          </cell>
          <cell r="F2863" t="str">
            <v>139</v>
          </cell>
          <cell r="G2863" t="str">
            <v>0</v>
          </cell>
          <cell r="H2863" t="str">
            <v>Preses, Les</v>
          </cell>
        </row>
        <row r="2864">
          <cell r="D2864" t="str">
            <v>17</v>
          </cell>
          <cell r="E2864" t="str">
            <v>Girona</v>
          </cell>
          <cell r="F2864" t="str">
            <v>140</v>
          </cell>
          <cell r="G2864" t="str">
            <v>4</v>
          </cell>
          <cell r="H2864" t="str">
            <v>Port de la Selva, El</v>
          </cell>
        </row>
        <row r="2865">
          <cell r="D2865" t="str">
            <v>17</v>
          </cell>
          <cell r="E2865" t="str">
            <v>Girona</v>
          </cell>
          <cell r="F2865" t="str">
            <v>141</v>
          </cell>
          <cell r="G2865" t="str">
            <v>1</v>
          </cell>
          <cell r="H2865" t="str">
            <v>Puigcerdà</v>
          </cell>
        </row>
        <row r="2866">
          <cell r="D2866" t="str">
            <v>17</v>
          </cell>
          <cell r="E2866" t="str">
            <v>Girona</v>
          </cell>
          <cell r="F2866" t="str">
            <v>142</v>
          </cell>
          <cell r="G2866" t="str">
            <v>6</v>
          </cell>
          <cell r="H2866" t="str">
            <v>Quart</v>
          </cell>
        </row>
        <row r="2867">
          <cell r="D2867" t="str">
            <v>17</v>
          </cell>
          <cell r="E2867" t="str">
            <v>Girona</v>
          </cell>
          <cell r="F2867" t="str">
            <v>143</v>
          </cell>
          <cell r="G2867" t="str">
            <v>2</v>
          </cell>
          <cell r="H2867" t="str">
            <v>Rabós</v>
          </cell>
        </row>
        <row r="2868">
          <cell r="D2868" t="str">
            <v>17</v>
          </cell>
          <cell r="E2868" t="str">
            <v>Girona</v>
          </cell>
          <cell r="F2868" t="str">
            <v>144</v>
          </cell>
          <cell r="G2868" t="str">
            <v>7</v>
          </cell>
          <cell r="H2868" t="str">
            <v>Regencós</v>
          </cell>
        </row>
        <row r="2869">
          <cell r="D2869" t="str">
            <v>17</v>
          </cell>
          <cell r="E2869" t="str">
            <v>Girona</v>
          </cell>
          <cell r="F2869" t="str">
            <v>145</v>
          </cell>
          <cell r="G2869" t="str">
            <v>0</v>
          </cell>
          <cell r="H2869" t="str">
            <v>Ribes de Freser</v>
          </cell>
        </row>
        <row r="2870">
          <cell r="D2870" t="str">
            <v>17</v>
          </cell>
          <cell r="E2870" t="str">
            <v>Girona</v>
          </cell>
          <cell r="F2870" t="str">
            <v>146</v>
          </cell>
          <cell r="G2870" t="str">
            <v>3</v>
          </cell>
          <cell r="H2870" t="str">
            <v>Riells i Viabrea</v>
          </cell>
        </row>
        <row r="2871">
          <cell r="D2871" t="str">
            <v>17</v>
          </cell>
          <cell r="E2871" t="str">
            <v>Girona</v>
          </cell>
          <cell r="F2871" t="str">
            <v>147</v>
          </cell>
          <cell r="G2871" t="str">
            <v>9</v>
          </cell>
          <cell r="H2871" t="str">
            <v>Ripoll</v>
          </cell>
        </row>
        <row r="2872">
          <cell r="D2872" t="str">
            <v>17</v>
          </cell>
          <cell r="E2872" t="str">
            <v>Girona</v>
          </cell>
          <cell r="F2872" t="str">
            <v>148</v>
          </cell>
          <cell r="G2872" t="str">
            <v>5</v>
          </cell>
          <cell r="H2872" t="str">
            <v>Riudarenes</v>
          </cell>
        </row>
        <row r="2873">
          <cell r="D2873" t="str">
            <v>17</v>
          </cell>
          <cell r="E2873" t="str">
            <v>Girona</v>
          </cell>
          <cell r="F2873" t="str">
            <v>149</v>
          </cell>
          <cell r="G2873" t="str">
            <v>8</v>
          </cell>
          <cell r="H2873" t="str">
            <v>Riudaura</v>
          </cell>
        </row>
        <row r="2874">
          <cell r="D2874" t="str">
            <v>17</v>
          </cell>
          <cell r="E2874" t="str">
            <v>Girona</v>
          </cell>
          <cell r="F2874" t="str">
            <v>150</v>
          </cell>
          <cell r="G2874" t="str">
            <v>1</v>
          </cell>
          <cell r="H2874" t="str">
            <v>Riudellots de la Selva</v>
          </cell>
        </row>
        <row r="2875">
          <cell r="D2875" t="str">
            <v>17</v>
          </cell>
          <cell r="E2875" t="str">
            <v>Girona</v>
          </cell>
          <cell r="F2875" t="str">
            <v>151</v>
          </cell>
          <cell r="G2875" t="str">
            <v>8</v>
          </cell>
          <cell r="H2875" t="str">
            <v>Riumors</v>
          </cell>
        </row>
        <row r="2876">
          <cell r="D2876" t="str">
            <v>17</v>
          </cell>
          <cell r="E2876" t="str">
            <v>Girona</v>
          </cell>
          <cell r="F2876" t="str">
            <v>152</v>
          </cell>
          <cell r="G2876" t="str">
            <v>3</v>
          </cell>
          <cell r="H2876" t="str">
            <v>Roses</v>
          </cell>
        </row>
        <row r="2877">
          <cell r="D2877" t="str">
            <v>17</v>
          </cell>
          <cell r="E2877" t="str">
            <v>Girona</v>
          </cell>
          <cell r="F2877" t="str">
            <v>153</v>
          </cell>
          <cell r="G2877" t="str">
            <v>9</v>
          </cell>
          <cell r="H2877" t="str">
            <v>Rupià</v>
          </cell>
        </row>
        <row r="2878">
          <cell r="D2878" t="str">
            <v>17</v>
          </cell>
          <cell r="E2878" t="str">
            <v>Girona</v>
          </cell>
          <cell r="F2878" t="str">
            <v>154</v>
          </cell>
          <cell r="G2878" t="str">
            <v>4</v>
          </cell>
          <cell r="H2878" t="str">
            <v>Sales de Llierca</v>
          </cell>
        </row>
        <row r="2879">
          <cell r="D2879" t="str">
            <v>17</v>
          </cell>
          <cell r="E2879" t="str">
            <v>Girona</v>
          </cell>
          <cell r="F2879" t="str">
            <v>155</v>
          </cell>
          <cell r="G2879" t="str">
            <v>7</v>
          </cell>
          <cell r="H2879" t="str">
            <v>Salt</v>
          </cell>
        </row>
        <row r="2880">
          <cell r="D2880" t="str">
            <v>17</v>
          </cell>
          <cell r="E2880" t="str">
            <v>Girona</v>
          </cell>
          <cell r="F2880" t="str">
            <v>157</v>
          </cell>
          <cell r="G2880" t="str">
            <v>6</v>
          </cell>
          <cell r="H2880" t="str">
            <v>Sant Andreu Salou</v>
          </cell>
        </row>
        <row r="2881">
          <cell r="D2881" t="str">
            <v>17</v>
          </cell>
          <cell r="E2881" t="str">
            <v>Girona</v>
          </cell>
          <cell r="F2881" t="str">
            <v>158</v>
          </cell>
          <cell r="G2881" t="str">
            <v>2</v>
          </cell>
          <cell r="H2881" t="str">
            <v>Sant Climent Sescebes</v>
          </cell>
        </row>
        <row r="2882">
          <cell r="D2882" t="str">
            <v>17</v>
          </cell>
          <cell r="E2882" t="str">
            <v>Girona</v>
          </cell>
          <cell r="F2882" t="str">
            <v>159</v>
          </cell>
          <cell r="G2882" t="str">
            <v>5</v>
          </cell>
          <cell r="H2882" t="str">
            <v>Sant Feliu de Buixalleu</v>
          </cell>
        </row>
        <row r="2883">
          <cell r="D2883" t="str">
            <v>17</v>
          </cell>
          <cell r="E2883" t="str">
            <v>Girona</v>
          </cell>
          <cell r="F2883" t="str">
            <v>160</v>
          </cell>
          <cell r="G2883" t="str">
            <v>9</v>
          </cell>
          <cell r="H2883" t="str">
            <v>Sant Feliu de Guíxols</v>
          </cell>
        </row>
        <row r="2884">
          <cell r="D2884" t="str">
            <v>17</v>
          </cell>
          <cell r="E2884" t="str">
            <v>Girona</v>
          </cell>
          <cell r="F2884" t="str">
            <v>161</v>
          </cell>
          <cell r="G2884" t="str">
            <v>6</v>
          </cell>
          <cell r="H2884" t="str">
            <v>Sant Feliu de Pallerols</v>
          </cell>
        </row>
        <row r="2885">
          <cell r="D2885" t="str">
            <v>17</v>
          </cell>
          <cell r="E2885" t="str">
            <v>Girona</v>
          </cell>
          <cell r="F2885" t="str">
            <v>162</v>
          </cell>
          <cell r="G2885" t="str">
            <v>1</v>
          </cell>
          <cell r="H2885" t="str">
            <v>Sant Ferriol</v>
          </cell>
        </row>
        <row r="2886">
          <cell r="D2886" t="str">
            <v>17</v>
          </cell>
          <cell r="E2886" t="str">
            <v>Girona</v>
          </cell>
          <cell r="F2886" t="str">
            <v>163</v>
          </cell>
          <cell r="G2886" t="str">
            <v>7</v>
          </cell>
          <cell r="H2886" t="str">
            <v>Sant Gregori</v>
          </cell>
        </row>
        <row r="2887">
          <cell r="D2887" t="str">
            <v>17</v>
          </cell>
          <cell r="E2887" t="str">
            <v>Girona</v>
          </cell>
          <cell r="F2887" t="str">
            <v>164</v>
          </cell>
          <cell r="G2887" t="str">
            <v>2</v>
          </cell>
          <cell r="H2887" t="str">
            <v>Sant Hilari Sacalm</v>
          </cell>
        </row>
        <row r="2888">
          <cell r="D2888" t="str">
            <v>17</v>
          </cell>
          <cell r="E2888" t="str">
            <v>Girona</v>
          </cell>
          <cell r="F2888" t="str">
            <v>165</v>
          </cell>
          <cell r="G2888" t="str">
            <v>5</v>
          </cell>
          <cell r="H2888" t="str">
            <v>Sant Jaume de Llierca</v>
          </cell>
        </row>
        <row r="2889">
          <cell r="D2889" t="str">
            <v>17</v>
          </cell>
          <cell r="E2889" t="str">
            <v>Girona</v>
          </cell>
          <cell r="F2889" t="str">
            <v>166</v>
          </cell>
          <cell r="G2889" t="str">
            <v>8</v>
          </cell>
          <cell r="H2889" t="str">
            <v>Sant Jordi Desvalls</v>
          </cell>
        </row>
        <row r="2890">
          <cell r="D2890" t="str">
            <v>17</v>
          </cell>
          <cell r="E2890" t="str">
            <v>Girona</v>
          </cell>
          <cell r="F2890" t="str">
            <v>167</v>
          </cell>
          <cell r="G2890" t="str">
            <v>4</v>
          </cell>
          <cell r="H2890" t="str">
            <v>Sant Joan de les Abadesses</v>
          </cell>
        </row>
        <row r="2891">
          <cell r="D2891" t="str">
            <v>17</v>
          </cell>
          <cell r="E2891" t="str">
            <v>Girona</v>
          </cell>
          <cell r="F2891" t="str">
            <v>168</v>
          </cell>
          <cell r="G2891" t="str">
            <v>0</v>
          </cell>
          <cell r="H2891" t="str">
            <v>Sant Joan de Mollet</v>
          </cell>
        </row>
        <row r="2892">
          <cell r="D2892" t="str">
            <v>17</v>
          </cell>
          <cell r="E2892" t="str">
            <v>Girona</v>
          </cell>
          <cell r="F2892" t="str">
            <v>169</v>
          </cell>
          <cell r="G2892" t="str">
            <v>3</v>
          </cell>
          <cell r="H2892" t="str">
            <v>Sant Julià de Ramis</v>
          </cell>
        </row>
        <row r="2893">
          <cell r="D2893" t="str">
            <v>17</v>
          </cell>
          <cell r="E2893" t="str">
            <v>Girona</v>
          </cell>
          <cell r="F2893" t="str">
            <v>170</v>
          </cell>
          <cell r="G2893" t="str">
            <v>7</v>
          </cell>
          <cell r="H2893" t="str">
            <v>Vallfogona de Ripollès</v>
          </cell>
        </row>
        <row r="2894">
          <cell r="D2894" t="str">
            <v>17</v>
          </cell>
          <cell r="E2894" t="str">
            <v>Girona</v>
          </cell>
          <cell r="F2894" t="str">
            <v>171</v>
          </cell>
          <cell r="G2894" t="str">
            <v>4</v>
          </cell>
          <cell r="H2894" t="str">
            <v>Sant Llorenç de la Muga</v>
          </cell>
        </row>
        <row r="2895">
          <cell r="D2895" t="str">
            <v>17</v>
          </cell>
          <cell r="E2895" t="str">
            <v>Girona</v>
          </cell>
          <cell r="F2895" t="str">
            <v>172</v>
          </cell>
          <cell r="G2895" t="str">
            <v>9</v>
          </cell>
          <cell r="H2895" t="str">
            <v>Sant Martí de Llémena</v>
          </cell>
        </row>
        <row r="2896">
          <cell r="D2896" t="str">
            <v>17</v>
          </cell>
          <cell r="E2896" t="str">
            <v>Girona</v>
          </cell>
          <cell r="F2896" t="str">
            <v>173</v>
          </cell>
          <cell r="G2896" t="str">
            <v>5</v>
          </cell>
          <cell r="H2896" t="str">
            <v>Sant Martí Vell</v>
          </cell>
        </row>
        <row r="2897">
          <cell r="D2897" t="str">
            <v>17</v>
          </cell>
          <cell r="E2897" t="str">
            <v>Girona</v>
          </cell>
          <cell r="F2897" t="str">
            <v>174</v>
          </cell>
          <cell r="G2897" t="str">
            <v>0</v>
          </cell>
          <cell r="H2897" t="str">
            <v>Sant Miquel de Campmajor</v>
          </cell>
        </row>
        <row r="2898">
          <cell r="D2898" t="str">
            <v>17</v>
          </cell>
          <cell r="E2898" t="str">
            <v>Girona</v>
          </cell>
          <cell r="F2898" t="str">
            <v>175</v>
          </cell>
          <cell r="G2898" t="str">
            <v>3</v>
          </cell>
          <cell r="H2898" t="str">
            <v>Sant Miquel de Fluvià</v>
          </cell>
        </row>
        <row r="2899">
          <cell r="D2899" t="str">
            <v>17</v>
          </cell>
          <cell r="E2899" t="str">
            <v>Girona</v>
          </cell>
          <cell r="F2899" t="str">
            <v>176</v>
          </cell>
          <cell r="G2899" t="str">
            <v>6</v>
          </cell>
          <cell r="H2899" t="str">
            <v>Sant Mori</v>
          </cell>
        </row>
        <row r="2900">
          <cell r="D2900" t="str">
            <v>17</v>
          </cell>
          <cell r="E2900" t="str">
            <v>Girona</v>
          </cell>
          <cell r="F2900" t="str">
            <v>177</v>
          </cell>
          <cell r="G2900" t="str">
            <v>2</v>
          </cell>
          <cell r="H2900" t="str">
            <v>Sant Pau de Segúries</v>
          </cell>
        </row>
        <row r="2901">
          <cell r="D2901" t="str">
            <v>17</v>
          </cell>
          <cell r="E2901" t="str">
            <v>Girona</v>
          </cell>
          <cell r="F2901" t="str">
            <v>178</v>
          </cell>
          <cell r="G2901" t="str">
            <v>8</v>
          </cell>
          <cell r="H2901" t="str">
            <v>Sant Pere Pescador</v>
          </cell>
        </row>
        <row r="2902">
          <cell r="D2902" t="str">
            <v>17</v>
          </cell>
          <cell r="E2902" t="str">
            <v>Girona</v>
          </cell>
          <cell r="F2902" t="str">
            <v>180</v>
          </cell>
          <cell r="G2902" t="str">
            <v>5</v>
          </cell>
          <cell r="H2902" t="str">
            <v>Santa Coloma de Farners</v>
          </cell>
        </row>
        <row r="2903">
          <cell r="D2903" t="str">
            <v>17</v>
          </cell>
          <cell r="E2903" t="str">
            <v>Girona</v>
          </cell>
          <cell r="F2903" t="str">
            <v>181</v>
          </cell>
          <cell r="G2903" t="str">
            <v>2</v>
          </cell>
          <cell r="H2903" t="str">
            <v>Santa Cristina d'Aro</v>
          </cell>
        </row>
        <row r="2904">
          <cell r="D2904" t="str">
            <v>17</v>
          </cell>
          <cell r="E2904" t="str">
            <v>Girona</v>
          </cell>
          <cell r="F2904" t="str">
            <v>182</v>
          </cell>
          <cell r="G2904" t="str">
            <v>7</v>
          </cell>
          <cell r="H2904" t="str">
            <v>Santa Llogaia d'Àlguema</v>
          </cell>
        </row>
        <row r="2905">
          <cell r="D2905" t="str">
            <v>17</v>
          </cell>
          <cell r="E2905" t="str">
            <v>Girona</v>
          </cell>
          <cell r="F2905" t="str">
            <v>183</v>
          </cell>
          <cell r="G2905" t="str">
            <v>3</v>
          </cell>
          <cell r="H2905" t="str">
            <v>Sant Aniol de Finestres</v>
          </cell>
        </row>
        <row r="2906">
          <cell r="D2906" t="str">
            <v>17</v>
          </cell>
          <cell r="E2906" t="str">
            <v>Girona</v>
          </cell>
          <cell r="F2906" t="str">
            <v>184</v>
          </cell>
          <cell r="G2906" t="str">
            <v>8</v>
          </cell>
          <cell r="H2906" t="str">
            <v>Santa Pau</v>
          </cell>
        </row>
        <row r="2907">
          <cell r="D2907" t="str">
            <v>17</v>
          </cell>
          <cell r="E2907" t="str">
            <v>Girona</v>
          </cell>
          <cell r="F2907" t="str">
            <v>185</v>
          </cell>
          <cell r="G2907" t="str">
            <v>1</v>
          </cell>
          <cell r="H2907" t="str">
            <v>Sant Joan les Fonts</v>
          </cell>
        </row>
        <row r="2908">
          <cell r="D2908" t="str">
            <v>17</v>
          </cell>
          <cell r="E2908" t="str">
            <v>Girona</v>
          </cell>
          <cell r="F2908" t="str">
            <v>186</v>
          </cell>
          <cell r="G2908" t="str">
            <v>4</v>
          </cell>
          <cell r="H2908" t="str">
            <v>Sarrià de Ter</v>
          </cell>
        </row>
        <row r="2909">
          <cell r="D2909" t="str">
            <v>17</v>
          </cell>
          <cell r="E2909" t="str">
            <v>Girona</v>
          </cell>
          <cell r="F2909" t="str">
            <v>187</v>
          </cell>
          <cell r="G2909" t="str">
            <v>0</v>
          </cell>
          <cell r="H2909" t="str">
            <v>Saus, Camallera i Llampaies</v>
          </cell>
        </row>
        <row r="2910">
          <cell r="D2910" t="str">
            <v>17</v>
          </cell>
          <cell r="E2910" t="str">
            <v>Girona</v>
          </cell>
          <cell r="F2910" t="str">
            <v>188</v>
          </cell>
          <cell r="G2910" t="str">
            <v>6</v>
          </cell>
          <cell r="H2910" t="str">
            <v>Selva de Mar, La</v>
          </cell>
        </row>
        <row r="2911">
          <cell r="D2911" t="str">
            <v>17</v>
          </cell>
          <cell r="E2911" t="str">
            <v>Girona</v>
          </cell>
          <cell r="F2911" t="str">
            <v>189</v>
          </cell>
          <cell r="G2911" t="str">
            <v>9</v>
          </cell>
          <cell r="H2911" t="str">
            <v>Cellera de Ter, La</v>
          </cell>
        </row>
        <row r="2912">
          <cell r="D2912" t="str">
            <v>17</v>
          </cell>
          <cell r="E2912" t="str">
            <v>Girona</v>
          </cell>
          <cell r="F2912" t="str">
            <v>190</v>
          </cell>
          <cell r="G2912" t="str">
            <v>3</v>
          </cell>
          <cell r="H2912" t="str">
            <v>Serinyà</v>
          </cell>
        </row>
        <row r="2913">
          <cell r="D2913" t="str">
            <v>17</v>
          </cell>
          <cell r="E2913" t="str">
            <v>Girona</v>
          </cell>
          <cell r="F2913" t="str">
            <v>191</v>
          </cell>
          <cell r="G2913" t="str">
            <v>0</v>
          </cell>
          <cell r="H2913" t="str">
            <v>Serra de Daró</v>
          </cell>
        </row>
        <row r="2914">
          <cell r="D2914" t="str">
            <v>17</v>
          </cell>
          <cell r="E2914" t="str">
            <v>Girona</v>
          </cell>
          <cell r="F2914" t="str">
            <v>192</v>
          </cell>
          <cell r="G2914" t="str">
            <v>5</v>
          </cell>
          <cell r="H2914" t="str">
            <v>Setcases</v>
          </cell>
        </row>
        <row r="2915">
          <cell r="D2915" t="str">
            <v>17</v>
          </cell>
          <cell r="E2915" t="str">
            <v>Girona</v>
          </cell>
          <cell r="F2915" t="str">
            <v>193</v>
          </cell>
          <cell r="G2915" t="str">
            <v>1</v>
          </cell>
          <cell r="H2915" t="str">
            <v>Sils</v>
          </cell>
        </row>
        <row r="2916">
          <cell r="D2916" t="str">
            <v>17</v>
          </cell>
          <cell r="E2916" t="str">
            <v>Girona</v>
          </cell>
          <cell r="F2916" t="str">
            <v>194</v>
          </cell>
          <cell r="G2916" t="str">
            <v>6</v>
          </cell>
          <cell r="H2916" t="str">
            <v>Susqueda</v>
          </cell>
        </row>
        <row r="2917">
          <cell r="D2917" t="str">
            <v>17</v>
          </cell>
          <cell r="E2917" t="str">
            <v>Girona</v>
          </cell>
          <cell r="F2917" t="str">
            <v>195</v>
          </cell>
          <cell r="G2917" t="str">
            <v>9</v>
          </cell>
          <cell r="H2917" t="str">
            <v>Tallada d'Empordà, La</v>
          </cell>
        </row>
        <row r="2918">
          <cell r="D2918" t="str">
            <v>17</v>
          </cell>
          <cell r="E2918" t="str">
            <v>Girona</v>
          </cell>
          <cell r="F2918" t="str">
            <v>196</v>
          </cell>
          <cell r="G2918" t="str">
            <v>2</v>
          </cell>
          <cell r="H2918" t="str">
            <v>Terrades</v>
          </cell>
        </row>
        <row r="2919">
          <cell r="D2919" t="str">
            <v>17</v>
          </cell>
          <cell r="E2919" t="str">
            <v>Girona</v>
          </cell>
          <cell r="F2919" t="str">
            <v>197</v>
          </cell>
          <cell r="G2919" t="str">
            <v>8</v>
          </cell>
          <cell r="H2919" t="str">
            <v>Torrent</v>
          </cell>
        </row>
        <row r="2920">
          <cell r="D2920" t="str">
            <v>17</v>
          </cell>
          <cell r="E2920" t="str">
            <v>Girona</v>
          </cell>
          <cell r="F2920" t="str">
            <v>198</v>
          </cell>
          <cell r="G2920" t="str">
            <v>4</v>
          </cell>
          <cell r="H2920" t="str">
            <v>Torroella de Fluvià</v>
          </cell>
        </row>
        <row r="2921">
          <cell r="D2921" t="str">
            <v>17</v>
          </cell>
          <cell r="E2921" t="str">
            <v>Girona</v>
          </cell>
          <cell r="F2921" t="str">
            <v>199</v>
          </cell>
          <cell r="G2921" t="str">
            <v>7</v>
          </cell>
          <cell r="H2921" t="str">
            <v>Torroella de Montgrí</v>
          </cell>
        </row>
        <row r="2922">
          <cell r="D2922" t="str">
            <v>17</v>
          </cell>
          <cell r="E2922" t="str">
            <v>Girona</v>
          </cell>
          <cell r="F2922" t="str">
            <v>200</v>
          </cell>
          <cell r="G2922" t="str">
            <v>1</v>
          </cell>
          <cell r="H2922" t="str">
            <v>Tortellà</v>
          </cell>
        </row>
        <row r="2923">
          <cell r="D2923" t="str">
            <v>17</v>
          </cell>
          <cell r="E2923" t="str">
            <v>Girona</v>
          </cell>
          <cell r="F2923" t="str">
            <v>201</v>
          </cell>
          <cell r="G2923" t="str">
            <v>8</v>
          </cell>
          <cell r="H2923" t="str">
            <v>Toses</v>
          </cell>
        </row>
        <row r="2924">
          <cell r="D2924" t="str">
            <v>17</v>
          </cell>
          <cell r="E2924" t="str">
            <v>Girona</v>
          </cell>
          <cell r="F2924" t="str">
            <v>202</v>
          </cell>
          <cell r="G2924" t="str">
            <v>3</v>
          </cell>
          <cell r="H2924" t="str">
            <v>Tossa de Mar</v>
          </cell>
        </row>
        <row r="2925">
          <cell r="D2925" t="str">
            <v>17</v>
          </cell>
          <cell r="E2925" t="str">
            <v>Girona</v>
          </cell>
          <cell r="F2925" t="str">
            <v>203</v>
          </cell>
          <cell r="G2925" t="str">
            <v>9</v>
          </cell>
          <cell r="H2925" t="str">
            <v>Ultramort</v>
          </cell>
        </row>
        <row r="2926">
          <cell r="D2926" t="str">
            <v>17</v>
          </cell>
          <cell r="E2926" t="str">
            <v>Girona</v>
          </cell>
          <cell r="F2926" t="str">
            <v>204</v>
          </cell>
          <cell r="G2926" t="str">
            <v>4</v>
          </cell>
          <cell r="H2926" t="str">
            <v>Ullà</v>
          </cell>
        </row>
        <row r="2927">
          <cell r="D2927" t="str">
            <v>17</v>
          </cell>
          <cell r="E2927" t="str">
            <v>Girona</v>
          </cell>
          <cell r="F2927" t="str">
            <v>205</v>
          </cell>
          <cell r="G2927" t="str">
            <v>7</v>
          </cell>
          <cell r="H2927" t="str">
            <v>Ullastret</v>
          </cell>
        </row>
        <row r="2928">
          <cell r="D2928" t="str">
            <v>17</v>
          </cell>
          <cell r="E2928" t="str">
            <v>Girona</v>
          </cell>
          <cell r="F2928" t="str">
            <v>206</v>
          </cell>
          <cell r="G2928" t="str">
            <v>0</v>
          </cell>
          <cell r="H2928" t="str">
            <v>Urús</v>
          </cell>
        </row>
        <row r="2929">
          <cell r="D2929" t="str">
            <v>17</v>
          </cell>
          <cell r="E2929" t="str">
            <v>Girona</v>
          </cell>
          <cell r="F2929" t="str">
            <v>207</v>
          </cell>
          <cell r="G2929" t="str">
            <v>6</v>
          </cell>
          <cell r="H2929" t="str">
            <v>Vall d'en Bas, La</v>
          </cell>
        </row>
        <row r="2930">
          <cell r="D2930" t="str">
            <v>17</v>
          </cell>
          <cell r="E2930" t="str">
            <v>Girona</v>
          </cell>
          <cell r="F2930" t="str">
            <v>208</v>
          </cell>
          <cell r="G2930" t="str">
            <v>2</v>
          </cell>
          <cell r="H2930" t="str">
            <v>Vall de Bianya, La</v>
          </cell>
        </row>
        <row r="2931">
          <cell r="D2931" t="str">
            <v>17</v>
          </cell>
          <cell r="E2931" t="str">
            <v>Girona</v>
          </cell>
          <cell r="F2931" t="str">
            <v>209</v>
          </cell>
          <cell r="G2931" t="str">
            <v>5</v>
          </cell>
          <cell r="H2931" t="str">
            <v>Vall-llobrega</v>
          </cell>
        </row>
        <row r="2932">
          <cell r="D2932" t="str">
            <v>17</v>
          </cell>
          <cell r="E2932" t="str">
            <v>Girona</v>
          </cell>
          <cell r="F2932" t="str">
            <v>210</v>
          </cell>
          <cell r="G2932" t="str">
            <v>9</v>
          </cell>
          <cell r="H2932" t="str">
            <v>Ventalló</v>
          </cell>
        </row>
        <row r="2933">
          <cell r="D2933" t="str">
            <v>17</v>
          </cell>
          <cell r="E2933" t="str">
            <v>Girona</v>
          </cell>
          <cell r="F2933" t="str">
            <v>211</v>
          </cell>
          <cell r="G2933" t="str">
            <v>6</v>
          </cell>
          <cell r="H2933" t="str">
            <v>Verges</v>
          </cell>
        </row>
        <row r="2934">
          <cell r="D2934" t="str">
            <v>17</v>
          </cell>
          <cell r="E2934" t="str">
            <v>Girona</v>
          </cell>
          <cell r="F2934" t="str">
            <v>212</v>
          </cell>
          <cell r="G2934" t="str">
            <v>1</v>
          </cell>
          <cell r="H2934" t="str">
            <v>Vidrà</v>
          </cell>
        </row>
        <row r="2935">
          <cell r="D2935" t="str">
            <v>17</v>
          </cell>
          <cell r="E2935" t="str">
            <v>Girona</v>
          </cell>
          <cell r="F2935" t="str">
            <v>213</v>
          </cell>
          <cell r="G2935" t="str">
            <v>7</v>
          </cell>
          <cell r="H2935" t="str">
            <v>Vidreres</v>
          </cell>
        </row>
        <row r="2936">
          <cell r="D2936" t="str">
            <v>17</v>
          </cell>
          <cell r="E2936" t="str">
            <v>Girona</v>
          </cell>
          <cell r="F2936" t="str">
            <v>214</v>
          </cell>
          <cell r="G2936" t="str">
            <v>2</v>
          </cell>
          <cell r="H2936" t="str">
            <v>Vilabertran</v>
          </cell>
        </row>
        <row r="2937">
          <cell r="D2937" t="str">
            <v>17</v>
          </cell>
          <cell r="E2937" t="str">
            <v>Girona</v>
          </cell>
          <cell r="F2937" t="str">
            <v>215</v>
          </cell>
          <cell r="G2937" t="str">
            <v>5</v>
          </cell>
          <cell r="H2937" t="str">
            <v>Vilablareix</v>
          </cell>
        </row>
        <row r="2938">
          <cell r="D2938" t="str">
            <v>17</v>
          </cell>
          <cell r="E2938" t="str">
            <v>Girona</v>
          </cell>
          <cell r="F2938" t="str">
            <v>216</v>
          </cell>
          <cell r="G2938" t="str">
            <v>8</v>
          </cell>
          <cell r="H2938" t="str">
            <v>Viladasens</v>
          </cell>
        </row>
        <row r="2939">
          <cell r="D2939" t="str">
            <v>17</v>
          </cell>
          <cell r="E2939" t="str">
            <v>Girona</v>
          </cell>
          <cell r="F2939" t="str">
            <v>217</v>
          </cell>
          <cell r="G2939" t="str">
            <v>4</v>
          </cell>
          <cell r="H2939" t="str">
            <v>Viladamat</v>
          </cell>
        </row>
        <row r="2940">
          <cell r="D2940" t="str">
            <v>17</v>
          </cell>
          <cell r="E2940" t="str">
            <v>Girona</v>
          </cell>
          <cell r="F2940" t="str">
            <v>218</v>
          </cell>
          <cell r="G2940" t="str">
            <v>0</v>
          </cell>
          <cell r="H2940" t="str">
            <v>Vilademuls</v>
          </cell>
        </row>
        <row r="2941">
          <cell r="D2941" t="str">
            <v>17</v>
          </cell>
          <cell r="E2941" t="str">
            <v>Girona</v>
          </cell>
          <cell r="F2941" t="str">
            <v>220</v>
          </cell>
          <cell r="G2941" t="str">
            <v>7</v>
          </cell>
          <cell r="H2941" t="str">
            <v>Viladrau</v>
          </cell>
        </row>
        <row r="2942">
          <cell r="D2942" t="str">
            <v>17</v>
          </cell>
          <cell r="E2942" t="str">
            <v>Girona</v>
          </cell>
          <cell r="F2942" t="str">
            <v>221</v>
          </cell>
          <cell r="G2942" t="str">
            <v>4</v>
          </cell>
          <cell r="H2942" t="str">
            <v>Vilafant</v>
          </cell>
        </row>
        <row r="2943">
          <cell r="D2943" t="str">
            <v>17</v>
          </cell>
          <cell r="E2943" t="str">
            <v>Girona</v>
          </cell>
          <cell r="F2943" t="str">
            <v>222</v>
          </cell>
          <cell r="G2943" t="str">
            <v>9</v>
          </cell>
          <cell r="H2943" t="str">
            <v>Vilaür</v>
          </cell>
        </row>
        <row r="2944">
          <cell r="D2944" t="str">
            <v>17</v>
          </cell>
          <cell r="E2944" t="str">
            <v>Girona</v>
          </cell>
          <cell r="F2944" t="str">
            <v>223</v>
          </cell>
          <cell r="G2944" t="str">
            <v>5</v>
          </cell>
          <cell r="H2944" t="str">
            <v>Vilajuïga</v>
          </cell>
        </row>
        <row r="2945">
          <cell r="D2945" t="str">
            <v>17</v>
          </cell>
          <cell r="E2945" t="str">
            <v>Girona</v>
          </cell>
          <cell r="F2945" t="str">
            <v>224</v>
          </cell>
          <cell r="G2945" t="str">
            <v>0</v>
          </cell>
          <cell r="H2945" t="str">
            <v>Vilallonga de Ter</v>
          </cell>
        </row>
        <row r="2946">
          <cell r="D2946" t="str">
            <v>17</v>
          </cell>
          <cell r="E2946" t="str">
            <v>Girona</v>
          </cell>
          <cell r="F2946" t="str">
            <v>225</v>
          </cell>
          <cell r="G2946" t="str">
            <v>3</v>
          </cell>
          <cell r="H2946" t="str">
            <v>Vilamacolum</v>
          </cell>
        </row>
        <row r="2947">
          <cell r="D2947" t="str">
            <v>17</v>
          </cell>
          <cell r="E2947" t="str">
            <v>Girona</v>
          </cell>
          <cell r="F2947" t="str">
            <v>226</v>
          </cell>
          <cell r="G2947" t="str">
            <v>6</v>
          </cell>
          <cell r="H2947" t="str">
            <v>Vilamalla</v>
          </cell>
        </row>
        <row r="2948">
          <cell r="D2948" t="str">
            <v>17</v>
          </cell>
          <cell r="E2948" t="str">
            <v>Girona</v>
          </cell>
          <cell r="F2948" t="str">
            <v>227</v>
          </cell>
          <cell r="G2948" t="str">
            <v>2</v>
          </cell>
          <cell r="H2948" t="str">
            <v>Vilamaniscle</v>
          </cell>
        </row>
        <row r="2949">
          <cell r="D2949" t="str">
            <v>17</v>
          </cell>
          <cell r="E2949" t="str">
            <v>Girona</v>
          </cell>
          <cell r="F2949" t="str">
            <v>228</v>
          </cell>
          <cell r="G2949" t="str">
            <v>8</v>
          </cell>
          <cell r="H2949" t="str">
            <v>Vilanant</v>
          </cell>
        </row>
        <row r="2950">
          <cell r="D2950" t="str">
            <v>17</v>
          </cell>
          <cell r="E2950" t="str">
            <v>Girona</v>
          </cell>
          <cell r="F2950" t="str">
            <v>230</v>
          </cell>
          <cell r="G2950" t="str">
            <v>5</v>
          </cell>
          <cell r="H2950" t="str">
            <v>Vila-sacra</v>
          </cell>
        </row>
        <row r="2951">
          <cell r="D2951" t="str">
            <v>17</v>
          </cell>
          <cell r="E2951" t="str">
            <v>Girona</v>
          </cell>
          <cell r="F2951" t="str">
            <v>232</v>
          </cell>
          <cell r="G2951" t="str">
            <v>7</v>
          </cell>
          <cell r="H2951" t="str">
            <v>Vilopriu</v>
          </cell>
        </row>
        <row r="2952">
          <cell r="D2952" t="str">
            <v>17</v>
          </cell>
          <cell r="E2952" t="str">
            <v>Girona</v>
          </cell>
          <cell r="F2952" t="str">
            <v>233</v>
          </cell>
          <cell r="G2952" t="str">
            <v>3</v>
          </cell>
          <cell r="H2952" t="str">
            <v>Vilobí d'Onyar</v>
          </cell>
        </row>
        <row r="2953">
          <cell r="D2953" t="str">
            <v>17</v>
          </cell>
          <cell r="E2953" t="str">
            <v>Girona</v>
          </cell>
          <cell r="F2953" t="str">
            <v>234</v>
          </cell>
          <cell r="G2953" t="str">
            <v>8</v>
          </cell>
          <cell r="H2953" t="str">
            <v>Biure</v>
          </cell>
        </row>
        <row r="2954">
          <cell r="D2954" t="str">
            <v>17</v>
          </cell>
          <cell r="E2954" t="str">
            <v>Girona</v>
          </cell>
          <cell r="F2954" t="str">
            <v>901</v>
          </cell>
          <cell r="G2954" t="str">
            <v>1</v>
          </cell>
          <cell r="H2954" t="str">
            <v>Cruïlles, Monells i Sant Sadurní de l'Heura</v>
          </cell>
        </row>
        <row r="2955">
          <cell r="D2955" t="str">
            <v>17</v>
          </cell>
          <cell r="E2955" t="str">
            <v>Girona</v>
          </cell>
          <cell r="F2955" t="str">
            <v>902</v>
          </cell>
          <cell r="G2955" t="str">
            <v>6</v>
          </cell>
          <cell r="H2955" t="str">
            <v>Forallac</v>
          </cell>
        </row>
        <row r="2956">
          <cell r="D2956" t="str">
            <v>17</v>
          </cell>
          <cell r="E2956" t="str">
            <v>Girona</v>
          </cell>
          <cell r="F2956" t="str">
            <v>903</v>
          </cell>
          <cell r="G2956" t="str">
            <v>2</v>
          </cell>
          <cell r="H2956" t="str">
            <v>Sant Julià del Llor i Bonmatí</v>
          </cell>
        </row>
        <row r="2957">
          <cell r="D2957" t="str">
            <v>18</v>
          </cell>
          <cell r="E2957" t="str">
            <v>Granada</v>
          </cell>
          <cell r="F2957" t="str">
            <v>001</v>
          </cell>
          <cell r="G2957" t="str">
            <v>6</v>
          </cell>
          <cell r="H2957" t="str">
            <v>Agrón</v>
          </cell>
        </row>
        <row r="2958">
          <cell r="D2958" t="str">
            <v>18</v>
          </cell>
          <cell r="E2958" t="str">
            <v>Granada</v>
          </cell>
          <cell r="F2958" t="str">
            <v>002</v>
          </cell>
          <cell r="G2958" t="str">
            <v>1</v>
          </cell>
          <cell r="H2958" t="str">
            <v>Alamedilla</v>
          </cell>
        </row>
        <row r="2959">
          <cell r="D2959" t="str">
            <v>18</v>
          </cell>
          <cell r="E2959" t="str">
            <v>Granada</v>
          </cell>
          <cell r="F2959" t="str">
            <v>003</v>
          </cell>
          <cell r="G2959" t="str">
            <v>7</v>
          </cell>
          <cell r="H2959" t="str">
            <v>Albolote</v>
          </cell>
        </row>
        <row r="2960">
          <cell r="D2960" t="str">
            <v>18</v>
          </cell>
          <cell r="E2960" t="str">
            <v>Granada</v>
          </cell>
          <cell r="F2960" t="str">
            <v>004</v>
          </cell>
          <cell r="G2960" t="str">
            <v>2</v>
          </cell>
          <cell r="H2960" t="str">
            <v>Albondón</v>
          </cell>
        </row>
        <row r="2961">
          <cell r="D2961" t="str">
            <v>18</v>
          </cell>
          <cell r="E2961" t="str">
            <v>Granada</v>
          </cell>
          <cell r="F2961" t="str">
            <v>005</v>
          </cell>
          <cell r="G2961" t="str">
            <v>5</v>
          </cell>
          <cell r="H2961" t="str">
            <v>Albuñán</v>
          </cell>
        </row>
        <row r="2962">
          <cell r="D2962" t="str">
            <v>18</v>
          </cell>
          <cell r="E2962" t="str">
            <v>Granada</v>
          </cell>
          <cell r="F2962" t="str">
            <v>006</v>
          </cell>
          <cell r="G2962" t="str">
            <v>8</v>
          </cell>
          <cell r="H2962" t="str">
            <v>Albuñol</v>
          </cell>
        </row>
        <row r="2963">
          <cell r="D2963" t="str">
            <v>18</v>
          </cell>
          <cell r="E2963" t="str">
            <v>Granada</v>
          </cell>
          <cell r="F2963" t="str">
            <v>007</v>
          </cell>
          <cell r="G2963" t="str">
            <v>4</v>
          </cell>
          <cell r="H2963" t="str">
            <v>Albuñuelas</v>
          </cell>
        </row>
        <row r="2964">
          <cell r="D2964" t="str">
            <v>18</v>
          </cell>
          <cell r="E2964" t="str">
            <v>Granada</v>
          </cell>
          <cell r="F2964" t="str">
            <v>010</v>
          </cell>
          <cell r="G2964" t="str">
            <v>7</v>
          </cell>
          <cell r="H2964" t="str">
            <v>Aldeire</v>
          </cell>
        </row>
        <row r="2965">
          <cell r="D2965" t="str">
            <v>18</v>
          </cell>
          <cell r="E2965" t="str">
            <v>Granada</v>
          </cell>
          <cell r="F2965" t="str">
            <v>011</v>
          </cell>
          <cell r="G2965" t="str">
            <v>4</v>
          </cell>
          <cell r="H2965" t="str">
            <v>Alfacar</v>
          </cell>
        </row>
        <row r="2966">
          <cell r="D2966" t="str">
            <v>18</v>
          </cell>
          <cell r="E2966" t="str">
            <v>Granada</v>
          </cell>
          <cell r="F2966" t="str">
            <v>012</v>
          </cell>
          <cell r="G2966" t="str">
            <v>9</v>
          </cell>
          <cell r="H2966" t="str">
            <v>Algarinejo</v>
          </cell>
        </row>
        <row r="2967">
          <cell r="D2967" t="str">
            <v>18</v>
          </cell>
          <cell r="E2967" t="str">
            <v>Granada</v>
          </cell>
          <cell r="F2967" t="str">
            <v>013</v>
          </cell>
          <cell r="G2967" t="str">
            <v>5</v>
          </cell>
          <cell r="H2967" t="str">
            <v>Alhama de Granada</v>
          </cell>
        </row>
        <row r="2968">
          <cell r="D2968" t="str">
            <v>18</v>
          </cell>
          <cell r="E2968" t="str">
            <v>Granada</v>
          </cell>
          <cell r="F2968" t="str">
            <v>014</v>
          </cell>
          <cell r="G2968" t="str">
            <v>0</v>
          </cell>
          <cell r="H2968" t="str">
            <v>Alhendín</v>
          </cell>
        </row>
        <row r="2969">
          <cell r="D2969" t="str">
            <v>18</v>
          </cell>
          <cell r="E2969" t="str">
            <v>Granada</v>
          </cell>
          <cell r="F2969" t="str">
            <v>015</v>
          </cell>
          <cell r="G2969" t="str">
            <v>3</v>
          </cell>
          <cell r="H2969" t="str">
            <v>Alicún de Ortega</v>
          </cell>
        </row>
        <row r="2970">
          <cell r="D2970" t="str">
            <v>18</v>
          </cell>
          <cell r="E2970" t="str">
            <v>Granada</v>
          </cell>
          <cell r="F2970" t="str">
            <v>016</v>
          </cell>
          <cell r="G2970" t="str">
            <v>6</v>
          </cell>
          <cell r="H2970" t="str">
            <v>Almegíjar</v>
          </cell>
        </row>
        <row r="2971">
          <cell r="D2971" t="str">
            <v>18</v>
          </cell>
          <cell r="E2971" t="str">
            <v>Granada</v>
          </cell>
          <cell r="F2971" t="str">
            <v>017</v>
          </cell>
          <cell r="G2971" t="str">
            <v>2</v>
          </cell>
          <cell r="H2971" t="str">
            <v>Almuñécar</v>
          </cell>
        </row>
        <row r="2972">
          <cell r="D2972" t="str">
            <v>18</v>
          </cell>
          <cell r="E2972" t="str">
            <v>Granada</v>
          </cell>
          <cell r="F2972" t="str">
            <v>018</v>
          </cell>
          <cell r="G2972" t="str">
            <v>8</v>
          </cell>
          <cell r="H2972" t="str">
            <v>Alquife</v>
          </cell>
        </row>
        <row r="2973">
          <cell r="D2973" t="str">
            <v>18</v>
          </cell>
          <cell r="E2973" t="str">
            <v>Granada</v>
          </cell>
          <cell r="F2973" t="str">
            <v>020</v>
          </cell>
          <cell r="G2973" t="str">
            <v>5</v>
          </cell>
          <cell r="H2973" t="str">
            <v>Arenas del Rey</v>
          </cell>
        </row>
        <row r="2974">
          <cell r="D2974" t="str">
            <v>18</v>
          </cell>
          <cell r="E2974" t="str">
            <v>Granada</v>
          </cell>
          <cell r="F2974" t="str">
            <v>021</v>
          </cell>
          <cell r="G2974" t="str">
            <v>2</v>
          </cell>
          <cell r="H2974" t="str">
            <v>Armilla</v>
          </cell>
        </row>
        <row r="2975">
          <cell r="D2975" t="str">
            <v>18</v>
          </cell>
          <cell r="E2975" t="str">
            <v>Granada</v>
          </cell>
          <cell r="F2975" t="str">
            <v>022</v>
          </cell>
          <cell r="G2975" t="str">
            <v>7</v>
          </cell>
          <cell r="H2975" t="str">
            <v>Atarfe</v>
          </cell>
        </row>
        <row r="2976">
          <cell r="D2976" t="str">
            <v>18</v>
          </cell>
          <cell r="E2976" t="str">
            <v>Granada</v>
          </cell>
          <cell r="F2976" t="str">
            <v>023</v>
          </cell>
          <cell r="G2976" t="str">
            <v>3</v>
          </cell>
          <cell r="H2976" t="str">
            <v>Baza</v>
          </cell>
        </row>
        <row r="2977">
          <cell r="D2977" t="str">
            <v>18</v>
          </cell>
          <cell r="E2977" t="str">
            <v>Granada</v>
          </cell>
          <cell r="F2977" t="str">
            <v>024</v>
          </cell>
          <cell r="G2977" t="str">
            <v>8</v>
          </cell>
          <cell r="H2977" t="str">
            <v>Beas de Granada</v>
          </cell>
        </row>
        <row r="2978">
          <cell r="D2978" t="str">
            <v>18</v>
          </cell>
          <cell r="E2978" t="str">
            <v>Granada</v>
          </cell>
          <cell r="F2978" t="str">
            <v>025</v>
          </cell>
          <cell r="G2978" t="str">
            <v>1</v>
          </cell>
          <cell r="H2978" t="str">
            <v>Beas de Guadix</v>
          </cell>
        </row>
        <row r="2979">
          <cell r="D2979" t="str">
            <v>18</v>
          </cell>
          <cell r="E2979" t="str">
            <v>Granada</v>
          </cell>
          <cell r="F2979" t="str">
            <v>027</v>
          </cell>
          <cell r="G2979" t="str">
            <v>0</v>
          </cell>
          <cell r="H2979" t="str">
            <v>Benalúa</v>
          </cell>
        </row>
        <row r="2980">
          <cell r="D2980" t="str">
            <v>18</v>
          </cell>
          <cell r="E2980" t="str">
            <v>Granada</v>
          </cell>
          <cell r="F2980" t="str">
            <v>028</v>
          </cell>
          <cell r="G2980" t="str">
            <v>6</v>
          </cell>
          <cell r="H2980" t="str">
            <v>Benalúa de las Villas</v>
          </cell>
        </row>
        <row r="2981">
          <cell r="D2981" t="str">
            <v>18</v>
          </cell>
          <cell r="E2981" t="str">
            <v>Granada</v>
          </cell>
          <cell r="F2981" t="str">
            <v>029</v>
          </cell>
          <cell r="G2981" t="str">
            <v>9</v>
          </cell>
          <cell r="H2981" t="str">
            <v>Benamaurel</v>
          </cell>
        </row>
        <row r="2982">
          <cell r="D2982" t="str">
            <v>18</v>
          </cell>
          <cell r="E2982" t="str">
            <v>Granada</v>
          </cell>
          <cell r="F2982" t="str">
            <v>030</v>
          </cell>
          <cell r="G2982" t="str">
            <v>3</v>
          </cell>
          <cell r="H2982" t="str">
            <v>Bérchules</v>
          </cell>
        </row>
        <row r="2983">
          <cell r="D2983" t="str">
            <v>18</v>
          </cell>
          <cell r="E2983" t="str">
            <v>Granada</v>
          </cell>
          <cell r="F2983" t="str">
            <v>032</v>
          </cell>
          <cell r="G2983" t="str">
            <v>5</v>
          </cell>
          <cell r="H2983" t="str">
            <v>Bubión</v>
          </cell>
        </row>
        <row r="2984">
          <cell r="D2984" t="str">
            <v>18</v>
          </cell>
          <cell r="E2984" t="str">
            <v>Granada</v>
          </cell>
          <cell r="F2984" t="str">
            <v>033</v>
          </cell>
          <cell r="G2984" t="str">
            <v>1</v>
          </cell>
          <cell r="H2984" t="str">
            <v>Busquístar</v>
          </cell>
        </row>
        <row r="2985">
          <cell r="D2985" t="str">
            <v>18</v>
          </cell>
          <cell r="E2985" t="str">
            <v>Granada</v>
          </cell>
          <cell r="F2985" t="str">
            <v>034</v>
          </cell>
          <cell r="G2985" t="str">
            <v>6</v>
          </cell>
          <cell r="H2985" t="str">
            <v>Cacín</v>
          </cell>
        </row>
        <row r="2986">
          <cell r="D2986" t="str">
            <v>18</v>
          </cell>
          <cell r="E2986" t="str">
            <v>Granada</v>
          </cell>
          <cell r="F2986" t="str">
            <v>035</v>
          </cell>
          <cell r="G2986" t="str">
            <v>9</v>
          </cell>
          <cell r="H2986" t="str">
            <v>Cádiar</v>
          </cell>
        </row>
        <row r="2987">
          <cell r="D2987" t="str">
            <v>18</v>
          </cell>
          <cell r="E2987" t="str">
            <v>Granada</v>
          </cell>
          <cell r="F2987" t="str">
            <v>036</v>
          </cell>
          <cell r="G2987" t="str">
            <v>2</v>
          </cell>
          <cell r="H2987" t="str">
            <v>Cájar</v>
          </cell>
        </row>
        <row r="2988">
          <cell r="D2988" t="str">
            <v>18</v>
          </cell>
          <cell r="E2988" t="str">
            <v>Granada</v>
          </cell>
          <cell r="F2988" t="str">
            <v>037</v>
          </cell>
          <cell r="G2988" t="str">
            <v>8</v>
          </cell>
          <cell r="H2988" t="str">
            <v>Calicasas</v>
          </cell>
        </row>
        <row r="2989">
          <cell r="D2989" t="str">
            <v>18</v>
          </cell>
          <cell r="E2989" t="str">
            <v>Granada</v>
          </cell>
          <cell r="F2989" t="str">
            <v>038</v>
          </cell>
          <cell r="G2989" t="str">
            <v>4</v>
          </cell>
          <cell r="H2989" t="str">
            <v>Campotéjar</v>
          </cell>
        </row>
        <row r="2990">
          <cell r="D2990" t="str">
            <v>18</v>
          </cell>
          <cell r="E2990" t="str">
            <v>Granada</v>
          </cell>
          <cell r="F2990" t="str">
            <v>039</v>
          </cell>
          <cell r="G2990" t="str">
            <v>7</v>
          </cell>
          <cell r="H2990" t="str">
            <v>Caniles</v>
          </cell>
        </row>
        <row r="2991">
          <cell r="D2991" t="str">
            <v>18</v>
          </cell>
          <cell r="E2991" t="str">
            <v>Granada</v>
          </cell>
          <cell r="F2991" t="str">
            <v>040</v>
          </cell>
          <cell r="G2991" t="str">
            <v>1</v>
          </cell>
          <cell r="H2991" t="str">
            <v>Cáñar</v>
          </cell>
        </row>
        <row r="2992">
          <cell r="D2992" t="str">
            <v>18</v>
          </cell>
          <cell r="E2992" t="str">
            <v>Granada</v>
          </cell>
          <cell r="F2992" t="str">
            <v>042</v>
          </cell>
          <cell r="G2992" t="str">
            <v>3</v>
          </cell>
          <cell r="H2992" t="str">
            <v>Capileira</v>
          </cell>
        </row>
        <row r="2993">
          <cell r="D2993" t="str">
            <v>18</v>
          </cell>
          <cell r="E2993" t="str">
            <v>Granada</v>
          </cell>
          <cell r="F2993" t="str">
            <v>043</v>
          </cell>
          <cell r="G2993" t="str">
            <v>9</v>
          </cell>
          <cell r="H2993" t="str">
            <v>Carataunas</v>
          </cell>
        </row>
        <row r="2994">
          <cell r="D2994" t="str">
            <v>18</v>
          </cell>
          <cell r="E2994" t="str">
            <v>Granada</v>
          </cell>
          <cell r="F2994" t="str">
            <v>044</v>
          </cell>
          <cell r="G2994" t="str">
            <v>4</v>
          </cell>
          <cell r="H2994" t="str">
            <v>Cástaras</v>
          </cell>
        </row>
        <row r="2995">
          <cell r="D2995" t="str">
            <v>18</v>
          </cell>
          <cell r="E2995" t="str">
            <v>Granada</v>
          </cell>
          <cell r="F2995" t="str">
            <v>045</v>
          </cell>
          <cell r="G2995" t="str">
            <v>7</v>
          </cell>
          <cell r="H2995" t="str">
            <v>Castilléjar</v>
          </cell>
        </row>
        <row r="2996">
          <cell r="D2996" t="str">
            <v>18</v>
          </cell>
          <cell r="E2996" t="str">
            <v>Granada</v>
          </cell>
          <cell r="F2996" t="str">
            <v>046</v>
          </cell>
          <cell r="G2996" t="str">
            <v>0</v>
          </cell>
          <cell r="H2996" t="str">
            <v>Castril</v>
          </cell>
        </row>
        <row r="2997">
          <cell r="D2997" t="str">
            <v>18</v>
          </cell>
          <cell r="E2997" t="str">
            <v>Granada</v>
          </cell>
          <cell r="F2997" t="str">
            <v>047</v>
          </cell>
          <cell r="G2997" t="str">
            <v>6</v>
          </cell>
          <cell r="H2997" t="str">
            <v>Cenes de la Vega</v>
          </cell>
        </row>
        <row r="2998">
          <cell r="D2998" t="str">
            <v>18</v>
          </cell>
          <cell r="E2998" t="str">
            <v>Granada</v>
          </cell>
          <cell r="F2998" t="str">
            <v>048</v>
          </cell>
          <cell r="G2998" t="str">
            <v>2</v>
          </cell>
          <cell r="H2998" t="str">
            <v>Cijuela</v>
          </cell>
        </row>
        <row r="2999">
          <cell r="D2999" t="str">
            <v>18</v>
          </cell>
          <cell r="E2999" t="str">
            <v>Granada</v>
          </cell>
          <cell r="F2999" t="str">
            <v>049</v>
          </cell>
          <cell r="G2999" t="str">
            <v>5</v>
          </cell>
          <cell r="H2999" t="str">
            <v>Cogollos de Guadix</v>
          </cell>
        </row>
        <row r="3000">
          <cell r="D3000" t="str">
            <v>18</v>
          </cell>
          <cell r="E3000" t="str">
            <v>Granada</v>
          </cell>
          <cell r="F3000" t="str">
            <v>050</v>
          </cell>
          <cell r="G3000" t="str">
            <v>8</v>
          </cell>
          <cell r="H3000" t="str">
            <v>Cogollos de la Vega</v>
          </cell>
        </row>
        <row r="3001">
          <cell r="D3001" t="str">
            <v>18</v>
          </cell>
          <cell r="E3001" t="str">
            <v>Granada</v>
          </cell>
          <cell r="F3001" t="str">
            <v>051</v>
          </cell>
          <cell r="G3001" t="str">
            <v>5</v>
          </cell>
          <cell r="H3001" t="str">
            <v>Colomera</v>
          </cell>
        </row>
        <row r="3002">
          <cell r="D3002" t="str">
            <v>18</v>
          </cell>
          <cell r="E3002" t="str">
            <v>Granada</v>
          </cell>
          <cell r="F3002" t="str">
            <v>053</v>
          </cell>
          <cell r="G3002" t="str">
            <v>6</v>
          </cell>
          <cell r="H3002" t="str">
            <v>Cortes de Baza</v>
          </cell>
        </row>
        <row r="3003">
          <cell r="D3003" t="str">
            <v>18</v>
          </cell>
          <cell r="E3003" t="str">
            <v>Granada</v>
          </cell>
          <cell r="F3003" t="str">
            <v>054</v>
          </cell>
          <cell r="G3003" t="str">
            <v>1</v>
          </cell>
          <cell r="H3003" t="str">
            <v>Cortes y Graena</v>
          </cell>
        </row>
        <row r="3004">
          <cell r="D3004" t="str">
            <v>18</v>
          </cell>
          <cell r="E3004" t="str">
            <v>Granada</v>
          </cell>
          <cell r="F3004" t="str">
            <v>056</v>
          </cell>
          <cell r="G3004" t="str">
            <v>7</v>
          </cell>
          <cell r="H3004" t="str">
            <v>Cúllar</v>
          </cell>
        </row>
        <row r="3005">
          <cell r="D3005" t="str">
            <v>18</v>
          </cell>
          <cell r="E3005" t="str">
            <v>Granada</v>
          </cell>
          <cell r="F3005" t="str">
            <v>057</v>
          </cell>
          <cell r="G3005" t="str">
            <v>3</v>
          </cell>
          <cell r="H3005" t="str">
            <v>Cúllar Vega</v>
          </cell>
        </row>
        <row r="3006">
          <cell r="D3006" t="str">
            <v>18</v>
          </cell>
          <cell r="E3006" t="str">
            <v>Granada</v>
          </cell>
          <cell r="F3006" t="str">
            <v>059</v>
          </cell>
          <cell r="G3006" t="str">
            <v>2</v>
          </cell>
          <cell r="H3006" t="str">
            <v>Chauchina</v>
          </cell>
        </row>
        <row r="3007">
          <cell r="D3007" t="str">
            <v>18</v>
          </cell>
          <cell r="E3007" t="str">
            <v>Granada</v>
          </cell>
          <cell r="F3007" t="str">
            <v>061</v>
          </cell>
          <cell r="G3007" t="str">
            <v>3</v>
          </cell>
          <cell r="H3007" t="str">
            <v>Chimeneas</v>
          </cell>
        </row>
        <row r="3008">
          <cell r="D3008" t="str">
            <v>18</v>
          </cell>
          <cell r="E3008" t="str">
            <v>Granada</v>
          </cell>
          <cell r="F3008" t="str">
            <v>062</v>
          </cell>
          <cell r="G3008" t="str">
            <v>8</v>
          </cell>
          <cell r="H3008" t="str">
            <v>Churriana de la Vega</v>
          </cell>
        </row>
        <row r="3009">
          <cell r="D3009" t="str">
            <v>18</v>
          </cell>
          <cell r="E3009" t="str">
            <v>Granada</v>
          </cell>
          <cell r="F3009" t="str">
            <v>063</v>
          </cell>
          <cell r="G3009" t="str">
            <v>4</v>
          </cell>
          <cell r="H3009" t="str">
            <v>Darro</v>
          </cell>
        </row>
        <row r="3010">
          <cell r="D3010" t="str">
            <v>18</v>
          </cell>
          <cell r="E3010" t="str">
            <v>Granada</v>
          </cell>
          <cell r="F3010" t="str">
            <v>064</v>
          </cell>
          <cell r="G3010" t="str">
            <v>9</v>
          </cell>
          <cell r="H3010" t="str">
            <v>Dehesas de Guadix</v>
          </cell>
        </row>
        <row r="3011">
          <cell r="D3011" t="str">
            <v>18</v>
          </cell>
          <cell r="E3011" t="str">
            <v>Granada</v>
          </cell>
          <cell r="F3011" t="str">
            <v>065</v>
          </cell>
          <cell r="G3011">
            <v>2</v>
          </cell>
          <cell r="H3011" t="str">
            <v>Dehesas Viejas</v>
          </cell>
        </row>
        <row r="3012">
          <cell r="D3012" t="str">
            <v>18</v>
          </cell>
          <cell r="E3012" t="str">
            <v>Granada</v>
          </cell>
          <cell r="F3012" t="str">
            <v>066</v>
          </cell>
          <cell r="G3012" t="str">
            <v>5</v>
          </cell>
          <cell r="H3012" t="str">
            <v>Deifontes</v>
          </cell>
        </row>
        <row r="3013">
          <cell r="D3013" t="str">
            <v>18</v>
          </cell>
          <cell r="E3013" t="str">
            <v>Granada</v>
          </cell>
          <cell r="F3013" t="str">
            <v>067</v>
          </cell>
          <cell r="G3013" t="str">
            <v>1</v>
          </cell>
          <cell r="H3013" t="str">
            <v>Diezma</v>
          </cell>
        </row>
        <row r="3014">
          <cell r="D3014" t="str">
            <v>18</v>
          </cell>
          <cell r="E3014" t="str">
            <v>Granada</v>
          </cell>
          <cell r="F3014" t="str">
            <v>068</v>
          </cell>
          <cell r="G3014" t="str">
            <v>7</v>
          </cell>
          <cell r="H3014" t="str">
            <v>Dílar</v>
          </cell>
        </row>
        <row r="3015">
          <cell r="D3015" t="str">
            <v>18</v>
          </cell>
          <cell r="E3015" t="str">
            <v>Granada</v>
          </cell>
          <cell r="F3015" t="str">
            <v>069</v>
          </cell>
          <cell r="G3015" t="str">
            <v>0</v>
          </cell>
          <cell r="H3015" t="str">
            <v>Dólar</v>
          </cell>
        </row>
        <row r="3016">
          <cell r="D3016" t="str">
            <v>18</v>
          </cell>
          <cell r="E3016" t="str">
            <v>Granada</v>
          </cell>
          <cell r="F3016" t="str">
            <v>070</v>
          </cell>
          <cell r="G3016" t="str">
            <v>4</v>
          </cell>
          <cell r="H3016" t="str">
            <v>Dúdar</v>
          </cell>
        </row>
        <row r="3017">
          <cell r="D3017" t="str">
            <v>18</v>
          </cell>
          <cell r="E3017" t="str">
            <v>Granada</v>
          </cell>
          <cell r="F3017" t="str">
            <v>071</v>
          </cell>
          <cell r="G3017" t="str">
            <v>1</v>
          </cell>
          <cell r="H3017" t="str">
            <v>Dúrcal</v>
          </cell>
        </row>
        <row r="3018">
          <cell r="D3018" t="str">
            <v>18</v>
          </cell>
          <cell r="E3018" t="str">
            <v>Granada</v>
          </cell>
          <cell r="F3018" t="str">
            <v>072</v>
          </cell>
          <cell r="G3018" t="str">
            <v>6</v>
          </cell>
          <cell r="H3018" t="str">
            <v>Escúzar</v>
          </cell>
        </row>
        <row r="3019">
          <cell r="D3019" t="str">
            <v>18</v>
          </cell>
          <cell r="E3019" t="str">
            <v>Granada</v>
          </cell>
          <cell r="F3019" t="str">
            <v>074</v>
          </cell>
          <cell r="G3019" t="str">
            <v>7</v>
          </cell>
          <cell r="H3019" t="str">
            <v>Ferreira</v>
          </cell>
        </row>
        <row r="3020">
          <cell r="D3020" t="str">
            <v>18</v>
          </cell>
          <cell r="E3020" t="str">
            <v>Granada</v>
          </cell>
          <cell r="F3020" t="str">
            <v>076</v>
          </cell>
          <cell r="G3020" t="str">
            <v>3</v>
          </cell>
          <cell r="H3020" t="str">
            <v>Fonelas</v>
          </cell>
        </row>
        <row r="3021">
          <cell r="D3021" t="str">
            <v>18</v>
          </cell>
          <cell r="E3021" t="str">
            <v>Granada</v>
          </cell>
          <cell r="F3021" t="str">
            <v>077</v>
          </cell>
          <cell r="G3021" t="str">
            <v>9</v>
          </cell>
          <cell r="H3021" t="str">
            <v>Fornes</v>
          </cell>
        </row>
        <row r="3022">
          <cell r="D3022" t="str">
            <v>18</v>
          </cell>
          <cell r="E3022" t="str">
            <v>Granada</v>
          </cell>
          <cell r="F3022" t="str">
            <v>078</v>
          </cell>
          <cell r="G3022" t="str">
            <v>5</v>
          </cell>
          <cell r="H3022" t="str">
            <v>Freila</v>
          </cell>
        </row>
        <row r="3023">
          <cell r="D3023" t="str">
            <v>18</v>
          </cell>
          <cell r="E3023" t="str">
            <v>Granada</v>
          </cell>
          <cell r="F3023" t="str">
            <v>079</v>
          </cell>
          <cell r="G3023" t="str">
            <v>8</v>
          </cell>
          <cell r="H3023" t="str">
            <v>Fuente Vaqueros</v>
          </cell>
        </row>
        <row r="3024">
          <cell r="D3024" t="str">
            <v>18</v>
          </cell>
          <cell r="E3024" t="str">
            <v>Granada</v>
          </cell>
          <cell r="F3024" t="str">
            <v>082</v>
          </cell>
          <cell r="G3024" t="str">
            <v>4</v>
          </cell>
          <cell r="H3024" t="str">
            <v>Galera</v>
          </cell>
        </row>
        <row r="3025">
          <cell r="D3025" t="str">
            <v>18</v>
          </cell>
          <cell r="E3025" t="str">
            <v>Granada</v>
          </cell>
          <cell r="F3025" t="str">
            <v>083</v>
          </cell>
          <cell r="G3025" t="str">
            <v>0</v>
          </cell>
          <cell r="H3025" t="str">
            <v>Gobernador</v>
          </cell>
        </row>
        <row r="3026">
          <cell r="D3026" t="str">
            <v>18</v>
          </cell>
          <cell r="E3026" t="str">
            <v>Granada</v>
          </cell>
          <cell r="F3026" t="str">
            <v>084</v>
          </cell>
          <cell r="G3026" t="str">
            <v>5</v>
          </cell>
          <cell r="H3026" t="str">
            <v>Gójar</v>
          </cell>
        </row>
        <row r="3027">
          <cell r="D3027" t="str">
            <v>18</v>
          </cell>
          <cell r="E3027" t="str">
            <v>Granada</v>
          </cell>
          <cell r="F3027" t="str">
            <v>085</v>
          </cell>
          <cell r="G3027" t="str">
            <v>8</v>
          </cell>
          <cell r="H3027" t="str">
            <v>Gor</v>
          </cell>
        </row>
        <row r="3028">
          <cell r="D3028" t="str">
            <v>18</v>
          </cell>
          <cell r="E3028" t="str">
            <v>Granada</v>
          </cell>
          <cell r="F3028" t="str">
            <v>086</v>
          </cell>
          <cell r="G3028" t="str">
            <v>1</v>
          </cell>
          <cell r="H3028" t="str">
            <v>Gorafe</v>
          </cell>
        </row>
        <row r="3029">
          <cell r="D3029" t="str">
            <v>18</v>
          </cell>
          <cell r="E3029" t="str">
            <v>Granada</v>
          </cell>
          <cell r="F3029" t="str">
            <v>087</v>
          </cell>
          <cell r="G3029" t="str">
            <v>7</v>
          </cell>
          <cell r="H3029" t="str">
            <v>Granada</v>
          </cell>
        </row>
        <row r="3030">
          <cell r="D3030" t="str">
            <v>18</v>
          </cell>
          <cell r="E3030" t="str">
            <v>Granada</v>
          </cell>
          <cell r="F3030" t="str">
            <v>088</v>
          </cell>
          <cell r="G3030" t="str">
            <v>3</v>
          </cell>
          <cell r="H3030" t="str">
            <v>Guadahortuna</v>
          </cell>
        </row>
        <row r="3031">
          <cell r="D3031" t="str">
            <v>18</v>
          </cell>
          <cell r="E3031" t="str">
            <v>Granada</v>
          </cell>
          <cell r="F3031" t="str">
            <v>089</v>
          </cell>
          <cell r="G3031" t="str">
            <v>6</v>
          </cell>
          <cell r="H3031" t="str">
            <v>Guadix</v>
          </cell>
        </row>
        <row r="3032">
          <cell r="D3032" t="str">
            <v>18</v>
          </cell>
          <cell r="E3032" t="str">
            <v>Granada</v>
          </cell>
          <cell r="F3032" t="str">
            <v>093</v>
          </cell>
          <cell r="G3032" t="str">
            <v>8</v>
          </cell>
          <cell r="H3032" t="str">
            <v>Gualchos</v>
          </cell>
        </row>
        <row r="3033">
          <cell r="D3033" t="str">
            <v>18</v>
          </cell>
          <cell r="E3033" t="str">
            <v>Granada</v>
          </cell>
          <cell r="F3033" t="str">
            <v>094</v>
          </cell>
          <cell r="G3033" t="str">
            <v>3</v>
          </cell>
          <cell r="H3033" t="str">
            <v>Güéjar Sierra</v>
          </cell>
        </row>
        <row r="3034">
          <cell r="D3034" t="str">
            <v>18</v>
          </cell>
          <cell r="E3034" t="str">
            <v>Granada</v>
          </cell>
          <cell r="F3034" t="str">
            <v>095</v>
          </cell>
          <cell r="G3034" t="str">
            <v>6</v>
          </cell>
          <cell r="H3034" t="str">
            <v>Güevéjar</v>
          </cell>
        </row>
        <row r="3035">
          <cell r="D3035" t="str">
            <v>18</v>
          </cell>
          <cell r="E3035" t="str">
            <v>Granada</v>
          </cell>
          <cell r="F3035" t="str">
            <v>096</v>
          </cell>
          <cell r="G3035" t="str">
            <v>9</v>
          </cell>
          <cell r="H3035" t="str">
            <v>Huélago</v>
          </cell>
        </row>
        <row r="3036">
          <cell r="D3036" t="str">
            <v>18</v>
          </cell>
          <cell r="E3036" t="str">
            <v>Granada</v>
          </cell>
          <cell r="F3036" t="str">
            <v>097</v>
          </cell>
          <cell r="G3036" t="str">
            <v>5</v>
          </cell>
          <cell r="H3036" t="str">
            <v>Huéneja</v>
          </cell>
        </row>
        <row r="3037">
          <cell r="D3037" t="str">
            <v>18</v>
          </cell>
          <cell r="E3037" t="str">
            <v>Granada</v>
          </cell>
          <cell r="F3037" t="str">
            <v>098</v>
          </cell>
          <cell r="G3037" t="str">
            <v>1</v>
          </cell>
          <cell r="H3037" t="str">
            <v>Huéscar</v>
          </cell>
        </row>
        <row r="3038">
          <cell r="D3038" t="str">
            <v>18</v>
          </cell>
          <cell r="E3038" t="str">
            <v>Granada</v>
          </cell>
          <cell r="F3038" t="str">
            <v>099</v>
          </cell>
          <cell r="G3038" t="str">
            <v>4</v>
          </cell>
          <cell r="H3038" t="str">
            <v>Huétor de Santillán</v>
          </cell>
        </row>
        <row r="3039">
          <cell r="D3039" t="str">
            <v>18</v>
          </cell>
          <cell r="E3039" t="str">
            <v>Granada</v>
          </cell>
          <cell r="F3039" t="str">
            <v>100</v>
          </cell>
          <cell r="G3039" t="str">
            <v>8</v>
          </cell>
          <cell r="H3039" t="str">
            <v>Huétor Tájar</v>
          </cell>
        </row>
        <row r="3040">
          <cell r="D3040" t="str">
            <v>18</v>
          </cell>
          <cell r="E3040" t="str">
            <v>Granada</v>
          </cell>
          <cell r="F3040" t="str">
            <v>101</v>
          </cell>
          <cell r="G3040" t="str">
            <v>5</v>
          </cell>
          <cell r="H3040" t="str">
            <v>Huétor Vega</v>
          </cell>
        </row>
        <row r="3041">
          <cell r="D3041" t="str">
            <v>18</v>
          </cell>
          <cell r="E3041" t="str">
            <v>Granada</v>
          </cell>
          <cell r="F3041" t="str">
            <v>102</v>
          </cell>
          <cell r="G3041" t="str">
            <v>0</v>
          </cell>
          <cell r="H3041" t="str">
            <v>Íllora</v>
          </cell>
        </row>
        <row r="3042">
          <cell r="D3042" t="str">
            <v>18</v>
          </cell>
          <cell r="E3042" t="str">
            <v>Granada</v>
          </cell>
          <cell r="F3042" t="str">
            <v>103</v>
          </cell>
          <cell r="G3042" t="str">
            <v>6</v>
          </cell>
          <cell r="H3042" t="str">
            <v>Ítrabo</v>
          </cell>
        </row>
        <row r="3043">
          <cell r="D3043" t="str">
            <v>18</v>
          </cell>
          <cell r="E3043" t="str">
            <v>Granada</v>
          </cell>
          <cell r="F3043" t="str">
            <v>105</v>
          </cell>
          <cell r="G3043" t="str">
            <v>4</v>
          </cell>
          <cell r="H3043" t="str">
            <v>Iznalloz</v>
          </cell>
        </row>
        <row r="3044">
          <cell r="D3044" t="str">
            <v>18</v>
          </cell>
          <cell r="E3044" t="str">
            <v>Granada</v>
          </cell>
          <cell r="F3044" t="str">
            <v>106</v>
          </cell>
          <cell r="G3044" t="str">
            <v>7</v>
          </cell>
          <cell r="H3044" t="str">
            <v>Játar</v>
          </cell>
        </row>
        <row r="3045">
          <cell r="D3045" t="str">
            <v>18</v>
          </cell>
          <cell r="E3045" t="str">
            <v>Granada</v>
          </cell>
          <cell r="F3045" t="str">
            <v>107</v>
          </cell>
          <cell r="G3045" t="str">
            <v>3</v>
          </cell>
          <cell r="H3045" t="str">
            <v>Jayena</v>
          </cell>
        </row>
        <row r="3046">
          <cell r="D3046" t="str">
            <v>18</v>
          </cell>
          <cell r="E3046" t="str">
            <v>Granada</v>
          </cell>
          <cell r="F3046" t="str">
            <v>108</v>
          </cell>
          <cell r="G3046" t="str">
            <v>9</v>
          </cell>
          <cell r="H3046" t="str">
            <v>Jérez del Marquesado</v>
          </cell>
        </row>
        <row r="3047">
          <cell r="D3047" t="str">
            <v>18</v>
          </cell>
          <cell r="E3047" t="str">
            <v>Granada</v>
          </cell>
          <cell r="F3047" t="str">
            <v>109</v>
          </cell>
          <cell r="G3047" t="str">
            <v>2</v>
          </cell>
          <cell r="H3047" t="str">
            <v>Jete</v>
          </cell>
        </row>
        <row r="3048">
          <cell r="D3048" t="str">
            <v>18</v>
          </cell>
          <cell r="E3048" t="str">
            <v>Granada</v>
          </cell>
          <cell r="F3048" t="str">
            <v>111</v>
          </cell>
          <cell r="G3048" t="str">
            <v>3</v>
          </cell>
          <cell r="H3048" t="str">
            <v>Jun</v>
          </cell>
        </row>
        <row r="3049">
          <cell r="D3049" t="str">
            <v>18</v>
          </cell>
          <cell r="E3049" t="str">
            <v>Granada</v>
          </cell>
          <cell r="F3049" t="str">
            <v>112</v>
          </cell>
          <cell r="G3049" t="str">
            <v>8</v>
          </cell>
          <cell r="H3049" t="str">
            <v>Juviles</v>
          </cell>
        </row>
        <row r="3050">
          <cell r="D3050" t="str">
            <v>18</v>
          </cell>
          <cell r="E3050" t="str">
            <v>Granada</v>
          </cell>
          <cell r="F3050" t="str">
            <v>114</v>
          </cell>
          <cell r="G3050" t="str">
            <v>9</v>
          </cell>
          <cell r="H3050" t="str">
            <v>Calahorra, La</v>
          </cell>
        </row>
        <row r="3051">
          <cell r="D3051" t="str">
            <v>18</v>
          </cell>
          <cell r="E3051" t="str">
            <v>Granada</v>
          </cell>
          <cell r="F3051" t="str">
            <v>115</v>
          </cell>
          <cell r="G3051" t="str">
            <v>2</v>
          </cell>
          <cell r="H3051" t="str">
            <v>Láchar</v>
          </cell>
        </row>
        <row r="3052">
          <cell r="D3052" t="str">
            <v>18</v>
          </cell>
          <cell r="E3052" t="str">
            <v>Granada</v>
          </cell>
          <cell r="F3052" t="str">
            <v>116</v>
          </cell>
          <cell r="G3052" t="str">
            <v>5</v>
          </cell>
          <cell r="H3052" t="str">
            <v>Lanjarón</v>
          </cell>
        </row>
        <row r="3053">
          <cell r="D3053" t="str">
            <v>18</v>
          </cell>
          <cell r="E3053" t="str">
            <v>Granada</v>
          </cell>
          <cell r="F3053" t="str">
            <v>117</v>
          </cell>
          <cell r="G3053" t="str">
            <v>1</v>
          </cell>
          <cell r="H3053" t="str">
            <v>Lanteira</v>
          </cell>
        </row>
        <row r="3054">
          <cell r="D3054" t="str">
            <v>18</v>
          </cell>
          <cell r="E3054" t="str">
            <v>Granada</v>
          </cell>
          <cell r="F3054" t="str">
            <v>119</v>
          </cell>
          <cell r="G3054" t="str">
            <v>0</v>
          </cell>
          <cell r="H3054" t="str">
            <v>Lecrín</v>
          </cell>
        </row>
        <row r="3055">
          <cell r="D3055" t="str">
            <v>18</v>
          </cell>
          <cell r="E3055" t="str">
            <v>Granada</v>
          </cell>
          <cell r="F3055" t="str">
            <v>120</v>
          </cell>
          <cell r="G3055" t="str">
            <v>4</v>
          </cell>
          <cell r="H3055" t="str">
            <v>Lentegí</v>
          </cell>
        </row>
        <row r="3056">
          <cell r="D3056" t="str">
            <v>18</v>
          </cell>
          <cell r="E3056" t="str">
            <v>Granada</v>
          </cell>
          <cell r="F3056" t="str">
            <v>121</v>
          </cell>
          <cell r="G3056" t="str">
            <v>1</v>
          </cell>
          <cell r="H3056" t="str">
            <v>Lobras</v>
          </cell>
        </row>
        <row r="3057">
          <cell r="D3057" t="str">
            <v>18</v>
          </cell>
          <cell r="E3057" t="str">
            <v>Granada</v>
          </cell>
          <cell r="F3057" t="str">
            <v>122</v>
          </cell>
          <cell r="G3057" t="str">
            <v>6</v>
          </cell>
          <cell r="H3057" t="str">
            <v>Loja</v>
          </cell>
        </row>
        <row r="3058">
          <cell r="D3058" t="str">
            <v>18</v>
          </cell>
          <cell r="E3058" t="str">
            <v>Granada</v>
          </cell>
          <cell r="F3058" t="str">
            <v>123</v>
          </cell>
          <cell r="G3058" t="str">
            <v>2</v>
          </cell>
          <cell r="H3058" t="str">
            <v>Lugros</v>
          </cell>
        </row>
        <row r="3059">
          <cell r="D3059" t="str">
            <v>18</v>
          </cell>
          <cell r="E3059" t="str">
            <v>Granada</v>
          </cell>
          <cell r="F3059" t="str">
            <v>124</v>
          </cell>
          <cell r="G3059" t="str">
            <v>7</v>
          </cell>
          <cell r="H3059" t="str">
            <v>Lújar</v>
          </cell>
        </row>
        <row r="3060">
          <cell r="D3060" t="str">
            <v>18</v>
          </cell>
          <cell r="E3060" t="str">
            <v>Granada</v>
          </cell>
          <cell r="F3060" t="str">
            <v>126</v>
          </cell>
          <cell r="G3060" t="str">
            <v>3</v>
          </cell>
          <cell r="H3060" t="str">
            <v>Malahá, La</v>
          </cell>
        </row>
        <row r="3061">
          <cell r="D3061" t="str">
            <v>18</v>
          </cell>
          <cell r="E3061" t="str">
            <v>Granada</v>
          </cell>
          <cell r="F3061" t="str">
            <v>127</v>
          </cell>
          <cell r="G3061" t="str">
            <v>9</v>
          </cell>
          <cell r="H3061" t="str">
            <v>Maracena</v>
          </cell>
        </row>
        <row r="3062">
          <cell r="D3062" t="str">
            <v>18</v>
          </cell>
          <cell r="E3062" t="str">
            <v>Granada</v>
          </cell>
          <cell r="F3062" t="str">
            <v>128</v>
          </cell>
          <cell r="G3062" t="str">
            <v>5</v>
          </cell>
          <cell r="H3062" t="str">
            <v>Marchal</v>
          </cell>
        </row>
        <row r="3063">
          <cell r="D3063" t="str">
            <v>18</v>
          </cell>
          <cell r="E3063" t="str">
            <v>Granada</v>
          </cell>
          <cell r="F3063" t="str">
            <v>132</v>
          </cell>
          <cell r="G3063" t="str">
            <v>4</v>
          </cell>
          <cell r="H3063" t="str">
            <v>Moclín</v>
          </cell>
        </row>
        <row r="3064">
          <cell r="D3064" t="str">
            <v>18</v>
          </cell>
          <cell r="E3064" t="str">
            <v>Granada</v>
          </cell>
          <cell r="F3064" t="str">
            <v>133</v>
          </cell>
          <cell r="G3064" t="str">
            <v>0</v>
          </cell>
          <cell r="H3064" t="str">
            <v>Molvízar</v>
          </cell>
        </row>
        <row r="3065">
          <cell r="D3065" t="str">
            <v>18</v>
          </cell>
          <cell r="E3065" t="str">
            <v>Granada</v>
          </cell>
          <cell r="F3065" t="str">
            <v>134</v>
          </cell>
          <cell r="G3065" t="str">
            <v>5</v>
          </cell>
          <cell r="H3065" t="str">
            <v>Monachil</v>
          </cell>
        </row>
        <row r="3066">
          <cell r="D3066" t="str">
            <v>18</v>
          </cell>
          <cell r="E3066" t="str">
            <v>Granada</v>
          </cell>
          <cell r="F3066" t="str">
            <v>135</v>
          </cell>
          <cell r="G3066" t="str">
            <v>8</v>
          </cell>
          <cell r="H3066" t="str">
            <v>Montefrío</v>
          </cell>
        </row>
        <row r="3067">
          <cell r="D3067" t="str">
            <v>18</v>
          </cell>
          <cell r="E3067" t="str">
            <v>Granada</v>
          </cell>
          <cell r="F3067" t="str">
            <v>136</v>
          </cell>
          <cell r="G3067" t="str">
            <v>1</v>
          </cell>
          <cell r="H3067" t="str">
            <v>Montejícar</v>
          </cell>
        </row>
        <row r="3068">
          <cell r="D3068" t="str">
            <v>18</v>
          </cell>
          <cell r="E3068" t="str">
            <v>Granada</v>
          </cell>
          <cell r="F3068" t="str">
            <v>137</v>
          </cell>
          <cell r="G3068" t="str">
            <v>7</v>
          </cell>
          <cell r="H3068" t="str">
            <v>Montillana</v>
          </cell>
        </row>
        <row r="3069">
          <cell r="D3069" t="str">
            <v>18</v>
          </cell>
          <cell r="E3069" t="str">
            <v>Granada</v>
          </cell>
          <cell r="F3069" t="str">
            <v>138</v>
          </cell>
          <cell r="G3069" t="str">
            <v>3</v>
          </cell>
          <cell r="H3069" t="str">
            <v>Moraleda de Zafayona</v>
          </cell>
        </row>
        <row r="3070">
          <cell r="D3070" t="str">
            <v>18</v>
          </cell>
          <cell r="E3070" t="str">
            <v>Granada</v>
          </cell>
          <cell r="F3070" t="str">
            <v>140</v>
          </cell>
          <cell r="G3070" t="str">
            <v>0</v>
          </cell>
          <cell r="H3070" t="str">
            <v>Motril</v>
          </cell>
        </row>
        <row r="3071">
          <cell r="D3071" t="str">
            <v>18</v>
          </cell>
          <cell r="E3071" t="str">
            <v>Granada</v>
          </cell>
          <cell r="F3071" t="str">
            <v>141</v>
          </cell>
          <cell r="G3071" t="str">
            <v>7</v>
          </cell>
          <cell r="H3071" t="str">
            <v>Murtas</v>
          </cell>
        </row>
        <row r="3072">
          <cell r="D3072" t="str">
            <v>18</v>
          </cell>
          <cell r="E3072" t="str">
            <v>Granada</v>
          </cell>
          <cell r="F3072" t="str">
            <v>143</v>
          </cell>
          <cell r="G3072" t="str">
            <v>8</v>
          </cell>
          <cell r="H3072" t="str">
            <v>Nigüelas</v>
          </cell>
        </row>
        <row r="3073">
          <cell r="D3073" t="str">
            <v>18</v>
          </cell>
          <cell r="E3073" t="str">
            <v>Granada</v>
          </cell>
          <cell r="F3073" t="str">
            <v>144</v>
          </cell>
          <cell r="G3073" t="str">
            <v>3</v>
          </cell>
          <cell r="H3073" t="str">
            <v>Nívar</v>
          </cell>
        </row>
        <row r="3074">
          <cell r="D3074" t="str">
            <v>18</v>
          </cell>
          <cell r="E3074" t="str">
            <v>Granada</v>
          </cell>
          <cell r="F3074" t="str">
            <v>145</v>
          </cell>
          <cell r="G3074" t="str">
            <v>6</v>
          </cell>
          <cell r="H3074" t="str">
            <v>Ogíjares</v>
          </cell>
        </row>
        <row r="3075">
          <cell r="D3075" t="str">
            <v>18</v>
          </cell>
          <cell r="E3075" t="str">
            <v>Granada</v>
          </cell>
          <cell r="F3075" t="str">
            <v>146</v>
          </cell>
          <cell r="G3075" t="str">
            <v>9</v>
          </cell>
          <cell r="H3075" t="str">
            <v>Orce</v>
          </cell>
        </row>
        <row r="3076">
          <cell r="D3076" t="str">
            <v>18</v>
          </cell>
          <cell r="E3076" t="str">
            <v>Granada</v>
          </cell>
          <cell r="F3076" t="str">
            <v>147</v>
          </cell>
          <cell r="G3076" t="str">
            <v>5</v>
          </cell>
          <cell r="H3076" t="str">
            <v>Órgiva</v>
          </cell>
        </row>
        <row r="3077">
          <cell r="D3077" t="str">
            <v>18</v>
          </cell>
          <cell r="E3077" t="str">
            <v>Granada</v>
          </cell>
          <cell r="F3077" t="str">
            <v>148</v>
          </cell>
          <cell r="G3077" t="str">
            <v>1</v>
          </cell>
          <cell r="H3077" t="str">
            <v>Otívar</v>
          </cell>
        </row>
        <row r="3078">
          <cell r="D3078" t="str">
            <v>18</v>
          </cell>
          <cell r="E3078" t="str">
            <v>Granada</v>
          </cell>
          <cell r="F3078" t="str">
            <v>149</v>
          </cell>
          <cell r="G3078" t="str">
            <v>4</v>
          </cell>
          <cell r="H3078" t="str">
            <v>Villa de Otura</v>
          </cell>
        </row>
        <row r="3079">
          <cell r="D3079" t="str">
            <v>18</v>
          </cell>
          <cell r="E3079" t="str">
            <v>Granada</v>
          </cell>
          <cell r="F3079" t="str">
            <v>150</v>
          </cell>
          <cell r="G3079" t="str">
            <v>7</v>
          </cell>
          <cell r="H3079" t="str">
            <v>Padul</v>
          </cell>
        </row>
        <row r="3080">
          <cell r="D3080" t="str">
            <v>18</v>
          </cell>
          <cell r="E3080" t="str">
            <v>Granada</v>
          </cell>
          <cell r="F3080" t="str">
            <v>151</v>
          </cell>
          <cell r="G3080" t="str">
            <v>4</v>
          </cell>
          <cell r="H3080" t="str">
            <v>Pampaneira</v>
          </cell>
        </row>
        <row r="3081">
          <cell r="D3081" t="str">
            <v>18</v>
          </cell>
          <cell r="E3081" t="str">
            <v>Granada</v>
          </cell>
          <cell r="F3081" t="str">
            <v>152</v>
          </cell>
          <cell r="G3081" t="str">
            <v>9</v>
          </cell>
          <cell r="H3081" t="str">
            <v>Pedro Martínez</v>
          </cell>
        </row>
        <row r="3082">
          <cell r="D3082" t="str">
            <v>18</v>
          </cell>
          <cell r="E3082" t="str">
            <v>Granada</v>
          </cell>
          <cell r="F3082" t="str">
            <v>153</v>
          </cell>
          <cell r="G3082" t="str">
            <v>5</v>
          </cell>
          <cell r="H3082" t="str">
            <v>Peligros</v>
          </cell>
        </row>
        <row r="3083">
          <cell r="D3083" t="str">
            <v>18</v>
          </cell>
          <cell r="E3083" t="str">
            <v>Granada</v>
          </cell>
          <cell r="F3083" t="str">
            <v>154</v>
          </cell>
          <cell r="G3083" t="str">
            <v>0</v>
          </cell>
          <cell r="H3083" t="str">
            <v>Peza, La</v>
          </cell>
        </row>
        <row r="3084">
          <cell r="D3084" t="str">
            <v>18</v>
          </cell>
          <cell r="E3084" t="str">
            <v>Granada</v>
          </cell>
          <cell r="F3084" t="str">
            <v>157</v>
          </cell>
          <cell r="G3084" t="str">
            <v>2</v>
          </cell>
          <cell r="H3084" t="str">
            <v>Pinos Genil</v>
          </cell>
        </row>
        <row r="3085">
          <cell r="D3085" t="str">
            <v>18</v>
          </cell>
          <cell r="E3085" t="str">
            <v>Granada</v>
          </cell>
          <cell r="F3085" t="str">
            <v>158</v>
          </cell>
          <cell r="G3085" t="str">
            <v>8</v>
          </cell>
          <cell r="H3085" t="str">
            <v>Pinos Puente</v>
          </cell>
        </row>
        <row r="3086">
          <cell r="D3086" t="str">
            <v>18</v>
          </cell>
          <cell r="E3086" t="str">
            <v>Granada</v>
          </cell>
          <cell r="F3086" t="str">
            <v>159</v>
          </cell>
          <cell r="G3086" t="str">
            <v>1</v>
          </cell>
          <cell r="H3086" t="str">
            <v>Píñar</v>
          </cell>
        </row>
        <row r="3087">
          <cell r="D3087" t="str">
            <v>18</v>
          </cell>
          <cell r="E3087" t="str">
            <v>Granada</v>
          </cell>
          <cell r="F3087" t="str">
            <v>161</v>
          </cell>
          <cell r="G3087" t="str">
            <v>2</v>
          </cell>
          <cell r="H3087" t="str">
            <v>Polícar</v>
          </cell>
        </row>
        <row r="3088">
          <cell r="D3088" t="str">
            <v>18</v>
          </cell>
          <cell r="E3088" t="str">
            <v>Granada</v>
          </cell>
          <cell r="F3088" t="str">
            <v>162</v>
          </cell>
          <cell r="G3088" t="str">
            <v>7</v>
          </cell>
          <cell r="H3088" t="str">
            <v>Polopos</v>
          </cell>
        </row>
        <row r="3089">
          <cell r="D3089" t="str">
            <v>18</v>
          </cell>
          <cell r="E3089" t="str">
            <v>Granada</v>
          </cell>
          <cell r="F3089" t="str">
            <v>163</v>
          </cell>
          <cell r="G3089" t="str">
            <v>3</v>
          </cell>
          <cell r="H3089" t="str">
            <v>Pórtugos</v>
          </cell>
        </row>
        <row r="3090">
          <cell r="D3090" t="str">
            <v>18</v>
          </cell>
          <cell r="E3090" t="str">
            <v>Granada</v>
          </cell>
          <cell r="F3090" t="str">
            <v>164</v>
          </cell>
          <cell r="G3090" t="str">
            <v>8</v>
          </cell>
          <cell r="H3090" t="str">
            <v>Puebla de Don Fadrique</v>
          </cell>
        </row>
        <row r="3091">
          <cell r="D3091" t="str">
            <v>18</v>
          </cell>
          <cell r="E3091" t="str">
            <v>Granada</v>
          </cell>
          <cell r="F3091" t="str">
            <v>165</v>
          </cell>
          <cell r="G3091" t="str">
            <v>1</v>
          </cell>
          <cell r="H3091" t="str">
            <v>Pulianas</v>
          </cell>
        </row>
        <row r="3092">
          <cell r="D3092" t="str">
            <v>18</v>
          </cell>
          <cell r="E3092" t="str">
            <v>Granada</v>
          </cell>
          <cell r="F3092" t="str">
            <v>167</v>
          </cell>
          <cell r="G3092" t="str">
            <v>0</v>
          </cell>
          <cell r="H3092" t="str">
            <v>Purullena</v>
          </cell>
        </row>
        <row r="3093">
          <cell r="D3093" t="str">
            <v>18</v>
          </cell>
          <cell r="E3093" t="str">
            <v>Granada</v>
          </cell>
          <cell r="F3093" t="str">
            <v>168</v>
          </cell>
          <cell r="G3093" t="str">
            <v>6</v>
          </cell>
          <cell r="H3093" t="str">
            <v>Quéntar</v>
          </cell>
        </row>
        <row r="3094">
          <cell r="D3094" t="str">
            <v>18</v>
          </cell>
          <cell r="E3094" t="str">
            <v>Granada</v>
          </cell>
          <cell r="F3094" t="str">
            <v>170</v>
          </cell>
          <cell r="G3094" t="str">
            <v>3</v>
          </cell>
          <cell r="H3094" t="str">
            <v>Rubite</v>
          </cell>
        </row>
        <row r="3095">
          <cell r="D3095" t="str">
            <v>18</v>
          </cell>
          <cell r="E3095" t="str">
            <v>Granada</v>
          </cell>
          <cell r="F3095" t="str">
            <v>171</v>
          </cell>
          <cell r="G3095" t="str">
            <v>0</v>
          </cell>
          <cell r="H3095" t="str">
            <v>Salar</v>
          </cell>
        </row>
        <row r="3096">
          <cell r="D3096" t="str">
            <v>18</v>
          </cell>
          <cell r="E3096" t="str">
            <v>Granada</v>
          </cell>
          <cell r="F3096" t="str">
            <v>173</v>
          </cell>
          <cell r="G3096" t="str">
            <v>1</v>
          </cell>
          <cell r="H3096" t="str">
            <v>Salobreña</v>
          </cell>
        </row>
        <row r="3097">
          <cell r="D3097" t="str">
            <v>18</v>
          </cell>
          <cell r="E3097" t="str">
            <v>Granada</v>
          </cell>
          <cell r="F3097" t="str">
            <v>174</v>
          </cell>
          <cell r="G3097" t="str">
            <v>6</v>
          </cell>
          <cell r="H3097" t="str">
            <v>Santa Cruz del Comercio</v>
          </cell>
        </row>
        <row r="3098">
          <cell r="D3098" t="str">
            <v>18</v>
          </cell>
          <cell r="E3098" t="str">
            <v>Granada</v>
          </cell>
          <cell r="F3098" t="str">
            <v>175</v>
          </cell>
          <cell r="G3098" t="str">
            <v>9</v>
          </cell>
          <cell r="H3098" t="str">
            <v>Santa Fe</v>
          </cell>
        </row>
        <row r="3099">
          <cell r="D3099" t="str">
            <v>18</v>
          </cell>
          <cell r="E3099" t="str">
            <v>Granada</v>
          </cell>
          <cell r="F3099" t="str">
            <v>176</v>
          </cell>
          <cell r="G3099" t="str">
            <v>2</v>
          </cell>
          <cell r="H3099" t="str">
            <v>Soportújar</v>
          </cell>
        </row>
        <row r="3100">
          <cell r="D3100" t="str">
            <v>18</v>
          </cell>
          <cell r="E3100" t="str">
            <v>Granada</v>
          </cell>
          <cell r="F3100" t="str">
            <v>177</v>
          </cell>
          <cell r="G3100" t="str">
            <v>8</v>
          </cell>
          <cell r="H3100" t="str">
            <v>Sorvilán</v>
          </cell>
        </row>
        <row r="3101">
          <cell r="D3101" t="str">
            <v>18</v>
          </cell>
          <cell r="E3101" t="str">
            <v>Granada</v>
          </cell>
          <cell r="F3101" t="str">
            <v>178</v>
          </cell>
          <cell r="G3101" t="str">
            <v>4</v>
          </cell>
          <cell r="H3101" t="str">
            <v>Torre-Cardela</v>
          </cell>
        </row>
        <row r="3102">
          <cell r="D3102" t="str">
            <v>18</v>
          </cell>
          <cell r="E3102" t="str">
            <v>Granada</v>
          </cell>
          <cell r="F3102" t="str">
            <v>179</v>
          </cell>
          <cell r="G3102" t="str">
            <v>7</v>
          </cell>
          <cell r="H3102" t="str">
            <v>Torvizcón</v>
          </cell>
        </row>
        <row r="3103">
          <cell r="D3103" t="str">
            <v>18</v>
          </cell>
          <cell r="E3103" t="str">
            <v>Granada</v>
          </cell>
          <cell r="F3103" t="str">
            <v>180</v>
          </cell>
          <cell r="G3103" t="str">
            <v>1</v>
          </cell>
          <cell r="H3103" t="str">
            <v>Trevélez</v>
          </cell>
        </row>
        <row r="3104">
          <cell r="D3104" t="str">
            <v>18</v>
          </cell>
          <cell r="E3104" t="str">
            <v>Granada</v>
          </cell>
          <cell r="F3104" t="str">
            <v>181</v>
          </cell>
          <cell r="G3104" t="str">
            <v>8</v>
          </cell>
          <cell r="H3104" t="str">
            <v>Turón</v>
          </cell>
        </row>
        <row r="3105">
          <cell r="D3105" t="str">
            <v>18</v>
          </cell>
          <cell r="E3105" t="str">
            <v>Granada</v>
          </cell>
          <cell r="F3105" t="str">
            <v>182</v>
          </cell>
          <cell r="G3105" t="str">
            <v>3</v>
          </cell>
          <cell r="H3105" t="str">
            <v>Ugíjar</v>
          </cell>
        </row>
        <row r="3106">
          <cell r="D3106" t="str">
            <v>18</v>
          </cell>
          <cell r="E3106" t="str">
            <v>Granada</v>
          </cell>
          <cell r="F3106" t="str">
            <v>183</v>
          </cell>
          <cell r="G3106" t="str">
            <v>9</v>
          </cell>
          <cell r="H3106" t="str">
            <v>Válor</v>
          </cell>
        </row>
        <row r="3107">
          <cell r="D3107" t="str">
            <v>18</v>
          </cell>
          <cell r="E3107" t="str">
            <v>Granada</v>
          </cell>
          <cell r="F3107" t="str">
            <v>184</v>
          </cell>
          <cell r="G3107" t="str">
            <v>4</v>
          </cell>
          <cell r="H3107" t="str">
            <v>Vélez de Benaudalla</v>
          </cell>
        </row>
        <row r="3108">
          <cell r="D3108" t="str">
            <v>18</v>
          </cell>
          <cell r="E3108" t="str">
            <v>Granada</v>
          </cell>
          <cell r="F3108" t="str">
            <v>185</v>
          </cell>
          <cell r="G3108" t="str">
            <v>7</v>
          </cell>
          <cell r="H3108" t="str">
            <v>Ventas de Huelma</v>
          </cell>
        </row>
        <row r="3109">
          <cell r="D3109" t="str">
            <v>18</v>
          </cell>
          <cell r="E3109" t="str">
            <v>Granada</v>
          </cell>
          <cell r="F3109" t="str">
            <v>187</v>
          </cell>
          <cell r="G3109" t="str">
            <v>6</v>
          </cell>
          <cell r="H3109" t="str">
            <v>Villanueva de las Torres</v>
          </cell>
        </row>
        <row r="3110">
          <cell r="D3110" t="str">
            <v>18</v>
          </cell>
          <cell r="E3110" t="str">
            <v>Granada</v>
          </cell>
          <cell r="F3110" t="str">
            <v>188</v>
          </cell>
          <cell r="G3110" t="str">
            <v>2</v>
          </cell>
          <cell r="H3110" t="str">
            <v>Villanueva Mesía</v>
          </cell>
        </row>
        <row r="3111">
          <cell r="D3111" t="str">
            <v>18</v>
          </cell>
          <cell r="E3111" t="str">
            <v>Granada</v>
          </cell>
          <cell r="F3111" t="str">
            <v>189</v>
          </cell>
          <cell r="G3111" t="str">
            <v>5</v>
          </cell>
          <cell r="H3111" t="str">
            <v>Víznar</v>
          </cell>
        </row>
        <row r="3112">
          <cell r="D3112" t="str">
            <v>18</v>
          </cell>
          <cell r="E3112" t="str">
            <v>Granada</v>
          </cell>
          <cell r="F3112" t="str">
            <v>192</v>
          </cell>
          <cell r="G3112" t="str">
            <v>1</v>
          </cell>
          <cell r="H3112" t="str">
            <v>Zafarraya</v>
          </cell>
        </row>
        <row r="3113">
          <cell r="D3113" t="str">
            <v>18</v>
          </cell>
          <cell r="E3113" t="str">
            <v>Granada</v>
          </cell>
          <cell r="F3113" t="str">
            <v>193</v>
          </cell>
          <cell r="G3113" t="str">
            <v>7</v>
          </cell>
          <cell r="H3113" t="str">
            <v>Zubia, La</v>
          </cell>
        </row>
        <row r="3114">
          <cell r="D3114" t="str">
            <v>18</v>
          </cell>
          <cell r="E3114" t="str">
            <v>Granada</v>
          </cell>
          <cell r="F3114" t="str">
            <v>194</v>
          </cell>
          <cell r="G3114" t="str">
            <v>2</v>
          </cell>
          <cell r="H3114" t="str">
            <v>Zújar</v>
          </cell>
        </row>
        <row r="3115">
          <cell r="D3115" t="str">
            <v>18</v>
          </cell>
          <cell r="E3115" t="str">
            <v>Granada</v>
          </cell>
          <cell r="F3115" t="str">
            <v>901</v>
          </cell>
          <cell r="G3115" t="str">
            <v>7</v>
          </cell>
          <cell r="H3115" t="str">
            <v>Taha, La</v>
          </cell>
        </row>
        <row r="3116">
          <cell r="D3116" t="str">
            <v>18</v>
          </cell>
          <cell r="E3116" t="str">
            <v>Granada</v>
          </cell>
          <cell r="F3116" t="str">
            <v>902</v>
          </cell>
          <cell r="G3116" t="str">
            <v>2</v>
          </cell>
          <cell r="H3116" t="str">
            <v>Valle, El</v>
          </cell>
        </row>
        <row r="3117">
          <cell r="D3117" t="str">
            <v>18</v>
          </cell>
          <cell r="E3117" t="str">
            <v>Granada</v>
          </cell>
          <cell r="F3117" t="str">
            <v>903</v>
          </cell>
          <cell r="G3117" t="str">
            <v>8</v>
          </cell>
          <cell r="H3117" t="str">
            <v>Nevada</v>
          </cell>
        </row>
        <row r="3118">
          <cell r="D3118" t="str">
            <v>18</v>
          </cell>
          <cell r="E3118" t="str">
            <v>Granada</v>
          </cell>
          <cell r="F3118" t="str">
            <v>904</v>
          </cell>
          <cell r="G3118" t="str">
            <v>3</v>
          </cell>
          <cell r="H3118" t="str">
            <v>Alpujarra de la Sierra</v>
          </cell>
        </row>
        <row r="3119">
          <cell r="D3119" t="str">
            <v>18</v>
          </cell>
          <cell r="E3119" t="str">
            <v>Granada</v>
          </cell>
          <cell r="F3119" t="str">
            <v>905</v>
          </cell>
          <cell r="G3119" t="str">
            <v>6</v>
          </cell>
          <cell r="H3119" t="str">
            <v>Gabias, Las</v>
          </cell>
        </row>
        <row r="3120">
          <cell r="D3120" t="str">
            <v>18</v>
          </cell>
          <cell r="E3120" t="str">
            <v>Granada</v>
          </cell>
          <cell r="F3120" t="str">
            <v>906</v>
          </cell>
          <cell r="G3120" t="str">
            <v>9</v>
          </cell>
          <cell r="H3120" t="str">
            <v>Guájares, Los</v>
          </cell>
        </row>
        <row r="3121">
          <cell r="D3121" t="str">
            <v>18</v>
          </cell>
          <cell r="E3121" t="str">
            <v>Granada</v>
          </cell>
          <cell r="F3121" t="str">
            <v>907</v>
          </cell>
          <cell r="G3121" t="str">
            <v>5</v>
          </cell>
          <cell r="H3121" t="str">
            <v>Valle del Zalabí</v>
          </cell>
        </row>
        <row r="3122">
          <cell r="D3122" t="str">
            <v>18</v>
          </cell>
          <cell r="E3122" t="str">
            <v>Granada</v>
          </cell>
          <cell r="F3122" t="str">
            <v>908</v>
          </cell>
          <cell r="G3122" t="str">
            <v>1</v>
          </cell>
          <cell r="H3122" t="str">
            <v>Villamena</v>
          </cell>
        </row>
        <row r="3123">
          <cell r="D3123" t="str">
            <v>18</v>
          </cell>
          <cell r="E3123" t="str">
            <v>Granada</v>
          </cell>
          <cell r="F3123" t="str">
            <v>909</v>
          </cell>
          <cell r="G3123" t="str">
            <v>4</v>
          </cell>
          <cell r="H3123" t="str">
            <v>Morelábor</v>
          </cell>
        </row>
        <row r="3124">
          <cell r="D3124" t="str">
            <v>18</v>
          </cell>
          <cell r="E3124" t="str">
            <v>Granada</v>
          </cell>
          <cell r="F3124" t="str">
            <v>910</v>
          </cell>
          <cell r="G3124" t="str">
            <v>8</v>
          </cell>
          <cell r="H3124" t="str">
            <v>Pinar, El</v>
          </cell>
        </row>
        <row r="3125">
          <cell r="D3125" t="str">
            <v>18</v>
          </cell>
          <cell r="E3125" t="str">
            <v>Granada</v>
          </cell>
          <cell r="F3125" t="str">
            <v>911</v>
          </cell>
          <cell r="G3125" t="str">
            <v>5</v>
          </cell>
          <cell r="H3125" t="str">
            <v>Vegas del Genil</v>
          </cell>
        </row>
        <row r="3126">
          <cell r="D3126" t="str">
            <v>18</v>
          </cell>
          <cell r="E3126" t="str">
            <v>Granada</v>
          </cell>
          <cell r="F3126" t="str">
            <v>912</v>
          </cell>
          <cell r="G3126" t="str">
            <v>0</v>
          </cell>
          <cell r="H3126" t="str">
            <v>Cuevas del Campo</v>
          </cell>
        </row>
        <row r="3127">
          <cell r="D3127" t="str">
            <v>18</v>
          </cell>
          <cell r="E3127" t="str">
            <v>Granada</v>
          </cell>
          <cell r="F3127" t="str">
            <v>913</v>
          </cell>
          <cell r="G3127" t="str">
            <v>6</v>
          </cell>
          <cell r="H3127" t="str">
            <v>Zagra</v>
          </cell>
        </row>
        <row r="3128">
          <cell r="D3128" t="str">
            <v>18</v>
          </cell>
          <cell r="E3128" t="str">
            <v>Granada</v>
          </cell>
          <cell r="F3128" t="str">
            <v>914</v>
          </cell>
          <cell r="G3128">
            <v>1</v>
          </cell>
          <cell r="H3128" t="str">
            <v>Valderrubio</v>
          </cell>
        </row>
        <row r="3129">
          <cell r="D3129" t="str">
            <v>18</v>
          </cell>
          <cell r="E3129" t="str">
            <v>Granada</v>
          </cell>
          <cell r="F3129" t="str">
            <v>915</v>
          </cell>
          <cell r="G3129">
            <v>4</v>
          </cell>
          <cell r="H3129" t="str">
            <v>Domingo Pérez de Granada</v>
          </cell>
        </row>
        <row r="3130">
          <cell r="D3130" t="str">
            <v>18</v>
          </cell>
          <cell r="E3130" t="str">
            <v>Granada</v>
          </cell>
          <cell r="F3130" t="str">
            <v>916</v>
          </cell>
          <cell r="G3130" t="str">
            <v>7</v>
          </cell>
          <cell r="H3130" t="str">
            <v>Torrenueva Costa</v>
          </cell>
        </row>
        <row r="3131">
          <cell r="D3131" t="str">
            <v>19</v>
          </cell>
          <cell r="E3131" t="str">
            <v>Guadalajara</v>
          </cell>
          <cell r="F3131" t="str">
            <v>001</v>
          </cell>
          <cell r="G3131" t="str">
            <v>9</v>
          </cell>
          <cell r="H3131" t="str">
            <v>Abánades</v>
          </cell>
        </row>
        <row r="3132">
          <cell r="D3132" t="str">
            <v>19</v>
          </cell>
          <cell r="E3132" t="str">
            <v>Guadalajara</v>
          </cell>
          <cell r="F3132" t="str">
            <v>002</v>
          </cell>
          <cell r="G3132" t="str">
            <v>4</v>
          </cell>
          <cell r="H3132" t="str">
            <v>Ablanque</v>
          </cell>
        </row>
        <row r="3133">
          <cell r="D3133" t="str">
            <v>19</v>
          </cell>
          <cell r="E3133" t="str">
            <v>Guadalajara</v>
          </cell>
          <cell r="F3133" t="str">
            <v>003</v>
          </cell>
          <cell r="G3133" t="str">
            <v>0</v>
          </cell>
          <cell r="H3133" t="str">
            <v>Adobes</v>
          </cell>
        </row>
        <row r="3134">
          <cell r="D3134" t="str">
            <v>19</v>
          </cell>
          <cell r="E3134" t="str">
            <v>Guadalajara</v>
          </cell>
          <cell r="F3134" t="str">
            <v>004</v>
          </cell>
          <cell r="G3134" t="str">
            <v>5</v>
          </cell>
          <cell r="H3134" t="str">
            <v>Alaminos</v>
          </cell>
        </row>
        <row r="3135">
          <cell r="D3135" t="str">
            <v>19</v>
          </cell>
          <cell r="E3135" t="str">
            <v>Guadalajara</v>
          </cell>
          <cell r="F3135" t="str">
            <v>005</v>
          </cell>
          <cell r="G3135" t="str">
            <v>8</v>
          </cell>
          <cell r="H3135" t="str">
            <v>Alarilla</v>
          </cell>
        </row>
        <row r="3136">
          <cell r="D3136" t="str">
            <v>19</v>
          </cell>
          <cell r="E3136" t="str">
            <v>Guadalajara</v>
          </cell>
          <cell r="F3136" t="str">
            <v>008</v>
          </cell>
          <cell r="G3136" t="str">
            <v>3</v>
          </cell>
          <cell r="H3136" t="str">
            <v>Albendiego</v>
          </cell>
        </row>
        <row r="3137">
          <cell r="D3137" t="str">
            <v>19</v>
          </cell>
          <cell r="E3137" t="str">
            <v>Guadalajara</v>
          </cell>
          <cell r="F3137" t="str">
            <v>009</v>
          </cell>
          <cell r="G3137" t="str">
            <v>6</v>
          </cell>
          <cell r="H3137" t="str">
            <v>Alcocer</v>
          </cell>
        </row>
        <row r="3138">
          <cell r="D3138" t="str">
            <v>19</v>
          </cell>
          <cell r="E3138" t="str">
            <v>Guadalajara</v>
          </cell>
          <cell r="F3138" t="str">
            <v>010</v>
          </cell>
          <cell r="G3138" t="str">
            <v>0</v>
          </cell>
          <cell r="H3138" t="str">
            <v>Alcolea de las Peñas</v>
          </cell>
        </row>
        <row r="3139">
          <cell r="D3139" t="str">
            <v>19</v>
          </cell>
          <cell r="E3139" t="str">
            <v>Guadalajara</v>
          </cell>
          <cell r="F3139" t="str">
            <v>011</v>
          </cell>
          <cell r="G3139" t="str">
            <v>7</v>
          </cell>
          <cell r="H3139" t="str">
            <v>Alcolea del Pinar</v>
          </cell>
        </row>
        <row r="3140">
          <cell r="D3140" t="str">
            <v>19</v>
          </cell>
          <cell r="E3140" t="str">
            <v>Guadalajara</v>
          </cell>
          <cell r="F3140" t="str">
            <v>013</v>
          </cell>
          <cell r="G3140" t="str">
            <v>8</v>
          </cell>
          <cell r="H3140" t="str">
            <v>Alcoroches</v>
          </cell>
        </row>
        <row r="3141">
          <cell r="D3141" t="str">
            <v>19</v>
          </cell>
          <cell r="E3141" t="str">
            <v>Guadalajara</v>
          </cell>
          <cell r="F3141" t="str">
            <v>015</v>
          </cell>
          <cell r="G3141" t="str">
            <v>6</v>
          </cell>
          <cell r="H3141" t="str">
            <v>Aldeanueva de Guadalajara</v>
          </cell>
        </row>
        <row r="3142">
          <cell r="D3142" t="str">
            <v>19</v>
          </cell>
          <cell r="E3142" t="str">
            <v>Guadalajara</v>
          </cell>
          <cell r="F3142" t="str">
            <v>016</v>
          </cell>
          <cell r="G3142" t="str">
            <v>9</v>
          </cell>
          <cell r="H3142" t="str">
            <v>Algar de Mesa</v>
          </cell>
        </row>
        <row r="3143">
          <cell r="D3143" t="str">
            <v>19</v>
          </cell>
          <cell r="E3143" t="str">
            <v>Guadalajara</v>
          </cell>
          <cell r="F3143" t="str">
            <v>017</v>
          </cell>
          <cell r="G3143" t="str">
            <v>5</v>
          </cell>
          <cell r="H3143" t="str">
            <v>Algora</v>
          </cell>
        </row>
        <row r="3144">
          <cell r="D3144" t="str">
            <v>19</v>
          </cell>
          <cell r="E3144" t="str">
            <v>Guadalajara</v>
          </cell>
          <cell r="F3144" t="str">
            <v>018</v>
          </cell>
          <cell r="G3144" t="str">
            <v>1</v>
          </cell>
          <cell r="H3144" t="str">
            <v>Alhóndiga</v>
          </cell>
        </row>
        <row r="3145">
          <cell r="D3145" t="str">
            <v>19</v>
          </cell>
          <cell r="E3145" t="str">
            <v>Guadalajara</v>
          </cell>
          <cell r="F3145" t="str">
            <v>019</v>
          </cell>
          <cell r="G3145" t="str">
            <v>4</v>
          </cell>
          <cell r="H3145" t="str">
            <v>Alique</v>
          </cell>
        </row>
        <row r="3146">
          <cell r="D3146" t="str">
            <v>19</v>
          </cell>
          <cell r="E3146" t="str">
            <v>Guadalajara</v>
          </cell>
          <cell r="F3146" t="str">
            <v>020</v>
          </cell>
          <cell r="G3146" t="str">
            <v>8</v>
          </cell>
          <cell r="H3146" t="str">
            <v>Almadrones</v>
          </cell>
        </row>
        <row r="3147">
          <cell r="D3147" t="str">
            <v>19</v>
          </cell>
          <cell r="E3147" t="str">
            <v>Guadalajara</v>
          </cell>
          <cell r="F3147" t="str">
            <v>023</v>
          </cell>
          <cell r="G3147" t="str">
            <v>6</v>
          </cell>
          <cell r="H3147" t="str">
            <v>Alocén</v>
          </cell>
        </row>
        <row r="3148">
          <cell r="D3148" t="str">
            <v>19</v>
          </cell>
          <cell r="E3148" t="str">
            <v>Guadalajara</v>
          </cell>
          <cell r="F3148" t="str">
            <v>024</v>
          </cell>
          <cell r="G3148" t="str">
            <v>1</v>
          </cell>
          <cell r="H3148" t="str">
            <v>Alovera</v>
          </cell>
        </row>
        <row r="3149">
          <cell r="D3149" t="str">
            <v>19</v>
          </cell>
          <cell r="E3149" t="str">
            <v>Guadalajara</v>
          </cell>
          <cell r="F3149" t="str">
            <v>027</v>
          </cell>
          <cell r="G3149" t="str">
            <v>3</v>
          </cell>
          <cell r="H3149" t="str">
            <v>Alustante</v>
          </cell>
        </row>
        <row r="3150">
          <cell r="D3150" t="str">
            <v>19</v>
          </cell>
          <cell r="E3150" t="str">
            <v>Guadalajara</v>
          </cell>
          <cell r="F3150" t="str">
            <v>031</v>
          </cell>
          <cell r="G3150" t="str">
            <v>3</v>
          </cell>
          <cell r="H3150" t="str">
            <v>Angón</v>
          </cell>
        </row>
        <row r="3151">
          <cell r="D3151" t="str">
            <v>19</v>
          </cell>
          <cell r="E3151" t="str">
            <v>Guadalajara</v>
          </cell>
          <cell r="F3151" t="str">
            <v>032</v>
          </cell>
          <cell r="G3151" t="str">
            <v>8</v>
          </cell>
          <cell r="H3151" t="str">
            <v>Anguita</v>
          </cell>
        </row>
        <row r="3152">
          <cell r="D3152" t="str">
            <v>19</v>
          </cell>
          <cell r="E3152" t="str">
            <v>Guadalajara</v>
          </cell>
          <cell r="F3152" t="str">
            <v>033</v>
          </cell>
          <cell r="G3152" t="str">
            <v>4</v>
          </cell>
          <cell r="H3152" t="str">
            <v>Anquela del Ducado</v>
          </cell>
        </row>
        <row r="3153">
          <cell r="D3153" t="str">
            <v>19</v>
          </cell>
          <cell r="E3153" t="str">
            <v>Guadalajara</v>
          </cell>
          <cell r="F3153" t="str">
            <v>034</v>
          </cell>
          <cell r="G3153" t="str">
            <v>9</v>
          </cell>
          <cell r="H3153" t="str">
            <v>Anquela del Pedregal</v>
          </cell>
        </row>
        <row r="3154">
          <cell r="D3154" t="str">
            <v>19</v>
          </cell>
          <cell r="E3154" t="str">
            <v>Guadalajara</v>
          </cell>
          <cell r="F3154" t="str">
            <v>036</v>
          </cell>
          <cell r="G3154" t="str">
            <v>5</v>
          </cell>
          <cell r="H3154" t="str">
            <v>Aranzueque</v>
          </cell>
        </row>
        <row r="3155">
          <cell r="D3155" t="str">
            <v>19</v>
          </cell>
          <cell r="E3155" t="str">
            <v>Guadalajara</v>
          </cell>
          <cell r="F3155" t="str">
            <v>037</v>
          </cell>
          <cell r="G3155" t="str">
            <v>1</v>
          </cell>
          <cell r="H3155" t="str">
            <v>Arbancón</v>
          </cell>
        </row>
        <row r="3156">
          <cell r="D3156" t="str">
            <v>19</v>
          </cell>
          <cell r="E3156" t="str">
            <v>Guadalajara</v>
          </cell>
          <cell r="F3156" t="str">
            <v>038</v>
          </cell>
          <cell r="G3156" t="str">
            <v>7</v>
          </cell>
          <cell r="H3156" t="str">
            <v>Arbeteta</v>
          </cell>
        </row>
        <row r="3157">
          <cell r="D3157" t="str">
            <v>19</v>
          </cell>
          <cell r="E3157" t="str">
            <v>Guadalajara</v>
          </cell>
          <cell r="F3157" t="str">
            <v>039</v>
          </cell>
          <cell r="G3157" t="str">
            <v>0</v>
          </cell>
          <cell r="H3157" t="str">
            <v>Argecilla</v>
          </cell>
        </row>
        <row r="3158">
          <cell r="D3158" t="str">
            <v>19</v>
          </cell>
          <cell r="E3158" t="str">
            <v>Guadalajara</v>
          </cell>
          <cell r="F3158" t="str">
            <v>040</v>
          </cell>
          <cell r="G3158" t="str">
            <v>4</v>
          </cell>
          <cell r="H3158" t="str">
            <v>Armallones</v>
          </cell>
        </row>
        <row r="3159">
          <cell r="D3159" t="str">
            <v>19</v>
          </cell>
          <cell r="E3159" t="str">
            <v>Guadalajara</v>
          </cell>
          <cell r="F3159" t="str">
            <v>041</v>
          </cell>
          <cell r="G3159" t="str">
            <v>1</v>
          </cell>
          <cell r="H3159" t="str">
            <v>Armuña de Tajuña</v>
          </cell>
        </row>
        <row r="3160">
          <cell r="D3160" t="str">
            <v>19</v>
          </cell>
          <cell r="E3160" t="str">
            <v>Guadalajara</v>
          </cell>
          <cell r="F3160" t="str">
            <v>042</v>
          </cell>
          <cell r="G3160" t="str">
            <v>6</v>
          </cell>
          <cell r="H3160" t="str">
            <v>Arroyo de las Fraguas</v>
          </cell>
        </row>
        <row r="3161">
          <cell r="D3161" t="str">
            <v>19</v>
          </cell>
          <cell r="E3161" t="str">
            <v>Guadalajara</v>
          </cell>
          <cell r="F3161" t="str">
            <v>043</v>
          </cell>
          <cell r="G3161" t="str">
            <v>2</v>
          </cell>
          <cell r="H3161" t="str">
            <v>Atanzón</v>
          </cell>
        </row>
        <row r="3162">
          <cell r="D3162" t="str">
            <v>19</v>
          </cell>
          <cell r="E3162" t="str">
            <v>Guadalajara</v>
          </cell>
          <cell r="F3162" t="str">
            <v>044</v>
          </cell>
          <cell r="G3162" t="str">
            <v>7</v>
          </cell>
          <cell r="H3162" t="str">
            <v>Atienza</v>
          </cell>
        </row>
        <row r="3163">
          <cell r="D3163" t="str">
            <v>19</v>
          </cell>
          <cell r="E3163" t="str">
            <v>Guadalajara</v>
          </cell>
          <cell r="F3163" t="str">
            <v>045</v>
          </cell>
          <cell r="G3163" t="str">
            <v>0</v>
          </cell>
          <cell r="H3163" t="str">
            <v>Auñón</v>
          </cell>
        </row>
        <row r="3164">
          <cell r="D3164" t="str">
            <v>19</v>
          </cell>
          <cell r="E3164" t="str">
            <v>Guadalajara</v>
          </cell>
          <cell r="F3164" t="str">
            <v>046</v>
          </cell>
          <cell r="G3164" t="str">
            <v>3</v>
          </cell>
          <cell r="H3164" t="str">
            <v>Azuqueca de Henares</v>
          </cell>
        </row>
        <row r="3165">
          <cell r="D3165" t="str">
            <v>19</v>
          </cell>
          <cell r="E3165" t="str">
            <v>Guadalajara</v>
          </cell>
          <cell r="F3165" t="str">
            <v>047</v>
          </cell>
          <cell r="G3165" t="str">
            <v>9</v>
          </cell>
          <cell r="H3165" t="str">
            <v>Baides</v>
          </cell>
        </row>
        <row r="3166">
          <cell r="D3166" t="str">
            <v>19</v>
          </cell>
          <cell r="E3166" t="str">
            <v>Guadalajara</v>
          </cell>
          <cell r="F3166" t="str">
            <v>048</v>
          </cell>
          <cell r="G3166" t="str">
            <v>5</v>
          </cell>
          <cell r="H3166" t="str">
            <v>Baños de Tajo</v>
          </cell>
        </row>
        <row r="3167">
          <cell r="D3167" t="str">
            <v>19</v>
          </cell>
          <cell r="E3167" t="str">
            <v>Guadalajara</v>
          </cell>
          <cell r="F3167" t="str">
            <v>049</v>
          </cell>
          <cell r="G3167" t="str">
            <v>8</v>
          </cell>
          <cell r="H3167" t="str">
            <v>Bañuelos</v>
          </cell>
        </row>
        <row r="3168">
          <cell r="D3168" t="str">
            <v>19</v>
          </cell>
          <cell r="E3168" t="str">
            <v>Guadalajara</v>
          </cell>
          <cell r="F3168" t="str">
            <v>050</v>
          </cell>
          <cell r="G3168" t="str">
            <v>1</v>
          </cell>
          <cell r="H3168" t="str">
            <v>Barriopedro</v>
          </cell>
        </row>
        <row r="3169">
          <cell r="D3169" t="str">
            <v>19</v>
          </cell>
          <cell r="E3169" t="str">
            <v>Guadalajara</v>
          </cell>
          <cell r="F3169" t="str">
            <v>051</v>
          </cell>
          <cell r="G3169" t="str">
            <v>8</v>
          </cell>
          <cell r="H3169" t="str">
            <v>Berninches</v>
          </cell>
        </row>
        <row r="3170">
          <cell r="D3170" t="str">
            <v>19</v>
          </cell>
          <cell r="E3170" t="str">
            <v>Guadalajara</v>
          </cell>
          <cell r="F3170" t="str">
            <v>052</v>
          </cell>
          <cell r="G3170" t="str">
            <v>3</v>
          </cell>
          <cell r="H3170" t="str">
            <v>Bodera, La</v>
          </cell>
        </row>
        <row r="3171">
          <cell r="D3171" t="str">
            <v>19</v>
          </cell>
          <cell r="E3171" t="str">
            <v>Guadalajara</v>
          </cell>
          <cell r="F3171" t="str">
            <v>053</v>
          </cell>
          <cell r="G3171" t="str">
            <v>9</v>
          </cell>
          <cell r="H3171" t="str">
            <v>Brihuega</v>
          </cell>
        </row>
        <row r="3172">
          <cell r="D3172" t="str">
            <v>19</v>
          </cell>
          <cell r="E3172" t="str">
            <v>Guadalajara</v>
          </cell>
          <cell r="F3172" t="str">
            <v>054</v>
          </cell>
          <cell r="G3172" t="str">
            <v>4</v>
          </cell>
          <cell r="H3172" t="str">
            <v>Budia</v>
          </cell>
        </row>
        <row r="3173">
          <cell r="D3173" t="str">
            <v>19</v>
          </cell>
          <cell r="E3173" t="str">
            <v>Guadalajara</v>
          </cell>
          <cell r="F3173" t="str">
            <v>055</v>
          </cell>
          <cell r="G3173" t="str">
            <v>7</v>
          </cell>
          <cell r="H3173" t="str">
            <v>Bujalaro</v>
          </cell>
        </row>
        <row r="3174">
          <cell r="D3174" t="str">
            <v>19</v>
          </cell>
          <cell r="E3174" t="str">
            <v>Guadalajara</v>
          </cell>
          <cell r="F3174" t="str">
            <v>057</v>
          </cell>
          <cell r="G3174" t="str">
            <v>6</v>
          </cell>
          <cell r="H3174" t="str">
            <v>Bustares</v>
          </cell>
        </row>
        <row r="3175">
          <cell r="D3175" t="str">
            <v>19</v>
          </cell>
          <cell r="E3175" t="str">
            <v>Guadalajara</v>
          </cell>
          <cell r="F3175" t="str">
            <v>058</v>
          </cell>
          <cell r="G3175" t="str">
            <v>2</v>
          </cell>
          <cell r="H3175" t="str">
            <v>Cabanillas del Campo</v>
          </cell>
        </row>
        <row r="3176">
          <cell r="D3176" t="str">
            <v>19</v>
          </cell>
          <cell r="E3176" t="str">
            <v>Guadalajara</v>
          </cell>
          <cell r="F3176" t="str">
            <v>059</v>
          </cell>
          <cell r="G3176" t="str">
            <v>5</v>
          </cell>
          <cell r="H3176" t="str">
            <v>Campillo de Dueñas</v>
          </cell>
        </row>
        <row r="3177">
          <cell r="D3177" t="str">
            <v>19</v>
          </cell>
          <cell r="E3177" t="str">
            <v>Guadalajara</v>
          </cell>
          <cell r="F3177" t="str">
            <v>060</v>
          </cell>
          <cell r="G3177" t="str">
            <v>9</v>
          </cell>
          <cell r="H3177" t="str">
            <v>Campillo de Ranas</v>
          </cell>
        </row>
        <row r="3178">
          <cell r="D3178" t="str">
            <v>19</v>
          </cell>
          <cell r="E3178" t="str">
            <v>Guadalajara</v>
          </cell>
          <cell r="F3178" t="str">
            <v>061</v>
          </cell>
          <cell r="G3178" t="str">
            <v>6</v>
          </cell>
          <cell r="H3178" t="str">
            <v>Campisábalos</v>
          </cell>
        </row>
        <row r="3179">
          <cell r="D3179" t="str">
            <v>19</v>
          </cell>
          <cell r="E3179" t="str">
            <v>Guadalajara</v>
          </cell>
          <cell r="F3179" t="str">
            <v>064</v>
          </cell>
          <cell r="G3179" t="str">
            <v>2</v>
          </cell>
          <cell r="H3179" t="str">
            <v>Canredondo</v>
          </cell>
        </row>
        <row r="3180">
          <cell r="D3180" t="str">
            <v>19</v>
          </cell>
          <cell r="E3180" t="str">
            <v>Guadalajara</v>
          </cell>
          <cell r="F3180" t="str">
            <v>065</v>
          </cell>
          <cell r="G3180" t="str">
            <v>5</v>
          </cell>
          <cell r="H3180" t="str">
            <v>Cantalojas</v>
          </cell>
        </row>
        <row r="3181">
          <cell r="D3181" t="str">
            <v>19</v>
          </cell>
          <cell r="E3181" t="str">
            <v>Guadalajara</v>
          </cell>
          <cell r="F3181" t="str">
            <v>066</v>
          </cell>
          <cell r="G3181" t="str">
            <v>8</v>
          </cell>
          <cell r="H3181" t="str">
            <v>Cañizar</v>
          </cell>
        </row>
        <row r="3182">
          <cell r="D3182" t="str">
            <v>19</v>
          </cell>
          <cell r="E3182" t="str">
            <v>Guadalajara</v>
          </cell>
          <cell r="F3182" t="str">
            <v>067</v>
          </cell>
          <cell r="G3182" t="str">
            <v>4</v>
          </cell>
          <cell r="H3182" t="str">
            <v>Cardoso de la Sierra, El</v>
          </cell>
        </row>
        <row r="3183">
          <cell r="D3183" t="str">
            <v>19</v>
          </cell>
          <cell r="E3183" t="str">
            <v>Guadalajara</v>
          </cell>
          <cell r="F3183" t="str">
            <v>070</v>
          </cell>
          <cell r="G3183" t="str">
            <v>7</v>
          </cell>
          <cell r="H3183" t="str">
            <v>Casa de Uceda</v>
          </cell>
        </row>
        <row r="3184">
          <cell r="D3184" t="str">
            <v>19</v>
          </cell>
          <cell r="E3184" t="str">
            <v>Guadalajara</v>
          </cell>
          <cell r="F3184" t="str">
            <v>071</v>
          </cell>
          <cell r="G3184" t="str">
            <v>4</v>
          </cell>
          <cell r="H3184" t="str">
            <v>Casar, El</v>
          </cell>
        </row>
        <row r="3185">
          <cell r="D3185" t="str">
            <v>19</v>
          </cell>
          <cell r="E3185" t="str">
            <v>Guadalajara</v>
          </cell>
          <cell r="F3185" t="str">
            <v>073</v>
          </cell>
          <cell r="G3185" t="str">
            <v>5</v>
          </cell>
          <cell r="H3185" t="str">
            <v>Casas de San Galindo</v>
          </cell>
        </row>
        <row r="3186">
          <cell r="D3186" t="str">
            <v>19</v>
          </cell>
          <cell r="E3186" t="str">
            <v>Guadalajara</v>
          </cell>
          <cell r="F3186" t="str">
            <v>074</v>
          </cell>
          <cell r="G3186" t="str">
            <v>0</v>
          </cell>
          <cell r="H3186" t="str">
            <v>Caspueñas</v>
          </cell>
        </row>
        <row r="3187">
          <cell r="D3187" t="str">
            <v>19</v>
          </cell>
          <cell r="E3187" t="str">
            <v>Guadalajara</v>
          </cell>
          <cell r="F3187" t="str">
            <v>075</v>
          </cell>
          <cell r="G3187" t="str">
            <v>3</v>
          </cell>
          <cell r="H3187" t="str">
            <v>Castejón de Henares</v>
          </cell>
        </row>
        <row r="3188">
          <cell r="D3188" t="str">
            <v>19</v>
          </cell>
          <cell r="E3188" t="str">
            <v>Guadalajara</v>
          </cell>
          <cell r="F3188" t="str">
            <v>076</v>
          </cell>
          <cell r="G3188" t="str">
            <v>6</v>
          </cell>
          <cell r="H3188" t="str">
            <v>Castellar de la Muela</v>
          </cell>
        </row>
        <row r="3189">
          <cell r="D3189" t="str">
            <v>19</v>
          </cell>
          <cell r="E3189" t="str">
            <v>Guadalajara</v>
          </cell>
          <cell r="F3189" t="str">
            <v>078</v>
          </cell>
          <cell r="G3189" t="str">
            <v>8</v>
          </cell>
          <cell r="H3189" t="str">
            <v>Castilforte</v>
          </cell>
        </row>
        <row r="3190">
          <cell r="D3190" t="str">
            <v>19</v>
          </cell>
          <cell r="E3190" t="str">
            <v>Guadalajara</v>
          </cell>
          <cell r="F3190" t="str">
            <v>079</v>
          </cell>
          <cell r="G3190" t="str">
            <v>1</v>
          </cell>
          <cell r="H3190" t="str">
            <v>Castilnuevo</v>
          </cell>
        </row>
        <row r="3191">
          <cell r="D3191" t="str">
            <v>19</v>
          </cell>
          <cell r="E3191" t="str">
            <v>Guadalajara</v>
          </cell>
          <cell r="F3191" t="str">
            <v>080</v>
          </cell>
          <cell r="G3191" t="str">
            <v>5</v>
          </cell>
          <cell r="H3191" t="str">
            <v>Cendejas de Enmedio</v>
          </cell>
        </row>
        <row r="3192">
          <cell r="D3192" t="str">
            <v>19</v>
          </cell>
          <cell r="E3192" t="str">
            <v>Guadalajara</v>
          </cell>
          <cell r="F3192" t="str">
            <v>081</v>
          </cell>
          <cell r="G3192" t="str">
            <v>2</v>
          </cell>
          <cell r="H3192" t="str">
            <v>Cendejas de la Torre</v>
          </cell>
        </row>
        <row r="3193">
          <cell r="D3193" t="str">
            <v>19</v>
          </cell>
          <cell r="E3193" t="str">
            <v>Guadalajara</v>
          </cell>
          <cell r="F3193" t="str">
            <v>082</v>
          </cell>
          <cell r="G3193" t="str">
            <v>7</v>
          </cell>
          <cell r="H3193" t="str">
            <v>Centenera</v>
          </cell>
        </row>
        <row r="3194">
          <cell r="D3194" t="str">
            <v>19</v>
          </cell>
          <cell r="E3194" t="str">
            <v>Guadalajara</v>
          </cell>
          <cell r="F3194" t="str">
            <v>086</v>
          </cell>
          <cell r="G3194" t="str">
            <v>4</v>
          </cell>
          <cell r="H3194" t="str">
            <v>Cifuentes</v>
          </cell>
        </row>
        <row r="3195">
          <cell r="D3195" t="str">
            <v>19</v>
          </cell>
          <cell r="E3195" t="str">
            <v>Guadalajara</v>
          </cell>
          <cell r="F3195" t="str">
            <v>087</v>
          </cell>
          <cell r="G3195" t="str">
            <v>0</v>
          </cell>
          <cell r="H3195" t="str">
            <v>Cincovillas</v>
          </cell>
        </row>
        <row r="3196">
          <cell r="D3196" t="str">
            <v>19</v>
          </cell>
          <cell r="E3196" t="str">
            <v>Guadalajara</v>
          </cell>
          <cell r="F3196" t="str">
            <v>088</v>
          </cell>
          <cell r="G3196" t="str">
            <v>6</v>
          </cell>
          <cell r="H3196" t="str">
            <v>Ciruelas</v>
          </cell>
        </row>
        <row r="3197">
          <cell r="D3197" t="str">
            <v>19</v>
          </cell>
          <cell r="E3197" t="str">
            <v>Guadalajara</v>
          </cell>
          <cell r="F3197" t="str">
            <v>089</v>
          </cell>
          <cell r="G3197" t="str">
            <v>9</v>
          </cell>
          <cell r="H3197" t="str">
            <v>Ciruelos del Pinar</v>
          </cell>
        </row>
        <row r="3198">
          <cell r="D3198" t="str">
            <v>19</v>
          </cell>
          <cell r="E3198" t="str">
            <v>Guadalajara</v>
          </cell>
          <cell r="F3198" t="str">
            <v>090</v>
          </cell>
          <cell r="G3198" t="str">
            <v>3</v>
          </cell>
          <cell r="H3198" t="str">
            <v>Cobeta</v>
          </cell>
        </row>
        <row r="3199">
          <cell r="D3199" t="str">
            <v>19</v>
          </cell>
          <cell r="E3199" t="str">
            <v>Guadalajara</v>
          </cell>
          <cell r="F3199" t="str">
            <v>091</v>
          </cell>
          <cell r="G3199" t="str">
            <v>0</v>
          </cell>
          <cell r="H3199" t="str">
            <v>Cogollor</v>
          </cell>
        </row>
        <row r="3200">
          <cell r="D3200" t="str">
            <v>19</v>
          </cell>
          <cell r="E3200" t="str">
            <v>Guadalajara</v>
          </cell>
          <cell r="F3200" t="str">
            <v>092</v>
          </cell>
          <cell r="G3200" t="str">
            <v>5</v>
          </cell>
          <cell r="H3200" t="str">
            <v>Cogolludo</v>
          </cell>
        </row>
        <row r="3201">
          <cell r="D3201" t="str">
            <v>19</v>
          </cell>
          <cell r="E3201" t="str">
            <v>Guadalajara</v>
          </cell>
          <cell r="F3201" t="str">
            <v>095</v>
          </cell>
          <cell r="G3201" t="str">
            <v>9</v>
          </cell>
          <cell r="H3201" t="str">
            <v>Condemios de Abajo</v>
          </cell>
        </row>
        <row r="3202">
          <cell r="D3202" t="str">
            <v>19</v>
          </cell>
          <cell r="E3202" t="str">
            <v>Guadalajara</v>
          </cell>
          <cell r="F3202" t="str">
            <v>096</v>
          </cell>
          <cell r="G3202" t="str">
            <v>2</v>
          </cell>
          <cell r="H3202" t="str">
            <v>Condemios de Arriba</v>
          </cell>
        </row>
        <row r="3203">
          <cell r="D3203" t="str">
            <v>19</v>
          </cell>
          <cell r="E3203" t="str">
            <v>Guadalajara</v>
          </cell>
          <cell r="F3203" t="str">
            <v>097</v>
          </cell>
          <cell r="G3203" t="str">
            <v>8</v>
          </cell>
          <cell r="H3203" t="str">
            <v>Congostrina</v>
          </cell>
        </row>
        <row r="3204">
          <cell r="D3204" t="str">
            <v>19</v>
          </cell>
          <cell r="E3204" t="str">
            <v>Guadalajara</v>
          </cell>
          <cell r="F3204" t="str">
            <v>098</v>
          </cell>
          <cell r="G3204" t="str">
            <v>4</v>
          </cell>
          <cell r="H3204" t="str">
            <v>Copernal</v>
          </cell>
        </row>
        <row r="3205">
          <cell r="D3205" t="str">
            <v>19</v>
          </cell>
          <cell r="E3205" t="str">
            <v>Guadalajara</v>
          </cell>
          <cell r="F3205" t="str">
            <v>099</v>
          </cell>
          <cell r="G3205" t="str">
            <v>7</v>
          </cell>
          <cell r="H3205" t="str">
            <v>Corduente</v>
          </cell>
        </row>
        <row r="3206">
          <cell r="D3206" t="str">
            <v>19</v>
          </cell>
          <cell r="E3206" t="str">
            <v>Guadalajara</v>
          </cell>
          <cell r="F3206" t="str">
            <v>102</v>
          </cell>
          <cell r="G3206" t="str">
            <v>3</v>
          </cell>
          <cell r="H3206" t="str">
            <v>Cubillo de Uceda, El</v>
          </cell>
        </row>
        <row r="3207">
          <cell r="D3207" t="str">
            <v>19</v>
          </cell>
          <cell r="E3207" t="str">
            <v>Guadalajara</v>
          </cell>
          <cell r="F3207" t="str">
            <v>103</v>
          </cell>
          <cell r="G3207" t="str">
            <v>9</v>
          </cell>
          <cell r="H3207" t="str">
            <v>Checa</v>
          </cell>
        </row>
        <row r="3208">
          <cell r="D3208" t="str">
            <v>19</v>
          </cell>
          <cell r="E3208" t="str">
            <v>Guadalajara</v>
          </cell>
          <cell r="F3208" t="str">
            <v>104</v>
          </cell>
          <cell r="G3208" t="str">
            <v>4</v>
          </cell>
          <cell r="H3208" t="str">
            <v>Chequilla</v>
          </cell>
        </row>
        <row r="3209">
          <cell r="D3209" t="str">
            <v>19</v>
          </cell>
          <cell r="E3209" t="str">
            <v>Guadalajara</v>
          </cell>
          <cell r="F3209" t="str">
            <v>105</v>
          </cell>
          <cell r="G3209" t="str">
            <v>7</v>
          </cell>
          <cell r="H3209" t="str">
            <v>Chiloeches</v>
          </cell>
        </row>
        <row r="3210">
          <cell r="D3210" t="str">
            <v>19</v>
          </cell>
          <cell r="E3210" t="str">
            <v>Guadalajara</v>
          </cell>
          <cell r="F3210" t="str">
            <v>106</v>
          </cell>
          <cell r="G3210" t="str">
            <v>0</v>
          </cell>
          <cell r="H3210" t="str">
            <v>Chillarón del Rey</v>
          </cell>
        </row>
        <row r="3211">
          <cell r="D3211" t="str">
            <v>19</v>
          </cell>
          <cell r="E3211" t="str">
            <v>Guadalajara</v>
          </cell>
          <cell r="F3211" t="str">
            <v>108</v>
          </cell>
          <cell r="G3211" t="str">
            <v>2</v>
          </cell>
          <cell r="H3211" t="str">
            <v>Durón</v>
          </cell>
        </row>
        <row r="3212">
          <cell r="D3212" t="str">
            <v>19</v>
          </cell>
          <cell r="E3212" t="str">
            <v>Guadalajara</v>
          </cell>
          <cell r="F3212" t="str">
            <v>109</v>
          </cell>
          <cell r="G3212" t="str">
            <v>5</v>
          </cell>
          <cell r="H3212" t="str">
            <v>Embid</v>
          </cell>
        </row>
        <row r="3213">
          <cell r="D3213" t="str">
            <v>19</v>
          </cell>
          <cell r="E3213" t="str">
            <v>Guadalajara</v>
          </cell>
          <cell r="F3213" t="str">
            <v>110</v>
          </cell>
          <cell r="G3213" t="str">
            <v>9</v>
          </cell>
          <cell r="H3213" t="str">
            <v>Escamilla</v>
          </cell>
        </row>
        <row r="3214">
          <cell r="D3214" t="str">
            <v>19</v>
          </cell>
          <cell r="E3214" t="str">
            <v>Guadalajara</v>
          </cell>
          <cell r="F3214" t="str">
            <v>111</v>
          </cell>
          <cell r="G3214" t="str">
            <v>6</v>
          </cell>
          <cell r="H3214" t="str">
            <v>Escariche</v>
          </cell>
        </row>
        <row r="3215">
          <cell r="D3215" t="str">
            <v>19</v>
          </cell>
          <cell r="E3215" t="str">
            <v>Guadalajara</v>
          </cell>
          <cell r="F3215" t="str">
            <v>113</v>
          </cell>
          <cell r="G3215" t="str">
            <v>7</v>
          </cell>
          <cell r="H3215" t="str">
            <v>Espinosa de Henares</v>
          </cell>
        </row>
        <row r="3216">
          <cell r="D3216" t="str">
            <v>19</v>
          </cell>
          <cell r="E3216" t="str">
            <v>Guadalajara</v>
          </cell>
          <cell r="F3216" t="str">
            <v>114</v>
          </cell>
          <cell r="G3216" t="str">
            <v>2</v>
          </cell>
          <cell r="H3216" t="str">
            <v>Esplegares</v>
          </cell>
        </row>
        <row r="3217">
          <cell r="D3217" t="str">
            <v>19</v>
          </cell>
          <cell r="E3217" t="str">
            <v>Guadalajara</v>
          </cell>
          <cell r="F3217" t="str">
            <v>115</v>
          </cell>
          <cell r="G3217" t="str">
            <v>5</v>
          </cell>
          <cell r="H3217" t="str">
            <v>Establés</v>
          </cell>
        </row>
        <row r="3218">
          <cell r="D3218" t="str">
            <v>19</v>
          </cell>
          <cell r="E3218" t="str">
            <v>Guadalajara</v>
          </cell>
          <cell r="F3218" t="str">
            <v>116</v>
          </cell>
          <cell r="G3218" t="str">
            <v>8</v>
          </cell>
          <cell r="H3218" t="str">
            <v>Estriégana</v>
          </cell>
        </row>
        <row r="3219">
          <cell r="D3219" t="str">
            <v>19</v>
          </cell>
          <cell r="E3219" t="str">
            <v>Guadalajara</v>
          </cell>
          <cell r="F3219" t="str">
            <v>117</v>
          </cell>
          <cell r="G3219" t="str">
            <v>4</v>
          </cell>
          <cell r="H3219" t="str">
            <v>Fontanar</v>
          </cell>
        </row>
        <row r="3220">
          <cell r="D3220" t="str">
            <v>19</v>
          </cell>
          <cell r="E3220" t="str">
            <v>Guadalajara</v>
          </cell>
          <cell r="F3220" t="str">
            <v>118</v>
          </cell>
          <cell r="G3220" t="str">
            <v>0</v>
          </cell>
          <cell r="H3220" t="str">
            <v>Fuembellida</v>
          </cell>
        </row>
        <row r="3221">
          <cell r="D3221" t="str">
            <v>19</v>
          </cell>
          <cell r="E3221" t="str">
            <v>Guadalajara</v>
          </cell>
          <cell r="F3221" t="str">
            <v>119</v>
          </cell>
          <cell r="G3221" t="str">
            <v>3</v>
          </cell>
          <cell r="H3221" t="str">
            <v>Fuencemillán</v>
          </cell>
        </row>
        <row r="3222">
          <cell r="D3222" t="str">
            <v>19</v>
          </cell>
          <cell r="E3222" t="str">
            <v>Guadalajara</v>
          </cell>
          <cell r="F3222" t="str">
            <v>120</v>
          </cell>
          <cell r="G3222" t="str">
            <v>7</v>
          </cell>
          <cell r="H3222" t="str">
            <v>Fuentelahiguera de Albatages</v>
          </cell>
        </row>
        <row r="3223">
          <cell r="D3223" t="str">
            <v>19</v>
          </cell>
          <cell r="E3223" t="str">
            <v>Guadalajara</v>
          </cell>
          <cell r="F3223" t="str">
            <v>121</v>
          </cell>
          <cell r="G3223" t="str">
            <v>4</v>
          </cell>
          <cell r="H3223" t="str">
            <v>Fuentelencina</v>
          </cell>
        </row>
        <row r="3224">
          <cell r="D3224" t="str">
            <v>19</v>
          </cell>
          <cell r="E3224" t="str">
            <v>Guadalajara</v>
          </cell>
          <cell r="F3224" t="str">
            <v>122</v>
          </cell>
          <cell r="G3224" t="str">
            <v>9</v>
          </cell>
          <cell r="H3224" t="str">
            <v>Fuentelsaz</v>
          </cell>
        </row>
        <row r="3225">
          <cell r="D3225" t="str">
            <v>19</v>
          </cell>
          <cell r="E3225" t="str">
            <v>Guadalajara</v>
          </cell>
          <cell r="F3225" t="str">
            <v>123</v>
          </cell>
          <cell r="G3225" t="str">
            <v>5</v>
          </cell>
          <cell r="H3225" t="str">
            <v>Fuentelviejo</v>
          </cell>
        </row>
        <row r="3226">
          <cell r="D3226" t="str">
            <v>19</v>
          </cell>
          <cell r="E3226" t="str">
            <v>Guadalajara</v>
          </cell>
          <cell r="F3226" t="str">
            <v>124</v>
          </cell>
          <cell r="G3226" t="str">
            <v>0</v>
          </cell>
          <cell r="H3226" t="str">
            <v>Fuentenovilla</v>
          </cell>
        </row>
        <row r="3227">
          <cell r="D3227" t="str">
            <v>19</v>
          </cell>
          <cell r="E3227" t="str">
            <v>Guadalajara</v>
          </cell>
          <cell r="F3227" t="str">
            <v>125</v>
          </cell>
          <cell r="G3227" t="str">
            <v>3</v>
          </cell>
          <cell r="H3227" t="str">
            <v>Gajanejos</v>
          </cell>
        </row>
        <row r="3228">
          <cell r="D3228" t="str">
            <v>19</v>
          </cell>
          <cell r="E3228" t="str">
            <v>Guadalajara</v>
          </cell>
          <cell r="F3228" t="str">
            <v>126</v>
          </cell>
          <cell r="G3228" t="str">
            <v>6</v>
          </cell>
          <cell r="H3228" t="str">
            <v>Galápagos</v>
          </cell>
        </row>
        <row r="3229">
          <cell r="D3229" t="str">
            <v>19</v>
          </cell>
          <cell r="E3229" t="str">
            <v>Guadalajara</v>
          </cell>
          <cell r="F3229" t="str">
            <v>127</v>
          </cell>
          <cell r="G3229" t="str">
            <v>2</v>
          </cell>
          <cell r="H3229" t="str">
            <v>Galve de Sorbe</v>
          </cell>
        </row>
        <row r="3230">
          <cell r="D3230" t="str">
            <v>19</v>
          </cell>
          <cell r="E3230" t="str">
            <v>Guadalajara</v>
          </cell>
          <cell r="F3230" t="str">
            <v>129</v>
          </cell>
          <cell r="G3230" t="str">
            <v>1</v>
          </cell>
          <cell r="H3230" t="str">
            <v>Gascueña de Bornova</v>
          </cell>
        </row>
        <row r="3231">
          <cell r="D3231" t="str">
            <v>19</v>
          </cell>
          <cell r="E3231" t="str">
            <v>Guadalajara</v>
          </cell>
          <cell r="F3231" t="str">
            <v>130</v>
          </cell>
          <cell r="G3231" t="str">
            <v>5</v>
          </cell>
          <cell r="H3231" t="str">
            <v>Guadalajara</v>
          </cell>
        </row>
        <row r="3232">
          <cell r="D3232" t="str">
            <v>19</v>
          </cell>
          <cell r="E3232" t="str">
            <v>Guadalajara</v>
          </cell>
          <cell r="F3232" t="str">
            <v>132</v>
          </cell>
          <cell r="G3232" t="str">
            <v>7</v>
          </cell>
          <cell r="H3232" t="str">
            <v>Henche</v>
          </cell>
        </row>
        <row r="3233">
          <cell r="D3233" t="str">
            <v>19</v>
          </cell>
          <cell r="E3233" t="str">
            <v>Guadalajara</v>
          </cell>
          <cell r="F3233" t="str">
            <v>133</v>
          </cell>
          <cell r="G3233" t="str">
            <v>3</v>
          </cell>
          <cell r="H3233" t="str">
            <v>Heras de Ayuso</v>
          </cell>
        </row>
        <row r="3234">
          <cell r="D3234" t="str">
            <v>19</v>
          </cell>
          <cell r="E3234" t="str">
            <v>Guadalajara</v>
          </cell>
          <cell r="F3234" t="str">
            <v>134</v>
          </cell>
          <cell r="G3234" t="str">
            <v>8</v>
          </cell>
          <cell r="H3234" t="str">
            <v>Herrería</v>
          </cell>
        </row>
        <row r="3235">
          <cell r="D3235" t="str">
            <v>19</v>
          </cell>
          <cell r="E3235" t="str">
            <v>Guadalajara</v>
          </cell>
          <cell r="F3235" t="str">
            <v>135</v>
          </cell>
          <cell r="G3235" t="str">
            <v>1</v>
          </cell>
          <cell r="H3235" t="str">
            <v>Hiendelaencina</v>
          </cell>
        </row>
        <row r="3236">
          <cell r="D3236" t="str">
            <v>19</v>
          </cell>
          <cell r="E3236" t="str">
            <v>Guadalajara</v>
          </cell>
          <cell r="F3236" t="str">
            <v>136</v>
          </cell>
          <cell r="G3236" t="str">
            <v>4</v>
          </cell>
          <cell r="H3236" t="str">
            <v>Hijes</v>
          </cell>
        </row>
        <row r="3237">
          <cell r="D3237" t="str">
            <v>19</v>
          </cell>
          <cell r="E3237" t="str">
            <v>Guadalajara</v>
          </cell>
          <cell r="F3237" t="str">
            <v>138</v>
          </cell>
          <cell r="G3237" t="str">
            <v>6</v>
          </cell>
          <cell r="H3237" t="str">
            <v>Hita</v>
          </cell>
        </row>
        <row r="3238">
          <cell r="D3238" t="str">
            <v>19</v>
          </cell>
          <cell r="E3238" t="str">
            <v>Guadalajara</v>
          </cell>
          <cell r="F3238" t="str">
            <v>139</v>
          </cell>
          <cell r="G3238" t="str">
            <v>9</v>
          </cell>
          <cell r="H3238" t="str">
            <v>Hombrados</v>
          </cell>
        </row>
        <row r="3239">
          <cell r="D3239" t="str">
            <v>19</v>
          </cell>
          <cell r="E3239" t="str">
            <v>Guadalajara</v>
          </cell>
          <cell r="F3239" t="str">
            <v>142</v>
          </cell>
          <cell r="G3239" t="str">
            <v>5</v>
          </cell>
          <cell r="H3239" t="str">
            <v>Hontoba</v>
          </cell>
        </row>
        <row r="3240">
          <cell r="D3240" t="str">
            <v>19</v>
          </cell>
          <cell r="E3240" t="str">
            <v>Guadalajara</v>
          </cell>
          <cell r="F3240" t="str">
            <v>143</v>
          </cell>
          <cell r="G3240" t="str">
            <v>1</v>
          </cell>
          <cell r="H3240" t="str">
            <v>Horche</v>
          </cell>
        </row>
        <row r="3241">
          <cell r="D3241" t="str">
            <v>19</v>
          </cell>
          <cell r="E3241" t="str">
            <v>Guadalajara</v>
          </cell>
          <cell r="F3241" t="str">
            <v>145</v>
          </cell>
          <cell r="G3241" t="str">
            <v>9</v>
          </cell>
          <cell r="H3241" t="str">
            <v>Hortezuela de Océn</v>
          </cell>
        </row>
        <row r="3242">
          <cell r="D3242" t="str">
            <v>19</v>
          </cell>
          <cell r="E3242" t="str">
            <v>Guadalajara</v>
          </cell>
          <cell r="F3242" t="str">
            <v>146</v>
          </cell>
          <cell r="G3242" t="str">
            <v>2</v>
          </cell>
          <cell r="H3242" t="str">
            <v>Huerce, La</v>
          </cell>
        </row>
        <row r="3243">
          <cell r="D3243" t="str">
            <v>19</v>
          </cell>
          <cell r="E3243" t="str">
            <v>Guadalajara</v>
          </cell>
          <cell r="F3243" t="str">
            <v>147</v>
          </cell>
          <cell r="G3243" t="str">
            <v>8</v>
          </cell>
          <cell r="H3243" t="str">
            <v>Huérmeces del Cerro</v>
          </cell>
        </row>
        <row r="3244">
          <cell r="D3244" t="str">
            <v>19</v>
          </cell>
          <cell r="E3244" t="str">
            <v>Guadalajara</v>
          </cell>
          <cell r="F3244" t="str">
            <v>148</v>
          </cell>
          <cell r="G3244" t="str">
            <v>4</v>
          </cell>
          <cell r="H3244" t="str">
            <v>Huertahernando</v>
          </cell>
        </row>
        <row r="3245">
          <cell r="D3245" t="str">
            <v>19</v>
          </cell>
          <cell r="E3245" t="str">
            <v>Guadalajara</v>
          </cell>
          <cell r="F3245" t="str">
            <v>151</v>
          </cell>
          <cell r="G3245" t="str">
            <v>7</v>
          </cell>
          <cell r="H3245" t="str">
            <v>Humanes</v>
          </cell>
        </row>
        <row r="3246">
          <cell r="D3246" t="str">
            <v>19</v>
          </cell>
          <cell r="E3246" t="str">
            <v>Guadalajara</v>
          </cell>
          <cell r="F3246" t="str">
            <v>153</v>
          </cell>
          <cell r="G3246" t="str">
            <v>8</v>
          </cell>
          <cell r="H3246" t="str">
            <v>Iniéstola</v>
          </cell>
        </row>
        <row r="3247">
          <cell r="D3247" t="str">
            <v>19</v>
          </cell>
          <cell r="E3247" t="str">
            <v>Guadalajara</v>
          </cell>
          <cell r="F3247" t="str">
            <v>154</v>
          </cell>
          <cell r="G3247" t="str">
            <v>3</v>
          </cell>
          <cell r="H3247" t="str">
            <v>Inviernas, Las</v>
          </cell>
        </row>
        <row r="3248">
          <cell r="D3248" t="str">
            <v>19</v>
          </cell>
          <cell r="E3248" t="str">
            <v>Guadalajara</v>
          </cell>
          <cell r="F3248" t="str">
            <v>155</v>
          </cell>
          <cell r="G3248" t="str">
            <v>6</v>
          </cell>
          <cell r="H3248" t="str">
            <v>Irueste</v>
          </cell>
        </row>
        <row r="3249">
          <cell r="D3249" t="str">
            <v>19</v>
          </cell>
          <cell r="E3249" t="str">
            <v>Guadalajara</v>
          </cell>
          <cell r="F3249" t="str">
            <v>156</v>
          </cell>
          <cell r="G3249" t="str">
            <v>9</v>
          </cell>
          <cell r="H3249" t="str">
            <v>Jadraque</v>
          </cell>
        </row>
        <row r="3250">
          <cell r="D3250" t="str">
            <v>19</v>
          </cell>
          <cell r="E3250" t="str">
            <v>Guadalajara</v>
          </cell>
          <cell r="F3250" t="str">
            <v>157</v>
          </cell>
          <cell r="G3250" t="str">
            <v>5</v>
          </cell>
          <cell r="H3250" t="str">
            <v>Jirueque</v>
          </cell>
        </row>
        <row r="3251">
          <cell r="D3251" t="str">
            <v>19</v>
          </cell>
          <cell r="E3251" t="str">
            <v>Guadalajara</v>
          </cell>
          <cell r="F3251" t="str">
            <v>159</v>
          </cell>
          <cell r="G3251" t="str">
            <v>4</v>
          </cell>
          <cell r="H3251" t="str">
            <v>Ledanca</v>
          </cell>
        </row>
        <row r="3252">
          <cell r="D3252" t="str">
            <v>19</v>
          </cell>
          <cell r="E3252" t="str">
            <v>Guadalajara</v>
          </cell>
          <cell r="F3252" t="str">
            <v>160</v>
          </cell>
          <cell r="G3252" t="str">
            <v>8</v>
          </cell>
          <cell r="H3252" t="str">
            <v>Loranca de Tajuña</v>
          </cell>
        </row>
        <row r="3253">
          <cell r="D3253" t="str">
            <v>19</v>
          </cell>
          <cell r="E3253" t="str">
            <v>Guadalajara</v>
          </cell>
          <cell r="F3253" t="str">
            <v>161</v>
          </cell>
          <cell r="G3253" t="str">
            <v>5</v>
          </cell>
          <cell r="H3253" t="str">
            <v>Lupiana</v>
          </cell>
        </row>
        <row r="3254">
          <cell r="D3254" t="str">
            <v>19</v>
          </cell>
          <cell r="E3254" t="str">
            <v>Guadalajara</v>
          </cell>
          <cell r="F3254" t="str">
            <v>162</v>
          </cell>
          <cell r="G3254" t="str">
            <v>0</v>
          </cell>
          <cell r="H3254" t="str">
            <v>Luzaga</v>
          </cell>
        </row>
        <row r="3255">
          <cell r="D3255" t="str">
            <v>19</v>
          </cell>
          <cell r="E3255" t="str">
            <v>Guadalajara</v>
          </cell>
          <cell r="F3255" t="str">
            <v>163</v>
          </cell>
          <cell r="G3255" t="str">
            <v>6</v>
          </cell>
          <cell r="H3255" t="str">
            <v>Luzón</v>
          </cell>
        </row>
        <row r="3256">
          <cell r="D3256" t="str">
            <v>19</v>
          </cell>
          <cell r="E3256" t="str">
            <v>Guadalajara</v>
          </cell>
          <cell r="F3256" t="str">
            <v>165</v>
          </cell>
          <cell r="G3256" t="str">
            <v>4</v>
          </cell>
          <cell r="H3256" t="str">
            <v>Majaelrayo</v>
          </cell>
        </row>
        <row r="3257">
          <cell r="D3257" t="str">
            <v>19</v>
          </cell>
          <cell r="E3257" t="str">
            <v>Guadalajara</v>
          </cell>
          <cell r="F3257" t="str">
            <v>166</v>
          </cell>
          <cell r="G3257" t="str">
            <v>7</v>
          </cell>
          <cell r="H3257" t="str">
            <v>Málaga del Fresno</v>
          </cell>
        </row>
        <row r="3258">
          <cell r="D3258" t="str">
            <v>19</v>
          </cell>
          <cell r="E3258" t="str">
            <v>Guadalajara</v>
          </cell>
          <cell r="F3258" t="str">
            <v>167</v>
          </cell>
          <cell r="G3258" t="str">
            <v>3</v>
          </cell>
          <cell r="H3258" t="str">
            <v>Malaguilla</v>
          </cell>
        </row>
        <row r="3259">
          <cell r="D3259" t="str">
            <v>19</v>
          </cell>
          <cell r="E3259" t="str">
            <v>Guadalajara</v>
          </cell>
          <cell r="F3259" t="str">
            <v>168</v>
          </cell>
          <cell r="G3259" t="str">
            <v>9</v>
          </cell>
          <cell r="H3259" t="str">
            <v>Mandayona</v>
          </cell>
        </row>
        <row r="3260">
          <cell r="D3260" t="str">
            <v>19</v>
          </cell>
          <cell r="E3260" t="str">
            <v>Guadalajara</v>
          </cell>
          <cell r="F3260" t="str">
            <v>169</v>
          </cell>
          <cell r="G3260" t="str">
            <v>2</v>
          </cell>
          <cell r="H3260" t="str">
            <v>Mantiel</v>
          </cell>
        </row>
        <row r="3261">
          <cell r="D3261" t="str">
            <v>19</v>
          </cell>
          <cell r="E3261" t="str">
            <v>Guadalajara</v>
          </cell>
          <cell r="F3261" t="str">
            <v>170</v>
          </cell>
          <cell r="G3261" t="str">
            <v>6</v>
          </cell>
          <cell r="H3261" t="str">
            <v>Maranchón</v>
          </cell>
        </row>
        <row r="3262">
          <cell r="D3262" t="str">
            <v>19</v>
          </cell>
          <cell r="E3262" t="str">
            <v>Guadalajara</v>
          </cell>
          <cell r="F3262" t="str">
            <v>171</v>
          </cell>
          <cell r="G3262" t="str">
            <v>3</v>
          </cell>
          <cell r="H3262" t="str">
            <v>Marchamalo</v>
          </cell>
        </row>
        <row r="3263">
          <cell r="D3263" t="str">
            <v>19</v>
          </cell>
          <cell r="E3263" t="str">
            <v>Guadalajara</v>
          </cell>
          <cell r="F3263" t="str">
            <v>172</v>
          </cell>
          <cell r="G3263" t="str">
            <v>8</v>
          </cell>
          <cell r="H3263" t="str">
            <v>Masegoso de Tajuña</v>
          </cell>
        </row>
        <row r="3264">
          <cell r="D3264" t="str">
            <v>19</v>
          </cell>
          <cell r="E3264" t="str">
            <v>Guadalajara</v>
          </cell>
          <cell r="F3264" t="str">
            <v>173</v>
          </cell>
          <cell r="G3264" t="str">
            <v>4</v>
          </cell>
          <cell r="H3264" t="str">
            <v>Matarrubia</v>
          </cell>
        </row>
        <row r="3265">
          <cell r="D3265" t="str">
            <v>19</v>
          </cell>
          <cell r="E3265" t="str">
            <v>Guadalajara</v>
          </cell>
          <cell r="F3265" t="str">
            <v>174</v>
          </cell>
          <cell r="G3265" t="str">
            <v>9</v>
          </cell>
          <cell r="H3265" t="str">
            <v>Matillas</v>
          </cell>
        </row>
        <row r="3266">
          <cell r="D3266" t="str">
            <v>19</v>
          </cell>
          <cell r="E3266" t="str">
            <v>Guadalajara</v>
          </cell>
          <cell r="F3266" t="str">
            <v>175</v>
          </cell>
          <cell r="G3266" t="str">
            <v>2</v>
          </cell>
          <cell r="H3266" t="str">
            <v>Mazarete</v>
          </cell>
        </row>
        <row r="3267">
          <cell r="D3267" t="str">
            <v>19</v>
          </cell>
          <cell r="E3267" t="str">
            <v>Guadalajara</v>
          </cell>
          <cell r="F3267" t="str">
            <v>177</v>
          </cell>
          <cell r="G3267" t="str">
            <v>1</v>
          </cell>
          <cell r="H3267" t="str">
            <v>Medranda</v>
          </cell>
        </row>
        <row r="3268">
          <cell r="D3268" t="str">
            <v>19</v>
          </cell>
          <cell r="E3268" t="str">
            <v>Guadalajara</v>
          </cell>
          <cell r="F3268" t="str">
            <v>178</v>
          </cell>
          <cell r="G3268" t="str">
            <v>7</v>
          </cell>
          <cell r="H3268" t="str">
            <v>Megina</v>
          </cell>
        </row>
        <row r="3269">
          <cell r="D3269" t="str">
            <v>19</v>
          </cell>
          <cell r="E3269" t="str">
            <v>Guadalajara</v>
          </cell>
          <cell r="F3269" t="str">
            <v>179</v>
          </cell>
          <cell r="G3269" t="str">
            <v>0</v>
          </cell>
          <cell r="H3269" t="str">
            <v>Membrillera</v>
          </cell>
        </row>
        <row r="3270">
          <cell r="D3270" t="str">
            <v>19</v>
          </cell>
          <cell r="E3270" t="str">
            <v>Guadalajara</v>
          </cell>
          <cell r="F3270" t="str">
            <v>181</v>
          </cell>
          <cell r="G3270" t="str">
            <v>1</v>
          </cell>
          <cell r="H3270" t="str">
            <v>Miedes de Atienza</v>
          </cell>
        </row>
        <row r="3271">
          <cell r="D3271" t="str">
            <v>19</v>
          </cell>
          <cell r="E3271" t="str">
            <v>Guadalajara</v>
          </cell>
          <cell r="F3271" t="str">
            <v>182</v>
          </cell>
          <cell r="G3271" t="str">
            <v>6</v>
          </cell>
          <cell r="H3271" t="str">
            <v>Mierla, La</v>
          </cell>
        </row>
        <row r="3272">
          <cell r="D3272" t="str">
            <v>19</v>
          </cell>
          <cell r="E3272" t="str">
            <v>Guadalajara</v>
          </cell>
          <cell r="F3272" t="str">
            <v>183</v>
          </cell>
          <cell r="G3272" t="str">
            <v>2</v>
          </cell>
          <cell r="H3272" t="str">
            <v>Milmarcos</v>
          </cell>
        </row>
        <row r="3273">
          <cell r="D3273" t="str">
            <v>19</v>
          </cell>
          <cell r="E3273" t="str">
            <v>Guadalajara</v>
          </cell>
          <cell r="F3273" t="str">
            <v>184</v>
          </cell>
          <cell r="G3273" t="str">
            <v>7</v>
          </cell>
          <cell r="H3273" t="str">
            <v>Millana</v>
          </cell>
        </row>
        <row r="3274">
          <cell r="D3274" t="str">
            <v>19</v>
          </cell>
          <cell r="E3274" t="str">
            <v>Guadalajara</v>
          </cell>
          <cell r="F3274" t="str">
            <v>185</v>
          </cell>
          <cell r="G3274" t="str">
            <v>0</v>
          </cell>
          <cell r="H3274" t="str">
            <v>Miñosa, La</v>
          </cell>
        </row>
        <row r="3275">
          <cell r="D3275" t="str">
            <v>19</v>
          </cell>
          <cell r="E3275" t="str">
            <v>Guadalajara</v>
          </cell>
          <cell r="F3275" t="str">
            <v>186</v>
          </cell>
          <cell r="G3275" t="str">
            <v>3</v>
          </cell>
          <cell r="H3275" t="str">
            <v>Mirabueno</v>
          </cell>
        </row>
        <row r="3276">
          <cell r="D3276" t="str">
            <v>19</v>
          </cell>
          <cell r="E3276" t="str">
            <v>Guadalajara</v>
          </cell>
          <cell r="F3276" t="str">
            <v>187</v>
          </cell>
          <cell r="G3276" t="str">
            <v>9</v>
          </cell>
          <cell r="H3276" t="str">
            <v>Miralrío</v>
          </cell>
        </row>
        <row r="3277">
          <cell r="D3277" t="str">
            <v>19</v>
          </cell>
          <cell r="E3277" t="str">
            <v>Guadalajara</v>
          </cell>
          <cell r="F3277" t="str">
            <v>188</v>
          </cell>
          <cell r="G3277" t="str">
            <v>5</v>
          </cell>
          <cell r="H3277" t="str">
            <v>Mochales</v>
          </cell>
        </row>
        <row r="3278">
          <cell r="D3278" t="str">
            <v>19</v>
          </cell>
          <cell r="E3278" t="str">
            <v>Guadalajara</v>
          </cell>
          <cell r="F3278" t="str">
            <v>189</v>
          </cell>
          <cell r="G3278" t="str">
            <v>8</v>
          </cell>
          <cell r="H3278" t="str">
            <v>Mohernando</v>
          </cell>
        </row>
        <row r="3279">
          <cell r="D3279" t="str">
            <v>19</v>
          </cell>
          <cell r="E3279" t="str">
            <v>Guadalajara</v>
          </cell>
          <cell r="F3279" t="str">
            <v>190</v>
          </cell>
          <cell r="G3279" t="str">
            <v>2</v>
          </cell>
          <cell r="H3279" t="str">
            <v>Molina de Aragón</v>
          </cell>
        </row>
        <row r="3280">
          <cell r="D3280" t="str">
            <v>19</v>
          </cell>
          <cell r="E3280" t="str">
            <v>Guadalajara</v>
          </cell>
          <cell r="F3280" t="str">
            <v>191</v>
          </cell>
          <cell r="G3280" t="str">
            <v>9</v>
          </cell>
          <cell r="H3280" t="str">
            <v>Monasterio</v>
          </cell>
        </row>
        <row r="3281">
          <cell r="D3281" t="str">
            <v>19</v>
          </cell>
          <cell r="E3281" t="str">
            <v>Guadalajara</v>
          </cell>
          <cell r="F3281" t="str">
            <v>193</v>
          </cell>
          <cell r="G3281" t="str">
            <v>0</v>
          </cell>
          <cell r="H3281" t="str">
            <v>Montarrón</v>
          </cell>
        </row>
        <row r="3282">
          <cell r="D3282" t="str">
            <v>19</v>
          </cell>
          <cell r="E3282" t="str">
            <v>Guadalajara</v>
          </cell>
          <cell r="F3282" t="str">
            <v>194</v>
          </cell>
          <cell r="G3282" t="str">
            <v>5</v>
          </cell>
          <cell r="H3282" t="str">
            <v>Moratilla de los Meleros</v>
          </cell>
        </row>
        <row r="3283">
          <cell r="D3283" t="str">
            <v>19</v>
          </cell>
          <cell r="E3283" t="str">
            <v>Guadalajara</v>
          </cell>
          <cell r="F3283" t="str">
            <v>195</v>
          </cell>
          <cell r="G3283" t="str">
            <v>8</v>
          </cell>
          <cell r="H3283" t="str">
            <v>Morenilla</v>
          </cell>
        </row>
        <row r="3284">
          <cell r="D3284" t="str">
            <v>19</v>
          </cell>
          <cell r="E3284" t="str">
            <v>Guadalajara</v>
          </cell>
          <cell r="F3284" t="str">
            <v>196</v>
          </cell>
          <cell r="G3284" t="str">
            <v>1</v>
          </cell>
          <cell r="H3284" t="str">
            <v>Muduex</v>
          </cell>
        </row>
        <row r="3285">
          <cell r="D3285" t="str">
            <v>19</v>
          </cell>
          <cell r="E3285" t="str">
            <v>Guadalajara</v>
          </cell>
          <cell r="F3285" t="str">
            <v>197</v>
          </cell>
          <cell r="G3285" t="str">
            <v>7</v>
          </cell>
          <cell r="H3285" t="str">
            <v>Navas de Jadraque, Las</v>
          </cell>
        </row>
        <row r="3286">
          <cell r="D3286" t="str">
            <v>19</v>
          </cell>
          <cell r="E3286" t="str">
            <v>Guadalajara</v>
          </cell>
          <cell r="F3286" t="str">
            <v>198</v>
          </cell>
          <cell r="G3286" t="str">
            <v>3</v>
          </cell>
          <cell r="H3286" t="str">
            <v>Negredo</v>
          </cell>
        </row>
        <row r="3287">
          <cell r="D3287" t="str">
            <v>19</v>
          </cell>
          <cell r="E3287" t="str">
            <v>Guadalajara</v>
          </cell>
          <cell r="F3287" t="str">
            <v>199</v>
          </cell>
          <cell r="G3287" t="str">
            <v>6</v>
          </cell>
          <cell r="H3287" t="str">
            <v>Ocentejo</v>
          </cell>
        </row>
        <row r="3288">
          <cell r="D3288" t="str">
            <v>19</v>
          </cell>
          <cell r="E3288" t="str">
            <v>Guadalajara</v>
          </cell>
          <cell r="F3288" t="str">
            <v>200</v>
          </cell>
          <cell r="G3288" t="str">
            <v>0</v>
          </cell>
          <cell r="H3288" t="str">
            <v>Olivar, El</v>
          </cell>
        </row>
        <row r="3289">
          <cell r="D3289" t="str">
            <v>19</v>
          </cell>
          <cell r="E3289" t="str">
            <v>Guadalajara</v>
          </cell>
          <cell r="F3289" t="str">
            <v>201</v>
          </cell>
          <cell r="G3289" t="str">
            <v>7</v>
          </cell>
          <cell r="H3289" t="str">
            <v>Olmeda de Cobeta</v>
          </cell>
        </row>
        <row r="3290">
          <cell r="D3290" t="str">
            <v>19</v>
          </cell>
          <cell r="E3290" t="str">
            <v>Guadalajara</v>
          </cell>
          <cell r="F3290" t="str">
            <v>202</v>
          </cell>
          <cell r="G3290" t="str">
            <v>2</v>
          </cell>
          <cell r="H3290" t="str">
            <v>Olmeda de Jadraque, La</v>
          </cell>
        </row>
        <row r="3291">
          <cell r="D3291" t="str">
            <v>19</v>
          </cell>
          <cell r="E3291" t="str">
            <v>Guadalajara</v>
          </cell>
          <cell r="F3291" t="str">
            <v>203</v>
          </cell>
          <cell r="G3291" t="str">
            <v>8</v>
          </cell>
          <cell r="H3291" t="str">
            <v>Ordial, El</v>
          </cell>
        </row>
        <row r="3292">
          <cell r="D3292" t="str">
            <v>19</v>
          </cell>
          <cell r="E3292" t="str">
            <v>Guadalajara</v>
          </cell>
          <cell r="F3292" t="str">
            <v>204</v>
          </cell>
          <cell r="G3292" t="str">
            <v>3</v>
          </cell>
          <cell r="H3292" t="str">
            <v>Orea</v>
          </cell>
        </row>
        <row r="3293">
          <cell r="D3293" t="str">
            <v>19</v>
          </cell>
          <cell r="E3293" t="str">
            <v>Guadalajara</v>
          </cell>
          <cell r="F3293" t="str">
            <v>208</v>
          </cell>
          <cell r="G3293" t="str">
            <v>1</v>
          </cell>
          <cell r="H3293" t="str">
            <v>Pálmaces de Jadraque</v>
          </cell>
        </row>
        <row r="3294">
          <cell r="D3294" t="str">
            <v>19</v>
          </cell>
          <cell r="E3294" t="str">
            <v>Guadalajara</v>
          </cell>
          <cell r="F3294" t="str">
            <v>209</v>
          </cell>
          <cell r="G3294" t="str">
            <v>4</v>
          </cell>
          <cell r="H3294" t="str">
            <v>Pardos</v>
          </cell>
        </row>
        <row r="3295">
          <cell r="D3295" t="str">
            <v>19</v>
          </cell>
          <cell r="E3295" t="str">
            <v>Guadalajara</v>
          </cell>
          <cell r="F3295" t="str">
            <v>210</v>
          </cell>
          <cell r="G3295" t="str">
            <v>8</v>
          </cell>
          <cell r="H3295" t="str">
            <v>Paredes de Sigüenza</v>
          </cell>
        </row>
        <row r="3296">
          <cell r="D3296" t="str">
            <v>19</v>
          </cell>
          <cell r="E3296" t="str">
            <v>Guadalajara</v>
          </cell>
          <cell r="F3296" t="str">
            <v>211</v>
          </cell>
          <cell r="G3296" t="str">
            <v>5</v>
          </cell>
          <cell r="H3296" t="str">
            <v>Pareja</v>
          </cell>
        </row>
        <row r="3297">
          <cell r="D3297" t="str">
            <v>19</v>
          </cell>
          <cell r="E3297" t="str">
            <v>Guadalajara</v>
          </cell>
          <cell r="F3297" t="str">
            <v>213</v>
          </cell>
          <cell r="G3297" t="str">
            <v>6</v>
          </cell>
          <cell r="H3297" t="str">
            <v>Pedregal, El</v>
          </cell>
        </row>
        <row r="3298">
          <cell r="D3298" t="str">
            <v>19</v>
          </cell>
          <cell r="E3298" t="str">
            <v>Guadalajara</v>
          </cell>
          <cell r="F3298" t="str">
            <v>214</v>
          </cell>
          <cell r="G3298" t="str">
            <v>1</v>
          </cell>
          <cell r="H3298" t="str">
            <v>Peñalén</v>
          </cell>
        </row>
        <row r="3299">
          <cell r="D3299" t="str">
            <v>19</v>
          </cell>
          <cell r="E3299" t="str">
            <v>Guadalajara</v>
          </cell>
          <cell r="F3299" t="str">
            <v>215</v>
          </cell>
          <cell r="G3299" t="str">
            <v>4</v>
          </cell>
          <cell r="H3299" t="str">
            <v>Peñalver</v>
          </cell>
        </row>
        <row r="3300">
          <cell r="D3300" t="str">
            <v>19</v>
          </cell>
          <cell r="E3300" t="str">
            <v>Guadalajara</v>
          </cell>
          <cell r="F3300" t="str">
            <v>216</v>
          </cell>
          <cell r="G3300" t="str">
            <v>7</v>
          </cell>
          <cell r="H3300" t="str">
            <v>Peralejos de las Truchas</v>
          </cell>
        </row>
        <row r="3301">
          <cell r="D3301" t="str">
            <v>19</v>
          </cell>
          <cell r="E3301" t="str">
            <v>Guadalajara</v>
          </cell>
          <cell r="F3301" t="str">
            <v>217</v>
          </cell>
          <cell r="G3301" t="str">
            <v>3</v>
          </cell>
          <cell r="H3301" t="str">
            <v>Peralveche</v>
          </cell>
        </row>
        <row r="3302">
          <cell r="D3302" t="str">
            <v>19</v>
          </cell>
          <cell r="E3302" t="str">
            <v>Guadalajara</v>
          </cell>
          <cell r="F3302" t="str">
            <v>218</v>
          </cell>
          <cell r="G3302" t="str">
            <v>9</v>
          </cell>
          <cell r="H3302" t="str">
            <v>Pinilla de Jadraque</v>
          </cell>
        </row>
        <row r="3303">
          <cell r="D3303" t="str">
            <v>19</v>
          </cell>
          <cell r="E3303" t="str">
            <v>Guadalajara</v>
          </cell>
          <cell r="F3303" t="str">
            <v>219</v>
          </cell>
          <cell r="G3303" t="str">
            <v>2</v>
          </cell>
          <cell r="H3303" t="str">
            <v>Pinilla de Molina</v>
          </cell>
        </row>
        <row r="3304">
          <cell r="D3304" t="str">
            <v>19</v>
          </cell>
          <cell r="E3304" t="str">
            <v>Guadalajara</v>
          </cell>
          <cell r="F3304" t="str">
            <v>220</v>
          </cell>
          <cell r="G3304" t="str">
            <v>6</v>
          </cell>
          <cell r="H3304" t="str">
            <v>Pioz</v>
          </cell>
        </row>
        <row r="3305">
          <cell r="D3305" t="str">
            <v>19</v>
          </cell>
          <cell r="E3305" t="str">
            <v>Guadalajara</v>
          </cell>
          <cell r="F3305" t="str">
            <v>221</v>
          </cell>
          <cell r="G3305" t="str">
            <v>3</v>
          </cell>
          <cell r="H3305" t="str">
            <v>Piqueras</v>
          </cell>
        </row>
        <row r="3306">
          <cell r="D3306" t="str">
            <v>19</v>
          </cell>
          <cell r="E3306" t="str">
            <v>Guadalajara</v>
          </cell>
          <cell r="F3306" t="str">
            <v>222</v>
          </cell>
          <cell r="G3306" t="str">
            <v>8</v>
          </cell>
          <cell r="H3306" t="str">
            <v>Pobo de Dueñas, El</v>
          </cell>
        </row>
        <row r="3307">
          <cell r="D3307" t="str">
            <v>19</v>
          </cell>
          <cell r="E3307" t="str">
            <v>Guadalajara</v>
          </cell>
          <cell r="F3307" t="str">
            <v>223</v>
          </cell>
          <cell r="G3307" t="str">
            <v>4</v>
          </cell>
          <cell r="H3307" t="str">
            <v>Poveda de la Sierra</v>
          </cell>
        </row>
        <row r="3308">
          <cell r="D3308" t="str">
            <v>19</v>
          </cell>
          <cell r="E3308" t="str">
            <v>Guadalajara</v>
          </cell>
          <cell r="F3308" t="str">
            <v>225</v>
          </cell>
          <cell r="G3308" t="str">
            <v>2</v>
          </cell>
          <cell r="H3308" t="str">
            <v>Pozo de Guadalajara</v>
          </cell>
        </row>
        <row r="3309">
          <cell r="D3309" t="str">
            <v>19</v>
          </cell>
          <cell r="E3309" t="str">
            <v>Guadalajara</v>
          </cell>
          <cell r="F3309" t="str">
            <v>226</v>
          </cell>
          <cell r="G3309" t="str">
            <v>5</v>
          </cell>
          <cell r="H3309" t="str">
            <v>Prádena de Atienza</v>
          </cell>
        </row>
        <row r="3310">
          <cell r="D3310" t="str">
            <v>19</v>
          </cell>
          <cell r="E3310" t="str">
            <v>Guadalajara</v>
          </cell>
          <cell r="F3310" t="str">
            <v>227</v>
          </cell>
          <cell r="G3310" t="str">
            <v>1</v>
          </cell>
          <cell r="H3310" t="str">
            <v>Prados Redondos</v>
          </cell>
        </row>
        <row r="3311">
          <cell r="D3311" t="str">
            <v>19</v>
          </cell>
          <cell r="E3311" t="str">
            <v>Guadalajara</v>
          </cell>
          <cell r="F3311" t="str">
            <v>228</v>
          </cell>
          <cell r="G3311" t="str">
            <v>7</v>
          </cell>
          <cell r="H3311" t="str">
            <v>Puebla de Beleña</v>
          </cell>
        </row>
        <row r="3312">
          <cell r="D3312" t="str">
            <v>19</v>
          </cell>
          <cell r="E3312" t="str">
            <v>Guadalajara</v>
          </cell>
          <cell r="F3312" t="str">
            <v>229</v>
          </cell>
          <cell r="G3312" t="str">
            <v>0</v>
          </cell>
          <cell r="H3312" t="str">
            <v>Puebla de Valles</v>
          </cell>
        </row>
        <row r="3313">
          <cell r="D3313" t="str">
            <v>19</v>
          </cell>
          <cell r="E3313" t="str">
            <v>Guadalajara</v>
          </cell>
          <cell r="F3313" t="str">
            <v>230</v>
          </cell>
          <cell r="G3313" t="str">
            <v>4</v>
          </cell>
          <cell r="H3313" t="str">
            <v>Quer</v>
          </cell>
        </row>
        <row r="3314">
          <cell r="D3314" t="str">
            <v>19</v>
          </cell>
          <cell r="E3314" t="str">
            <v>Guadalajara</v>
          </cell>
          <cell r="F3314" t="str">
            <v>231</v>
          </cell>
          <cell r="G3314" t="str">
            <v>1</v>
          </cell>
          <cell r="H3314" t="str">
            <v>Rebollosa de Jadraque</v>
          </cell>
        </row>
        <row r="3315">
          <cell r="D3315" t="str">
            <v>19</v>
          </cell>
          <cell r="E3315" t="str">
            <v>Guadalajara</v>
          </cell>
          <cell r="F3315" t="str">
            <v>232</v>
          </cell>
          <cell r="G3315" t="str">
            <v>6</v>
          </cell>
          <cell r="H3315" t="str">
            <v>Recuenco, El</v>
          </cell>
        </row>
        <row r="3316">
          <cell r="D3316" t="str">
            <v>19</v>
          </cell>
          <cell r="E3316" t="str">
            <v>Guadalajara</v>
          </cell>
          <cell r="F3316" t="str">
            <v>233</v>
          </cell>
          <cell r="G3316" t="str">
            <v>2</v>
          </cell>
          <cell r="H3316" t="str">
            <v>Renera</v>
          </cell>
        </row>
        <row r="3317">
          <cell r="D3317" t="str">
            <v>19</v>
          </cell>
          <cell r="E3317" t="str">
            <v>Guadalajara</v>
          </cell>
          <cell r="F3317" t="str">
            <v>234</v>
          </cell>
          <cell r="G3317" t="str">
            <v>7</v>
          </cell>
          <cell r="H3317" t="str">
            <v>Retiendas</v>
          </cell>
        </row>
        <row r="3318">
          <cell r="D3318" t="str">
            <v>19</v>
          </cell>
          <cell r="E3318" t="str">
            <v>Guadalajara</v>
          </cell>
          <cell r="F3318" t="str">
            <v>235</v>
          </cell>
          <cell r="G3318" t="str">
            <v>0</v>
          </cell>
          <cell r="H3318" t="str">
            <v>Riba de Saelices</v>
          </cell>
        </row>
        <row r="3319">
          <cell r="D3319" t="str">
            <v>19</v>
          </cell>
          <cell r="E3319" t="str">
            <v>Guadalajara</v>
          </cell>
          <cell r="F3319" t="str">
            <v>237</v>
          </cell>
          <cell r="G3319" t="str">
            <v>9</v>
          </cell>
          <cell r="H3319" t="str">
            <v>Rillo de Gallo</v>
          </cell>
        </row>
        <row r="3320">
          <cell r="D3320" t="str">
            <v>19</v>
          </cell>
          <cell r="E3320" t="str">
            <v>Guadalajara</v>
          </cell>
          <cell r="F3320" t="str">
            <v>238</v>
          </cell>
          <cell r="G3320" t="str">
            <v>5</v>
          </cell>
          <cell r="H3320" t="str">
            <v>Riofrío del Llano</v>
          </cell>
        </row>
        <row r="3321">
          <cell r="D3321" t="str">
            <v>19</v>
          </cell>
          <cell r="E3321" t="str">
            <v>Guadalajara</v>
          </cell>
          <cell r="F3321" t="str">
            <v>239</v>
          </cell>
          <cell r="G3321" t="str">
            <v>8</v>
          </cell>
          <cell r="H3321" t="str">
            <v>Robledillo de Mohernando</v>
          </cell>
        </row>
        <row r="3322">
          <cell r="D3322" t="str">
            <v>19</v>
          </cell>
          <cell r="E3322" t="str">
            <v>Guadalajara</v>
          </cell>
          <cell r="F3322" t="str">
            <v>240</v>
          </cell>
          <cell r="G3322" t="str">
            <v>2</v>
          </cell>
          <cell r="H3322" t="str">
            <v>Robledo de Corpes</v>
          </cell>
        </row>
        <row r="3323">
          <cell r="D3323" t="str">
            <v>19</v>
          </cell>
          <cell r="E3323" t="str">
            <v>Guadalajara</v>
          </cell>
          <cell r="F3323" t="str">
            <v>241</v>
          </cell>
          <cell r="G3323" t="str">
            <v>9</v>
          </cell>
          <cell r="H3323" t="str">
            <v>Romanillos de Atienza</v>
          </cell>
        </row>
        <row r="3324">
          <cell r="D3324" t="str">
            <v>19</v>
          </cell>
          <cell r="E3324" t="str">
            <v>Guadalajara</v>
          </cell>
          <cell r="F3324" t="str">
            <v>242</v>
          </cell>
          <cell r="G3324" t="str">
            <v>4</v>
          </cell>
          <cell r="H3324" t="str">
            <v>Romanones</v>
          </cell>
        </row>
        <row r="3325">
          <cell r="D3325" t="str">
            <v>19</v>
          </cell>
          <cell r="E3325" t="str">
            <v>Guadalajara</v>
          </cell>
          <cell r="F3325" t="str">
            <v>243</v>
          </cell>
          <cell r="G3325" t="str">
            <v>0</v>
          </cell>
          <cell r="H3325" t="str">
            <v>Rueda de la Sierra</v>
          </cell>
        </row>
        <row r="3326">
          <cell r="D3326" t="str">
            <v>19</v>
          </cell>
          <cell r="E3326" t="str">
            <v>Guadalajara</v>
          </cell>
          <cell r="F3326" t="str">
            <v>244</v>
          </cell>
          <cell r="G3326" t="str">
            <v>5</v>
          </cell>
          <cell r="H3326" t="str">
            <v>Sacecorbo</v>
          </cell>
        </row>
        <row r="3327">
          <cell r="D3327" t="str">
            <v>19</v>
          </cell>
          <cell r="E3327" t="str">
            <v>Guadalajara</v>
          </cell>
          <cell r="F3327" t="str">
            <v>245</v>
          </cell>
          <cell r="G3327" t="str">
            <v>8</v>
          </cell>
          <cell r="H3327" t="str">
            <v>Sacedón</v>
          </cell>
        </row>
        <row r="3328">
          <cell r="D3328" t="str">
            <v>19</v>
          </cell>
          <cell r="E3328" t="str">
            <v>Guadalajara</v>
          </cell>
          <cell r="F3328" t="str">
            <v>246</v>
          </cell>
          <cell r="G3328" t="str">
            <v>1</v>
          </cell>
          <cell r="H3328" t="str">
            <v>Saelices de la Sal</v>
          </cell>
        </row>
        <row r="3329">
          <cell r="D3329" t="str">
            <v>19</v>
          </cell>
          <cell r="E3329" t="str">
            <v>Guadalajara</v>
          </cell>
          <cell r="F3329" t="str">
            <v>247</v>
          </cell>
          <cell r="G3329" t="str">
            <v>7</v>
          </cell>
          <cell r="H3329" t="str">
            <v>Salmerón</v>
          </cell>
        </row>
        <row r="3330">
          <cell r="D3330" t="str">
            <v>19</v>
          </cell>
          <cell r="E3330" t="str">
            <v>Guadalajara</v>
          </cell>
          <cell r="F3330" t="str">
            <v>248</v>
          </cell>
          <cell r="G3330" t="str">
            <v>3</v>
          </cell>
          <cell r="H3330" t="str">
            <v>San Andrés del Congosto</v>
          </cell>
        </row>
        <row r="3331">
          <cell r="D3331" t="str">
            <v>19</v>
          </cell>
          <cell r="E3331" t="str">
            <v>Guadalajara</v>
          </cell>
          <cell r="F3331" t="str">
            <v>249</v>
          </cell>
          <cell r="G3331" t="str">
            <v>6</v>
          </cell>
          <cell r="H3331" t="str">
            <v>San Andrés del Rey</v>
          </cell>
        </row>
        <row r="3332">
          <cell r="D3332" t="str">
            <v>19</v>
          </cell>
          <cell r="E3332" t="str">
            <v>Guadalajara</v>
          </cell>
          <cell r="F3332" t="str">
            <v>250</v>
          </cell>
          <cell r="G3332" t="str">
            <v>9</v>
          </cell>
          <cell r="H3332" t="str">
            <v>Santiuste</v>
          </cell>
        </row>
        <row r="3333">
          <cell r="D3333" t="str">
            <v>19</v>
          </cell>
          <cell r="E3333" t="str">
            <v>Guadalajara</v>
          </cell>
          <cell r="F3333" t="str">
            <v>251</v>
          </cell>
          <cell r="G3333" t="str">
            <v>6</v>
          </cell>
          <cell r="H3333" t="str">
            <v>Saúca</v>
          </cell>
        </row>
        <row r="3334">
          <cell r="D3334" t="str">
            <v>19</v>
          </cell>
          <cell r="E3334" t="str">
            <v>Guadalajara</v>
          </cell>
          <cell r="F3334" t="str">
            <v>254</v>
          </cell>
          <cell r="G3334" t="str">
            <v>2</v>
          </cell>
          <cell r="H3334" t="str">
            <v>Selas</v>
          </cell>
        </row>
        <row r="3335">
          <cell r="D3335" t="str">
            <v>19</v>
          </cell>
          <cell r="E3335" t="str">
            <v>Guadalajara</v>
          </cell>
          <cell r="F3335" t="str">
            <v>255</v>
          </cell>
          <cell r="G3335" t="str">
            <v>5</v>
          </cell>
          <cell r="H3335" t="str">
            <v>Setiles</v>
          </cell>
        </row>
        <row r="3336">
          <cell r="D3336" t="str">
            <v>19</v>
          </cell>
          <cell r="E3336" t="str">
            <v>Guadalajara</v>
          </cell>
          <cell r="F3336" t="str">
            <v>256</v>
          </cell>
          <cell r="G3336" t="str">
            <v>8</v>
          </cell>
          <cell r="H3336" t="str">
            <v>Sienes</v>
          </cell>
        </row>
        <row r="3337">
          <cell r="D3337" t="str">
            <v>19</v>
          </cell>
          <cell r="E3337" t="str">
            <v>Guadalajara</v>
          </cell>
          <cell r="F3337" t="str">
            <v>257</v>
          </cell>
          <cell r="G3337" t="str">
            <v>4</v>
          </cell>
          <cell r="H3337" t="str">
            <v>Sigüenza</v>
          </cell>
        </row>
        <row r="3338">
          <cell r="D3338" t="str">
            <v>19</v>
          </cell>
          <cell r="E3338" t="str">
            <v>Guadalajara</v>
          </cell>
          <cell r="F3338" t="str">
            <v>258</v>
          </cell>
          <cell r="G3338" t="str">
            <v>0</v>
          </cell>
          <cell r="H3338" t="str">
            <v>Solanillos del Extremo</v>
          </cell>
        </row>
        <row r="3339">
          <cell r="D3339" t="str">
            <v>19</v>
          </cell>
          <cell r="E3339" t="str">
            <v>Guadalajara</v>
          </cell>
          <cell r="F3339" t="str">
            <v>259</v>
          </cell>
          <cell r="G3339" t="str">
            <v>3</v>
          </cell>
          <cell r="H3339" t="str">
            <v>Somolinos</v>
          </cell>
        </row>
        <row r="3340">
          <cell r="D3340" t="str">
            <v>19</v>
          </cell>
          <cell r="E3340" t="str">
            <v>Guadalajara</v>
          </cell>
          <cell r="F3340" t="str">
            <v>260</v>
          </cell>
          <cell r="G3340" t="str">
            <v>7</v>
          </cell>
          <cell r="H3340" t="str">
            <v>Sotillo, El</v>
          </cell>
        </row>
        <row r="3341">
          <cell r="D3341" t="str">
            <v>19</v>
          </cell>
          <cell r="E3341" t="str">
            <v>Guadalajara</v>
          </cell>
          <cell r="F3341" t="str">
            <v>261</v>
          </cell>
          <cell r="G3341" t="str">
            <v>4</v>
          </cell>
          <cell r="H3341" t="str">
            <v>Sotodosos</v>
          </cell>
        </row>
        <row r="3342">
          <cell r="D3342" t="str">
            <v>19</v>
          </cell>
          <cell r="E3342" t="str">
            <v>Guadalajara</v>
          </cell>
          <cell r="F3342" t="str">
            <v>262</v>
          </cell>
          <cell r="G3342" t="str">
            <v>9</v>
          </cell>
          <cell r="H3342" t="str">
            <v>Tamajón</v>
          </cell>
        </row>
        <row r="3343">
          <cell r="D3343" t="str">
            <v>19</v>
          </cell>
          <cell r="E3343" t="str">
            <v>Guadalajara</v>
          </cell>
          <cell r="F3343" t="str">
            <v>263</v>
          </cell>
          <cell r="G3343" t="str">
            <v>5</v>
          </cell>
          <cell r="H3343" t="str">
            <v>Taragudo</v>
          </cell>
        </row>
        <row r="3344">
          <cell r="D3344" t="str">
            <v>19</v>
          </cell>
          <cell r="E3344" t="str">
            <v>Guadalajara</v>
          </cell>
          <cell r="F3344" t="str">
            <v>264</v>
          </cell>
          <cell r="G3344" t="str">
            <v>0</v>
          </cell>
          <cell r="H3344" t="str">
            <v>Taravilla</v>
          </cell>
        </row>
        <row r="3345">
          <cell r="D3345" t="str">
            <v>19</v>
          </cell>
          <cell r="E3345" t="str">
            <v>Guadalajara</v>
          </cell>
          <cell r="F3345" t="str">
            <v>265</v>
          </cell>
          <cell r="G3345" t="str">
            <v>3</v>
          </cell>
          <cell r="H3345" t="str">
            <v>Tartanedo</v>
          </cell>
        </row>
        <row r="3346">
          <cell r="D3346" t="str">
            <v>19</v>
          </cell>
          <cell r="E3346" t="str">
            <v>Guadalajara</v>
          </cell>
          <cell r="F3346" t="str">
            <v>266</v>
          </cell>
          <cell r="G3346" t="str">
            <v>6</v>
          </cell>
          <cell r="H3346" t="str">
            <v>Tendilla</v>
          </cell>
        </row>
        <row r="3347">
          <cell r="D3347" t="str">
            <v>19</v>
          </cell>
          <cell r="E3347" t="str">
            <v>Guadalajara</v>
          </cell>
          <cell r="F3347" t="str">
            <v>267</v>
          </cell>
          <cell r="G3347" t="str">
            <v>2</v>
          </cell>
          <cell r="H3347" t="str">
            <v>Terzaga</v>
          </cell>
        </row>
        <row r="3348">
          <cell r="D3348" t="str">
            <v>19</v>
          </cell>
          <cell r="E3348" t="str">
            <v>Guadalajara</v>
          </cell>
          <cell r="F3348" t="str">
            <v>268</v>
          </cell>
          <cell r="G3348" t="str">
            <v>8</v>
          </cell>
          <cell r="H3348" t="str">
            <v>Tierzo</v>
          </cell>
        </row>
        <row r="3349">
          <cell r="D3349" t="str">
            <v>19</v>
          </cell>
          <cell r="E3349" t="str">
            <v>Guadalajara</v>
          </cell>
          <cell r="F3349" t="str">
            <v>269</v>
          </cell>
          <cell r="G3349" t="str">
            <v>1</v>
          </cell>
          <cell r="H3349" t="str">
            <v>Toba, La</v>
          </cell>
        </row>
        <row r="3350">
          <cell r="D3350" t="str">
            <v>19</v>
          </cell>
          <cell r="E3350" t="str">
            <v>Guadalajara</v>
          </cell>
          <cell r="F3350" t="str">
            <v>270</v>
          </cell>
          <cell r="G3350" t="str">
            <v>5</v>
          </cell>
          <cell r="H3350" t="str">
            <v>Tordelrábano</v>
          </cell>
        </row>
        <row r="3351">
          <cell r="D3351" t="str">
            <v>19</v>
          </cell>
          <cell r="E3351" t="str">
            <v>Guadalajara</v>
          </cell>
          <cell r="F3351" t="str">
            <v>271</v>
          </cell>
          <cell r="G3351" t="str">
            <v>2</v>
          </cell>
          <cell r="H3351" t="str">
            <v>Tordellego</v>
          </cell>
        </row>
        <row r="3352">
          <cell r="D3352" t="str">
            <v>19</v>
          </cell>
          <cell r="E3352" t="str">
            <v>Guadalajara</v>
          </cell>
          <cell r="F3352" t="str">
            <v>272</v>
          </cell>
          <cell r="G3352" t="str">
            <v>7</v>
          </cell>
          <cell r="H3352" t="str">
            <v>Tordesilos</v>
          </cell>
        </row>
        <row r="3353">
          <cell r="D3353" t="str">
            <v>19</v>
          </cell>
          <cell r="E3353" t="str">
            <v>Guadalajara</v>
          </cell>
          <cell r="F3353" t="str">
            <v>274</v>
          </cell>
          <cell r="G3353" t="str">
            <v>8</v>
          </cell>
          <cell r="H3353" t="str">
            <v>Torija</v>
          </cell>
        </row>
        <row r="3354">
          <cell r="D3354" t="str">
            <v>19</v>
          </cell>
          <cell r="E3354" t="str">
            <v>Guadalajara</v>
          </cell>
          <cell r="F3354" t="str">
            <v>277</v>
          </cell>
          <cell r="G3354" t="str">
            <v>0</v>
          </cell>
          <cell r="H3354" t="str">
            <v>Torrecuadrada de Molina</v>
          </cell>
        </row>
        <row r="3355">
          <cell r="D3355" t="str">
            <v>19</v>
          </cell>
          <cell r="E3355" t="str">
            <v>Guadalajara</v>
          </cell>
          <cell r="F3355" t="str">
            <v>278</v>
          </cell>
          <cell r="G3355" t="str">
            <v>6</v>
          </cell>
          <cell r="H3355" t="str">
            <v>Torrecuadradilla</v>
          </cell>
        </row>
        <row r="3356">
          <cell r="D3356" t="str">
            <v>19</v>
          </cell>
          <cell r="E3356" t="str">
            <v>Guadalajara</v>
          </cell>
          <cell r="F3356" t="str">
            <v>279</v>
          </cell>
          <cell r="G3356" t="str">
            <v>9</v>
          </cell>
          <cell r="H3356" t="str">
            <v>Torre del Burgo</v>
          </cell>
        </row>
        <row r="3357">
          <cell r="D3357" t="str">
            <v>19</v>
          </cell>
          <cell r="E3357" t="str">
            <v>Guadalajara</v>
          </cell>
          <cell r="F3357" t="str">
            <v>280</v>
          </cell>
          <cell r="G3357" t="str">
            <v>3</v>
          </cell>
          <cell r="H3357" t="str">
            <v>Torrejón del Rey</v>
          </cell>
        </row>
        <row r="3358">
          <cell r="D3358" t="str">
            <v>19</v>
          </cell>
          <cell r="E3358" t="str">
            <v>Guadalajara</v>
          </cell>
          <cell r="F3358" t="str">
            <v>281</v>
          </cell>
          <cell r="G3358" t="str">
            <v>0</v>
          </cell>
          <cell r="H3358" t="str">
            <v>Torremocha de Jadraque</v>
          </cell>
        </row>
        <row r="3359">
          <cell r="D3359" t="str">
            <v>19</v>
          </cell>
          <cell r="E3359" t="str">
            <v>Guadalajara</v>
          </cell>
          <cell r="F3359" t="str">
            <v>282</v>
          </cell>
          <cell r="G3359" t="str">
            <v>5</v>
          </cell>
          <cell r="H3359" t="str">
            <v>Torremocha del Campo</v>
          </cell>
        </row>
        <row r="3360">
          <cell r="D3360" t="str">
            <v>19</v>
          </cell>
          <cell r="E3360" t="str">
            <v>Guadalajara</v>
          </cell>
          <cell r="F3360" t="str">
            <v>283</v>
          </cell>
          <cell r="G3360" t="str">
            <v>1</v>
          </cell>
          <cell r="H3360" t="str">
            <v>Torremocha del Pinar</v>
          </cell>
        </row>
        <row r="3361">
          <cell r="D3361" t="str">
            <v>19</v>
          </cell>
          <cell r="E3361" t="str">
            <v>Guadalajara</v>
          </cell>
          <cell r="F3361" t="str">
            <v>284</v>
          </cell>
          <cell r="G3361" t="str">
            <v>6</v>
          </cell>
          <cell r="H3361" t="str">
            <v>Torremochuela</v>
          </cell>
        </row>
        <row r="3362">
          <cell r="D3362" t="str">
            <v>19</v>
          </cell>
          <cell r="E3362" t="str">
            <v>Guadalajara</v>
          </cell>
          <cell r="F3362" t="str">
            <v>285</v>
          </cell>
          <cell r="G3362" t="str">
            <v>9</v>
          </cell>
          <cell r="H3362" t="str">
            <v>Torrubia</v>
          </cell>
        </row>
        <row r="3363">
          <cell r="D3363" t="str">
            <v>19</v>
          </cell>
          <cell r="E3363" t="str">
            <v>Guadalajara</v>
          </cell>
          <cell r="F3363" t="str">
            <v>286</v>
          </cell>
          <cell r="G3363" t="str">
            <v>2</v>
          </cell>
          <cell r="H3363" t="str">
            <v>Tórtola de Henares</v>
          </cell>
        </row>
        <row r="3364">
          <cell r="D3364" t="str">
            <v>19</v>
          </cell>
          <cell r="E3364" t="str">
            <v>Guadalajara</v>
          </cell>
          <cell r="F3364" t="str">
            <v>287</v>
          </cell>
          <cell r="G3364" t="str">
            <v>8</v>
          </cell>
          <cell r="H3364" t="str">
            <v>Tortuera</v>
          </cell>
        </row>
        <row r="3365">
          <cell r="D3365" t="str">
            <v>19</v>
          </cell>
          <cell r="E3365" t="str">
            <v>Guadalajara</v>
          </cell>
          <cell r="F3365" t="str">
            <v>288</v>
          </cell>
          <cell r="G3365" t="str">
            <v>4</v>
          </cell>
          <cell r="H3365" t="str">
            <v>Tortuero</v>
          </cell>
        </row>
        <row r="3366">
          <cell r="D3366" t="str">
            <v>19</v>
          </cell>
          <cell r="E3366" t="str">
            <v>Guadalajara</v>
          </cell>
          <cell r="F3366" t="str">
            <v>289</v>
          </cell>
          <cell r="G3366" t="str">
            <v>7</v>
          </cell>
          <cell r="H3366" t="str">
            <v>Traíd</v>
          </cell>
        </row>
        <row r="3367">
          <cell r="D3367" t="str">
            <v>19</v>
          </cell>
          <cell r="E3367" t="str">
            <v>Guadalajara</v>
          </cell>
          <cell r="F3367" t="str">
            <v>290</v>
          </cell>
          <cell r="G3367" t="str">
            <v>1</v>
          </cell>
          <cell r="H3367" t="str">
            <v>Trijueque</v>
          </cell>
        </row>
        <row r="3368">
          <cell r="D3368" t="str">
            <v>19</v>
          </cell>
          <cell r="E3368" t="str">
            <v>Guadalajara</v>
          </cell>
          <cell r="F3368" t="str">
            <v>291</v>
          </cell>
          <cell r="G3368" t="str">
            <v>8</v>
          </cell>
          <cell r="H3368" t="str">
            <v>Trillo</v>
          </cell>
        </row>
        <row r="3369">
          <cell r="D3369" t="str">
            <v>19</v>
          </cell>
          <cell r="E3369" t="str">
            <v>Guadalajara</v>
          </cell>
          <cell r="F3369" t="str">
            <v>293</v>
          </cell>
          <cell r="G3369" t="str">
            <v>9</v>
          </cell>
          <cell r="H3369" t="str">
            <v>Uceda</v>
          </cell>
        </row>
        <row r="3370">
          <cell r="D3370" t="str">
            <v>19</v>
          </cell>
          <cell r="E3370" t="str">
            <v>Guadalajara</v>
          </cell>
          <cell r="F3370" t="str">
            <v>294</v>
          </cell>
          <cell r="G3370" t="str">
            <v>4</v>
          </cell>
          <cell r="H3370" t="str">
            <v>Ujados</v>
          </cell>
        </row>
        <row r="3371">
          <cell r="D3371" t="str">
            <v>19</v>
          </cell>
          <cell r="E3371" t="str">
            <v>Guadalajara</v>
          </cell>
          <cell r="F3371" t="str">
            <v>296</v>
          </cell>
          <cell r="G3371" t="str">
            <v>0</v>
          </cell>
          <cell r="H3371" t="str">
            <v>Utande</v>
          </cell>
        </row>
        <row r="3372">
          <cell r="D3372" t="str">
            <v>19</v>
          </cell>
          <cell r="E3372" t="str">
            <v>Guadalajara</v>
          </cell>
          <cell r="F3372" t="str">
            <v>297</v>
          </cell>
          <cell r="G3372" t="str">
            <v>6</v>
          </cell>
          <cell r="H3372" t="str">
            <v>Valdarachas</v>
          </cell>
        </row>
        <row r="3373">
          <cell r="D3373" t="str">
            <v>19</v>
          </cell>
          <cell r="E3373" t="str">
            <v>Guadalajara</v>
          </cell>
          <cell r="F3373" t="str">
            <v>298</v>
          </cell>
          <cell r="G3373" t="str">
            <v>2</v>
          </cell>
          <cell r="H3373" t="str">
            <v>Valdearenas</v>
          </cell>
        </row>
        <row r="3374">
          <cell r="D3374" t="str">
            <v>19</v>
          </cell>
          <cell r="E3374" t="str">
            <v>Guadalajara</v>
          </cell>
          <cell r="F3374" t="str">
            <v>299</v>
          </cell>
          <cell r="G3374" t="str">
            <v>5</v>
          </cell>
          <cell r="H3374" t="str">
            <v>Valdeavellano</v>
          </cell>
        </row>
        <row r="3375">
          <cell r="D3375" t="str">
            <v>19</v>
          </cell>
          <cell r="E3375" t="str">
            <v>Guadalajara</v>
          </cell>
          <cell r="F3375" t="str">
            <v>300</v>
          </cell>
          <cell r="G3375" t="str">
            <v>9</v>
          </cell>
          <cell r="H3375" t="str">
            <v>Valdeaveruelo</v>
          </cell>
        </row>
        <row r="3376">
          <cell r="D3376" t="str">
            <v>19</v>
          </cell>
          <cell r="E3376" t="str">
            <v>Guadalajara</v>
          </cell>
          <cell r="F3376" t="str">
            <v>302</v>
          </cell>
          <cell r="G3376" t="str">
            <v>1</v>
          </cell>
          <cell r="H3376" t="str">
            <v>Valdegrudas</v>
          </cell>
        </row>
        <row r="3377">
          <cell r="D3377" t="str">
            <v>19</v>
          </cell>
          <cell r="E3377" t="str">
            <v>Guadalajara</v>
          </cell>
          <cell r="F3377" t="str">
            <v>303</v>
          </cell>
          <cell r="G3377" t="str">
            <v>7</v>
          </cell>
          <cell r="H3377" t="str">
            <v>Valdelcubo</v>
          </cell>
        </row>
        <row r="3378">
          <cell r="D3378" t="str">
            <v>19</v>
          </cell>
          <cell r="E3378" t="str">
            <v>Guadalajara</v>
          </cell>
          <cell r="F3378" t="str">
            <v>304</v>
          </cell>
          <cell r="G3378" t="str">
            <v>2</v>
          </cell>
          <cell r="H3378" t="str">
            <v>Valdenuño Fernández</v>
          </cell>
        </row>
        <row r="3379">
          <cell r="D3379" t="str">
            <v>19</v>
          </cell>
          <cell r="E3379" t="str">
            <v>Guadalajara</v>
          </cell>
          <cell r="F3379" t="str">
            <v>305</v>
          </cell>
          <cell r="G3379" t="str">
            <v>5</v>
          </cell>
          <cell r="H3379" t="str">
            <v>Valdepeñas de la Sierra</v>
          </cell>
        </row>
        <row r="3380">
          <cell r="D3380" t="str">
            <v>19</v>
          </cell>
          <cell r="E3380" t="str">
            <v>Guadalajara</v>
          </cell>
          <cell r="F3380" t="str">
            <v>306</v>
          </cell>
          <cell r="G3380" t="str">
            <v>8</v>
          </cell>
          <cell r="H3380" t="str">
            <v>Valderrebollo</v>
          </cell>
        </row>
        <row r="3381">
          <cell r="D3381" t="str">
            <v>19</v>
          </cell>
          <cell r="E3381" t="str">
            <v>Guadalajara</v>
          </cell>
          <cell r="F3381" t="str">
            <v>307</v>
          </cell>
          <cell r="G3381" t="str">
            <v>4</v>
          </cell>
          <cell r="H3381" t="str">
            <v>Valdesotos</v>
          </cell>
        </row>
        <row r="3382">
          <cell r="D3382" t="str">
            <v>19</v>
          </cell>
          <cell r="E3382" t="str">
            <v>Guadalajara</v>
          </cell>
          <cell r="F3382" t="str">
            <v>308</v>
          </cell>
          <cell r="G3382" t="str">
            <v>0</v>
          </cell>
          <cell r="H3382" t="str">
            <v>Valfermoso de Tajuña</v>
          </cell>
        </row>
        <row r="3383">
          <cell r="D3383" t="str">
            <v>19</v>
          </cell>
          <cell r="E3383" t="str">
            <v>Guadalajara</v>
          </cell>
          <cell r="F3383" t="str">
            <v>309</v>
          </cell>
          <cell r="G3383" t="str">
            <v>3</v>
          </cell>
          <cell r="H3383" t="str">
            <v>Valhermoso</v>
          </cell>
        </row>
        <row r="3384">
          <cell r="D3384" t="str">
            <v>19</v>
          </cell>
          <cell r="E3384" t="str">
            <v>Guadalajara</v>
          </cell>
          <cell r="F3384" t="str">
            <v>310</v>
          </cell>
          <cell r="G3384" t="str">
            <v>7</v>
          </cell>
          <cell r="H3384" t="str">
            <v>Valtablado del Río</v>
          </cell>
        </row>
        <row r="3385">
          <cell r="D3385" t="str">
            <v>19</v>
          </cell>
          <cell r="E3385" t="str">
            <v>Guadalajara</v>
          </cell>
          <cell r="F3385" t="str">
            <v>311</v>
          </cell>
          <cell r="G3385" t="str">
            <v>4</v>
          </cell>
          <cell r="H3385" t="str">
            <v>Valverde de los Arroyos</v>
          </cell>
        </row>
        <row r="3386">
          <cell r="D3386" t="str">
            <v>19</v>
          </cell>
          <cell r="E3386" t="str">
            <v>Guadalajara</v>
          </cell>
          <cell r="F3386" t="str">
            <v>314</v>
          </cell>
          <cell r="G3386" t="str">
            <v>0</v>
          </cell>
          <cell r="H3386" t="str">
            <v>Viana de Jadraque</v>
          </cell>
        </row>
        <row r="3387">
          <cell r="D3387" t="str">
            <v>19</v>
          </cell>
          <cell r="E3387" t="str">
            <v>Guadalajara</v>
          </cell>
          <cell r="F3387" t="str">
            <v>317</v>
          </cell>
          <cell r="G3387" t="str">
            <v>2</v>
          </cell>
          <cell r="H3387" t="str">
            <v>Villanueva de Alcorón</v>
          </cell>
        </row>
        <row r="3388">
          <cell r="D3388" t="str">
            <v>19</v>
          </cell>
          <cell r="E3388" t="str">
            <v>Guadalajara</v>
          </cell>
          <cell r="F3388" t="str">
            <v>318</v>
          </cell>
          <cell r="G3388" t="str">
            <v>8</v>
          </cell>
          <cell r="H3388" t="str">
            <v>Villanueva de Argecilla</v>
          </cell>
        </row>
        <row r="3389">
          <cell r="D3389" t="str">
            <v>19</v>
          </cell>
          <cell r="E3389" t="str">
            <v>Guadalajara</v>
          </cell>
          <cell r="F3389" t="str">
            <v>319</v>
          </cell>
          <cell r="G3389" t="str">
            <v>1</v>
          </cell>
          <cell r="H3389" t="str">
            <v>Villanueva de la Torre</v>
          </cell>
        </row>
        <row r="3390">
          <cell r="D3390" t="str">
            <v>19</v>
          </cell>
          <cell r="E3390" t="str">
            <v>Guadalajara</v>
          </cell>
          <cell r="F3390" t="str">
            <v>321</v>
          </cell>
          <cell r="G3390" t="str">
            <v>2</v>
          </cell>
          <cell r="H3390" t="str">
            <v>Villares de Jadraque</v>
          </cell>
        </row>
        <row r="3391">
          <cell r="D3391" t="str">
            <v>19</v>
          </cell>
          <cell r="E3391" t="str">
            <v>Guadalajara</v>
          </cell>
          <cell r="F3391" t="str">
            <v>322</v>
          </cell>
          <cell r="G3391" t="str">
            <v>7</v>
          </cell>
          <cell r="H3391" t="str">
            <v>Villaseca de Henares</v>
          </cell>
        </row>
        <row r="3392">
          <cell r="D3392" t="str">
            <v>19</v>
          </cell>
          <cell r="E3392" t="str">
            <v>Guadalajara</v>
          </cell>
          <cell r="F3392" t="str">
            <v>323</v>
          </cell>
          <cell r="G3392" t="str">
            <v>3</v>
          </cell>
          <cell r="H3392" t="str">
            <v>Villaseca de Uceda</v>
          </cell>
        </row>
        <row r="3393">
          <cell r="D3393" t="str">
            <v>19</v>
          </cell>
          <cell r="E3393" t="str">
            <v>Guadalajara</v>
          </cell>
          <cell r="F3393" t="str">
            <v>324</v>
          </cell>
          <cell r="G3393" t="str">
            <v>8</v>
          </cell>
          <cell r="H3393" t="str">
            <v>Villel de Mesa</v>
          </cell>
        </row>
        <row r="3394">
          <cell r="D3394" t="str">
            <v>19</v>
          </cell>
          <cell r="E3394" t="str">
            <v>Guadalajara</v>
          </cell>
          <cell r="F3394" t="str">
            <v>325</v>
          </cell>
          <cell r="G3394" t="str">
            <v>1</v>
          </cell>
          <cell r="H3394" t="str">
            <v>Viñuelas</v>
          </cell>
        </row>
        <row r="3395">
          <cell r="D3395" t="str">
            <v>19</v>
          </cell>
          <cell r="E3395" t="str">
            <v>Guadalajara</v>
          </cell>
          <cell r="F3395" t="str">
            <v>326</v>
          </cell>
          <cell r="G3395" t="str">
            <v>4</v>
          </cell>
          <cell r="H3395" t="str">
            <v>Yebes</v>
          </cell>
        </row>
        <row r="3396">
          <cell r="D3396" t="str">
            <v>19</v>
          </cell>
          <cell r="E3396" t="str">
            <v>Guadalajara</v>
          </cell>
          <cell r="F3396" t="str">
            <v>329</v>
          </cell>
          <cell r="G3396" t="str">
            <v>9</v>
          </cell>
          <cell r="H3396" t="str">
            <v>Yélamos de Abajo</v>
          </cell>
        </row>
        <row r="3397">
          <cell r="D3397" t="str">
            <v>19</v>
          </cell>
          <cell r="E3397" t="str">
            <v>Guadalajara</v>
          </cell>
          <cell r="F3397" t="str">
            <v>330</v>
          </cell>
          <cell r="G3397" t="str">
            <v>3</v>
          </cell>
          <cell r="H3397" t="str">
            <v>Yélamos de Arriba</v>
          </cell>
        </row>
        <row r="3398">
          <cell r="D3398" t="str">
            <v>19</v>
          </cell>
          <cell r="E3398" t="str">
            <v>Guadalajara</v>
          </cell>
          <cell r="F3398" t="str">
            <v>331</v>
          </cell>
          <cell r="G3398" t="str">
            <v>0</v>
          </cell>
          <cell r="H3398" t="str">
            <v>Yunquera de Henares</v>
          </cell>
        </row>
        <row r="3399">
          <cell r="D3399" t="str">
            <v>19</v>
          </cell>
          <cell r="E3399" t="str">
            <v>Guadalajara</v>
          </cell>
          <cell r="F3399" t="str">
            <v>332</v>
          </cell>
          <cell r="G3399" t="str">
            <v>5</v>
          </cell>
          <cell r="H3399" t="str">
            <v>Yunta, La</v>
          </cell>
        </row>
        <row r="3400">
          <cell r="D3400" t="str">
            <v>19</v>
          </cell>
          <cell r="E3400" t="str">
            <v>Guadalajara</v>
          </cell>
          <cell r="F3400" t="str">
            <v>333</v>
          </cell>
          <cell r="G3400" t="str">
            <v>1</v>
          </cell>
          <cell r="H3400" t="str">
            <v>Zaorejas</v>
          </cell>
        </row>
        <row r="3401">
          <cell r="D3401" t="str">
            <v>19</v>
          </cell>
          <cell r="E3401" t="str">
            <v>Guadalajara</v>
          </cell>
          <cell r="F3401" t="str">
            <v>334</v>
          </cell>
          <cell r="G3401" t="str">
            <v>6</v>
          </cell>
          <cell r="H3401" t="str">
            <v>Zarzuela de Jadraque</v>
          </cell>
        </row>
        <row r="3402">
          <cell r="D3402" t="str">
            <v>19</v>
          </cell>
          <cell r="E3402" t="str">
            <v>Guadalajara</v>
          </cell>
          <cell r="F3402" t="str">
            <v>901</v>
          </cell>
          <cell r="G3402" t="str">
            <v>0</v>
          </cell>
          <cell r="H3402" t="str">
            <v>Semillas</v>
          </cell>
        </row>
        <row r="3403">
          <cell r="D3403" t="str">
            <v>20</v>
          </cell>
          <cell r="E3403" t="str">
            <v>Gipuzkoa</v>
          </cell>
          <cell r="F3403" t="str">
            <v>001</v>
          </cell>
          <cell r="G3403" t="str">
            <v>3</v>
          </cell>
          <cell r="H3403" t="str">
            <v>Abaltzisketa</v>
          </cell>
        </row>
        <row r="3404">
          <cell r="D3404" t="str">
            <v>20</v>
          </cell>
          <cell r="E3404" t="str">
            <v>Gipuzkoa</v>
          </cell>
          <cell r="F3404" t="str">
            <v>002</v>
          </cell>
          <cell r="G3404" t="str">
            <v>8</v>
          </cell>
          <cell r="H3404" t="str">
            <v>Aduna</v>
          </cell>
        </row>
        <row r="3405">
          <cell r="D3405" t="str">
            <v>20</v>
          </cell>
          <cell r="E3405" t="str">
            <v>Gipuzkoa</v>
          </cell>
          <cell r="F3405" t="str">
            <v>003</v>
          </cell>
          <cell r="G3405" t="str">
            <v>4</v>
          </cell>
          <cell r="H3405" t="str">
            <v>Aizarnazabal</v>
          </cell>
        </row>
        <row r="3406">
          <cell r="D3406" t="str">
            <v>20</v>
          </cell>
          <cell r="E3406" t="str">
            <v>Gipuzkoa</v>
          </cell>
          <cell r="F3406" t="str">
            <v>004</v>
          </cell>
          <cell r="G3406" t="str">
            <v>9</v>
          </cell>
          <cell r="H3406" t="str">
            <v>Albiztur</v>
          </cell>
        </row>
        <row r="3407">
          <cell r="D3407" t="str">
            <v>20</v>
          </cell>
          <cell r="E3407" t="str">
            <v>Gipuzkoa</v>
          </cell>
          <cell r="F3407" t="str">
            <v>005</v>
          </cell>
          <cell r="G3407" t="str">
            <v>2</v>
          </cell>
          <cell r="H3407" t="str">
            <v>Alegia</v>
          </cell>
        </row>
        <row r="3408">
          <cell r="D3408" t="str">
            <v>20</v>
          </cell>
          <cell r="E3408" t="str">
            <v>Gipuzkoa</v>
          </cell>
          <cell r="F3408" t="str">
            <v>006</v>
          </cell>
          <cell r="G3408" t="str">
            <v>5</v>
          </cell>
          <cell r="H3408" t="str">
            <v>Alkiza</v>
          </cell>
        </row>
        <row r="3409">
          <cell r="D3409" t="str">
            <v>20</v>
          </cell>
          <cell r="E3409" t="str">
            <v>Gipuzkoa</v>
          </cell>
          <cell r="F3409" t="str">
            <v>007</v>
          </cell>
          <cell r="G3409" t="str">
            <v>1</v>
          </cell>
          <cell r="H3409" t="str">
            <v>Altzo</v>
          </cell>
        </row>
        <row r="3410">
          <cell r="D3410" t="str">
            <v>20</v>
          </cell>
          <cell r="E3410" t="str">
            <v>Gipuzkoa</v>
          </cell>
          <cell r="F3410" t="str">
            <v>008</v>
          </cell>
          <cell r="G3410" t="str">
            <v>7</v>
          </cell>
          <cell r="H3410" t="str">
            <v>Amezketa</v>
          </cell>
        </row>
        <row r="3411">
          <cell r="D3411" t="str">
            <v>20</v>
          </cell>
          <cell r="E3411" t="str">
            <v>Gipuzkoa</v>
          </cell>
          <cell r="F3411" t="str">
            <v>009</v>
          </cell>
          <cell r="G3411" t="str">
            <v>0</v>
          </cell>
          <cell r="H3411" t="str">
            <v>Andoain</v>
          </cell>
        </row>
        <row r="3412">
          <cell r="D3412" t="str">
            <v>20</v>
          </cell>
          <cell r="E3412" t="str">
            <v>Gipuzkoa</v>
          </cell>
          <cell r="F3412" t="str">
            <v>010</v>
          </cell>
          <cell r="G3412" t="str">
            <v>4</v>
          </cell>
          <cell r="H3412" t="str">
            <v>Anoeta</v>
          </cell>
        </row>
        <row r="3413">
          <cell r="D3413" t="str">
            <v>20</v>
          </cell>
          <cell r="E3413" t="str">
            <v>Gipuzkoa</v>
          </cell>
          <cell r="F3413" t="str">
            <v>011</v>
          </cell>
          <cell r="G3413" t="str">
            <v>1</v>
          </cell>
          <cell r="H3413" t="str">
            <v>Antzuola</v>
          </cell>
        </row>
        <row r="3414">
          <cell r="D3414" t="str">
            <v>20</v>
          </cell>
          <cell r="E3414" t="str">
            <v>Gipuzkoa</v>
          </cell>
          <cell r="F3414" t="str">
            <v>012</v>
          </cell>
          <cell r="G3414" t="str">
            <v>6</v>
          </cell>
          <cell r="H3414" t="str">
            <v>Arama</v>
          </cell>
        </row>
        <row r="3415">
          <cell r="D3415" t="str">
            <v>20</v>
          </cell>
          <cell r="E3415" t="str">
            <v>Gipuzkoa</v>
          </cell>
          <cell r="F3415" t="str">
            <v>013</v>
          </cell>
          <cell r="G3415" t="str">
            <v>2</v>
          </cell>
          <cell r="H3415" t="str">
            <v>Aretxabaleta</v>
          </cell>
        </row>
        <row r="3416">
          <cell r="D3416" t="str">
            <v>20</v>
          </cell>
          <cell r="E3416" t="str">
            <v>Gipuzkoa</v>
          </cell>
          <cell r="F3416" t="str">
            <v>014</v>
          </cell>
          <cell r="G3416" t="str">
            <v>7</v>
          </cell>
          <cell r="H3416" t="str">
            <v>Asteasu</v>
          </cell>
        </row>
        <row r="3417">
          <cell r="D3417" t="str">
            <v>20</v>
          </cell>
          <cell r="E3417" t="str">
            <v>Gipuzkoa</v>
          </cell>
          <cell r="F3417" t="str">
            <v>015</v>
          </cell>
          <cell r="G3417" t="str">
            <v>0</v>
          </cell>
          <cell r="H3417" t="str">
            <v>Ataun</v>
          </cell>
        </row>
        <row r="3418">
          <cell r="D3418" t="str">
            <v>20</v>
          </cell>
          <cell r="E3418" t="str">
            <v>Gipuzkoa</v>
          </cell>
          <cell r="F3418" t="str">
            <v>016</v>
          </cell>
          <cell r="G3418" t="str">
            <v>3</v>
          </cell>
          <cell r="H3418" t="str">
            <v>Aia</v>
          </cell>
        </row>
        <row r="3419">
          <cell r="D3419" t="str">
            <v>20</v>
          </cell>
          <cell r="E3419" t="str">
            <v>Gipuzkoa</v>
          </cell>
          <cell r="F3419" t="str">
            <v>017</v>
          </cell>
          <cell r="G3419" t="str">
            <v>9</v>
          </cell>
          <cell r="H3419" t="str">
            <v>Azkoitia</v>
          </cell>
        </row>
        <row r="3420">
          <cell r="D3420" t="str">
            <v>20</v>
          </cell>
          <cell r="E3420" t="str">
            <v>Gipuzkoa</v>
          </cell>
          <cell r="F3420" t="str">
            <v>018</v>
          </cell>
          <cell r="G3420" t="str">
            <v>5</v>
          </cell>
          <cell r="H3420" t="str">
            <v>Azpeitia</v>
          </cell>
        </row>
        <row r="3421">
          <cell r="D3421" t="str">
            <v>20</v>
          </cell>
          <cell r="E3421" t="str">
            <v>Gipuzkoa</v>
          </cell>
          <cell r="F3421" t="str">
            <v>019</v>
          </cell>
          <cell r="G3421" t="str">
            <v>8</v>
          </cell>
          <cell r="H3421" t="str">
            <v>Beasain</v>
          </cell>
        </row>
        <row r="3422">
          <cell r="D3422" t="str">
            <v>20</v>
          </cell>
          <cell r="E3422" t="str">
            <v>Gipuzkoa</v>
          </cell>
          <cell r="F3422" t="str">
            <v>020</v>
          </cell>
          <cell r="G3422" t="str">
            <v>2</v>
          </cell>
          <cell r="H3422" t="str">
            <v>Beizama</v>
          </cell>
        </row>
        <row r="3423">
          <cell r="D3423" t="str">
            <v>20</v>
          </cell>
          <cell r="E3423" t="str">
            <v>Gipuzkoa</v>
          </cell>
          <cell r="F3423" t="str">
            <v>021</v>
          </cell>
          <cell r="G3423" t="str">
            <v>9</v>
          </cell>
          <cell r="H3423" t="str">
            <v>Belauntza</v>
          </cell>
        </row>
        <row r="3424">
          <cell r="D3424" t="str">
            <v>20</v>
          </cell>
          <cell r="E3424" t="str">
            <v>Gipuzkoa</v>
          </cell>
          <cell r="F3424" t="str">
            <v>022</v>
          </cell>
          <cell r="G3424" t="str">
            <v>4</v>
          </cell>
          <cell r="H3424" t="str">
            <v>Berastegi</v>
          </cell>
        </row>
        <row r="3425">
          <cell r="D3425" t="str">
            <v>20</v>
          </cell>
          <cell r="E3425" t="str">
            <v>Gipuzkoa</v>
          </cell>
          <cell r="F3425" t="str">
            <v>023</v>
          </cell>
          <cell r="G3425" t="str">
            <v>0</v>
          </cell>
          <cell r="H3425" t="str">
            <v>Berrobi</v>
          </cell>
        </row>
        <row r="3426">
          <cell r="D3426" t="str">
            <v>20</v>
          </cell>
          <cell r="E3426" t="str">
            <v>Gipuzkoa</v>
          </cell>
          <cell r="F3426" t="str">
            <v>024</v>
          </cell>
          <cell r="G3426" t="str">
            <v>5</v>
          </cell>
          <cell r="H3426" t="str">
            <v>Bidania-Goiatz</v>
          </cell>
        </row>
        <row r="3427">
          <cell r="D3427" t="str">
            <v>20</v>
          </cell>
          <cell r="E3427" t="str">
            <v>Gipuzkoa</v>
          </cell>
          <cell r="F3427" t="str">
            <v>025</v>
          </cell>
          <cell r="G3427" t="str">
            <v>8</v>
          </cell>
          <cell r="H3427" t="str">
            <v>Zegama</v>
          </cell>
        </row>
        <row r="3428">
          <cell r="D3428" t="str">
            <v>20</v>
          </cell>
          <cell r="E3428" t="str">
            <v>Gipuzkoa</v>
          </cell>
          <cell r="F3428" t="str">
            <v>026</v>
          </cell>
          <cell r="G3428" t="str">
            <v>1</v>
          </cell>
          <cell r="H3428" t="str">
            <v>Zerain</v>
          </cell>
        </row>
        <row r="3429">
          <cell r="D3429" t="str">
            <v>20</v>
          </cell>
          <cell r="E3429" t="str">
            <v>Gipuzkoa</v>
          </cell>
          <cell r="F3429" t="str">
            <v>027</v>
          </cell>
          <cell r="G3429" t="str">
            <v>7</v>
          </cell>
          <cell r="H3429" t="str">
            <v>Zestoa</v>
          </cell>
        </row>
        <row r="3430">
          <cell r="D3430" t="str">
            <v>20</v>
          </cell>
          <cell r="E3430" t="str">
            <v>Gipuzkoa</v>
          </cell>
          <cell r="F3430" t="str">
            <v>028</v>
          </cell>
          <cell r="G3430" t="str">
            <v>3</v>
          </cell>
          <cell r="H3430" t="str">
            <v>Zizurkil</v>
          </cell>
        </row>
        <row r="3431">
          <cell r="D3431" t="str">
            <v>20</v>
          </cell>
          <cell r="E3431" t="str">
            <v>Gipuzkoa</v>
          </cell>
          <cell r="F3431" t="str">
            <v>029</v>
          </cell>
          <cell r="G3431" t="str">
            <v>6</v>
          </cell>
          <cell r="H3431" t="str">
            <v>Deba</v>
          </cell>
        </row>
        <row r="3432">
          <cell r="D3432" t="str">
            <v>20</v>
          </cell>
          <cell r="E3432" t="str">
            <v>Gipuzkoa</v>
          </cell>
          <cell r="F3432" t="str">
            <v>030</v>
          </cell>
          <cell r="G3432" t="str">
            <v>0</v>
          </cell>
          <cell r="H3432" t="str">
            <v>Eibar</v>
          </cell>
        </row>
        <row r="3433">
          <cell r="D3433" t="str">
            <v>20</v>
          </cell>
          <cell r="E3433" t="str">
            <v>Gipuzkoa</v>
          </cell>
          <cell r="F3433" t="str">
            <v>031</v>
          </cell>
          <cell r="G3433" t="str">
            <v>7</v>
          </cell>
          <cell r="H3433" t="str">
            <v>Elduain</v>
          </cell>
        </row>
        <row r="3434">
          <cell r="D3434" t="str">
            <v>20</v>
          </cell>
          <cell r="E3434" t="str">
            <v>Gipuzkoa</v>
          </cell>
          <cell r="F3434" t="str">
            <v>032</v>
          </cell>
          <cell r="G3434" t="str">
            <v>2</v>
          </cell>
          <cell r="H3434" t="str">
            <v>Elgoibar</v>
          </cell>
        </row>
        <row r="3435">
          <cell r="D3435" t="str">
            <v>20</v>
          </cell>
          <cell r="E3435" t="str">
            <v>Gipuzkoa</v>
          </cell>
          <cell r="F3435" t="str">
            <v>033</v>
          </cell>
          <cell r="G3435" t="str">
            <v>8</v>
          </cell>
          <cell r="H3435" t="str">
            <v>Elgeta</v>
          </cell>
        </row>
        <row r="3436">
          <cell r="D3436" t="str">
            <v>20</v>
          </cell>
          <cell r="E3436" t="str">
            <v>Gipuzkoa</v>
          </cell>
          <cell r="F3436" t="str">
            <v>034</v>
          </cell>
          <cell r="G3436" t="str">
            <v>3</v>
          </cell>
          <cell r="H3436" t="str">
            <v>Eskoriatza</v>
          </cell>
        </row>
        <row r="3437">
          <cell r="D3437" t="str">
            <v>20</v>
          </cell>
          <cell r="E3437" t="str">
            <v>Gipuzkoa</v>
          </cell>
          <cell r="F3437" t="str">
            <v>035</v>
          </cell>
          <cell r="G3437" t="str">
            <v>6</v>
          </cell>
          <cell r="H3437" t="str">
            <v>Ezkio-Itsaso</v>
          </cell>
        </row>
        <row r="3438">
          <cell r="D3438" t="str">
            <v>20</v>
          </cell>
          <cell r="E3438" t="str">
            <v>Gipuzkoa</v>
          </cell>
          <cell r="F3438" t="str">
            <v>036</v>
          </cell>
          <cell r="G3438" t="str">
            <v>9</v>
          </cell>
          <cell r="H3438" t="str">
            <v>Hondarribia</v>
          </cell>
        </row>
        <row r="3439">
          <cell r="D3439" t="str">
            <v>20</v>
          </cell>
          <cell r="E3439" t="str">
            <v>Gipuzkoa</v>
          </cell>
          <cell r="F3439" t="str">
            <v>037</v>
          </cell>
          <cell r="G3439" t="str">
            <v>5</v>
          </cell>
          <cell r="H3439" t="str">
            <v>Gaintza</v>
          </cell>
        </row>
        <row r="3440">
          <cell r="D3440" t="str">
            <v>20</v>
          </cell>
          <cell r="E3440" t="str">
            <v>Gipuzkoa</v>
          </cell>
          <cell r="F3440" t="str">
            <v>038</v>
          </cell>
          <cell r="G3440" t="str">
            <v>1</v>
          </cell>
          <cell r="H3440" t="str">
            <v>Gabiria</v>
          </cell>
        </row>
        <row r="3441">
          <cell r="D3441" t="str">
            <v>20</v>
          </cell>
          <cell r="E3441" t="str">
            <v>Gipuzkoa</v>
          </cell>
          <cell r="F3441" t="str">
            <v>039</v>
          </cell>
          <cell r="G3441" t="str">
            <v>4</v>
          </cell>
          <cell r="H3441" t="str">
            <v>Getaria</v>
          </cell>
        </row>
        <row r="3442">
          <cell r="D3442" t="str">
            <v>20</v>
          </cell>
          <cell r="E3442" t="str">
            <v>Gipuzkoa</v>
          </cell>
          <cell r="F3442" t="str">
            <v>040</v>
          </cell>
          <cell r="G3442" t="str">
            <v>8</v>
          </cell>
          <cell r="H3442" t="str">
            <v>Hernani</v>
          </cell>
        </row>
        <row r="3443">
          <cell r="D3443" t="str">
            <v>20</v>
          </cell>
          <cell r="E3443" t="str">
            <v>Gipuzkoa</v>
          </cell>
          <cell r="F3443" t="str">
            <v>041</v>
          </cell>
          <cell r="G3443" t="str">
            <v>5</v>
          </cell>
          <cell r="H3443" t="str">
            <v>Hernialde</v>
          </cell>
        </row>
        <row r="3444">
          <cell r="D3444" t="str">
            <v>20</v>
          </cell>
          <cell r="E3444" t="str">
            <v>Gipuzkoa</v>
          </cell>
          <cell r="F3444" t="str">
            <v>042</v>
          </cell>
          <cell r="G3444" t="str">
            <v>0</v>
          </cell>
          <cell r="H3444" t="str">
            <v>Ibarra</v>
          </cell>
        </row>
        <row r="3445">
          <cell r="D3445" t="str">
            <v>20</v>
          </cell>
          <cell r="E3445" t="str">
            <v>Gipuzkoa</v>
          </cell>
          <cell r="F3445" t="str">
            <v>043</v>
          </cell>
          <cell r="G3445" t="str">
            <v>6</v>
          </cell>
          <cell r="H3445" t="str">
            <v>Idiazabal</v>
          </cell>
        </row>
        <row r="3446">
          <cell r="D3446" t="str">
            <v>20</v>
          </cell>
          <cell r="E3446" t="str">
            <v>Gipuzkoa</v>
          </cell>
          <cell r="F3446" t="str">
            <v>044</v>
          </cell>
          <cell r="G3446" t="str">
            <v>1</v>
          </cell>
          <cell r="H3446" t="str">
            <v>Ikaztegieta</v>
          </cell>
        </row>
        <row r="3447">
          <cell r="D3447" t="str">
            <v>20</v>
          </cell>
          <cell r="E3447" t="str">
            <v>Gipuzkoa</v>
          </cell>
          <cell r="F3447" t="str">
            <v>045</v>
          </cell>
          <cell r="G3447" t="str">
            <v>4</v>
          </cell>
          <cell r="H3447" t="str">
            <v>Irun</v>
          </cell>
        </row>
        <row r="3448">
          <cell r="D3448" t="str">
            <v>20</v>
          </cell>
          <cell r="E3448" t="str">
            <v>Gipuzkoa</v>
          </cell>
          <cell r="F3448" t="str">
            <v>046</v>
          </cell>
          <cell r="G3448" t="str">
            <v>7</v>
          </cell>
          <cell r="H3448" t="str">
            <v>Irura</v>
          </cell>
        </row>
        <row r="3449">
          <cell r="D3449" t="str">
            <v>20</v>
          </cell>
          <cell r="E3449" t="str">
            <v>Gipuzkoa</v>
          </cell>
          <cell r="F3449" t="str">
            <v>047</v>
          </cell>
          <cell r="G3449" t="str">
            <v>3</v>
          </cell>
          <cell r="H3449" t="str">
            <v>Itsasondo</v>
          </cell>
        </row>
        <row r="3450">
          <cell r="D3450" t="str">
            <v>20</v>
          </cell>
          <cell r="E3450" t="str">
            <v>Gipuzkoa</v>
          </cell>
          <cell r="F3450" t="str">
            <v>048</v>
          </cell>
          <cell r="G3450" t="str">
            <v>9</v>
          </cell>
          <cell r="H3450" t="str">
            <v>Larraul</v>
          </cell>
        </row>
        <row r="3451">
          <cell r="D3451" t="str">
            <v>20</v>
          </cell>
          <cell r="E3451" t="str">
            <v>Gipuzkoa</v>
          </cell>
          <cell r="F3451" t="str">
            <v>049</v>
          </cell>
          <cell r="G3451" t="str">
            <v>2</v>
          </cell>
          <cell r="H3451" t="str">
            <v>Lazkao</v>
          </cell>
        </row>
        <row r="3452">
          <cell r="D3452" t="str">
            <v>20</v>
          </cell>
          <cell r="E3452" t="str">
            <v>Gipuzkoa</v>
          </cell>
          <cell r="F3452" t="str">
            <v>050</v>
          </cell>
          <cell r="G3452" t="str">
            <v>5</v>
          </cell>
          <cell r="H3452" t="str">
            <v>Leaburu</v>
          </cell>
        </row>
        <row r="3453">
          <cell r="D3453" t="str">
            <v>20</v>
          </cell>
          <cell r="E3453" t="str">
            <v>Gipuzkoa</v>
          </cell>
          <cell r="F3453" t="str">
            <v>051</v>
          </cell>
          <cell r="G3453" t="str">
            <v>2</v>
          </cell>
          <cell r="H3453" t="str">
            <v>Legazpi</v>
          </cell>
        </row>
        <row r="3454">
          <cell r="D3454" t="str">
            <v>20</v>
          </cell>
          <cell r="E3454" t="str">
            <v>Gipuzkoa</v>
          </cell>
          <cell r="F3454" t="str">
            <v>052</v>
          </cell>
          <cell r="G3454" t="str">
            <v>7</v>
          </cell>
          <cell r="H3454" t="str">
            <v>Legorreta</v>
          </cell>
        </row>
        <row r="3455">
          <cell r="D3455" t="str">
            <v>20</v>
          </cell>
          <cell r="E3455" t="str">
            <v>Gipuzkoa</v>
          </cell>
          <cell r="F3455" t="str">
            <v>053</v>
          </cell>
          <cell r="G3455" t="str">
            <v>3</v>
          </cell>
          <cell r="H3455" t="str">
            <v>Lezo</v>
          </cell>
        </row>
        <row r="3456">
          <cell r="D3456" t="str">
            <v>20</v>
          </cell>
          <cell r="E3456" t="str">
            <v>Gipuzkoa</v>
          </cell>
          <cell r="F3456" t="str">
            <v>054</v>
          </cell>
          <cell r="G3456" t="str">
            <v>8</v>
          </cell>
          <cell r="H3456" t="str">
            <v>Lizartza</v>
          </cell>
        </row>
        <row r="3457">
          <cell r="D3457" t="str">
            <v>20</v>
          </cell>
          <cell r="E3457" t="str">
            <v>Gipuzkoa</v>
          </cell>
          <cell r="F3457" t="str">
            <v>055</v>
          </cell>
          <cell r="G3457" t="str">
            <v>1</v>
          </cell>
          <cell r="H3457" t="str">
            <v>Arrasate/Mondragón</v>
          </cell>
        </row>
        <row r="3458">
          <cell r="D3458" t="str">
            <v>20</v>
          </cell>
          <cell r="E3458" t="str">
            <v>Gipuzkoa</v>
          </cell>
          <cell r="F3458" t="str">
            <v>056</v>
          </cell>
          <cell r="G3458" t="str">
            <v>4</v>
          </cell>
          <cell r="H3458" t="str">
            <v>Mutriku</v>
          </cell>
        </row>
        <row r="3459">
          <cell r="D3459" t="str">
            <v>20</v>
          </cell>
          <cell r="E3459" t="str">
            <v>Gipuzkoa</v>
          </cell>
          <cell r="F3459" t="str">
            <v>057</v>
          </cell>
          <cell r="G3459" t="str">
            <v>0</v>
          </cell>
          <cell r="H3459" t="str">
            <v>Mutiloa</v>
          </cell>
        </row>
        <row r="3460">
          <cell r="D3460" t="str">
            <v>20</v>
          </cell>
          <cell r="E3460" t="str">
            <v>Gipuzkoa</v>
          </cell>
          <cell r="F3460" t="str">
            <v>058</v>
          </cell>
          <cell r="G3460" t="str">
            <v>6</v>
          </cell>
          <cell r="H3460" t="str">
            <v>Olaberria</v>
          </cell>
        </row>
        <row r="3461">
          <cell r="D3461" t="str">
            <v>20</v>
          </cell>
          <cell r="E3461" t="str">
            <v>Gipuzkoa</v>
          </cell>
          <cell r="F3461" t="str">
            <v>059</v>
          </cell>
          <cell r="G3461" t="str">
            <v>9</v>
          </cell>
          <cell r="H3461" t="str">
            <v>Oñati</v>
          </cell>
        </row>
        <row r="3462">
          <cell r="D3462" t="str">
            <v>20</v>
          </cell>
          <cell r="E3462" t="str">
            <v>Gipuzkoa</v>
          </cell>
          <cell r="F3462" t="str">
            <v>060</v>
          </cell>
          <cell r="G3462" t="str">
            <v>3</v>
          </cell>
          <cell r="H3462" t="str">
            <v>Orexa</v>
          </cell>
        </row>
        <row r="3463">
          <cell r="D3463" t="str">
            <v>20</v>
          </cell>
          <cell r="E3463" t="str">
            <v>Gipuzkoa</v>
          </cell>
          <cell r="F3463" t="str">
            <v>061</v>
          </cell>
          <cell r="G3463" t="str">
            <v>0</v>
          </cell>
          <cell r="H3463" t="str">
            <v>Orio</v>
          </cell>
        </row>
        <row r="3464">
          <cell r="D3464" t="str">
            <v>20</v>
          </cell>
          <cell r="E3464" t="str">
            <v>Gipuzkoa</v>
          </cell>
          <cell r="F3464" t="str">
            <v>062</v>
          </cell>
          <cell r="G3464" t="str">
            <v>5</v>
          </cell>
          <cell r="H3464" t="str">
            <v>Ormaiztegi</v>
          </cell>
        </row>
        <row r="3465">
          <cell r="D3465" t="str">
            <v>20</v>
          </cell>
          <cell r="E3465" t="str">
            <v>Gipuzkoa</v>
          </cell>
          <cell r="F3465" t="str">
            <v>063</v>
          </cell>
          <cell r="G3465" t="str">
            <v>1</v>
          </cell>
          <cell r="H3465" t="str">
            <v>Oiartzun</v>
          </cell>
        </row>
        <row r="3466">
          <cell r="D3466" t="str">
            <v>20</v>
          </cell>
          <cell r="E3466" t="str">
            <v>Gipuzkoa</v>
          </cell>
          <cell r="F3466" t="str">
            <v>064</v>
          </cell>
          <cell r="G3466" t="str">
            <v>6</v>
          </cell>
          <cell r="H3466" t="str">
            <v>Pasaia</v>
          </cell>
        </row>
        <row r="3467">
          <cell r="D3467" t="str">
            <v>20</v>
          </cell>
          <cell r="E3467" t="str">
            <v>Gipuzkoa</v>
          </cell>
          <cell r="F3467" t="str">
            <v>065</v>
          </cell>
          <cell r="G3467" t="str">
            <v>9</v>
          </cell>
          <cell r="H3467" t="str">
            <v>Soraluze-Placencia de las Armas</v>
          </cell>
        </row>
        <row r="3468">
          <cell r="D3468" t="str">
            <v>20</v>
          </cell>
          <cell r="E3468" t="str">
            <v>Gipuzkoa</v>
          </cell>
          <cell r="F3468" t="str">
            <v>066</v>
          </cell>
          <cell r="G3468" t="str">
            <v>2</v>
          </cell>
          <cell r="H3468" t="str">
            <v>Errezil</v>
          </cell>
        </row>
        <row r="3469">
          <cell r="D3469" t="str">
            <v>20</v>
          </cell>
          <cell r="E3469" t="str">
            <v>Gipuzkoa</v>
          </cell>
          <cell r="F3469" t="str">
            <v>067</v>
          </cell>
          <cell r="G3469" t="str">
            <v>8</v>
          </cell>
          <cell r="H3469" t="str">
            <v>Errenteria</v>
          </cell>
        </row>
        <row r="3470">
          <cell r="D3470" t="str">
            <v>20</v>
          </cell>
          <cell r="E3470" t="str">
            <v>Gipuzkoa</v>
          </cell>
          <cell r="F3470" t="str">
            <v>068</v>
          </cell>
          <cell r="G3470" t="str">
            <v>4</v>
          </cell>
          <cell r="H3470" t="str">
            <v>Leintz-Gatzaga</v>
          </cell>
        </row>
        <row r="3471">
          <cell r="D3471" t="str">
            <v>20</v>
          </cell>
          <cell r="E3471" t="str">
            <v>Gipuzkoa</v>
          </cell>
          <cell r="F3471" t="str">
            <v>069</v>
          </cell>
          <cell r="G3471" t="str">
            <v>7</v>
          </cell>
          <cell r="H3471" t="str">
            <v>Donostia/San Sebastián</v>
          </cell>
        </row>
        <row r="3472">
          <cell r="D3472" t="str">
            <v>20</v>
          </cell>
          <cell r="E3472" t="str">
            <v>Gipuzkoa</v>
          </cell>
          <cell r="F3472" t="str">
            <v>070</v>
          </cell>
          <cell r="G3472" t="str">
            <v>1</v>
          </cell>
          <cell r="H3472" t="str">
            <v>Segura</v>
          </cell>
        </row>
        <row r="3473">
          <cell r="D3473" t="str">
            <v>20</v>
          </cell>
          <cell r="E3473" t="str">
            <v>Gipuzkoa</v>
          </cell>
          <cell r="F3473" t="str">
            <v>071</v>
          </cell>
          <cell r="G3473" t="str">
            <v>8</v>
          </cell>
          <cell r="H3473" t="str">
            <v>Tolosa</v>
          </cell>
        </row>
        <row r="3474">
          <cell r="D3474" t="str">
            <v>20</v>
          </cell>
          <cell r="E3474" t="str">
            <v>Gipuzkoa</v>
          </cell>
          <cell r="F3474" t="str">
            <v>072</v>
          </cell>
          <cell r="G3474" t="str">
            <v>3</v>
          </cell>
          <cell r="H3474" t="str">
            <v>Urnieta</v>
          </cell>
        </row>
        <row r="3475">
          <cell r="D3475" t="str">
            <v>20</v>
          </cell>
          <cell r="E3475" t="str">
            <v>Gipuzkoa</v>
          </cell>
          <cell r="F3475" t="str">
            <v>073</v>
          </cell>
          <cell r="G3475" t="str">
            <v>9</v>
          </cell>
          <cell r="H3475" t="str">
            <v>Usurbil</v>
          </cell>
        </row>
        <row r="3476">
          <cell r="D3476" t="str">
            <v>20</v>
          </cell>
          <cell r="E3476" t="str">
            <v>Gipuzkoa</v>
          </cell>
          <cell r="F3476" t="str">
            <v>074</v>
          </cell>
          <cell r="G3476" t="str">
            <v>4</v>
          </cell>
          <cell r="H3476" t="str">
            <v>Bergara</v>
          </cell>
        </row>
        <row r="3477">
          <cell r="D3477" t="str">
            <v>20</v>
          </cell>
          <cell r="E3477" t="str">
            <v>Gipuzkoa</v>
          </cell>
          <cell r="F3477" t="str">
            <v>075</v>
          </cell>
          <cell r="G3477" t="str">
            <v>7</v>
          </cell>
          <cell r="H3477" t="str">
            <v>Villabona</v>
          </cell>
        </row>
        <row r="3478">
          <cell r="D3478" t="str">
            <v>20</v>
          </cell>
          <cell r="E3478" t="str">
            <v>Gipuzkoa</v>
          </cell>
          <cell r="F3478" t="str">
            <v>076</v>
          </cell>
          <cell r="G3478" t="str">
            <v>0</v>
          </cell>
          <cell r="H3478" t="str">
            <v>Ordizia</v>
          </cell>
        </row>
        <row r="3479">
          <cell r="D3479" t="str">
            <v>20</v>
          </cell>
          <cell r="E3479" t="str">
            <v>Gipuzkoa</v>
          </cell>
          <cell r="F3479" t="str">
            <v>077</v>
          </cell>
          <cell r="G3479" t="str">
            <v>6</v>
          </cell>
          <cell r="H3479" t="str">
            <v>Urretxu</v>
          </cell>
        </row>
        <row r="3480">
          <cell r="D3480" t="str">
            <v>20</v>
          </cell>
          <cell r="E3480" t="str">
            <v>Gipuzkoa</v>
          </cell>
          <cell r="F3480" t="str">
            <v>078</v>
          </cell>
          <cell r="G3480" t="str">
            <v>2</v>
          </cell>
          <cell r="H3480" t="str">
            <v>Zaldibia</v>
          </cell>
        </row>
        <row r="3481">
          <cell r="D3481" t="str">
            <v>20</v>
          </cell>
          <cell r="E3481" t="str">
            <v>Gipuzkoa</v>
          </cell>
          <cell r="F3481" t="str">
            <v>079</v>
          </cell>
          <cell r="G3481" t="str">
            <v>5</v>
          </cell>
          <cell r="H3481" t="str">
            <v>Zarautz</v>
          </cell>
        </row>
        <row r="3482">
          <cell r="D3482" t="str">
            <v>20</v>
          </cell>
          <cell r="E3482" t="str">
            <v>Gipuzkoa</v>
          </cell>
          <cell r="F3482" t="str">
            <v>080</v>
          </cell>
          <cell r="G3482" t="str">
            <v>9</v>
          </cell>
          <cell r="H3482" t="str">
            <v>Zumarraga</v>
          </cell>
        </row>
        <row r="3483">
          <cell r="D3483" t="str">
            <v>20</v>
          </cell>
          <cell r="E3483" t="str">
            <v>Gipuzkoa</v>
          </cell>
          <cell r="F3483" t="str">
            <v>081</v>
          </cell>
          <cell r="G3483" t="str">
            <v>6</v>
          </cell>
          <cell r="H3483" t="str">
            <v>Zumaia</v>
          </cell>
        </row>
        <row r="3484">
          <cell r="D3484" t="str">
            <v>20</v>
          </cell>
          <cell r="E3484" t="str">
            <v>Gipuzkoa</v>
          </cell>
          <cell r="F3484" t="str">
            <v>901</v>
          </cell>
          <cell r="G3484" t="str">
            <v>4</v>
          </cell>
          <cell r="H3484" t="str">
            <v>Mendaro</v>
          </cell>
        </row>
        <row r="3485">
          <cell r="D3485" t="str">
            <v>20</v>
          </cell>
          <cell r="E3485" t="str">
            <v>Gipuzkoa</v>
          </cell>
          <cell r="F3485" t="str">
            <v>902</v>
          </cell>
          <cell r="G3485" t="str">
            <v>9</v>
          </cell>
          <cell r="H3485" t="str">
            <v>Lasarte-Oria</v>
          </cell>
        </row>
        <row r="3486">
          <cell r="D3486" t="str">
            <v>20</v>
          </cell>
          <cell r="E3486" t="str">
            <v>Gipuzkoa</v>
          </cell>
          <cell r="F3486" t="str">
            <v>903</v>
          </cell>
          <cell r="G3486" t="str">
            <v>5</v>
          </cell>
          <cell r="H3486" t="str">
            <v>Astigarraga</v>
          </cell>
        </row>
        <row r="3487">
          <cell r="D3487" t="str">
            <v>20</v>
          </cell>
          <cell r="E3487" t="str">
            <v>Gipuzkoa</v>
          </cell>
          <cell r="F3487" t="str">
            <v>904</v>
          </cell>
          <cell r="G3487" t="str">
            <v>0</v>
          </cell>
          <cell r="H3487" t="str">
            <v>Baliarrain</v>
          </cell>
        </row>
        <row r="3488">
          <cell r="D3488" t="str">
            <v>20</v>
          </cell>
          <cell r="E3488" t="str">
            <v>Gipuzkoa</v>
          </cell>
          <cell r="F3488" t="str">
            <v>905</v>
          </cell>
          <cell r="G3488" t="str">
            <v>3</v>
          </cell>
          <cell r="H3488" t="str">
            <v>Orendain</v>
          </cell>
        </row>
        <row r="3489">
          <cell r="D3489" t="str">
            <v>20</v>
          </cell>
          <cell r="E3489" t="str">
            <v>Gipuzkoa</v>
          </cell>
          <cell r="F3489" t="str">
            <v>906</v>
          </cell>
          <cell r="G3489" t="str">
            <v>6</v>
          </cell>
          <cell r="H3489" t="str">
            <v>Altzaga</v>
          </cell>
        </row>
        <row r="3490">
          <cell r="D3490" t="str">
            <v>20</v>
          </cell>
          <cell r="E3490" t="str">
            <v>Gipuzkoa</v>
          </cell>
          <cell r="F3490" t="str">
            <v>907</v>
          </cell>
          <cell r="G3490" t="str">
            <v>2</v>
          </cell>
          <cell r="H3490" t="str">
            <v>Gaztelu</v>
          </cell>
        </row>
        <row r="3491">
          <cell r="D3491" t="str">
            <v>21</v>
          </cell>
          <cell r="E3491" t="str">
            <v>Huelva</v>
          </cell>
          <cell r="F3491" t="str">
            <v>001</v>
          </cell>
          <cell r="G3491" t="str">
            <v>0</v>
          </cell>
          <cell r="H3491" t="str">
            <v>Alájar</v>
          </cell>
        </row>
        <row r="3492">
          <cell r="D3492" t="str">
            <v>21</v>
          </cell>
          <cell r="E3492" t="str">
            <v>Huelva</v>
          </cell>
          <cell r="F3492" t="str">
            <v>002</v>
          </cell>
          <cell r="G3492" t="str">
            <v>5</v>
          </cell>
          <cell r="H3492" t="str">
            <v>Aljaraque</v>
          </cell>
        </row>
        <row r="3493">
          <cell r="D3493" t="str">
            <v>21</v>
          </cell>
          <cell r="E3493" t="str">
            <v>Huelva</v>
          </cell>
          <cell r="F3493" t="str">
            <v>003</v>
          </cell>
          <cell r="G3493" t="str">
            <v>1</v>
          </cell>
          <cell r="H3493" t="str">
            <v>Almendro, El</v>
          </cell>
        </row>
        <row r="3494">
          <cell r="D3494" t="str">
            <v>21</v>
          </cell>
          <cell r="E3494" t="str">
            <v>Huelva</v>
          </cell>
          <cell r="F3494" t="str">
            <v>004</v>
          </cell>
          <cell r="G3494" t="str">
            <v>6</v>
          </cell>
          <cell r="H3494" t="str">
            <v>Almonaster la Real</v>
          </cell>
        </row>
        <row r="3495">
          <cell r="D3495" t="str">
            <v>21</v>
          </cell>
          <cell r="E3495" t="str">
            <v>Huelva</v>
          </cell>
          <cell r="F3495" t="str">
            <v>005</v>
          </cell>
          <cell r="G3495" t="str">
            <v>9</v>
          </cell>
          <cell r="H3495" t="str">
            <v>Almonte</v>
          </cell>
        </row>
        <row r="3496">
          <cell r="D3496" t="str">
            <v>21</v>
          </cell>
          <cell r="E3496" t="str">
            <v>Huelva</v>
          </cell>
          <cell r="F3496" t="str">
            <v>006</v>
          </cell>
          <cell r="G3496" t="str">
            <v>2</v>
          </cell>
          <cell r="H3496" t="str">
            <v>Alosno</v>
          </cell>
        </row>
        <row r="3497">
          <cell r="D3497" t="str">
            <v>21</v>
          </cell>
          <cell r="E3497" t="str">
            <v>Huelva</v>
          </cell>
          <cell r="F3497" t="str">
            <v>007</v>
          </cell>
          <cell r="G3497" t="str">
            <v>8</v>
          </cell>
          <cell r="H3497" t="str">
            <v>Aracena</v>
          </cell>
        </row>
        <row r="3498">
          <cell r="D3498" t="str">
            <v>21</v>
          </cell>
          <cell r="E3498" t="str">
            <v>Huelva</v>
          </cell>
          <cell r="F3498" t="str">
            <v>008</v>
          </cell>
          <cell r="G3498" t="str">
            <v>4</v>
          </cell>
          <cell r="H3498" t="str">
            <v>Aroche</v>
          </cell>
        </row>
        <row r="3499">
          <cell r="D3499" t="str">
            <v>21</v>
          </cell>
          <cell r="E3499" t="str">
            <v>Huelva</v>
          </cell>
          <cell r="F3499" t="str">
            <v>009</v>
          </cell>
          <cell r="G3499" t="str">
            <v>7</v>
          </cell>
          <cell r="H3499" t="str">
            <v>Arroyomolinos de León</v>
          </cell>
        </row>
        <row r="3500">
          <cell r="D3500" t="str">
            <v>21</v>
          </cell>
          <cell r="E3500" t="str">
            <v>Huelva</v>
          </cell>
          <cell r="F3500" t="str">
            <v>010</v>
          </cell>
          <cell r="G3500" t="str">
            <v>1</v>
          </cell>
          <cell r="H3500" t="str">
            <v>Ayamonte</v>
          </cell>
        </row>
        <row r="3501">
          <cell r="D3501" t="str">
            <v>21</v>
          </cell>
          <cell r="E3501" t="str">
            <v>Huelva</v>
          </cell>
          <cell r="F3501" t="str">
            <v>011</v>
          </cell>
          <cell r="G3501" t="str">
            <v>8</v>
          </cell>
          <cell r="H3501" t="str">
            <v>Beas</v>
          </cell>
        </row>
        <row r="3502">
          <cell r="D3502" t="str">
            <v>21</v>
          </cell>
          <cell r="E3502" t="str">
            <v>Huelva</v>
          </cell>
          <cell r="F3502" t="str">
            <v>012</v>
          </cell>
          <cell r="G3502" t="str">
            <v>3</v>
          </cell>
          <cell r="H3502" t="str">
            <v>Berrocal</v>
          </cell>
        </row>
        <row r="3503">
          <cell r="D3503" t="str">
            <v>21</v>
          </cell>
          <cell r="E3503" t="str">
            <v>Huelva</v>
          </cell>
          <cell r="F3503" t="str">
            <v>013</v>
          </cell>
          <cell r="G3503" t="str">
            <v>9</v>
          </cell>
          <cell r="H3503" t="str">
            <v>Bollullos Par del Condado</v>
          </cell>
        </row>
        <row r="3504">
          <cell r="D3504" t="str">
            <v>21</v>
          </cell>
          <cell r="E3504" t="str">
            <v>Huelva</v>
          </cell>
          <cell r="F3504" t="str">
            <v>014</v>
          </cell>
          <cell r="G3504" t="str">
            <v>4</v>
          </cell>
          <cell r="H3504" t="str">
            <v>Bonares</v>
          </cell>
        </row>
        <row r="3505">
          <cell r="D3505" t="str">
            <v>21</v>
          </cell>
          <cell r="E3505" t="str">
            <v>Huelva</v>
          </cell>
          <cell r="F3505" t="str">
            <v>015</v>
          </cell>
          <cell r="G3505" t="str">
            <v>7</v>
          </cell>
          <cell r="H3505" t="str">
            <v>Cabezas Rubias</v>
          </cell>
        </row>
        <row r="3506">
          <cell r="D3506" t="str">
            <v>21</v>
          </cell>
          <cell r="E3506" t="str">
            <v>Huelva</v>
          </cell>
          <cell r="F3506" t="str">
            <v>016</v>
          </cell>
          <cell r="G3506" t="str">
            <v>0</v>
          </cell>
          <cell r="H3506" t="str">
            <v>Cala</v>
          </cell>
        </row>
        <row r="3507">
          <cell r="D3507" t="str">
            <v>21</v>
          </cell>
          <cell r="E3507" t="str">
            <v>Huelva</v>
          </cell>
          <cell r="F3507" t="str">
            <v>017</v>
          </cell>
          <cell r="G3507" t="str">
            <v>6</v>
          </cell>
          <cell r="H3507" t="str">
            <v>Calañas</v>
          </cell>
        </row>
        <row r="3508">
          <cell r="D3508" t="str">
            <v>21</v>
          </cell>
          <cell r="E3508" t="str">
            <v>Huelva</v>
          </cell>
          <cell r="F3508" t="str">
            <v>018</v>
          </cell>
          <cell r="G3508" t="str">
            <v>2</v>
          </cell>
          <cell r="H3508" t="str">
            <v>Campillo, El</v>
          </cell>
        </row>
        <row r="3509">
          <cell r="D3509" t="str">
            <v>21</v>
          </cell>
          <cell r="E3509" t="str">
            <v>Huelva</v>
          </cell>
          <cell r="F3509" t="str">
            <v>019</v>
          </cell>
          <cell r="G3509" t="str">
            <v>5</v>
          </cell>
          <cell r="H3509" t="str">
            <v>Campofrío</v>
          </cell>
        </row>
        <row r="3510">
          <cell r="D3510" t="str">
            <v>21</v>
          </cell>
          <cell r="E3510" t="str">
            <v>Huelva</v>
          </cell>
          <cell r="F3510" t="str">
            <v>020</v>
          </cell>
          <cell r="G3510" t="str">
            <v>9</v>
          </cell>
          <cell r="H3510" t="str">
            <v>Cañaveral de León</v>
          </cell>
        </row>
        <row r="3511">
          <cell r="D3511" t="str">
            <v>21</v>
          </cell>
          <cell r="E3511" t="str">
            <v>Huelva</v>
          </cell>
          <cell r="F3511" t="str">
            <v>021</v>
          </cell>
          <cell r="G3511" t="str">
            <v>6</v>
          </cell>
          <cell r="H3511" t="str">
            <v>Cartaya</v>
          </cell>
        </row>
        <row r="3512">
          <cell r="D3512" t="str">
            <v>21</v>
          </cell>
          <cell r="E3512" t="str">
            <v>Huelva</v>
          </cell>
          <cell r="F3512" t="str">
            <v>022</v>
          </cell>
          <cell r="G3512" t="str">
            <v>1</v>
          </cell>
          <cell r="H3512" t="str">
            <v>Castaño del Robledo</v>
          </cell>
        </row>
        <row r="3513">
          <cell r="D3513" t="str">
            <v>21</v>
          </cell>
          <cell r="E3513" t="str">
            <v>Huelva</v>
          </cell>
          <cell r="F3513" t="str">
            <v>023</v>
          </cell>
          <cell r="G3513" t="str">
            <v>7</v>
          </cell>
          <cell r="H3513" t="str">
            <v>Cerro de Andévalo, El</v>
          </cell>
        </row>
        <row r="3514">
          <cell r="D3514" t="str">
            <v>21</v>
          </cell>
          <cell r="E3514" t="str">
            <v>Huelva</v>
          </cell>
          <cell r="F3514" t="str">
            <v>024</v>
          </cell>
          <cell r="G3514" t="str">
            <v>2</v>
          </cell>
          <cell r="H3514" t="str">
            <v>Corteconcepción</v>
          </cell>
        </row>
        <row r="3515">
          <cell r="D3515" t="str">
            <v>21</v>
          </cell>
          <cell r="E3515" t="str">
            <v>Huelva</v>
          </cell>
          <cell r="F3515" t="str">
            <v>025</v>
          </cell>
          <cell r="G3515" t="str">
            <v>5</v>
          </cell>
          <cell r="H3515" t="str">
            <v>Cortegana</v>
          </cell>
        </row>
        <row r="3516">
          <cell r="D3516" t="str">
            <v>21</v>
          </cell>
          <cell r="E3516" t="str">
            <v>Huelva</v>
          </cell>
          <cell r="F3516" t="str">
            <v>026</v>
          </cell>
          <cell r="G3516" t="str">
            <v>8</v>
          </cell>
          <cell r="H3516" t="str">
            <v>Cortelazor</v>
          </cell>
        </row>
        <row r="3517">
          <cell r="D3517" t="str">
            <v>21</v>
          </cell>
          <cell r="E3517" t="str">
            <v>Huelva</v>
          </cell>
          <cell r="F3517" t="str">
            <v>027</v>
          </cell>
          <cell r="G3517" t="str">
            <v>4</v>
          </cell>
          <cell r="H3517" t="str">
            <v>Cumbres de Enmedio</v>
          </cell>
        </row>
        <row r="3518">
          <cell r="D3518" t="str">
            <v>21</v>
          </cell>
          <cell r="E3518" t="str">
            <v>Huelva</v>
          </cell>
          <cell r="F3518" t="str">
            <v>028</v>
          </cell>
          <cell r="G3518" t="str">
            <v>0</v>
          </cell>
          <cell r="H3518" t="str">
            <v>Cumbres de San Bartolomé</v>
          </cell>
        </row>
        <row r="3519">
          <cell r="D3519" t="str">
            <v>21</v>
          </cell>
          <cell r="E3519" t="str">
            <v>Huelva</v>
          </cell>
          <cell r="F3519" t="str">
            <v>029</v>
          </cell>
          <cell r="G3519" t="str">
            <v>3</v>
          </cell>
          <cell r="H3519" t="str">
            <v>Cumbres Mayores</v>
          </cell>
        </row>
        <row r="3520">
          <cell r="D3520" t="str">
            <v>21</v>
          </cell>
          <cell r="E3520" t="str">
            <v>Huelva</v>
          </cell>
          <cell r="F3520" t="str">
            <v>030</v>
          </cell>
          <cell r="G3520" t="str">
            <v>7</v>
          </cell>
          <cell r="H3520" t="str">
            <v>Chucena</v>
          </cell>
        </row>
        <row r="3521">
          <cell r="D3521" t="str">
            <v>21</v>
          </cell>
          <cell r="E3521" t="str">
            <v>Huelva</v>
          </cell>
          <cell r="F3521" t="str">
            <v>031</v>
          </cell>
          <cell r="G3521" t="str">
            <v>4</v>
          </cell>
          <cell r="H3521" t="str">
            <v>Encinasola</v>
          </cell>
        </row>
        <row r="3522">
          <cell r="D3522" t="str">
            <v>21</v>
          </cell>
          <cell r="E3522" t="str">
            <v>Huelva</v>
          </cell>
          <cell r="F3522" t="str">
            <v>032</v>
          </cell>
          <cell r="G3522" t="str">
            <v>9</v>
          </cell>
          <cell r="H3522" t="str">
            <v>Escacena del Campo</v>
          </cell>
        </row>
        <row r="3523">
          <cell r="D3523" t="str">
            <v>21</v>
          </cell>
          <cell r="E3523" t="str">
            <v>Huelva</v>
          </cell>
          <cell r="F3523" t="str">
            <v>033</v>
          </cell>
          <cell r="G3523" t="str">
            <v>5</v>
          </cell>
          <cell r="H3523" t="str">
            <v>Fuenteheridos</v>
          </cell>
        </row>
        <row r="3524">
          <cell r="D3524" t="str">
            <v>21</v>
          </cell>
          <cell r="E3524" t="str">
            <v>Huelva</v>
          </cell>
          <cell r="F3524" t="str">
            <v>034</v>
          </cell>
          <cell r="G3524" t="str">
            <v>0</v>
          </cell>
          <cell r="H3524" t="str">
            <v>Galaroza</v>
          </cell>
        </row>
        <row r="3525">
          <cell r="D3525" t="str">
            <v>21</v>
          </cell>
          <cell r="E3525" t="str">
            <v>Huelva</v>
          </cell>
          <cell r="F3525" t="str">
            <v>035</v>
          </cell>
          <cell r="G3525" t="str">
            <v>3</v>
          </cell>
          <cell r="H3525" t="str">
            <v>Gibraleón</v>
          </cell>
        </row>
        <row r="3526">
          <cell r="D3526" t="str">
            <v>21</v>
          </cell>
          <cell r="E3526" t="str">
            <v>Huelva</v>
          </cell>
          <cell r="F3526" t="str">
            <v>036</v>
          </cell>
          <cell r="G3526" t="str">
            <v>6</v>
          </cell>
          <cell r="H3526" t="str">
            <v>Granada de Río-Tinto, La</v>
          </cell>
        </row>
        <row r="3527">
          <cell r="D3527" t="str">
            <v>21</v>
          </cell>
          <cell r="E3527" t="str">
            <v>Huelva</v>
          </cell>
          <cell r="F3527" t="str">
            <v>037</v>
          </cell>
          <cell r="G3527" t="str">
            <v>2</v>
          </cell>
          <cell r="H3527" t="str">
            <v>Granado, El</v>
          </cell>
        </row>
        <row r="3528">
          <cell r="D3528" t="str">
            <v>21</v>
          </cell>
          <cell r="E3528" t="str">
            <v>Huelva</v>
          </cell>
          <cell r="F3528" t="str">
            <v>038</v>
          </cell>
          <cell r="G3528" t="str">
            <v>8</v>
          </cell>
          <cell r="H3528" t="str">
            <v>Higuera de la Sierra</v>
          </cell>
        </row>
        <row r="3529">
          <cell r="D3529" t="str">
            <v>21</v>
          </cell>
          <cell r="E3529" t="str">
            <v>Huelva</v>
          </cell>
          <cell r="F3529" t="str">
            <v>039</v>
          </cell>
          <cell r="G3529" t="str">
            <v>1</v>
          </cell>
          <cell r="H3529" t="str">
            <v>Hinojales</v>
          </cell>
        </row>
        <row r="3530">
          <cell r="D3530" t="str">
            <v>21</v>
          </cell>
          <cell r="E3530" t="str">
            <v>Huelva</v>
          </cell>
          <cell r="F3530" t="str">
            <v>040</v>
          </cell>
          <cell r="G3530" t="str">
            <v>5</v>
          </cell>
          <cell r="H3530" t="str">
            <v>Hinojos</v>
          </cell>
        </row>
        <row r="3531">
          <cell r="D3531" t="str">
            <v>21</v>
          </cell>
          <cell r="E3531" t="str">
            <v>Huelva</v>
          </cell>
          <cell r="F3531" t="str">
            <v>041</v>
          </cell>
          <cell r="G3531" t="str">
            <v>2</v>
          </cell>
          <cell r="H3531" t="str">
            <v>Huelva</v>
          </cell>
        </row>
        <row r="3532">
          <cell r="D3532" t="str">
            <v>21</v>
          </cell>
          <cell r="E3532" t="str">
            <v>Huelva</v>
          </cell>
          <cell r="F3532" t="str">
            <v>042</v>
          </cell>
          <cell r="G3532" t="str">
            <v>7</v>
          </cell>
          <cell r="H3532" t="str">
            <v>Isla Cristina</v>
          </cell>
        </row>
        <row r="3533">
          <cell r="D3533" t="str">
            <v>21</v>
          </cell>
          <cell r="E3533" t="str">
            <v>Huelva</v>
          </cell>
          <cell r="F3533" t="str">
            <v>043</v>
          </cell>
          <cell r="G3533" t="str">
            <v>3</v>
          </cell>
          <cell r="H3533" t="str">
            <v>Jabugo</v>
          </cell>
        </row>
        <row r="3534">
          <cell r="D3534" t="str">
            <v>21</v>
          </cell>
          <cell r="E3534" t="str">
            <v>Huelva</v>
          </cell>
          <cell r="F3534" t="str">
            <v>044</v>
          </cell>
          <cell r="G3534" t="str">
            <v>8</v>
          </cell>
          <cell r="H3534" t="str">
            <v>Lepe</v>
          </cell>
        </row>
        <row r="3535">
          <cell r="D3535" t="str">
            <v>21</v>
          </cell>
          <cell r="E3535" t="str">
            <v>Huelva</v>
          </cell>
          <cell r="F3535" t="str">
            <v>045</v>
          </cell>
          <cell r="G3535" t="str">
            <v>1</v>
          </cell>
          <cell r="H3535" t="str">
            <v>Linares de la Sierra</v>
          </cell>
        </row>
        <row r="3536">
          <cell r="D3536" t="str">
            <v>21</v>
          </cell>
          <cell r="E3536" t="str">
            <v>Huelva</v>
          </cell>
          <cell r="F3536" t="str">
            <v>046</v>
          </cell>
          <cell r="G3536" t="str">
            <v>4</v>
          </cell>
          <cell r="H3536" t="str">
            <v>Lucena del Puerto</v>
          </cell>
        </row>
        <row r="3537">
          <cell r="D3537" t="str">
            <v>21</v>
          </cell>
          <cell r="E3537" t="str">
            <v>Huelva</v>
          </cell>
          <cell r="F3537" t="str">
            <v>047</v>
          </cell>
          <cell r="G3537" t="str">
            <v>0</v>
          </cell>
          <cell r="H3537" t="str">
            <v>Manzanilla</v>
          </cell>
        </row>
        <row r="3538">
          <cell r="D3538" t="str">
            <v>21</v>
          </cell>
          <cell r="E3538" t="str">
            <v>Huelva</v>
          </cell>
          <cell r="F3538" t="str">
            <v>048</v>
          </cell>
          <cell r="G3538" t="str">
            <v>6</v>
          </cell>
          <cell r="H3538" t="str">
            <v>Marines, Los</v>
          </cell>
        </row>
        <row r="3539">
          <cell r="D3539" t="str">
            <v>21</v>
          </cell>
          <cell r="E3539" t="str">
            <v>Huelva</v>
          </cell>
          <cell r="F3539" t="str">
            <v>049</v>
          </cell>
          <cell r="G3539" t="str">
            <v>9</v>
          </cell>
          <cell r="H3539" t="str">
            <v>Minas de Riotinto</v>
          </cell>
        </row>
        <row r="3540">
          <cell r="D3540" t="str">
            <v>21</v>
          </cell>
          <cell r="E3540" t="str">
            <v>Huelva</v>
          </cell>
          <cell r="F3540" t="str">
            <v>050</v>
          </cell>
          <cell r="G3540" t="str">
            <v>2</v>
          </cell>
          <cell r="H3540" t="str">
            <v>Moguer</v>
          </cell>
        </row>
        <row r="3541">
          <cell r="D3541" t="str">
            <v>21</v>
          </cell>
          <cell r="E3541" t="str">
            <v>Huelva</v>
          </cell>
          <cell r="F3541" t="str">
            <v>051</v>
          </cell>
          <cell r="G3541" t="str">
            <v>9</v>
          </cell>
          <cell r="H3541" t="str">
            <v>Nava, La</v>
          </cell>
        </row>
        <row r="3542">
          <cell r="D3542" t="str">
            <v>21</v>
          </cell>
          <cell r="E3542" t="str">
            <v>Huelva</v>
          </cell>
          <cell r="F3542" t="str">
            <v>052</v>
          </cell>
          <cell r="G3542" t="str">
            <v>4</v>
          </cell>
          <cell r="H3542" t="str">
            <v>Nerva</v>
          </cell>
        </row>
        <row r="3543">
          <cell r="D3543" t="str">
            <v>21</v>
          </cell>
          <cell r="E3543" t="str">
            <v>Huelva</v>
          </cell>
          <cell r="F3543" t="str">
            <v>053</v>
          </cell>
          <cell r="G3543" t="str">
            <v>0</v>
          </cell>
          <cell r="H3543" t="str">
            <v>Niebla</v>
          </cell>
        </row>
        <row r="3544">
          <cell r="D3544" t="str">
            <v>21</v>
          </cell>
          <cell r="E3544" t="str">
            <v>Huelva</v>
          </cell>
          <cell r="F3544" t="str">
            <v>054</v>
          </cell>
          <cell r="G3544" t="str">
            <v>5</v>
          </cell>
          <cell r="H3544" t="str">
            <v>Palma del Condado, La</v>
          </cell>
        </row>
        <row r="3545">
          <cell r="D3545" t="str">
            <v>21</v>
          </cell>
          <cell r="E3545" t="str">
            <v>Huelva</v>
          </cell>
          <cell r="F3545" t="str">
            <v>055</v>
          </cell>
          <cell r="G3545" t="str">
            <v>8</v>
          </cell>
          <cell r="H3545" t="str">
            <v>Palos de la Frontera</v>
          </cell>
        </row>
        <row r="3546">
          <cell r="D3546" t="str">
            <v>21</v>
          </cell>
          <cell r="E3546" t="str">
            <v>Huelva</v>
          </cell>
          <cell r="F3546" t="str">
            <v>056</v>
          </cell>
          <cell r="G3546" t="str">
            <v>1</v>
          </cell>
          <cell r="H3546" t="str">
            <v>Paterna del Campo</v>
          </cell>
        </row>
        <row r="3547">
          <cell r="D3547" t="str">
            <v>21</v>
          </cell>
          <cell r="E3547" t="str">
            <v>Huelva</v>
          </cell>
          <cell r="F3547" t="str">
            <v>057</v>
          </cell>
          <cell r="G3547" t="str">
            <v>7</v>
          </cell>
          <cell r="H3547" t="str">
            <v>Paymogo</v>
          </cell>
        </row>
        <row r="3548">
          <cell r="D3548" t="str">
            <v>21</v>
          </cell>
          <cell r="E3548" t="str">
            <v>Huelva</v>
          </cell>
          <cell r="F3548" t="str">
            <v>058</v>
          </cell>
          <cell r="G3548" t="str">
            <v>3</v>
          </cell>
          <cell r="H3548" t="str">
            <v>Puebla de Guzmán</v>
          </cell>
        </row>
        <row r="3549">
          <cell r="D3549" t="str">
            <v>21</v>
          </cell>
          <cell r="E3549" t="str">
            <v>Huelva</v>
          </cell>
          <cell r="F3549" t="str">
            <v>059</v>
          </cell>
          <cell r="G3549" t="str">
            <v>6</v>
          </cell>
          <cell r="H3549" t="str">
            <v>Puerto Moral</v>
          </cell>
        </row>
        <row r="3550">
          <cell r="D3550" t="str">
            <v>21</v>
          </cell>
          <cell r="E3550" t="str">
            <v>Huelva</v>
          </cell>
          <cell r="F3550" t="str">
            <v>060</v>
          </cell>
          <cell r="G3550" t="str">
            <v>0</v>
          </cell>
          <cell r="H3550" t="str">
            <v>Punta Umbría</v>
          </cell>
        </row>
        <row r="3551">
          <cell r="D3551" t="str">
            <v>21</v>
          </cell>
          <cell r="E3551" t="str">
            <v>Huelva</v>
          </cell>
          <cell r="F3551" t="str">
            <v>061</v>
          </cell>
          <cell r="G3551" t="str">
            <v>7</v>
          </cell>
          <cell r="H3551" t="str">
            <v>Rociana del Condado</v>
          </cell>
        </row>
        <row r="3552">
          <cell r="D3552" t="str">
            <v>21</v>
          </cell>
          <cell r="E3552" t="str">
            <v>Huelva</v>
          </cell>
          <cell r="F3552" t="str">
            <v>062</v>
          </cell>
          <cell r="G3552" t="str">
            <v>2</v>
          </cell>
          <cell r="H3552" t="str">
            <v>Rosal de la Frontera</v>
          </cell>
        </row>
        <row r="3553">
          <cell r="D3553" t="str">
            <v>21</v>
          </cell>
          <cell r="E3553" t="str">
            <v>Huelva</v>
          </cell>
          <cell r="F3553" t="str">
            <v>063</v>
          </cell>
          <cell r="G3553" t="str">
            <v>8</v>
          </cell>
          <cell r="H3553" t="str">
            <v>San Bartolomé de la Torre</v>
          </cell>
        </row>
        <row r="3554">
          <cell r="D3554" t="str">
            <v>21</v>
          </cell>
          <cell r="E3554" t="str">
            <v>Huelva</v>
          </cell>
          <cell r="F3554" t="str">
            <v>064</v>
          </cell>
          <cell r="G3554" t="str">
            <v>3</v>
          </cell>
          <cell r="H3554" t="str">
            <v>San Juan del Puerto</v>
          </cell>
        </row>
        <row r="3555">
          <cell r="D3555" t="str">
            <v>21</v>
          </cell>
          <cell r="E3555" t="str">
            <v>Huelva</v>
          </cell>
          <cell r="F3555" t="str">
            <v>065</v>
          </cell>
          <cell r="G3555" t="str">
            <v>6</v>
          </cell>
          <cell r="H3555" t="str">
            <v>Sanlúcar de Guadiana</v>
          </cell>
        </row>
        <row r="3556">
          <cell r="D3556" t="str">
            <v>21</v>
          </cell>
          <cell r="E3556" t="str">
            <v>Huelva</v>
          </cell>
          <cell r="F3556" t="str">
            <v>066</v>
          </cell>
          <cell r="G3556" t="str">
            <v>9</v>
          </cell>
          <cell r="H3556" t="str">
            <v>San Silvestre de Guzmán</v>
          </cell>
        </row>
        <row r="3557">
          <cell r="D3557" t="str">
            <v>21</v>
          </cell>
          <cell r="E3557" t="str">
            <v>Huelva</v>
          </cell>
          <cell r="F3557" t="str">
            <v>067</v>
          </cell>
          <cell r="G3557" t="str">
            <v>5</v>
          </cell>
          <cell r="H3557" t="str">
            <v>Santa Ana la Real</v>
          </cell>
        </row>
        <row r="3558">
          <cell r="D3558" t="str">
            <v>21</v>
          </cell>
          <cell r="E3558" t="str">
            <v>Huelva</v>
          </cell>
          <cell r="F3558" t="str">
            <v>068</v>
          </cell>
          <cell r="G3558" t="str">
            <v>1</v>
          </cell>
          <cell r="H3558" t="str">
            <v>Santa Bárbara de Casa</v>
          </cell>
        </row>
        <row r="3559">
          <cell r="D3559" t="str">
            <v>21</v>
          </cell>
          <cell r="E3559" t="str">
            <v>Huelva</v>
          </cell>
          <cell r="F3559" t="str">
            <v>069</v>
          </cell>
          <cell r="G3559" t="str">
            <v>4</v>
          </cell>
          <cell r="H3559" t="str">
            <v>Santa Olalla del Cala</v>
          </cell>
        </row>
        <row r="3560">
          <cell r="D3560" t="str">
            <v>21</v>
          </cell>
          <cell r="E3560" t="str">
            <v>Huelva</v>
          </cell>
          <cell r="F3560" t="str">
            <v>070</v>
          </cell>
          <cell r="G3560" t="str">
            <v>8</v>
          </cell>
          <cell r="H3560" t="str">
            <v>Trigueros</v>
          </cell>
        </row>
        <row r="3561">
          <cell r="D3561" t="str">
            <v>21</v>
          </cell>
          <cell r="E3561" t="str">
            <v>Huelva</v>
          </cell>
          <cell r="F3561" t="str">
            <v>071</v>
          </cell>
          <cell r="G3561" t="str">
            <v>5</v>
          </cell>
          <cell r="H3561" t="str">
            <v>Valdelarco</v>
          </cell>
        </row>
        <row r="3562">
          <cell r="D3562" t="str">
            <v>21</v>
          </cell>
          <cell r="E3562" t="str">
            <v>Huelva</v>
          </cell>
          <cell r="F3562" t="str">
            <v>072</v>
          </cell>
          <cell r="G3562" t="str">
            <v>0</v>
          </cell>
          <cell r="H3562" t="str">
            <v>Valverde del Camino</v>
          </cell>
        </row>
        <row r="3563">
          <cell r="D3563" t="str">
            <v>21</v>
          </cell>
          <cell r="E3563" t="str">
            <v>Huelva</v>
          </cell>
          <cell r="F3563" t="str">
            <v>073</v>
          </cell>
          <cell r="G3563" t="str">
            <v>6</v>
          </cell>
          <cell r="H3563" t="str">
            <v>Villablanca</v>
          </cell>
        </row>
        <row r="3564">
          <cell r="D3564" t="str">
            <v>21</v>
          </cell>
          <cell r="E3564" t="str">
            <v>Huelva</v>
          </cell>
          <cell r="F3564" t="str">
            <v>074</v>
          </cell>
          <cell r="G3564" t="str">
            <v>1</v>
          </cell>
          <cell r="H3564" t="str">
            <v>Villalba del Alcor</v>
          </cell>
        </row>
        <row r="3565">
          <cell r="D3565" t="str">
            <v>21</v>
          </cell>
          <cell r="E3565" t="str">
            <v>Huelva</v>
          </cell>
          <cell r="F3565" t="str">
            <v>075</v>
          </cell>
          <cell r="G3565" t="str">
            <v>4</v>
          </cell>
          <cell r="H3565" t="str">
            <v>Villanueva de las Cruces</v>
          </cell>
        </row>
        <row r="3566">
          <cell r="D3566" t="str">
            <v>21</v>
          </cell>
          <cell r="E3566" t="str">
            <v>Huelva</v>
          </cell>
          <cell r="F3566" t="str">
            <v>076</v>
          </cell>
          <cell r="G3566" t="str">
            <v>7</v>
          </cell>
          <cell r="H3566" t="str">
            <v>Villanueva de los Castillejos</v>
          </cell>
        </row>
        <row r="3567">
          <cell r="D3567" t="str">
            <v>21</v>
          </cell>
          <cell r="E3567" t="str">
            <v>Huelva</v>
          </cell>
          <cell r="F3567" t="str">
            <v>077</v>
          </cell>
          <cell r="G3567" t="str">
            <v>3</v>
          </cell>
          <cell r="H3567" t="str">
            <v>Villarrasa</v>
          </cell>
        </row>
        <row r="3568">
          <cell r="D3568" t="str">
            <v>21</v>
          </cell>
          <cell r="E3568" t="str">
            <v>Huelva</v>
          </cell>
          <cell r="F3568" t="str">
            <v>078</v>
          </cell>
          <cell r="G3568" t="str">
            <v>9</v>
          </cell>
          <cell r="H3568" t="str">
            <v>Zalamea la Real</v>
          </cell>
        </row>
        <row r="3569">
          <cell r="D3569" t="str">
            <v>21</v>
          </cell>
          <cell r="E3569" t="str">
            <v>Huelva</v>
          </cell>
          <cell r="F3569" t="str">
            <v>079</v>
          </cell>
          <cell r="G3569" t="str">
            <v>2</v>
          </cell>
          <cell r="H3569" t="str">
            <v>Zufre</v>
          </cell>
        </row>
        <row r="3570">
          <cell r="D3570" t="str">
            <v>21</v>
          </cell>
          <cell r="E3570" t="str">
            <v>Huelva</v>
          </cell>
          <cell r="F3570" t="str">
            <v>902</v>
          </cell>
          <cell r="G3570" t="str">
            <v>6</v>
          </cell>
          <cell r="H3570" t="str">
            <v>Zarza-Perrunal, La</v>
          </cell>
        </row>
        <row r="3571">
          <cell r="D3571" t="str">
            <v>22</v>
          </cell>
          <cell r="E3571" t="str">
            <v>Huesca</v>
          </cell>
          <cell r="F3571" t="str">
            <v>001</v>
          </cell>
          <cell r="G3571" t="str">
            <v>5</v>
          </cell>
          <cell r="H3571" t="str">
            <v>Abiego</v>
          </cell>
        </row>
        <row r="3572">
          <cell r="D3572" t="str">
            <v>22</v>
          </cell>
          <cell r="E3572" t="str">
            <v>Huesca</v>
          </cell>
          <cell r="F3572" t="str">
            <v>002</v>
          </cell>
          <cell r="G3572" t="str">
            <v>0</v>
          </cell>
          <cell r="H3572" t="str">
            <v>Abizanda</v>
          </cell>
        </row>
        <row r="3573">
          <cell r="D3573" t="str">
            <v>22</v>
          </cell>
          <cell r="E3573" t="str">
            <v>Huesca</v>
          </cell>
          <cell r="F3573" t="str">
            <v>003</v>
          </cell>
          <cell r="G3573" t="str">
            <v>6</v>
          </cell>
          <cell r="H3573" t="str">
            <v>Adahuesca</v>
          </cell>
        </row>
        <row r="3574">
          <cell r="D3574" t="str">
            <v>22</v>
          </cell>
          <cell r="E3574" t="str">
            <v>Huesca</v>
          </cell>
          <cell r="F3574" t="str">
            <v>004</v>
          </cell>
          <cell r="G3574" t="str">
            <v>1</v>
          </cell>
          <cell r="H3574" t="str">
            <v>Agüero</v>
          </cell>
        </row>
        <row r="3575">
          <cell r="D3575" t="str">
            <v>22</v>
          </cell>
          <cell r="E3575" t="str">
            <v>Huesca</v>
          </cell>
          <cell r="F3575" t="str">
            <v>006</v>
          </cell>
          <cell r="G3575" t="str">
            <v>7</v>
          </cell>
          <cell r="H3575" t="str">
            <v>Aisa</v>
          </cell>
        </row>
        <row r="3576">
          <cell r="D3576" t="str">
            <v>22</v>
          </cell>
          <cell r="E3576" t="str">
            <v>Huesca</v>
          </cell>
          <cell r="F3576" t="str">
            <v>007</v>
          </cell>
          <cell r="G3576" t="str">
            <v>3</v>
          </cell>
          <cell r="H3576" t="str">
            <v>Albalate de Cinca</v>
          </cell>
        </row>
        <row r="3577">
          <cell r="D3577" t="str">
            <v>22</v>
          </cell>
          <cell r="E3577" t="str">
            <v>Huesca</v>
          </cell>
          <cell r="F3577" t="str">
            <v>008</v>
          </cell>
          <cell r="G3577" t="str">
            <v>9</v>
          </cell>
          <cell r="H3577" t="str">
            <v>Albalatillo</v>
          </cell>
        </row>
        <row r="3578">
          <cell r="D3578" t="str">
            <v>22</v>
          </cell>
          <cell r="E3578" t="str">
            <v>Huesca</v>
          </cell>
          <cell r="F3578" t="str">
            <v>009</v>
          </cell>
          <cell r="G3578" t="str">
            <v>2</v>
          </cell>
          <cell r="H3578" t="str">
            <v>Albelda</v>
          </cell>
        </row>
        <row r="3579">
          <cell r="D3579" t="str">
            <v>22</v>
          </cell>
          <cell r="E3579" t="str">
            <v>Huesca</v>
          </cell>
          <cell r="F3579" t="str">
            <v>011</v>
          </cell>
          <cell r="G3579" t="str">
            <v>3</v>
          </cell>
          <cell r="H3579" t="str">
            <v>Albero Alto</v>
          </cell>
        </row>
        <row r="3580">
          <cell r="D3580" t="str">
            <v>22</v>
          </cell>
          <cell r="E3580" t="str">
            <v>Huesca</v>
          </cell>
          <cell r="F3580" t="str">
            <v>012</v>
          </cell>
          <cell r="G3580" t="str">
            <v>8</v>
          </cell>
          <cell r="H3580" t="str">
            <v>Albero Bajo</v>
          </cell>
        </row>
        <row r="3581">
          <cell r="D3581" t="str">
            <v>22</v>
          </cell>
          <cell r="E3581" t="str">
            <v>Huesca</v>
          </cell>
          <cell r="F3581" t="str">
            <v>013</v>
          </cell>
          <cell r="G3581" t="str">
            <v>4</v>
          </cell>
          <cell r="H3581" t="str">
            <v>Alberuela de Tubo</v>
          </cell>
        </row>
        <row r="3582">
          <cell r="D3582" t="str">
            <v>22</v>
          </cell>
          <cell r="E3582" t="str">
            <v>Huesca</v>
          </cell>
          <cell r="F3582" t="str">
            <v>014</v>
          </cell>
          <cell r="G3582" t="str">
            <v>9</v>
          </cell>
          <cell r="H3582" t="str">
            <v>Alcalá de Gurrea</v>
          </cell>
        </row>
        <row r="3583">
          <cell r="D3583" t="str">
            <v>22</v>
          </cell>
          <cell r="E3583" t="str">
            <v>Huesca</v>
          </cell>
          <cell r="F3583" t="str">
            <v>015</v>
          </cell>
          <cell r="G3583" t="str">
            <v>2</v>
          </cell>
          <cell r="H3583" t="str">
            <v>Alcalá del Obispo</v>
          </cell>
        </row>
        <row r="3584">
          <cell r="D3584" t="str">
            <v>22</v>
          </cell>
          <cell r="E3584" t="str">
            <v>Huesca</v>
          </cell>
          <cell r="F3584" t="str">
            <v>016</v>
          </cell>
          <cell r="G3584" t="str">
            <v>5</v>
          </cell>
          <cell r="H3584" t="str">
            <v>Alcampell</v>
          </cell>
        </row>
        <row r="3585">
          <cell r="D3585" t="str">
            <v>22</v>
          </cell>
          <cell r="E3585" t="str">
            <v>Huesca</v>
          </cell>
          <cell r="F3585" t="str">
            <v>017</v>
          </cell>
          <cell r="G3585" t="str">
            <v>1</v>
          </cell>
          <cell r="H3585" t="str">
            <v>Alcolea de Cinca</v>
          </cell>
        </row>
        <row r="3586">
          <cell r="D3586" t="str">
            <v>22</v>
          </cell>
          <cell r="E3586" t="str">
            <v>Huesca</v>
          </cell>
          <cell r="F3586" t="str">
            <v>018</v>
          </cell>
          <cell r="G3586" t="str">
            <v>7</v>
          </cell>
          <cell r="H3586" t="str">
            <v>Alcubierre</v>
          </cell>
        </row>
        <row r="3587">
          <cell r="D3587" t="str">
            <v>22</v>
          </cell>
          <cell r="E3587" t="str">
            <v>Huesca</v>
          </cell>
          <cell r="F3587" t="str">
            <v>019</v>
          </cell>
          <cell r="G3587" t="str">
            <v>0</v>
          </cell>
          <cell r="H3587" t="str">
            <v>Alerre</v>
          </cell>
        </row>
        <row r="3588">
          <cell r="D3588" t="str">
            <v>22</v>
          </cell>
          <cell r="E3588" t="str">
            <v>Huesca</v>
          </cell>
          <cell r="F3588" t="str">
            <v>020</v>
          </cell>
          <cell r="G3588" t="str">
            <v>4</v>
          </cell>
          <cell r="H3588" t="str">
            <v>Alfántega</v>
          </cell>
        </row>
        <row r="3589">
          <cell r="D3589" t="str">
            <v>22</v>
          </cell>
          <cell r="E3589" t="str">
            <v>Huesca</v>
          </cell>
          <cell r="F3589" t="str">
            <v>021</v>
          </cell>
          <cell r="G3589" t="str">
            <v>1</v>
          </cell>
          <cell r="H3589" t="str">
            <v>Almudévar</v>
          </cell>
        </row>
        <row r="3590">
          <cell r="D3590" t="str">
            <v>22</v>
          </cell>
          <cell r="E3590" t="str">
            <v>Huesca</v>
          </cell>
          <cell r="F3590" t="str">
            <v>022</v>
          </cell>
          <cell r="G3590" t="str">
            <v>6</v>
          </cell>
          <cell r="H3590" t="str">
            <v>Almunia de San Juan</v>
          </cell>
        </row>
        <row r="3591">
          <cell r="D3591" t="str">
            <v>22</v>
          </cell>
          <cell r="E3591" t="str">
            <v>Huesca</v>
          </cell>
          <cell r="F3591" t="str">
            <v>023</v>
          </cell>
          <cell r="G3591" t="str">
            <v>2</v>
          </cell>
          <cell r="H3591" t="str">
            <v>Almuniente</v>
          </cell>
        </row>
        <row r="3592">
          <cell r="D3592" t="str">
            <v>22</v>
          </cell>
          <cell r="E3592" t="str">
            <v>Huesca</v>
          </cell>
          <cell r="F3592" t="str">
            <v>024</v>
          </cell>
          <cell r="G3592" t="str">
            <v>7</v>
          </cell>
          <cell r="H3592" t="str">
            <v>Alquézar</v>
          </cell>
        </row>
        <row r="3593">
          <cell r="D3593" t="str">
            <v>22</v>
          </cell>
          <cell r="E3593" t="str">
            <v>Huesca</v>
          </cell>
          <cell r="F3593" t="str">
            <v>025</v>
          </cell>
          <cell r="G3593" t="str">
            <v>0</v>
          </cell>
          <cell r="H3593" t="str">
            <v>Altorricón</v>
          </cell>
        </row>
        <row r="3594">
          <cell r="D3594" t="str">
            <v>22</v>
          </cell>
          <cell r="E3594" t="str">
            <v>Huesca</v>
          </cell>
          <cell r="F3594" t="str">
            <v>027</v>
          </cell>
          <cell r="G3594" t="str">
            <v>9</v>
          </cell>
          <cell r="H3594" t="str">
            <v>Angüés</v>
          </cell>
        </row>
        <row r="3595">
          <cell r="D3595" t="str">
            <v>22</v>
          </cell>
          <cell r="E3595" t="str">
            <v>Huesca</v>
          </cell>
          <cell r="F3595" t="str">
            <v>028</v>
          </cell>
          <cell r="G3595" t="str">
            <v>5</v>
          </cell>
          <cell r="H3595" t="str">
            <v>Ansó</v>
          </cell>
        </row>
        <row r="3596">
          <cell r="D3596" t="str">
            <v>22</v>
          </cell>
          <cell r="E3596" t="str">
            <v>Huesca</v>
          </cell>
          <cell r="F3596" t="str">
            <v>029</v>
          </cell>
          <cell r="G3596" t="str">
            <v>8</v>
          </cell>
          <cell r="H3596" t="str">
            <v>Antillón</v>
          </cell>
        </row>
        <row r="3597">
          <cell r="D3597" t="str">
            <v>22</v>
          </cell>
          <cell r="E3597" t="str">
            <v>Huesca</v>
          </cell>
          <cell r="F3597" t="str">
            <v>032</v>
          </cell>
          <cell r="G3597" t="str">
            <v>4</v>
          </cell>
          <cell r="H3597" t="str">
            <v>Aragüés del Puerto</v>
          </cell>
        </row>
        <row r="3598">
          <cell r="D3598" t="str">
            <v>22</v>
          </cell>
          <cell r="E3598" t="str">
            <v>Huesca</v>
          </cell>
          <cell r="F3598" t="str">
            <v>035</v>
          </cell>
          <cell r="G3598" t="str">
            <v>8</v>
          </cell>
          <cell r="H3598" t="str">
            <v>Arén</v>
          </cell>
        </row>
        <row r="3599">
          <cell r="D3599" t="str">
            <v>22</v>
          </cell>
          <cell r="E3599" t="str">
            <v>Huesca</v>
          </cell>
          <cell r="F3599" t="str">
            <v>036</v>
          </cell>
          <cell r="G3599" t="str">
            <v>1</v>
          </cell>
          <cell r="H3599" t="str">
            <v>Argavieso</v>
          </cell>
        </row>
        <row r="3600">
          <cell r="D3600" t="str">
            <v>22</v>
          </cell>
          <cell r="E3600" t="str">
            <v>Huesca</v>
          </cell>
          <cell r="F3600" t="str">
            <v>037</v>
          </cell>
          <cell r="G3600" t="str">
            <v>7</v>
          </cell>
          <cell r="H3600" t="str">
            <v>Arguis</v>
          </cell>
        </row>
        <row r="3601">
          <cell r="D3601" t="str">
            <v>22</v>
          </cell>
          <cell r="E3601" t="str">
            <v>Huesca</v>
          </cell>
          <cell r="F3601" t="str">
            <v>039</v>
          </cell>
          <cell r="G3601" t="str">
            <v>6</v>
          </cell>
          <cell r="H3601" t="str">
            <v>Ayerbe</v>
          </cell>
        </row>
        <row r="3602">
          <cell r="D3602" t="str">
            <v>22</v>
          </cell>
          <cell r="E3602" t="str">
            <v>Huesca</v>
          </cell>
          <cell r="F3602" t="str">
            <v>040</v>
          </cell>
          <cell r="G3602" t="str">
            <v>0</v>
          </cell>
          <cell r="H3602" t="str">
            <v>Azanuy-Alins</v>
          </cell>
        </row>
        <row r="3603">
          <cell r="D3603" t="str">
            <v>22</v>
          </cell>
          <cell r="E3603" t="str">
            <v>Huesca</v>
          </cell>
          <cell r="F3603" t="str">
            <v>041</v>
          </cell>
          <cell r="G3603" t="str">
            <v>7</v>
          </cell>
          <cell r="H3603" t="str">
            <v>Azara</v>
          </cell>
        </row>
        <row r="3604">
          <cell r="D3604" t="str">
            <v>22</v>
          </cell>
          <cell r="E3604" t="str">
            <v>Huesca</v>
          </cell>
          <cell r="F3604" t="str">
            <v>042</v>
          </cell>
          <cell r="G3604" t="str">
            <v>2</v>
          </cell>
          <cell r="H3604" t="str">
            <v>Azlor</v>
          </cell>
        </row>
        <row r="3605">
          <cell r="D3605" t="str">
            <v>22</v>
          </cell>
          <cell r="E3605" t="str">
            <v>Huesca</v>
          </cell>
          <cell r="F3605" t="str">
            <v>043</v>
          </cell>
          <cell r="G3605" t="str">
            <v>8</v>
          </cell>
          <cell r="H3605" t="str">
            <v>Baélls</v>
          </cell>
        </row>
        <row r="3606">
          <cell r="D3606" t="str">
            <v>22</v>
          </cell>
          <cell r="E3606" t="str">
            <v>Huesca</v>
          </cell>
          <cell r="F3606" t="str">
            <v>044</v>
          </cell>
          <cell r="G3606" t="str">
            <v>3</v>
          </cell>
          <cell r="H3606" t="str">
            <v>Bailo</v>
          </cell>
        </row>
        <row r="3607">
          <cell r="D3607" t="str">
            <v>22</v>
          </cell>
          <cell r="E3607" t="str">
            <v>Huesca</v>
          </cell>
          <cell r="F3607" t="str">
            <v>045</v>
          </cell>
          <cell r="G3607" t="str">
            <v>6</v>
          </cell>
          <cell r="H3607" t="str">
            <v>Baldellou</v>
          </cell>
        </row>
        <row r="3608">
          <cell r="D3608" t="str">
            <v>22</v>
          </cell>
          <cell r="E3608" t="str">
            <v>Huesca</v>
          </cell>
          <cell r="F3608" t="str">
            <v>046</v>
          </cell>
          <cell r="G3608" t="str">
            <v>9</v>
          </cell>
          <cell r="H3608" t="str">
            <v>Ballobar</v>
          </cell>
        </row>
        <row r="3609">
          <cell r="D3609" t="str">
            <v>22</v>
          </cell>
          <cell r="E3609" t="str">
            <v>Huesca</v>
          </cell>
          <cell r="F3609" t="str">
            <v>047</v>
          </cell>
          <cell r="G3609" t="str">
            <v>5</v>
          </cell>
          <cell r="H3609" t="str">
            <v>Banastás</v>
          </cell>
        </row>
        <row r="3610">
          <cell r="D3610" t="str">
            <v>22</v>
          </cell>
          <cell r="E3610" t="str">
            <v>Huesca</v>
          </cell>
          <cell r="F3610" t="str">
            <v>048</v>
          </cell>
          <cell r="G3610" t="str">
            <v>1</v>
          </cell>
          <cell r="H3610" t="str">
            <v>Barbastro</v>
          </cell>
        </row>
        <row r="3611">
          <cell r="D3611" t="str">
            <v>22</v>
          </cell>
          <cell r="E3611" t="str">
            <v>Huesca</v>
          </cell>
          <cell r="F3611" t="str">
            <v>049</v>
          </cell>
          <cell r="G3611" t="str">
            <v>4</v>
          </cell>
          <cell r="H3611" t="str">
            <v>Barbués</v>
          </cell>
        </row>
        <row r="3612">
          <cell r="D3612" t="str">
            <v>22</v>
          </cell>
          <cell r="E3612" t="str">
            <v>Huesca</v>
          </cell>
          <cell r="F3612" t="str">
            <v>050</v>
          </cell>
          <cell r="G3612" t="str">
            <v>7</v>
          </cell>
          <cell r="H3612" t="str">
            <v>Barbuñales</v>
          </cell>
        </row>
        <row r="3613">
          <cell r="D3613" t="str">
            <v>22</v>
          </cell>
          <cell r="E3613" t="str">
            <v>Huesca</v>
          </cell>
          <cell r="F3613" t="str">
            <v>051</v>
          </cell>
          <cell r="G3613" t="str">
            <v>4</v>
          </cell>
          <cell r="H3613" t="str">
            <v>Bárcabo</v>
          </cell>
        </row>
        <row r="3614">
          <cell r="D3614" t="str">
            <v>22</v>
          </cell>
          <cell r="E3614" t="str">
            <v>Huesca</v>
          </cell>
          <cell r="F3614" t="str">
            <v>052</v>
          </cell>
          <cell r="G3614" t="str">
            <v>9</v>
          </cell>
          <cell r="H3614" t="str">
            <v>Belver de Cinca</v>
          </cell>
        </row>
        <row r="3615">
          <cell r="D3615" t="str">
            <v>22</v>
          </cell>
          <cell r="E3615" t="str">
            <v>Huesca</v>
          </cell>
          <cell r="F3615" t="str">
            <v>053</v>
          </cell>
          <cell r="G3615" t="str">
            <v>5</v>
          </cell>
          <cell r="H3615" t="str">
            <v>Benabarre</v>
          </cell>
        </row>
        <row r="3616">
          <cell r="D3616" t="str">
            <v>22</v>
          </cell>
          <cell r="E3616" t="str">
            <v>Huesca</v>
          </cell>
          <cell r="F3616" t="str">
            <v>054</v>
          </cell>
          <cell r="G3616" t="str">
            <v>0</v>
          </cell>
          <cell r="H3616" t="str">
            <v>Benasque</v>
          </cell>
        </row>
        <row r="3617">
          <cell r="D3617" t="str">
            <v>22</v>
          </cell>
          <cell r="E3617" t="str">
            <v>Huesca</v>
          </cell>
          <cell r="F3617" t="str">
            <v>055</v>
          </cell>
          <cell r="G3617" t="str">
            <v>3</v>
          </cell>
          <cell r="H3617" t="str">
            <v>Berbegal</v>
          </cell>
        </row>
        <row r="3618">
          <cell r="D3618" t="str">
            <v>22</v>
          </cell>
          <cell r="E3618" t="str">
            <v>Huesca</v>
          </cell>
          <cell r="F3618" t="str">
            <v>057</v>
          </cell>
          <cell r="G3618" t="str">
            <v>2</v>
          </cell>
          <cell r="H3618" t="str">
            <v>Bielsa</v>
          </cell>
        </row>
        <row r="3619">
          <cell r="D3619" t="str">
            <v>22</v>
          </cell>
          <cell r="E3619" t="str">
            <v>Huesca</v>
          </cell>
          <cell r="F3619" t="str">
            <v>058</v>
          </cell>
          <cell r="G3619" t="str">
            <v>8</v>
          </cell>
          <cell r="H3619" t="str">
            <v>Bierge</v>
          </cell>
        </row>
        <row r="3620">
          <cell r="D3620" t="str">
            <v>22</v>
          </cell>
          <cell r="E3620" t="str">
            <v>Huesca</v>
          </cell>
          <cell r="F3620" t="str">
            <v>059</v>
          </cell>
          <cell r="G3620" t="str">
            <v>1</v>
          </cell>
          <cell r="H3620" t="str">
            <v>Biescas</v>
          </cell>
        </row>
        <row r="3621">
          <cell r="D3621" t="str">
            <v>22</v>
          </cell>
          <cell r="E3621" t="str">
            <v>Huesca</v>
          </cell>
          <cell r="F3621" t="str">
            <v>060</v>
          </cell>
          <cell r="G3621" t="str">
            <v>5</v>
          </cell>
          <cell r="H3621" t="str">
            <v>Binaced</v>
          </cell>
        </row>
        <row r="3622">
          <cell r="D3622" t="str">
            <v>22</v>
          </cell>
          <cell r="E3622" t="str">
            <v>Huesca</v>
          </cell>
          <cell r="F3622" t="str">
            <v>061</v>
          </cell>
          <cell r="G3622" t="str">
            <v>2</v>
          </cell>
          <cell r="H3622" t="str">
            <v>Binéfar</v>
          </cell>
        </row>
        <row r="3623">
          <cell r="D3623" t="str">
            <v>22</v>
          </cell>
          <cell r="E3623" t="str">
            <v>Huesca</v>
          </cell>
          <cell r="F3623" t="str">
            <v>062</v>
          </cell>
          <cell r="G3623" t="str">
            <v>7</v>
          </cell>
          <cell r="H3623" t="str">
            <v>Bisaurri</v>
          </cell>
        </row>
        <row r="3624">
          <cell r="D3624" t="str">
            <v>22</v>
          </cell>
          <cell r="E3624" t="str">
            <v>Huesca</v>
          </cell>
          <cell r="F3624" t="str">
            <v>063</v>
          </cell>
          <cell r="G3624" t="str">
            <v>3</v>
          </cell>
          <cell r="H3624" t="str">
            <v>Biscarrués</v>
          </cell>
        </row>
        <row r="3625">
          <cell r="D3625" t="str">
            <v>22</v>
          </cell>
          <cell r="E3625" t="str">
            <v>Huesca</v>
          </cell>
          <cell r="F3625" t="str">
            <v>064</v>
          </cell>
          <cell r="G3625" t="str">
            <v>8</v>
          </cell>
          <cell r="H3625" t="str">
            <v>Blecua y Torres</v>
          </cell>
        </row>
        <row r="3626">
          <cell r="D3626" t="str">
            <v>22</v>
          </cell>
          <cell r="E3626" t="str">
            <v>Huesca</v>
          </cell>
          <cell r="F3626" t="str">
            <v>066</v>
          </cell>
          <cell r="G3626" t="str">
            <v>4</v>
          </cell>
          <cell r="H3626" t="str">
            <v>Boltaña</v>
          </cell>
        </row>
        <row r="3627">
          <cell r="D3627" t="str">
            <v>22</v>
          </cell>
          <cell r="E3627" t="str">
            <v>Huesca</v>
          </cell>
          <cell r="F3627" t="str">
            <v>067</v>
          </cell>
          <cell r="G3627" t="str">
            <v>0</v>
          </cell>
          <cell r="H3627" t="str">
            <v>Bonansa</v>
          </cell>
        </row>
        <row r="3628">
          <cell r="D3628" t="str">
            <v>22</v>
          </cell>
          <cell r="E3628" t="str">
            <v>Huesca</v>
          </cell>
          <cell r="F3628" t="str">
            <v>068</v>
          </cell>
          <cell r="G3628" t="str">
            <v>6</v>
          </cell>
          <cell r="H3628" t="str">
            <v>Borau</v>
          </cell>
        </row>
        <row r="3629">
          <cell r="D3629" t="str">
            <v>22</v>
          </cell>
          <cell r="E3629" t="str">
            <v>Huesca</v>
          </cell>
          <cell r="F3629" t="str">
            <v>069</v>
          </cell>
          <cell r="G3629" t="str">
            <v>9</v>
          </cell>
          <cell r="H3629" t="str">
            <v>Broto</v>
          </cell>
        </row>
        <row r="3630">
          <cell r="D3630" t="str">
            <v>22</v>
          </cell>
          <cell r="E3630" t="str">
            <v>Huesca</v>
          </cell>
          <cell r="F3630" t="str">
            <v>072</v>
          </cell>
          <cell r="G3630" t="str">
            <v>5</v>
          </cell>
          <cell r="H3630" t="str">
            <v>Caldearenas</v>
          </cell>
        </row>
        <row r="3631">
          <cell r="D3631" t="str">
            <v>22</v>
          </cell>
          <cell r="E3631" t="str">
            <v>Huesca</v>
          </cell>
          <cell r="F3631" t="str">
            <v>074</v>
          </cell>
          <cell r="G3631" t="str">
            <v>6</v>
          </cell>
          <cell r="H3631" t="str">
            <v>Campo</v>
          </cell>
        </row>
        <row r="3632">
          <cell r="D3632" t="str">
            <v>22</v>
          </cell>
          <cell r="E3632" t="str">
            <v>Huesca</v>
          </cell>
          <cell r="F3632" t="str">
            <v>075</v>
          </cell>
          <cell r="G3632" t="str">
            <v>9</v>
          </cell>
          <cell r="H3632" t="str">
            <v>Camporrélls</v>
          </cell>
        </row>
        <row r="3633">
          <cell r="D3633" t="str">
            <v>22</v>
          </cell>
          <cell r="E3633" t="str">
            <v>Huesca</v>
          </cell>
          <cell r="F3633" t="str">
            <v>076</v>
          </cell>
          <cell r="G3633" t="str">
            <v>2</v>
          </cell>
          <cell r="H3633" t="str">
            <v>Canal de Berdún</v>
          </cell>
        </row>
        <row r="3634">
          <cell r="D3634" t="str">
            <v>22</v>
          </cell>
          <cell r="E3634" t="str">
            <v>Huesca</v>
          </cell>
          <cell r="F3634" t="str">
            <v>077</v>
          </cell>
          <cell r="G3634" t="str">
            <v>8</v>
          </cell>
          <cell r="H3634" t="str">
            <v>Candasnos</v>
          </cell>
        </row>
        <row r="3635">
          <cell r="D3635" t="str">
            <v>22</v>
          </cell>
          <cell r="E3635" t="str">
            <v>Huesca</v>
          </cell>
          <cell r="F3635" t="str">
            <v>078</v>
          </cell>
          <cell r="G3635" t="str">
            <v>4</v>
          </cell>
          <cell r="H3635" t="str">
            <v>Canfranc</v>
          </cell>
        </row>
        <row r="3636">
          <cell r="D3636" t="str">
            <v>22</v>
          </cell>
          <cell r="E3636" t="str">
            <v>Huesca</v>
          </cell>
          <cell r="F3636" t="str">
            <v>079</v>
          </cell>
          <cell r="G3636" t="str">
            <v>7</v>
          </cell>
          <cell r="H3636" t="str">
            <v>Capdesaso</v>
          </cell>
        </row>
        <row r="3637">
          <cell r="D3637" t="str">
            <v>22</v>
          </cell>
          <cell r="E3637" t="str">
            <v>Huesca</v>
          </cell>
          <cell r="F3637" t="str">
            <v>080</v>
          </cell>
          <cell r="G3637" t="str">
            <v>1</v>
          </cell>
          <cell r="H3637" t="str">
            <v>Capella</v>
          </cell>
        </row>
        <row r="3638">
          <cell r="D3638" t="str">
            <v>22</v>
          </cell>
          <cell r="E3638" t="str">
            <v>Huesca</v>
          </cell>
          <cell r="F3638" t="str">
            <v>081</v>
          </cell>
          <cell r="G3638" t="str">
            <v>8</v>
          </cell>
          <cell r="H3638" t="str">
            <v>Casbas de Huesca</v>
          </cell>
        </row>
        <row r="3639">
          <cell r="D3639" t="str">
            <v>22</v>
          </cell>
          <cell r="E3639" t="str">
            <v>Huesca</v>
          </cell>
          <cell r="F3639" t="str">
            <v>082</v>
          </cell>
          <cell r="G3639" t="str">
            <v>3</v>
          </cell>
          <cell r="H3639" t="str">
            <v>Castejón del Puente</v>
          </cell>
        </row>
        <row r="3640">
          <cell r="D3640" t="str">
            <v>22</v>
          </cell>
          <cell r="E3640" t="str">
            <v>Huesca</v>
          </cell>
          <cell r="F3640" t="str">
            <v>083</v>
          </cell>
          <cell r="G3640" t="str">
            <v>9</v>
          </cell>
          <cell r="H3640" t="str">
            <v>Castejón de Monegros</v>
          </cell>
        </row>
        <row r="3641">
          <cell r="D3641" t="str">
            <v>22</v>
          </cell>
          <cell r="E3641" t="str">
            <v>Huesca</v>
          </cell>
          <cell r="F3641" t="str">
            <v>084</v>
          </cell>
          <cell r="G3641" t="str">
            <v>4</v>
          </cell>
          <cell r="H3641" t="str">
            <v>Castejón de Sos</v>
          </cell>
        </row>
        <row r="3642">
          <cell r="D3642" t="str">
            <v>22</v>
          </cell>
          <cell r="E3642" t="str">
            <v>Huesca</v>
          </cell>
          <cell r="F3642" t="str">
            <v>085</v>
          </cell>
          <cell r="G3642" t="str">
            <v>7</v>
          </cell>
          <cell r="H3642" t="str">
            <v>Castelflorite</v>
          </cell>
        </row>
        <row r="3643">
          <cell r="D3643" t="str">
            <v>22</v>
          </cell>
          <cell r="E3643" t="str">
            <v>Huesca</v>
          </cell>
          <cell r="F3643" t="str">
            <v>086</v>
          </cell>
          <cell r="G3643" t="str">
            <v>0</v>
          </cell>
          <cell r="H3643" t="str">
            <v>Castiello de Jaca</v>
          </cell>
        </row>
        <row r="3644">
          <cell r="D3644" t="str">
            <v>22</v>
          </cell>
          <cell r="E3644" t="str">
            <v>Huesca</v>
          </cell>
          <cell r="F3644" t="str">
            <v>087</v>
          </cell>
          <cell r="G3644" t="str">
            <v>6</v>
          </cell>
          <cell r="H3644" t="str">
            <v>Castigaleu</v>
          </cell>
        </row>
        <row r="3645">
          <cell r="D3645" t="str">
            <v>22</v>
          </cell>
          <cell r="E3645" t="str">
            <v>Huesca</v>
          </cell>
          <cell r="F3645" t="str">
            <v>088</v>
          </cell>
          <cell r="G3645" t="str">
            <v>2</v>
          </cell>
          <cell r="H3645" t="str">
            <v>Castillazuelo</v>
          </cell>
        </row>
        <row r="3646">
          <cell r="D3646" t="str">
            <v>22</v>
          </cell>
          <cell r="E3646" t="str">
            <v>Huesca</v>
          </cell>
          <cell r="F3646" t="str">
            <v>089</v>
          </cell>
          <cell r="G3646" t="str">
            <v>5</v>
          </cell>
          <cell r="H3646" t="str">
            <v>Castillonroy</v>
          </cell>
        </row>
        <row r="3647">
          <cell r="D3647" t="str">
            <v>22</v>
          </cell>
          <cell r="E3647" t="str">
            <v>Huesca</v>
          </cell>
          <cell r="F3647" t="str">
            <v>090</v>
          </cell>
          <cell r="G3647" t="str">
            <v>9</v>
          </cell>
          <cell r="H3647" t="str">
            <v>Colungo</v>
          </cell>
        </row>
        <row r="3648">
          <cell r="D3648" t="str">
            <v>22</v>
          </cell>
          <cell r="E3648" t="str">
            <v>Huesca</v>
          </cell>
          <cell r="F3648" t="str">
            <v>094</v>
          </cell>
          <cell r="G3648" t="str">
            <v>2</v>
          </cell>
          <cell r="H3648" t="str">
            <v>Chalamera</v>
          </cell>
        </row>
        <row r="3649">
          <cell r="D3649" t="str">
            <v>22</v>
          </cell>
          <cell r="E3649" t="str">
            <v>Huesca</v>
          </cell>
          <cell r="F3649" t="str">
            <v>095</v>
          </cell>
          <cell r="G3649" t="str">
            <v>5</v>
          </cell>
          <cell r="H3649" t="str">
            <v>Chía</v>
          </cell>
        </row>
        <row r="3650">
          <cell r="D3650" t="str">
            <v>22</v>
          </cell>
          <cell r="E3650" t="str">
            <v>Huesca</v>
          </cell>
          <cell r="F3650" t="str">
            <v>096</v>
          </cell>
          <cell r="G3650" t="str">
            <v>8</v>
          </cell>
          <cell r="H3650" t="str">
            <v>Chimillas</v>
          </cell>
        </row>
        <row r="3651">
          <cell r="D3651" t="str">
            <v>22</v>
          </cell>
          <cell r="E3651" t="str">
            <v>Huesca</v>
          </cell>
          <cell r="F3651" t="str">
            <v>099</v>
          </cell>
          <cell r="G3651" t="str">
            <v>3</v>
          </cell>
          <cell r="H3651" t="str">
            <v>Esplús</v>
          </cell>
        </row>
        <row r="3652">
          <cell r="D3652" t="str">
            <v>22</v>
          </cell>
          <cell r="E3652" t="str">
            <v>Huesca</v>
          </cell>
          <cell r="F3652" t="str">
            <v>102</v>
          </cell>
          <cell r="G3652" t="str">
            <v>9</v>
          </cell>
          <cell r="H3652" t="str">
            <v>Estada</v>
          </cell>
        </row>
        <row r="3653">
          <cell r="D3653" t="str">
            <v>22</v>
          </cell>
          <cell r="E3653" t="str">
            <v>Huesca</v>
          </cell>
          <cell r="F3653" t="str">
            <v>103</v>
          </cell>
          <cell r="G3653" t="str">
            <v>5</v>
          </cell>
          <cell r="H3653" t="str">
            <v>Estadilla</v>
          </cell>
        </row>
        <row r="3654">
          <cell r="D3654" t="str">
            <v>22</v>
          </cell>
          <cell r="E3654" t="str">
            <v>Huesca</v>
          </cell>
          <cell r="F3654" t="str">
            <v>105</v>
          </cell>
          <cell r="G3654" t="str">
            <v>3</v>
          </cell>
          <cell r="H3654" t="str">
            <v>Estopiñán del Castillo</v>
          </cell>
        </row>
        <row r="3655">
          <cell r="D3655" t="str">
            <v>22</v>
          </cell>
          <cell r="E3655" t="str">
            <v>Huesca</v>
          </cell>
          <cell r="F3655" t="str">
            <v>106</v>
          </cell>
          <cell r="G3655" t="str">
            <v>6</v>
          </cell>
          <cell r="H3655" t="str">
            <v>Fago</v>
          </cell>
        </row>
        <row r="3656">
          <cell r="D3656" t="str">
            <v>22</v>
          </cell>
          <cell r="E3656" t="str">
            <v>Huesca</v>
          </cell>
          <cell r="F3656" t="str">
            <v>107</v>
          </cell>
          <cell r="G3656" t="str">
            <v>2</v>
          </cell>
          <cell r="H3656" t="str">
            <v>Fanlo</v>
          </cell>
        </row>
        <row r="3657">
          <cell r="D3657" t="str">
            <v>22</v>
          </cell>
          <cell r="E3657" t="str">
            <v>Huesca</v>
          </cell>
          <cell r="F3657" t="str">
            <v>109</v>
          </cell>
          <cell r="G3657" t="str">
            <v>1</v>
          </cell>
          <cell r="H3657" t="str">
            <v>Fiscal</v>
          </cell>
        </row>
        <row r="3658">
          <cell r="D3658" t="str">
            <v>22</v>
          </cell>
          <cell r="E3658" t="str">
            <v>Huesca</v>
          </cell>
          <cell r="F3658" t="str">
            <v>110</v>
          </cell>
          <cell r="G3658" t="str">
            <v>5</v>
          </cell>
          <cell r="H3658" t="str">
            <v>Fonz</v>
          </cell>
        </row>
        <row r="3659">
          <cell r="D3659" t="str">
            <v>22</v>
          </cell>
          <cell r="E3659" t="str">
            <v>Huesca</v>
          </cell>
          <cell r="F3659" t="str">
            <v>111</v>
          </cell>
          <cell r="G3659" t="str">
            <v>2</v>
          </cell>
          <cell r="H3659" t="str">
            <v>Foradada del Toscar</v>
          </cell>
        </row>
        <row r="3660">
          <cell r="D3660" t="str">
            <v>22</v>
          </cell>
          <cell r="E3660" t="str">
            <v>Huesca</v>
          </cell>
          <cell r="F3660" t="str">
            <v>113</v>
          </cell>
          <cell r="G3660" t="str">
            <v>3</v>
          </cell>
          <cell r="H3660" t="str">
            <v>Fueva, La</v>
          </cell>
        </row>
        <row r="3661">
          <cell r="D3661" t="str">
            <v>22</v>
          </cell>
          <cell r="E3661" t="str">
            <v>Huesca</v>
          </cell>
          <cell r="F3661" t="str">
            <v>114</v>
          </cell>
          <cell r="G3661" t="str">
            <v>8</v>
          </cell>
          <cell r="H3661" t="str">
            <v>Gistaín</v>
          </cell>
        </row>
        <row r="3662">
          <cell r="D3662" t="str">
            <v>22</v>
          </cell>
          <cell r="E3662" t="str">
            <v>Huesca</v>
          </cell>
          <cell r="F3662" t="str">
            <v>115</v>
          </cell>
          <cell r="G3662" t="str">
            <v>1</v>
          </cell>
          <cell r="H3662" t="str">
            <v>Grado, El</v>
          </cell>
        </row>
        <row r="3663">
          <cell r="D3663" t="str">
            <v>22</v>
          </cell>
          <cell r="E3663" t="str">
            <v>Huesca</v>
          </cell>
          <cell r="F3663" t="str">
            <v>116</v>
          </cell>
          <cell r="G3663" t="str">
            <v>4</v>
          </cell>
          <cell r="H3663" t="str">
            <v>Grañén</v>
          </cell>
        </row>
        <row r="3664">
          <cell r="D3664" t="str">
            <v>22</v>
          </cell>
          <cell r="E3664" t="str">
            <v>Huesca</v>
          </cell>
          <cell r="F3664" t="str">
            <v>117</v>
          </cell>
          <cell r="G3664" t="str">
            <v>0</v>
          </cell>
          <cell r="H3664" t="str">
            <v>Graus</v>
          </cell>
        </row>
        <row r="3665">
          <cell r="D3665" t="str">
            <v>22</v>
          </cell>
          <cell r="E3665" t="str">
            <v>Huesca</v>
          </cell>
          <cell r="F3665" t="str">
            <v>119</v>
          </cell>
          <cell r="G3665" t="str">
            <v>9</v>
          </cell>
          <cell r="H3665" t="str">
            <v>Gurrea de Gállego</v>
          </cell>
        </row>
        <row r="3666">
          <cell r="D3666" t="str">
            <v>22</v>
          </cell>
          <cell r="E3666" t="str">
            <v>Huesca</v>
          </cell>
          <cell r="F3666" t="str">
            <v>122</v>
          </cell>
          <cell r="G3666" t="str">
            <v>5</v>
          </cell>
          <cell r="H3666" t="str">
            <v>Hoz de Jaca</v>
          </cell>
        </row>
        <row r="3667">
          <cell r="D3667" t="str">
            <v>22</v>
          </cell>
          <cell r="E3667" t="str">
            <v>Huesca</v>
          </cell>
          <cell r="F3667" t="str">
            <v>124</v>
          </cell>
          <cell r="G3667" t="str">
            <v>6</v>
          </cell>
          <cell r="H3667" t="str">
            <v>Huerto</v>
          </cell>
        </row>
        <row r="3668">
          <cell r="D3668" t="str">
            <v>22</v>
          </cell>
          <cell r="E3668" t="str">
            <v>Huesca</v>
          </cell>
          <cell r="F3668" t="str">
            <v>125</v>
          </cell>
          <cell r="G3668" t="str">
            <v>9</v>
          </cell>
          <cell r="H3668" t="str">
            <v>Huesca</v>
          </cell>
        </row>
        <row r="3669">
          <cell r="D3669" t="str">
            <v>22</v>
          </cell>
          <cell r="E3669" t="str">
            <v>Huesca</v>
          </cell>
          <cell r="F3669" t="str">
            <v>126</v>
          </cell>
          <cell r="G3669" t="str">
            <v>2</v>
          </cell>
          <cell r="H3669" t="str">
            <v>Ibieca</v>
          </cell>
        </row>
        <row r="3670">
          <cell r="D3670" t="str">
            <v>22</v>
          </cell>
          <cell r="E3670" t="str">
            <v>Huesca</v>
          </cell>
          <cell r="F3670" t="str">
            <v>127</v>
          </cell>
          <cell r="G3670" t="str">
            <v>8</v>
          </cell>
          <cell r="H3670" t="str">
            <v>Igriés</v>
          </cell>
        </row>
        <row r="3671">
          <cell r="D3671" t="str">
            <v>22</v>
          </cell>
          <cell r="E3671" t="str">
            <v>Huesca</v>
          </cell>
          <cell r="F3671" t="str">
            <v>128</v>
          </cell>
          <cell r="G3671" t="str">
            <v>4</v>
          </cell>
          <cell r="H3671" t="str">
            <v>Ilche</v>
          </cell>
        </row>
        <row r="3672">
          <cell r="D3672" t="str">
            <v>22</v>
          </cell>
          <cell r="E3672" t="str">
            <v>Huesca</v>
          </cell>
          <cell r="F3672" t="str">
            <v>129</v>
          </cell>
          <cell r="G3672" t="str">
            <v>7</v>
          </cell>
          <cell r="H3672" t="str">
            <v>Isábena</v>
          </cell>
        </row>
        <row r="3673">
          <cell r="D3673" t="str">
            <v>22</v>
          </cell>
          <cell r="E3673" t="str">
            <v>Huesca</v>
          </cell>
          <cell r="F3673" t="str">
            <v>130</v>
          </cell>
          <cell r="G3673" t="str">
            <v>1</v>
          </cell>
          <cell r="H3673" t="str">
            <v>Jaca</v>
          </cell>
        </row>
        <row r="3674">
          <cell r="D3674" t="str">
            <v>22</v>
          </cell>
          <cell r="E3674" t="str">
            <v>Huesca</v>
          </cell>
          <cell r="F3674" t="str">
            <v>131</v>
          </cell>
          <cell r="G3674" t="str">
            <v>8</v>
          </cell>
          <cell r="H3674" t="str">
            <v>Jasa</v>
          </cell>
        </row>
        <row r="3675">
          <cell r="D3675" t="str">
            <v>22</v>
          </cell>
          <cell r="E3675" t="str">
            <v>Huesca</v>
          </cell>
          <cell r="F3675" t="str">
            <v>133</v>
          </cell>
          <cell r="G3675" t="str">
            <v>9</v>
          </cell>
          <cell r="H3675" t="str">
            <v>Labuerda</v>
          </cell>
        </row>
        <row r="3676">
          <cell r="D3676" t="str">
            <v>22</v>
          </cell>
          <cell r="E3676" t="str">
            <v>Huesca</v>
          </cell>
          <cell r="F3676" t="str">
            <v>135</v>
          </cell>
          <cell r="G3676" t="str">
            <v>7</v>
          </cell>
          <cell r="H3676" t="str">
            <v>Laluenga</v>
          </cell>
        </row>
        <row r="3677">
          <cell r="D3677" t="str">
            <v>22</v>
          </cell>
          <cell r="E3677" t="str">
            <v>Huesca</v>
          </cell>
          <cell r="F3677" t="str">
            <v>136</v>
          </cell>
          <cell r="G3677" t="str">
            <v>0</v>
          </cell>
          <cell r="H3677" t="str">
            <v>Lalueza</v>
          </cell>
        </row>
        <row r="3678">
          <cell r="D3678" t="str">
            <v>22</v>
          </cell>
          <cell r="E3678" t="str">
            <v>Huesca</v>
          </cell>
          <cell r="F3678" t="str">
            <v>137</v>
          </cell>
          <cell r="G3678" t="str">
            <v>6</v>
          </cell>
          <cell r="H3678" t="str">
            <v>Lanaja</v>
          </cell>
        </row>
        <row r="3679">
          <cell r="D3679" t="str">
            <v>22</v>
          </cell>
          <cell r="E3679" t="str">
            <v>Huesca</v>
          </cell>
          <cell r="F3679" t="str">
            <v>139</v>
          </cell>
          <cell r="G3679" t="str">
            <v>5</v>
          </cell>
          <cell r="H3679" t="str">
            <v>Laperdiguera</v>
          </cell>
        </row>
        <row r="3680">
          <cell r="D3680" t="str">
            <v>22</v>
          </cell>
          <cell r="E3680" t="str">
            <v>Huesca</v>
          </cell>
          <cell r="F3680" t="str">
            <v>141</v>
          </cell>
          <cell r="G3680" t="str">
            <v>6</v>
          </cell>
          <cell r="H3680" t="str">
            <v>Lascellas-Ponzano</v>
          </cell>
        </row>
        <row r="3681">
          <cell r="D3681" t="str">
            <v>22</v>
          </cell>
          <cell r="E3681" t="str">
            <v>Huesca</v>
          </cell>
          <cell r="F3681" t="str">
            <v>142</v>
          </cell>
          <cell r="G3681" t="str">
            <v>1</v>
          </cell>
          <cell r="H3681" t="str">
            <v>Lascuarre</v>
          </cell>
        </row>
        <row r="3682">
          <cell r="D3682" t="str">
            <v>22</v>
          </cell>
          <cell r="E3682" t="str">
            <v>Huesca</v>
          </cell>
          <cell r="F3682" t="str">
            <v>143</v>
          </cell>
          <cell r="G3682" t="str">
            <v>7</v>
          </cell>
          <cell r="H3682" t="str">
            <v>Laspaúles</v>
          </cell>
        </row>
        <row r="3683">
          <cell r="D3683" t="str">
            <v>22</v>
          </cell>
          <cell r="E3683" t="str">
            <v>Huesca</v>
          </cell>
          <cell r="F3683" t="str">
            <v>144</v>
          </cell>
          <cell r="G3683" t="str">
            <v>2</v>
          </cell>
          <cell r="H3683" t="str">
            <v>Laspuña</v>
          </cell>
        </row>
        <row r="3684">
          <cell r="D3684" t="str">
            <v>22</v>
          </cell>
          <cell r="E3684" t="str">
            <v>Huesca</v>
          </cell>
          <cell r="F3684" t="str">
            <v>149</v>
          </cell>
          <cell r="G3684" t="str">
            <v>3</v>
          </cell>
          <cell r="H3684" t="str">
            <v>Loarre</v>
          </cell>
        </row>
        <row r="3685">
          <cell r="D3685" t="str">
            <v>22</v>
          </cell>
          <cell r="E3685" t="str">
            <v>Huesca</v>
          </cell>
          <cell r="F3685" t="str">
            <v>150</v>
          </cell>
          <cell r="G3685" t="str">
            <v>6</v>
          </cell>
          <cell r="H3685" t="str">
            <v>Loporzano</v>
          </cell>
        </row>
        <row r="3686">
          <cell r="D3686" t="str">
            <v>22</v>
          </cell>
          <cell r="E3686" t="str">
            <v>Huesca</v>
          </cell>
          <cell r="F3686" t="str">
            <v>151</v>
          </cell>
          <cell r="G3686" t="str">
            <v>3</v>
          </cell>
          <cell r="H3686" t="str">
            <v>Loscorrales</v>
          </cell>
        </row>
        <row r="3687">
          <cell r="D3687" t="str">
            <v>22</v>
          </cell>
          <cell r="E3687" t="str">
            <v>Huesca</v>
          </cell>
          <cell r="F3687" t="str">
            <v>155</v>
          </cell>
          <cell r="G3687" t="str">
            <v>2</v>
          </cell>
          <cell r="H3687" t="str">
            <v>Monesma y Cajigar</v>
          </cell>
        </row>
        <row r="3688">
          <cell r="D3688" t="str">
            <v>22</v>
          </cell>
          <cell r="E3688" t="str">
            <v>Huesca</v>
          </cell>
          <cell r="F3688" t="str">
            <v>156</v>
          </cell>
          <cell r="G3688" t="str">
            <v>5</v>
          </cell>
          <cell r="H3688" t="str">
            <v>Monflorite-Lascasas</v>
          </cell>
        </row>
        <row r="3689">
          <cell r="D3689" t="str">
            <v>22</v>
          </cell>
          <cell r="E3689" t="str">
            <v>Huesca</v>
          </cell>
          <cell r="F3689" t="str">
            <v>157</v>
          </cell>
          <cell r="G3689" t="str">
            <v>1</v>
          </cell>
          <cell r="H3689" t="str">
            <v>Montanuy</v>
          </cell>
        </row>
        <row r="3690">
          <cell r="D3690" t="str">
            <v>22</v>
          </cell>
          <cell r="E3690" t="str">
            <v>Huesca</v>
          </cell>
          <cell r="F3690" t="str">
            <v>158</v>
          </cell>
          <cell r="G3690" t="str">
            <v>7</v>
          </cell>
          <cell r="H3690" t="str">
            <v>Monzón</v>
          </cell>
        </row>
        <row r="3691">
          <cell r="D3691" t="str">
            <v>22</v>
          </cell>
          <cell r="E3691" t="str">
            <v>Huesca</v>
          </cell>
          <cell r="F3691" t="str">
            <v>160</v>
          </cell>
          <cell r="G3691" t="str">
            <v>4</v>
          </cell>
          <cell r="H3691" t="str">
            <v>Naval</v>
          </cell>
        </row>
        <row r="3692">
          <cell r="D3692" t="str">
            <v>22</v>
          </cell>
          <cell r="E3692" t="str">
            <v>Huesca</v>
          </cell>
          <cell r="F3692" t="str">
            <v>162</v>
          </cell>
          <cell r="G3692" t="str">
            <v>6</v>
          </cell>
          <cell r="H3692" t="str">
            <v>Novales</v>
          </cell>
        </row>
        <row r="3693">
          <cell r="D3693" t="str">
            <v>22</v>
          </cell>
          <cell r="E3693" t="str">
            <v>Huesca</v>
          </cell>
          <cell r="F3693" t="str">
            <v>163</v>
          </cell>
          <cell r="G3693" t="str">
            <v>2</v>
          </cell>
          <cell r="H3693" t="str">
            <v>Nueno</v>
          </cell>
        </row>
        <row r="3694">
          <cell r="D3694" t="str">
            <v>22</v>
          </cell>
          <cell r="E3694" t="str">
            <v>Huesca</v>
          </cell>
          <cell r="F3694" t="str">
            <v>164</v>
          </cell>
          <cell r="G3694" t="str">
            <v>7</v>
          </cell>
          <cell r="H3694" t="str">
            <v>Olvena</v>
          </cell>
        </row>
        <row r="3695">
          <cell r="D3695" t="str">
            <v>22</v>
          </cell>
          <cell r="E3695" t="str">
            <v>Huesca</v>
          </cell>
          <cell r="F3695" t="str">
            <v>165</v>
          </cell>
          <cell r="G3695" t="str">
            <v>0</v>
          </cell>
          <cell r="H3695" t="str">
            <v>Ontiñena</v>
          </cell>
        </row>
        <row r="3696">
          <cell r="D3696" t="str">
            <v>22</v>
          </cell>
          <cell r="E3696" t="str">
            <v>Huesca</v>
          </cell>
          <cell r="F3696" t="str">
            <v>167</v>
          </cell>
          <cell r="G3696" t="str">
            <v>9</v>
          </cell>
          <cell r="H3696" t="str">
            <v>Osso de Cinca</v>
          </cell>
        </row>
        <row r="3697">
          <cell r="D3697" t="str">
            <v>22</v>
          </cell>
          <cell r="E3697" t="str">
            <v>Huesca</v>
          </cell>
          <cell r="F3697" t="str">
            <v>168</v>
          </cell>
          <cell r="G3697" t="str">
            <v>5</v>
          </cell>
          <cell r="H3697" t="str">
            <v>Palo</v>
          </cell>
        </row>
        <row r="3698">
          <cell r="D3698" t="str">
            <v>22</v>
          </cell>
          <cell r="E3698" t="str">
            <v>Huesca</v>
          </cell>
          <cell r="F3698" t="str">
            <v>170</v>
          </cell>
          <cell r="G3698" t="str">
            <v>2</v>
          </cell>
          <cell r="H3698" t="str">
            <v>Panticosa</v>
          </cell>
        </row>
        <row r="3699">
          <cell r="D3699" t="str">
            <v>22</v>
          </cell>
          <cell r="E3699" t="str">
            <v>Huesca</v>
          </cell>
          <cell r="F3699" t="str">
            <v>172</v>
          </cell>
          <cell r="G3699" t="str">
            <v>4</v>
          </cell>
          <cell r="H3699" t="str">
            <v>Peñalba</v>
          </cell>
        </row>
        <row r="3700">
          <cell r="D3700" t="str">
            <v>22</v>
          </cell>
          <cell r="E3700" t="str">
            <v>Huesca</v>
          </cell>
          <cell r="F3700" t="str">
            <v>173</v>
          </cell>
          <cell r="G3700" t="str">
            <v>0</v>
          </cell>
          <cell r="H3700" t="str">
            <v>Peñas de Riglos, Las</v>
          </cell>
        </row>
        <row r="3701">
          <cell r="D3701" t="str">
            <v>22</v>
          </cell>
          <cell r="E3701" t="str">
            <v>Huesca</v>
          </cell>
          <cell r="F3701" t="str">
            <v>174</v>
          </cell>
          <cell r="G3701" t="str">
            <v>5</v>
          </cell>
          <cell r="H3701" t="str">
            <v>Peralta de Alcofea</v>
          </cell>
        </row>
        <row r="3702">
          <cell r="D3702" t="str">
            <v>22</v>
          </cell>
          <cell r="E3702" t="str">
            <v>Huesca</v>
          </cell>
          <cell r="F3702" t="str">
            <v>175</v>
          </cell>
          <cell r="G3702" t="str">
            <v>8</v>
          </cell>
          <cell r="H3702" t="str">
            <v>Peralta de Calasanz</v>
          </cell>
        </row>
        <row r="3703">
          <cell r="D3703" t="str">
            <v>22</v>
          </cell>
          <cell r="E3703" t="str">
            <v>Huesca</v>
          </cell>
          <cell r="F3703" t="str">
            <v>176</v>
          </cell>
          <cell r="G3703" t="str">
            <v>1</v>
          </cell>
          <cell r="H3703" t="str">
            <v>Peraltilla</v>
          </cell>
        </row>
        <row r="3704">
          <cell r="D3704" t="str">
            <v>22</v>
          </cell>
          <cell r="E3704" t="str">
            <v>Huesca</v>
          </cell>
          <cell r="F3704" t="str">
            <v>177</v>
          </cell>
          <cell r="G3704" t="str">
            <v>7</v>
          </cell>
          <cell r="H3704" t="str">
            <v>Perarrúa</v>
          </cell>
        </row>
        <row r="3705">
          <cell r="D3705" t="str">
            <v>22</v>
          </cell>
          <cell r="E3705" t="str">
            <v>Huesca</v>
          </cell>
          <cell r="F3705" t="str">
            <v>178</v>
          </cell>
          <cell r="G3705" t="str">
            <v>3</v>
          </cell>
          <cell r="H3705" t="str">
            <v>Pertusa</v>
          </cell>
        </row>
        <row r="3706">
          <cell r="D3706" t="str">
            <v>22</v>
          </cell>
          <cell r="E3706" t="str">
            <v>Huesca</v>
          </cell>
          <cell r="F3706" t="str">
            <v>181</v>
          </cell>
          <cell r="G3706" t="str">
            <v>7</v>
          </cell>
          <cell r="H3706" t="str">
            <v>Piracés</v>
          </cell>
        </row>
        <row r="3707">
          <cell r="D3707" t="str">
            <v>22</v>
          </cell>
          <cell r="E3707" t="str">
            <v>Huesca</v>
          </cell>
          <cell r="F3707" t="str">
            <v>182</v>
          </cell>
          <cell r="G3707" t="str">
            <v>2</v>
          </cell>
          <cell r="H3707" t="str">
            <v>Plan</v>
          </cell>
        </row>
        <row r="3708">
          <cell r="D3708" t="str">
            <v>22</v>
          </cell>
          <cell r="E3708" t="str">
            <v>Huesca</v>
          </cell>
          <cell r="F3708" t="str">
            <v>184</v>
          </cell>
          <cell r="G3708" t="str">
            <v>3</v>
          </cell>
          <cell r="H3708" t="str">
            <v>Poleñino</v>
          </cell>
        </row>
        <row r="3709">
          <cell r="D3709" t="str">
            <v>22</v>
          </cell>
          <cell r="E3709" t="str">
            <v>Huesca</v>
          </cell>
          <cell r="F3709" t="str">
            <v>186</v>
          </cell>
          <cell r="G3709" t="str">
            <v>9</v>
          </cell>
          <cell r="H3709" t="str">
            <v>Pozán de Vero</v>
          </cell>
        </row>
        <row r="3710">
          <cell r="D3710" t="str">
            <v>22</v>
          </cell>
          <cell r="E3710" t="str">
            <v>Huesca</v>
          </cell>
          <cell r="F3710" t="str">
            <v>187</v>
          </cell>
          <cell r="G3710" t="str">
            <v>5</v>
          </cell>
          <cell r="H3710" t="str">
            <v>Puebla de Castro, La</v>
          </cell>
        </row>
        <row r="3711">
          <cell r="D3711" t="str">
            <v>22</v>
          </cell>
          <cell r="E3711" t="str">
            <v>Huesca</v>
          </cell>
          <cell r="F3711" t="str">
            <v>188</v>
          </cell>
          <cell r="G3711" t="str">
            <v>1</v>
          </cell>
          <cell r="H3711" t="str">
            <v>Puente de Montañana</v>
          </cell>
        </row>
        <row r="3712">
          <cell r="D3712" t="str">
            <v>22</v>
          </cell>
          <cell r="E3712" t="str">
            <v>Huesca</v>
          </cell>
          <cell r="F3712" t="str">
            <v>189</v>
          </cell>
          <cell r="G3712" t="str">
            <v>4</v>
          </cell>
          <cell r="H3712" t="str">
            <v>Puértolas</v>
          </cell>
        </row>
        <row r="3713">
          <cell r="D3713" t="str">
            <v>22</v>
          </cell>
          <cell r="E3713" t="str">
            <v>Huesca</v>
          </cell>
          <cell r="F3713" t="str">
            <v>190</v>
          </cell>
          <cell r="G3713" t="str">
            <v>8</v>
          </cell>
          <cell r="H3713" t="str">
            <v>Pueyo de Araguás, El</v>
          </cell>
        </row>
        <row r="3714">
          <cell r="D3714" t="str">
            <v>22</v>
          </cell>
          <cell r="E3714" t="str">
            <v>Huesca</v>
          </cell>
          <cell r="F3714" t="str">
            <v>193</v>
          </cell>
          <cell r="G3714" t="str">
            <v>6</v>
          </cell>
          <cell r="H3714" t="str">
            <v>Pueyo de Santa Cruz</v>
          </cell>
        </row>
        <row r="3715">
          <cell r="D3715" t="str">
            <v>22</v>
          </cell>
          <cell r="E3715" t="str">
            <v>Huesca</v>
          </cell>
          <cell r="F3715" t="str">
            <v>195</v>
          </cell>
          <cell r="G3715" t="str">
            <v>4</v>
          </cell>
          <cell r="H3715" t="str">
            <v>Quicena</v>
          </cell>
        </row>
        <row r="3716">
          <cell r="D3716" t="str">
            <v>22</v>
          </cell>
          <cell r="E3716" t="str">
            <v>Huesca</v>
          </cell>
          <cell r="F3716" t="str">
            <v>197</v>
          </cell>
          <cell r="G3716" t="str">
            <v>3</v>
          </cell>
          <cell r="H3716" t="str">
            <v>Robres</v>
          </cell>
        </row>
        <row r="3717">
          <cell r="D3717" t="str">
            <v>22</v>
          </cell>
          <cell r="E3717" t="str">
            <v>Huesca</v>
          </cell>
          <cell r="F3717" t="str">
            <v>199</v>
          </cell>
          <cell r="G3717" t="str">
            <v>2</v>
          </cell>
          <cell r="H3717" t="str">
            <v>Sabiñánigo</v>
          </cell>
        </row>
        <row r="3718">
          <cell r="D3718" t="str">
            <v>22</v>
          </cell>
          <cell r="E3718" t="str">
            <v>Huesca</v>
          </cell>
          <cell r="F3718" t="str">
            <v>200</v>
          </cell>
          <cell r="G3718" t="str">
            <v>6</v>
          </cell>
          <cell r="H3718" t="str">
            <v>Sahún</v>
          </cell>
        </row>
        <row r="3719">
          <cell r="D3719" t="str">
            <v>22</v>
          </cell>
          <cell r="E3719" t="str">
            <v>Huesca</v>
          </cell>
          <cell r="F3719" t="str">
            <v>201</v>
          </cell>
          <cell r="G3719" t="str">
            <v>3</v>
          </cell>
          <cell r="H3719" t="str">
            <v>Salas Altas</v>
          </cell>
        </row>
        <row r="3720">
          <cell r="D3720" t="str">
            <v>22</v>
          </cell>
          <cell r="E3720" t="str">
            <v>Huesca</v>
          </cell>
          <cell r="F3720" t="str">
            <v>202</v>
          </cell>
          <cell r="G3720" t="str">
            <v>8</v>
          </cell>
          <cell r="H3720" t="str">
            <v>Salas Bajas</v>
          </cell>
        </row>
        <row r="3721">
          <cell r="D3721" t="str">
            <v>22</v>
          </cell>
          <cell r="E3721" t="str">
            <v>Huesca</v>
          </cell>
          <cell r="F3721" t="str">
            <v>203</v>
          </cell>
          <cell r="G3721" t="str">
            <v>4</v>
          </cell>
          <cell r="H3721" t="str">
            <v>Salillas</v>
          </cell>
        </row>
        <row r="3722">
          <cell r="D3722" t="str">
            <v>22</v>
          </cell>
          <cell r="E3722" t="str">
            <v>Huesca</v>
          </cell>
          <cell r="F3722" t="str">
            <v>204</v>
          </cell>
          <cell r="G3722" t="str">
            <v>9</v>
          </cell>
          <cell r="H3722" t="str">
            <v>Sallent de Gállego</v>
          </cell>
        </row>
        <row r="3723">
          <cell r="D3723" t="str">
            <v>22</v>
          </cell>
          <cell r="E3723" t="str">
            <v>Huesca</v>
          </cell>
          <cell r="F3723" t="str">
            <v>205</v>
          </cell>
          <cell r="G3723" t="str">
            <v>2</v>
          </cell>
          <cell r="H3723" t="str">
            <v>San Esteban de Litera</v>
          </cell>
        </row>
        <row r="3724">
          <cell r="D3724" t="str">
            <v>22</v>
          </cell>
          <cell r="E3724" t="str">
            <v>Huesca</v>
          </cell>
          <cell r="F3724" t="str">
            <v>206</v>
          </cell>
          <cell r="G3724" t="str">
            <v>5</v>
          </cell>
          <cell r="H3724" t="str">
            <v>Sangarrén</v>
          </cell>
        </row>
        <row r="3725">
          <cell r="D3725" t="str">
            <v>22</v>
          </cell>
          <cell r="E3725" t="str">
            <v>Huesca</v>
          </cell>
          <cell r="F3725" t="str">
            <v>207</v>
          </cell>
          <cell r="G3725" t="str">
            <v>1</v>
          </cell>
          <cell r="H3725" t="str">
            <v>San Juan de Plan</v>
          </cell>
        </row>
        <row r="3726">
          <cell r="D3726" t="str">
            <v>22</v>
          </cell>
          <cell r="E3726" t="str">
            <v>Huesca</v>
          </cell>
          <cell r="F3726" t="str">
            <v>208</v>
          </cell>
          <cell r="G3726" t="str">
            <v>7</v>
          </cell>
          <cell r="H3726" t="str">
            <v>Santa Cilia</v>
          </cell>
        </row>
        <row r="3727">
          <cell r="D3727" t="str">
            <v>22</v>
          </cell>
          <cell r="E3727" t="str">
            <v>Huesca</v>
          </cell>
          <cell r="F3727" t="str">
            <v>209</v>
          </cell>
          <cell r="G3727" t="str">
            <v>0</v>
          </cell>
          <cell r="H3727" t="str">
            <v>Santa Cruz de la Serós</v>
          </cell>
        </row>
        <row r="3728">
          <cell r="D3728" t="str">
            <v>22</v>
          </cell>
          <cell r="E3728" t="str">
            <v>Huesca</v>
          </cell>
          <cell r="F3728" t="str">
            <v>212</v>
          </cell>
          <cell r="G3728" t="str">
            <v>6</v>
          </cell>
          <cell r="H3728" t="str">
            <v>Santaliestra y San Quílez</v>
          </cell>
        </row>
        <row r="3729">
          <cell r="D3729" t="str">
            <v>22</v>
          </cell>
          <cell r="E3729" t="str">
            <v>Huesca</v>
          </cell>
          <cell r="F3729" t="str">
            <v>213</v>
          </cell>
          <cell r="G3729" t="str">
            <v>2</v>
          </cell>
          <cell r="H3729" t="str">
            <v>Sariñena</v>
          </cell>
        </row>
        <row r="3730">
          <cell r="D3730" t="str">
            <v>22</v>
          </cell>
          <cell r="E3730" t="str">
            <v>Huesca</v>
          </cell>
          <cell r="F3730" t="str">
            <v>214</v>
          </cell>
          <cell r="G3730" t="str">
            <v>7</v>
          </cell>
          <cell r="H3730" t="str">
            <v>Secastilla</v>
          </cell>
        </row>
        <row r="3731">
          <cell r="D3731" t="str">
            <v>22</v>
          </cell>
          <cell r="E3731" t="str">
            <v>Huesca</v>
          </cell>
          <cell r="F3731" t="str">
            <v>215</v>
          </cell>
          <cell r="G3731" t="str">
            <v>0</v>
          </cell>
          <cell r="H3731" t="str">
            <v>Seira</v>
          </cell>
        </row>
        <row r="3732">
          <cell r="D3732" t="str">
            <v>22</v>
          </cell>
          <cell r="E3732" t="str">
            <v>Huesca</v>
          </cell>
          <cell r="F3732" t="str">
            <v>217</v>
          </cell>
          <cell r="G3732" t="str">
            <v>9</v>
          </cell>
          <cell r="H3732" t="str">
            <v>Sena</v>
          </cell>
        </row>
        <row r="3733">
          <cell r="D3733" t="str">
            <v>22</v>
          </cell>
          <cell r="E3733" t="str">
            <v>Huesca</v>
          </cell>
          <cell r="F3733" t="str">
            <v>218</v>
          </cell>
          <cell r="G3733" t="str">
            <v>5</v>
          </cell>
          <cell r="H3733" t="str">
            <v>Senés de Alcubierre</v>
          </cell>
        </row>
        <row r="3734">
          <cell r="D3734" t="str">
            <v>22</v>
          </cell>
          <cell r="E3734" t="str">
            <v>Huesca</v>
          </cell>
          <cell r="F3734" t="str">
            <v>220</v>
          </cell>
          <cell r="G3734" t="str">
            <v>2</v>
          </cell>
          <cell r="H3734" t="str">
            <v>Sesa</v>
          </cell>
        </row>
        <row r="3735">
          <cell r="D3735" t="str">
            <v>22</v>
          </cell>
          <cell r="E3735" t="str">
            <v>Huesca</v>
          </cell>
          <cell r="F3735" t="str">
            <v>221</v>
          </cell>
          <cell r="G3735" t="str">
            <v>9</v>
          </cell>
          <cell r="H3735" t="str">
            <v>Sesué</v>
          </cell>
        </row>
        <row r="3736">
          <cell r="D3736" t="str">
            <v>22</v>
          </cell>
          <cell r="E3736" t="str">
            <v>Huesca</v>
          </cell>
          <cell r="F3736" t="str">
            <v>222</v>
          </cell>
          <cell r="G3736" t="str">
            <v>4</v>
          </cell>
          <cell r="H3736" t="str">
            <v>Siétamo</v>
          </cell>
        </row>
        <row r="3737">
          <cell r="D3737" t="str">
            <v>22</v>
          </cell>
          <cell r="E3737" t="str">
            <v>Huesca</v>
          </cell>
          <cell r="F3737" t="str">
            <v>223</v>
          </cell>
          <cell r="G3737" t="str">
            <v>0</v>
          </cell>
          <cell r="H3737" t="str">
            <v>Sopeira</v>
          </cell>
        </row>
        <row r="3738">
          <cell r="D3738" t="str">
            <v>22</v>
          </cell>
          <cell r="E3738" t="str">
            <v>Huesca</v>
          </cell>
          <cell r="F3738" t="str">
            <v>225</v>
          </cell>
          <cell r="G3738" t="str">
            <v>8</v>
          </cell>
          <cell r="H3738" t="str">
            <v>Tamarite de Litera</v>
          </cell>
        </row>
        <row r="3739">
          <cell r="D3739" t="str">
            <v>22</v>
          </cell>
          <cell r="E3739" t="str">
            <v>Huesca</v>
          </cell>
          <cell r="F3739" t="str">
            <v>226</v>
          </cell>
          <cell r="G3739" t="str">
            <v>1</v>
          </cell>
          <cell r="H3739" t="str">
            <v>Tardienta</v>
          </cell>
        </row>
        <row r="3740">
          <cell r="D3740" t="str">
            <v>22</v>
          </cell>
          <cell r="E3740" t="str">
            <v>Huesca</v>
          </cell>
          <cell r="F3740" t="str">
            <v>227</v>
          </cell>
          <cell r="G3740" t="str">
            <v>7</v>
          </cell>
          <cell r="H3740" t="str">
            <v>Tella-Sin</v>
          </cell>
        </row>
        <row r="3741">
          <cell r="D3741" t="str">
            <v>22</v>
          </cell>
          <cell r="E3741" t="str">
            <v>Huesca</v>
          </cell>
          <cell r="F3741" t="str">
            <v>228</v>
          </cell>
          <cell r="G3741" t="str">
            <v>3</v>
          </cell>
          <cell r="H3741" t="str">
            <v>Tierz</v>
          </cell>
        </row>
        <row r="3742">
          <cell r="D3742" t="str">
            <v>22</v>
          </cell>
          <cell r="E3742" t="str">
            <v>Huesca</v>
          </cell>
          <cell r="F3742" t="str">
            <v>229</v>
          </cell>
          <cell r="G3742" t="str">
            <v>6</v>
          </cell>
          <cell r="H3742" t="str">
            <v>Tolva</v>
          </cell>
        </row>
        <row r="3743">
          <cell r="D3743" t="str">
            <v>22</v>
          </cell>
          <cell r="E3743" t="str">
            <v>Huesca</v>
          </cell>
          <cell r="F3743" t="str">
            <v>230</v>
          </cell>
          <cell r="G3743" t="str">
            <v>0</v>
          </cell>
          <cell r="H3743" t="str">
            <v>Torla-Ordesa</v>
          </cell>
        </row>
        <row r="3744">
          <cell r="D3744" t="str">
            <v>22</v>
          </cell>
          <cell r="E3744" t="str">
            <v>Huesca</v>
          </cell>
          <cell r="F3744" t="str">
            <v>232</v>
          </cell>
          <cell r="G3744" t="str">
            <v>2</v>
          </cell>
          <cell r="H3744" t="str">
            <v>Torralba de Aragón</v>
          </cell>
        </row>
        <row r="3745">
          <cell r="D3745" t="str">
            <v>22</v>
          </cell>
          <cell r="E3745" t="str">
            <v>Huesca</v>
          </cell>
          <cell r="F3745" t="str">
            <v>233</v>
          </cell>
          <cell r="G3745" t="str">
            <v>8</v>
          </cell>
          <cell r="H3745" t="str">
            <v>Torre la Ribera</v>
          </cell>
        </row>
        <row r="3746">
          <cell r="D3746" t="str">
            <v>22</v>
          </cell>
          <cell r="E3746" t="str">
            <v>Huesca</v>
          </cell>
          <cell r="F3746" t="str">
            <v>235</v>
          </cell>
          <cell r="G3746" t="str">
            <v>6</v>
          </cell>
          <cell r="H3746" t="str">
            <v>Torres de Alcanadre</v>
          </cell>
        </row>
        <row r="3747">
          <cell r="D3747" t="str">
            <v>22</v>
          </cell>
          <cell r="E3747" t="str">
            <v>Huesca</v>
          </cell>
          <cell r="F3747" t="str">
            <v>236</v>
          </cell>
          <cell r="G3747" t="str">
            <v>9</v>
          </cell>
          <cell r="H3747" t="str">
            <v>Torres de Barbués</v>
          </cell>
        </row>
        <row r="3748">
          <cell r="D3748" t="str">
            <v>22</v>
          </cell>
          <cell r="E3748" t="str">
            <v>Huesca</v>
          </cell>
          <cell r="F3748" t="str">
            <v>239</v>
          </cell>
          <cell r="G3748" t="str">
            <v>4</v>
          </cell>
          <cell r="H3748" t="str">
            <v>Tramaced</v>
          </cell>
        </row>
        <row r="3749">
          <cell r="D3749" t="str">
            <v>22</v>
          </cell>
          <cell r="E3749" t="str">
            <v>Huesca</v>
          </cell>
          <cell r="F3749" t="str">
            <v>242</v>
          </cell>
          <cell r="G3749" t="str">
            <v>0</v>
          </cell>
          <cell r="H3749" t="str">
            <v>Valfarta</v>
          </cell>
        </row>
        <row r="3750">
          <cell r="D3750" t="str">
            <v>22</v>
          </cell>
          <cell r="E3750" t="str">
            <v>Huesca</v>
          </cell>
          <cell r="F3750" t="str">
            <v>243</v>
          </cell>
          <cell r="G3750" t="str">
            <v>6</v>
          </cell>
          <cell r="H3750" t="str">
            <v>Valle de Bardají</v>
          </cell>
        </row>
        <row r="3751">
          <cell r="D3751" t="str">
            <v>22</v>
          </cell>
          <cell r="E3751" t="str">
            <v>Huesca</v>
          </cell>
          <cell r="F3751" t="str">
            <v>244</v>
          </cell>
          <cell r="G3751" t="str">
            <v>1</v>
          </cell>
          <cell r="H3751" t="str">
            <v>Valle de Lierp</v>
          </cell>
        </row>
        <row r="3752">
          <cell r="D3752" t="str">
            <v>22</v>
          </cell>
          <cell r="E3752" t="str">
            <v>Huesca</v>
          </cell>
          <cell r="F3752" t="str">
            <v>245</v>
          </cell>
          <cell r="G3752" t="str">
            <v>4</v>
          </cell>
          <cell r="H3752" t="str">
            <v>Velilla de Cinca</v>
          </cell>
        </row>
        <row r="3753">
          <cell r="D3753" t="str">
            <v>22</v>
          </cell>
          <cell r="E3753" t="str">
            <v>Huesca</v>
          </cell>
          <cell r="F3753" t="str">
            <v>246</v>
          </cell>
          <cell r="G3753" t="str">
            <v>7</v>
          </cell>
          <cell r="H3753" t="str">
            <v>Beranuy</v>
          </cell>
        </row>
        <row r="3754">
          <cell r="D3754" t="str">
            <v>22</v>
          </cell>
          <cell r="E3754" t="str">
            <v>Huesca</v>
          </cell>
          <cell r="F3754" t="str">
            <v>247</v>
          </cell>
          <cell r="G3754" t="str">
            <v>3</v>
          </cell>
          <cell r="H3754" t="str">
            <v>Viacamp y Litera</v>
          </cell>
        </row>
        <row r="3755">
          <cell r="D3755" t="str">
            <v>22</v>
          </cell>
          <cell r="E3755" t="str">
            <v>Huesca</v>
          </cell>
          <cell r="F3755" t="str">
            <v>248</v>
          </cell>
          <cell r="G3755" t="str">
            <v>9</v>
          </cell>
          <cell r="H3755" t="str">
            <v>Vicién</v>
          </cell>
        </row>
        <row r="3756">
          <cell r="D3756" t="str">
            <v>22</v>
          </cell>
          <cell r="E3756" t="str">
            <v>Huesca</v>
          </cell>
          <cell r="F3756" t="str">
            <v>249</v>
          </cell>
          <cell r="G3756" t="str">
            <v>2</v>
          </cell>
          <cell r="H3756" t="str">
            <v>Villanova</v>
          </cell>
        </row>
        <row r="3757">
          <cell r="D3757" t="str">
            <v>22</v>
          </cell>
          <cell r="E3757" t="str">
            <v>Huesca</v>
          </cell>
          <cell r="F3757" t="str">
            <v>250</v>
          </cell>
          <cell r="G3757" t="str">
            <v>5</v>
          </cell>
          <cell r="H3757" t="str">
            <v>Villanúa</v>
          </cell>
        </row>
        <row r="3758">
          <cell r="D3758" t="str">
            <v>22</v>
          </cell>
          <cell r="E3758" t="str">
            <v>Huesca</v>
          </cell>
          <cell r="F3758" t="str">
            <v>251</v>
          </cell>
          <cell r="G3758" t="str">
            <v>2</v>
          </cell>
          <cell r="H3758" t="str">
            <v>Villanueva de Sigena</v>
          </cell>
        </row>
        <row r="3759">
          <cell r="D3759" t="str">
            <v>22</v>
          </cell>
          <cell r="E3759" t="str">
            <v>Huesca</v>
          </cell>
          <cell r="F3759" t="str">
            <v>252</v>
          </cell>
          <cell r="G3759" t="str">
            <v>7</v>
          </cell>
          <cell r="H3759" t="str">
            <v>Yebra de Basa</v>
          </cell>
        </row>
        <row r="3760">
          <cell r="D3760" t="str">
            <v>22</v>
          </cell>
          <cell r="E3760" t="str">
            <v>Huesca</v>
          </cell>
          <cell r="F3760" t="str">
            <v>253</v>
          </cell>
          <cell r="G3760" t="str">
            <v>3</v>
          </cell>
          <cell r="H3760" t="str">
            <v>Yésero</v>
          </cell>
        </row>
        <row r="3761">
          <cell r="D3761" t="str">
            <v>22</v>
          </cell>
          <cell r="E3761" t="str">
            <v>Huesca</v>
          </cell>
          <cell r="F3761" t="str">
            <v>254</v>
          </cell>
          <cell r="G3761" t="str">
            <v>8</v>
          </cell>
          <cell r="H3761" t="str">
            <v>Zaidín</v>
          </cell>
        </row>
        <row r="3762">
          <cell r="D3762" t="str">
            <v>22</v>
          </cell>
          <cell r="E3762" t="str">
            <v>Huesca</v>
          </cell>
          <cell r="F3762" t="str">
            <v>901</v>
          </cell>
          <cell r="G3762" t="str">
            <v>6</v>
          </cell>
          <cell r="H3762" t="str">
            <v>Valle de Hecho</v>
          </cell>
        </row>
        <row r="3763">
          <cell r="D3763" t="str">
            <v>22</v>
          </cell>
          <cell r="E3763" t="str">
            <v>Huesca</v>
          </cell>
          <cell r="F3763" t="str">
            <v>902</v>
          </cell>
          <cell r="G3763" t="str">
            <v>1</v>
          </cell>
          <cell r="H3763" t="str">
            <v>Puente la Reina de Jaca</v>
          </cell>
        </row>
        <row r="3764">
          <cell r="D3764" t="str">
            <v>22</v>
          </cell>
          <cell r="E3764" t="str">
            <v>Huesca</v>
          </cell>
          <cell r="F3764" t="str">
            <v>903</v>
          </cell>
          <cell r="G3764" t="str">
            <v>7</v>
          </cell>
          <cell r="H3764" t="str">
            <v>San Miguel del Cinca</v>
          </cell>
        </row>
        <row r="3765">
          <cell r="D3765" t="str">
            <v>22</v>
          </cell>
          <cell r="E3765" t="str">
            <v>Huesca</v>
          </cell>
          <cell r="F3765" t="str">
            <v>904</v>
          </cell>
          <cell r="G3765" t="str">
            <v>2</v>
          </cell>
          <cell r="H3765" t="str">
            <v>Sotonera, La</v>
          </cell>
        </row>
        <row r="3766">
          <cell r="D3766" t="str">
            <v>22</v>
          </cell>
          <cell r="E3766" t="str">
            <v>Huesca</v>
          </cell>
          <cell r="F3766" t="str">
            <v>905</v>
          </cell>
          <cell r="G3766" t="str">
            <v>5</v>
          </cell>
          <cell r="H3766" t="str">
            <v>Lupiñén-Ortilla</v>
          </cell>
        </row>
        <row r="3767">
          <cell r="D3767" t="str">
            <v>22</v>
          </cell>
          <cell r="E3767" t="str">
            <v>Huesca</v>
          </cell>
          <cell r="F3767" t="str">
            <v>906</v>
          </cell>
          <cell r="G3767" t="str">
            <v>8</v>
          </cell>
          <cell r="H3767" t="str">
            <v>Santa María de Dulcis</v>
          </cell>
        </row>
        <row r="3768">
          <cell r="D3768" t="str">
            <v>22</v>
          </cell>
          <cell r="E3768" t="str">
            <v>Huesca</v>
          </cell>
          <cell r="F3768" t="str">
            <v>907</v>
          </cell>
          <cell r="G3768" t="str">
            <v>4</v>
          </cell>
          <cell r="H3768" t="str">
            <v>Aínsa-Sobrarbe</v>
          </cell>
        </row>
        <row r="3769">
          <cell r="D3769" t="str">
            <v>22</v>
          </cell>
          <cell r="E3769" t="str">
            <v>Huesca</v>
          </cell>
          <cell r="F3769" t="str">
            <v>908</v>
          </cell>
          <cell r="G3769" t="str">
            <v>0</v>
          </cell>
          <cell r="H3769" t="str">
            <v>Hoz y Costean</v>
          </cell>
        </row>
        <row r="3770">
          <cell r="D3770" t="str">
            <v>22</v>
          </cell>
          <cell r="E3770" t="str">
            <v>Huesca</v>
          </cell>
          <cell r="F3770" t="str">
            <v>909</v>
          </cell>
          <cell r="G3770" t="str">
            <v>3</v>
          </cell>
          <cell r="H3770" t="str">
            <v>Vencillón</v>
          </cell>
        </row>
        <row r="3771">
          <cell r="D3771" t="str">
            <v>23</v>
          </cell>
          <cell r="E3771" t="str">
            <v>Jaén</v>
          </cell>
          <cell r="F3771" t="str">
            <v>001</v>
          </cell>
          <cell r="G3771" t="str">
            <v>1</v>
          </cell>
          <cell r="H3771" t="str">
            <v>Albanchez de Mágina</v>
          </cell>
        </row>
        <row r="3772">
          <cell r="D3772" t="str">
            <v>23</v>
          </cell>
          <cell r="E3772" t="str">
            <v>Jaén</v>
          </cell>
          <cell r="F3772" t="str">
            <v>002</v>
          </cell>
          <cell r="G3772" t="str">
            <v>6</v>
          </cell>
          <cell r="H3772" t="str">
            <v>Alcalá la Real</v>
          </cell>
        </row>
        <row r="3773">
          <cell r="D3773" t="str">
            <v>23</v>
          </cell>
          <cell r="E3773" t="str">
            <v>Jaén</v>
          </cell>
          <cell r="F3773" t="str">
            <v>003</v>
          </cell>
          <cell r="G3773" t="str">
            <v>2</v>
          </cell>
          <cell r="H3773" t="str">
            <v>Alcaudete</v>
          </cell>
        </row>
        <row r="3774">
          <cell r="D3774" t="str">
            <v>23</v>
          </cell>
          <cell r="E3774" t="str">
            <v>Jaén</v>
          </cell>
          <cell r="F3774" t="str">
            <v>004</v>
          </cell>
          <cell r="G3774" t="str">
            <v>7</v>
          </cell>
          <cell r="H3774" t="str">
            <v>Aldeaquemada</v>
          </cell>
        </row>
        <row r="3775">
          <cell r="D3775" t="str">
            <v>23</v>
          </cell>
          <cell r="E3775" t="str">
            <v>Jaén</v>
          </cell>
          <cell r="F3775" t="str">
            <v>005</v>
          </cell>
          <cell r="G3775" t="str">
            <v>0</v>
          </cell>
          <cell r="H3775" t="str">
            <v>Andújar</v>
          </cell>
        </row>
        <row r="3776">
          <cell r="D3776" t="str">
            <v>23</v>
          </cell>
          <cell r="E3776" t="str">
            <v>Jaén</v>
          </cell>
          <cell r="F3776" t="str">
            <v>006</v>
          </cell>
          <cell r="G3776" t="str">
            <v>3</v>
          </cell>
          <cell r="H3776" t="str">
            <v>Arjona</v>
          </cell>
        </row>
        <row r="3777">
          <cell r="D3777" t="str">
            <v>23</v>
          </cell>
          <cell r="E3777" t="str">
            <v>Jaén</v>
          </cell>
          <cell r="F3777" t="str">
            <v>007</v>
          </cell>
          <cell r="G3777" t="str">
            <v>9</v>
          </cell>
          <cell r="H3777" t="str">
            <v>Arjonilla</v>
          </cell>
        </row>
        <row r="3778">
          <cell r="D3778" t="str">
            <v>23</v>
          </cell>
          <cell r="E3778" t="str">
            <v>Jaén</v>
          </cell>
          <cell r="F3778" t="str">
            <v>008</v>
          </cell>
          <cell r="G3778" t="str">
            <v>5</v>
          </cell>
          <cell r="H3778" t="str">
            <v>Arquillos</v>
          </cell>
        </row>
        <row r="3779">
          <cell r="D3779" t="str">
            <v>23</v>
          </cell>
          <cell r="E3779" t="str">
            <v>Jaén</v>
          </cell>
          <cell r="F3779" t="str">
            <v>009</v>
          </cell>
          <cell r="G3779" t="str">
            <v>8</v>
          </cell>
          <cell r="H3779" t="str">
            <v>Baeza</v>
          </cell>
        </row>
        <row r="3780">
          <cell r="D3780" t="str">
            <v>23</v>
          </cell>
          <cell r="E3780" t="str">
            <v>Jaén</v>
          </cell>
          <cell r="F3780" t="str">
            <v>010</v>
          </cell>
          <cell r="G3780" t="str">
            <v>2</v>
          </cell>
          <cell r="H3780" t="str">
            <v>Bailén</v>
          </cell>
        </row>
        <row r="3781">
          <cell r="D3781" t="str">
            <v>23</v>
          </cell>
          <cell r="E3781" t="str">
            <v>Jaén</v>
          </cell>
          <cell r="F3781" t="str">
            <v>011</v>
          </cell>
          <cell r="G3781" t="str">
            <v>9</v>
          </cell>
          <cell r="H3781" t="str">
            <v>Baños de la Encina</v>
          </cell>
        </row>
        <row r="3782">
          <cell r="D3782" t="str">
            <v>23</v>
          </cell>
          <cell r="E3782" t="str">
            <v>Jaén</v>
          </cell>
          <cell r="F3782" t="str">
            <v>012</v>
          </cell>
          <cell r="G3782" t="str">
            <v>4</v>
          </cell>
          <cell r="H3782" t="str">
            <v>Beas de Segura</v>
          </cell>
        </row>
        <row r="3783">
          <cell r="D3783" t="str">
            <v>23</v>
          </cell>
          <cell r="E3783" t="str">
            <v>Jaén</v>
          </cell>
          <cell r="F3783" t="str">
            <v>014</v>
          </cell>
          <cell r="G3783" t="str">
            <v>5</v>
          </cell>
          <cell r="H3783" t="str">
            <v>Begíjar</v>
          </cell>
        </row>
        <row r="3784">
          <cell r="D3784" t="str">
            <v>23</v>
          </cell>
          <cell r="E3784" t="str">
            <v>Jaén</v>
          </cell>
          <cell r="F3784" t="str">
            <v>015</v>
          </cell>
          <cell r="G3784" t="str">
            <v>8</v>
          </cell>
          <cell r="H3784" t="str">
            <v>Bélmez de la Moraleda</v>
          </cell>
        </row>
        <row r="3785">
          <cell r="D3785" t="str">
            <v>23</v>
          </cell>
          <cell r="E3785" t="str">
            <v>Jaén</v>
          </cell>
          <cell r="F3785" t="str">
            <v>016</v>
          </cell>
          <cell r="G3785" t="str">
            <v>1</v>
          </cell>
          <cell r="H3785" t="str">
            <v>Benatae</v>
          </cell>
        </row>
        <row r="3786">
          <cell r="D3786" t="str">
            <v>23</v>
          </cell>
          <cell r="E3786" t="str">
            <v>Jaén</v>
          </cell>
          <cell r="F3786" t="str">
            <v>017</v>
          </cell>
          <cell r="G3786" t="str">
            <v>7</v>
          </cell>
          <cell r="H3786" t="str">
            <v>Cabra del Santo Cristo</v>
          </cell>
        </row>
        <row r="3787">
          <cell r="D3787" t="str">
            <v>23</v>
          </cell>
          <cell r="E3787" t="str">
            <v>Jaén</v>
          </cell>
          <cell r="F3787" t="str">
            <v>018</v>
          </cell>
          <cell r="G3787" t="str">
            <v>3</v>
          </cell>
          <cell r="H3787" t="str">
            <v>Cambil</v>
          </cell>
        </row>
        <row r="3788">
          <cell r="D3788" t="str">
            <v>23</v>
          </cell>
          <cell r="E3788" t="str">
            <v>Jaén</v>
          </cell>
          <cell r="F3788" t="str">
            <v>019</v>
          </cell>
          <cell r="G3788" t="str">
            <v>6</v>
          </cell>
          <cell r="H3788" t="str">
            <v>Campillo de Arenas</v>
          </cell>
        </row>
        <row r="3789">
          <cell r="D3789" t="str">
            <v>23</v>
          </cell>
          <cell r="E3789" t="str">
            <v>Jaén</v>
          </cell>
          <cell r="F3789" t="str">
            <v>020</v>
          </cell>
          <cell r="G3789" t="str">
            <v>0</v>
          </cell>
          <cell r="H3789" t="str">
            <v>Canena</v>
          </cell>
        </row>
        <row r="3790">
          <cell r="D3790" t="str">
            <v>23</v>
          </cell>
          <cell r="E3790" t="str">
            <v>Jaén</v>
          </cell>
          <cell r="F3790" t="str">
            <v>021</v>
          </cell>
          <cell r="G3790" t="str">
            <v>7</v>
          </cell>
          <cell r="H3790" t="str">
            <v>Carboneros</v>
          </cell>
        </row>
        <row r="3791">
          <cell r="D3791" t="str">
            <v>23</v>
          </cell>
          <cell r="E3791" t="str">
            <v>Jaén</v>
          </cell>
          <cell r="F3791" t="str">
            <v>024</v>
          </cell>
          <cell r="G3791" t="str">
            <v>3</v>
          </cell>
          <cell r="H3791" t="str">
            <v>Carolina, La</v>
          </cell>
        </row>
        <row r="3792">
          <cell r="D3792" t="str">
            <v>23</v>
          </cell>
          <cell r="E3792" t="str">
            <v>Jaén</v>
          </cell>
          <cell r="F3792" t="str">
            <v>025</v>
          </cell>
          <cell r="G3792" t="str">
            <v>6</v>
          </cell>
          <cell r="H3792" t="str">
            <v>Castellar</v>
          </cell>
        </row>
        <row r="3793">
          <cell r="D3793" t="str">
            <v>23</v>
          </cell>
          <cell r="E3793" t="str">
            <v>Jaén</v>
          </cell>
          <cell r="F3793" t="str">
            <v>026</v>
          </cell>
          <cell r="G3793" t="str">
            <v>9</v>
          </cell>
          <cell r="H3793" t="str">
            <v>Castillo de Locubín</v>
          </cell>
        </row>
        <row r="3794">
          <cell r="D3794" t="str">
            <v>23</v>
          </cell>
          <cell r="E3794" t="str">
            <v>Jaén</v>
          </cell>
          <cell r="F3794" t="str">
            <v>027</v>
          </cell>
          <cell r="G3794" t="str">
            <v>5</v>
          </cell>
          <cell r="H3794" t="str">
            <v>Cazalilla</v>
          </cell>
        </row>
        <row r="3795">
          <cell r="D3795" t="str">
            <v>23</v>
          </cell>
          <cell r="E3795" t="str">
            <v>Jaén</v>
          </cell>
          <cell r="F3795" t="str">
            <v>028</v>
          </cell>
          <cell r="G3795" t="str">
            <v>1</v>
          </cell>
          <cell r="H3795" t="str">
            <v>Cazorla</v>
          </cell>
        </row>
        <row r="3796">
          <cell r="D3796" t="str">
            <v>23</v>
          </cell>
          <cell r="E3796" t="str">
            <v>Jaén</v>
          </cell>
          <cell r="F3796" t="str">
            <v>029</v>
          </cell>
          <cell r="G3796" t="str">
            <v>4</v>
          </cell>
          <cell r="H3796" t="str">
            <v>Chiclana de Segura</v>
          </cell>
        </row>
        <row r="3797">
          <cell r="D3797" t="str">
            <v>23</v>
          </cell>
          <cell r="E3797" t="str">
            <v>Jaén</v>
          </cell>
          <cell r="F3797" t="str">
            <v>030</v>
          </cell>
          <cell r="G3797" t="str">
            <v>8</v>
          </cell>
          <cell r="H3797" t="str">
            <v>Chilluévar</v>
          </cell>
        </row>
        <row r="3798">
          <cell r="D3798" t="str">
            <v>23</v>
          </cell>
          <cell r="E3798" t="str">
            <v>Jaén</v>
          </cell>
          <cell r="F3798" t="str">
            <v>031</v>
          </cell>
          <cell r="G3798" t="str">
            <v>5</v>
          </cell>
          <cell r="H3798" t="str">
            <v>Escañuela</v>
          </cell>
        </row>
        <row r="3799">
          <cell r="D3799" t="str">
            <v>23</v>
          </cell>
          <cell r="E3799" t="str">
            <v>Jaén</v>
          </cell>
          <cell r="F3799" t="str">
            <v>032</v>
          </cell>
          <cell r="G3799" t="str">
            <v>0</v>
          </cell>
          <cell r="H3799" t="str">
            <v>Espeluy</v>
          </cell>
        </row>
        <row r="3800">
          <cell r="D3800" t="str">
            <v>23</v>
          </cell>
          <cell r="E3800" t="str">
            <v>Jaén</v>
          </cell>
          <cell r="F3800" t="str">
            <v>033</v>
          </cell>
          <cell r="G3800" t="str">
            <v>6</v>
          </cell>
          <cell r="H3800" t="str">
            <v>Frailes</v>
          </cell>
        </row>
        <row r="3801">
          <cell r="D3801" t="str">
            <v>23</v>
          </cell>
          <cell r="E3801" t="str">
            <v>Jaén</v>
          </cell>
          <cell r="F3801" t="str">
            <v>034</v>
          </cell>
          <cell r="G3801" t="str">
            <v>1</v>
          </cell>
          <cell r="H3801" t="str">
            <v>Fuensanta de Martos</v>
          </cell>
        </row>
        <row r="3802">
          <cell r="D3802" t="str">
            <v>23</v>
          </cell>
          <cell r="E3802" t="str">
            <v>Jaén</v>
          </cell>
          <cell r="F3802" t="str">
            <v>035</v>
          </cell>
          <cell r="G3802" t="str">
            <v>4</v>
          </cell>
          <cell r="H3802" t="str">
            <v>Fuerte del Rey</v>
          </cell>
        </row>
        <row r="3803">
          <cell r="D3803" t="str">
            <v>23</v>
          </cell>
          <cell r="E3803" t="str">
            <v>Jaén</v>
          </cell>
          <cell r="F3803" t="str">
            <v>037</v>
          </cell>
          <cell r="G3803" t="str">
            <v>3</v>
          </cell>
          <cell r="H3803" t="str">
            <v>Génave</v>
          </cell>
        </row>
        <row r="3804">
          <cell r="D3804" t="str">
            <v>23</v>
          </cell>
          <cell r="E3804" t="str">
            <v>Jaén</v>
          </cell>
          <cell r="F3804" t="str">
            <v>038</v>
          </cell>
          <cell r="G3804" t="str">
            <v>9</v>
          </cell>
          <cell r="H3804" t="str">
            <v>Guardia de Jaén, La</v>
          </cell>
        </row>
        <row r="3805">
          <cell r="D3805" t="str">
            <v>23</v>
          </cell>
          <cell r="E3805" t="str">
            <v>Jaén</v>
          </cell>
          <cell r="F3805" t="str">
            <v>039</v>
          </cell>
          <cell r="G3805" t="str">
            <v>2</v>
          </cell>
          <cell r="H3805" t="str">
            <v>Guarromán</v>
          </cell>
        </row>
        <row r="3806">
          <cell r="D3806" t="str">
            <v>23</v>
          </cell>
          <cell r="E3806" t="str">
            <v>Jaén</v>
          </cell>
          <cell r="F3806" t="str">
            <v>040</v>
          </cell>
          <cell r="G3806" t="str">
            <v>6</v>
          </cell>
          <cell r="H3806" t="str">
            <v>Lahiguera</v>
          </cell>
        </row>
        <row r="3807">
          <cell r="D3807" t="str">
            <v>23</v>
          </cell>
          <cell r="E3807" t="str">
            <v>Jaén</v>
          </cell>
          <cell r="F3807" t="str">
            <v>041</v>
          </cell>
          <cell r="G3807" t="str">
            <v>3</v>
          </cell>
          <cell r="H3807" t="str">
            <v>Higuera de Calatrava</v>
          </cell>
        </row>
        <row r="3808">
          <cell r="D3808" t="str">
            <v>23</v>
          </cell>
          <cell r="E3808" t="str">
            <v>Jaén</v>
          </cell>
          <cell r="F3808" t="str">
            <v>042</v>
          </cell>
          <cell r="G3808" t="str">
            <v>8</v>
          </cell>
          <cell r="H3808" t="str">
            <v>Hinojares</v>
          </cell>
        </row>
        <row r="3809">
          <cell r="D3809" t="str">
            <v>23</v>
          </cell>
          <cell r="E3809" t="str">
            <v>Jaén</v>
          </cell>
          <cell r="F3809" t="str">
            <v>043</v>
          </cell>
          <cell r="G3809" t="str">
            <v>4</v>
          </cell>
          <cell r="H3809" t="str">
            <v>Hornos</v>
          </cell>
        </row>
        <row r="3810">
          <cell r="D3810" t="str">
            <v>23</v>
          </cell>
          <cell r="E3810" t="str">
            <v>Jaén</v>
          </cell>
          <cell r="F3810" t="str">
            <v>044</v>
          </cell>
          <cell r="G3810" t="str">
            <v>9</v>
          </cell>
          <cell r="H3810" t="str">
            <v>Huelma</v>
          </cell>
        </row>
        <row r="3811">
          <cell r="D3811" t="str">
            <v>23</v>
          </cell>
          <cell r="E3811" t="str">
            <v>Jaén</v>
          </cell>
          <cell r="F3811" t="str">
            <v>045</v>
          </cell>
          <cell r="G3811" t="str">
            <v>2</v>
          </cell>
          <cell r="H3811" t="str">
            <v>Huesa</v>
          </cell>
        </row>
        <row r="3812">
          <cell r="D3812" t="str">
            <v>23</v>
          </cell>
          <cell r="E3812" t="str">
            <v>Jaén</v>
          </cell>
          <cell r="F3812" t="str">
            <v>046</v>
          </cell>
          <cell r="G3812" t="str">
            <v>5</v>
          </cell>
          <cell r="H3812" t="str">
            <v>Ibros</v>
          </cell>
        </row>
        <row r="3813">
          <cell r="D3813" t="str">
            <v>23</v>
          </cell>
          <cell r="E3813" t="str">
            <v>Jaén</v>
          </cell>
          <cell r="F3813" t="str">
            <v>047</v>
          </cell>
          <cell r="G3813" t="str">
            <v>1</v>
          </cell>
          <cell r="H3813" t="str">
            <v>Iruela, La</v>
          </cell>
        </row>
        <row r="3814">
          <cell r="D3814" t="str">
            <v>23</v>
          </cell>
          <cell r="E3814" t="str">
            <v>Jaén</v>
          </cell>
          <cell r="F3814" t="str">
            <v>048</v>
          </cell>
          <cell r="G3814" t="str">
            <v>7</v>
          </cell>
          <cell r="H3814" t="str">
            <v>Iznatoraf</v>
          </cell>
        </row>
        <row r="3815">
          <cell r="D3815" t="str">
            <v>23</v>
          </cell>
          <cell r="E3815" t="str">
            <v>Jaén</v>
          </cell>
          <cell r="F3815" t="str">
            <v>049</v>
          </cell>
          <cell r="G3815" t="str">
            <v>0</v>
          </cell>
          <cell r="H3815" t="str">
            <v>Jabalquinto</v>
          </cell>
        </row>
        <row r="3816">
          <cell r="D3816" t="str">
            <v>23</v>
          </cell>
          <cell r="E3816" t="str">
            <v>Jaén</v>
          </cell>
          <cell r="F3816" t="str">
            <v>050</v>
          </cell>
          <cell r="G3816" t="str">
            <v>3</v>
          </cell>
          <cell r="H3816" t="str">
            <v>Jaén</v>
          </cell>
        </row>
        <row r="3817">
          <cell r="D3817" t="str">
            <v>23</v>
          </cell>
          <cell r="E3817" t="str">
            <v>Jaén</v>
          </cell>
          <cell r="F3817" t="str">
            <v>051</v>
          </cell>
          <cell r="G3817" t="str">
            <v>0</v>
          </cell>
          <cell r="H3817" t="str">
            <v>Jamilena</v>
          </cell>
        </row>
        <row r="3818">
          <cell r="D3818" t="str">
            <v>23</v>
          </cell>
          <cell r="E3818" t="str">
            <v>Jaén</v>
          </cell>
          <cell r="F3818" t="str">
            <v>052</v>
          </cell>
          <cell r="G3818" t="str">
            <v>5</v>
          </cell>
          <cell r="H3818" t="str">
            <v>Jimena</v>
          </cell>
        </row>
        <row r="3819">
          <cell r="D3819" t="str">
            <v>23</v>
          </cell>
          <cell r="E3819" t="str">
            <v>Jaén</v>
          </cell>
          <cell r="F3819" t="str">
            <v>053</v>
          </cell>
          <cell r="G3819" t="str">
            <v>1</v>
          </cell>
          <cell r="H3819" t="str">
            <v>Jódar</v>
          </cell>
        </row>
        <row r="3820">
          <cell r="D3820" t="str">
            <v>23</v>
          </cell>
          <cell r="E3820" t="str">
            <v>Jaén</v>
          </cell>
          <cell r="F3820" t="str">
            <v>054</v>
          </cell>
          <cell r="G3820" t="str">
            <v>6</v>
          </cell>
          <cell r="H3820" t="str">
            <v>Larva</v>
          </cell>
        </row>
        <row r="3821">
          <cell r="D3821" t="str">
            <v>23</v>
          </cell>
          <cell r="E3821" t="str">
            <v>Jaén</v>
          </cell>
          <cell r="F3821" t="str">
            <v>055</v>
          </cell>
          <cell r="G3821" t="str">
            <v>9</v>
          </cell>
          <cell r="H3821" t="str">
            <v>Linares</v>
          </cell>
        </row>
        <row r="3822">
          <cell r="D3822" t="str">
            <v>23</v>
          </cell>
          <cell r="E3822" t="str">
            <v>Jaén</v>
          </cell>
          <cell r="F3822" t="str">
            <v>056</v>
          </cell>
          <cell r="G3822" t="str">
            <v>2</v>
          </cell>
          <cell r="H3822" t="str">
            <v>Lopera</v>
          </cell>
        </row>
        <row r="3823">
          <cell r="D3823" t="str">
            <v>23</v>
          </cell>
          <cell r="E3823" t="str">
            <v>Jaén</v>
          </cell>
          <cell r="F3823" t="str">
            <v>057</v>
          </cell>
          <cell r="G3823" t="str">
            <v>8</v>
          </cell>
          <cell r="H3823" t="str">
            <v>Lupión</v>
          </cell>
        </row>
        <row r="3824">
          <cell r="D3824" t="str">
            <v>23</v>
          </cell>
          <cell r="E3824" t="str">
            <v>Jaén</v>
          </cell>
          <cell r="F3824" t="str">
            <v>058</v>
          </cell>
          <cell r="G3824" t="str">
            <v>4</v>
          </cell>
          <cell r="H3824" t="str">
            <v>Mancha Real</v>
          </cell>
        </row>
        <row r="3825">
          <cell r="D3825" t="str">
            <v>23</v>
          </cell>
          <cell r="E3825" t="str">
            <v>Jaén</v>
          </cell>
          <cell r="F3825" t="str">
            <v>059</v>
          </cell>
          <cell r="G3825" t="str">
            <v>7</v>
          </cell>
          <cell r="H3825" t="str">
            <v>Marmolejo</v>
          </cell>
        </row>
        <row r="3826">
          <cell r="D3826" t="str">
            <v>23</v>
          </cell>
          <cell r="E3826" t="str">
            <v>Jaén</v>
          </cell>
          <cell r="F3826" t="str">
            <v>060</v>
          </cell>
          <cell r="G3826" t="str">
            <v>1</v>
          </cell>
          <cell r="H3826" t="str">
            <v>Martos</v>
          </cell>
        </row>
        <row r="3827">
          <cell r="D3827" t="str">
            <v>23</v>
          </cell>
          <cell r="E3827" t="str">
            <v>Jaén</v>
          </cell>
          <cell r="F3827" t="str">
            <v>061</v>
          </cell>
          <cell r="G3827" t="str">
            <v>8</v>
          </cell>
          <cell r="H3827" t="str">
            <v>Mengíbar</v>
          </cell>
        </row>
        <row r="3828">
          <cell r="D3828" t="str">
            <v>23</v>
          </cell>
          <cell r="E3828" t="str">
            <v>Jaén</v>
          </cell>
          <cell r="F3828" t="str">
            <v>062</v>
          </cell>
          <cell r="G3828" t="str">
            <v>3</v>
          </cell>
          <cell r="H3828" t="str">
            <v>Montizón</v>
          </cell>
        </row>
        <row r="3829">
          <cell r="D3829" t="str">
            <v>23</v>
          </cell>
          <cell r="E3829" t="str">
            <v>Jaén</v>
          </cell>
          <cell r="F3829" t="str">
            <v>063</v>
          </cell>
          <cell r="G3829" t="str">
            <v>9</v>
          </cell>
          <cell r="H3829" t="str">
            <v>Navas de San Juan</v>
          </cell>
        </row>
        <row r="3830">
          <cell r="D3830" t="str">
            <v>23</v>
          </cell>
          <cell r="E3830" t="str">
            <v>Jaén</v>
          </cell>
          <cell r="F3830" t="str">
            <v>064</v>
          </cell>
          <cell r="G3830" t="str">
            <v>4</v>
          </cell>
          <cell r="H3830" t="str">
            <v>Noalejo</v>
          </cell>
        </row>
        <row r="3831">
          <cell r="D3831" t="str">
            <v>23</v>
          </cell>
          <cell r="E3831" t="str">
            <v>Jaén</v>
          </cell>
          <cell r="F3831" t="str">
            <v>065</v>
          </cell>
          <cell r="G3831" t="str">
            <v>7</v>
          </cell>
          <cell r="H3831" t="str">
            <v>Orcera</v>
          </cell>
        </row>
        <row r="3832">
          <cell r="D3832" t="str">
            <v>23</v>
          </cell>
          <cell r="E3832" t="str">
            <v>Jaén</v>
          </cell>
          <cell r="F3832" t="str">
            <v>066</v>
          </cell>
          <cell r="G3832" t="str">
            <v>0</v>
          </cell>
          <cell r="H3832" t="str">
            <v>Peal de Becerro</v>
          </cell>
        </row>
        <row r="3833">
          <cell r="D3833" t="str">
            <v>23</v>
          </cell>
          <cell r="E3833" t="str">
            <v>Jaén</v>
          </cell>
          <cell r="F3833" t="str">
            <v>067</v>
          </cell>
          <cell r="G3833" t="str">
            <v>6</v>
          </cell>
          <cell r="H3833" t="str">
            <v>Pegalajar</v>
          </cell>
        </row>
        <row r="3834">
          <cell r="D3834" t="str">
            <v>23</v>
          </cell>
          <cell r="E3834" t="str">
            <v>Jaén</v>
          </cell>
          <cell r="F3834" t="str">
            <v>069</v>
          </cell>
          <cell r="G3834" t="str">
            <v>5</v>
          </cell>
          <cell r="H3834" t="str">
            <v>Porcuna</v>
          </cell>
        </row>
        <row r="3835">
          <cell r="D3835" t="str">
            <v>23</v>
          </cell>
          <cell r="E3835" t="str">
            <v>Jaén</v>
          </cell>
          <cell r="F3835" t="str">
            <v>070</v>
          </cell>
          <cell r="G3835" t="str">
            <v>9</v>
          </cell>
          <cell r="H3835" t="str">
            <v>Pozo Alcón</v>
          </cell>
        </row>
        <row r="3836">
          <cell r="D3836" t="str">
            <v>23</v>
          </cell>
          <cell r="E3836" t="str">
            <v>Jaén</v>
          </cell>
          <cell r="F3836" t="str">
            <v>071</v>
          </cell>
          <cell r="G3836" t="str">
            <v>6</v>
          </cell>
          <cell r="H3836" t="str">
            <v>Puente de Génave</v>
          </cell>
        </row>
        <row r="3837">
          <cell r="D3837" t="str">
            <v>23</v>
          </cell>
          <cell r="E3837" t="str">
            <v>Jaén</v>
          </cell>
          <cell r="F3837" t="str">
            <v>072</v>
          </cell>
          <cell r="G3837" t="str">
            <v>1</v>
          </cell>
          <cell r="H3837" t="str">
            <v>Puerta de Segura, La</v>
          </cell>
        </row>
        <row r="3838">
          <cell r="D3838" t="str">
            <v>23</v>
          </cell>
          <cell r="E3838" t="str">
            <v>Jaén</v>
          </cell>
          <cell r="F3838" t="str">
            <v>073</v>
          </cell>
          <cell r="G3838" t="str">
            <v>7</v>
          </cell>
          <cell r="H3838" t="str">
            <v>Quesada</v>
          </cell>
        </row>
        <row r="3839">
          <cell r="D3839" t="str">
            <v>23</v>
          </cell>
          <cell r="E3839" t="str">
            <v>Jaén</v>
          </cell>
          <cell r="F3839" t="str">
            <v>074</v>
          </cell>
          <cell r="G3839" t="str">
            <v>2</v>
          </cell>
          <cell r="H3839" t="str">
            <v>Rus</v>
          </cell>
        </row>
        <row r="3840">
          <cell r="D3840" t="str">
            <v>23</v>
          </cell>
          <cell r="E3840" t="str">
            <v>Jaén</v>
          </cell>
          <cell r="F3840" t="str">
            <v>075</v>
          </cell>
          <cell r="G3840" t="str">
            <v>5</v>
          </cell>
          <cell r="H3840" t="str">
            <v>Sabiote</v>
          </cell>
        </row>
        <row r="3841">
          <cell r="D3841" t="str">
            <v>23</v>
          </cell>
          <cell r="E3841" t="str">
            <v>Jaén</v>
          </cell>
          <cell r="F3841" t="str">
            <v>076</v>
          </cell>
          <cell r="G3841" t="str">
            <v>8</v>
          </cell>
          <cell r="H3841" t="str">
            <v>Santa Elena</v>
          </cell>
        </row>
        <row r="3842">
          <cell r="D3842" t="str">
            <v>23</v>
          </cell>
          <cell r="E3842" t="str">
            <v>Jaén</v>
          </cell>
          <cell r="F3842" t="str">
            <v>077</v>
          </cell>
          <cell r="G3842" t="str">
            <v>4</v>
          </cell>
          <cell r="H3842" t="str">
            <v>Santiago de Calatrava</v>
          </cell>
        </row>
        <row r="3843">
          <cell r="D3843" t="str">
            <v>23</v>
          </cell>
          <cell r="E3843" t="str">
            <v>Jaén</v>
          </cell>
          <cell r="F3843" t="str">
            <v>079</v>
          </cell>
          <cell r="G3843" t="str">
            <v>3</v>
          </cell>
          <cell r="H3843" t="str">
            <v>Santisteban del Puerto</v>
          </cell>
        </row>
        <row r="3844">
          <cell r="D3844" t="str">
            <v>23</v>
          </cell>
          <cell r="E3844" t="str">
            <v>Jaén</v>
          </cell>
          <cell r="F3844" t="str">
            <v>080</v>
          </cell>
          <cell r="G3844" t="str">
            <v>7</v>
          </cell>
          <cell r="H3844" t="str">
            <v>Santo Tomé</v>
          </cell>
        </row>
        <row r="3845">
          <cell r="D3845" t="str">
            <v>23</v>
          </cell>
          <cell r="E3845" t="str">
            <v>Jaén</v>
          </cell>
          <cell r="F3845" t="str">
            <v>081</v>
          </cell>
          <cell r="G3845" t="str">
            <v>4</v>
          </cell>
          <cell r="H3845" t="str">
            <v>Segura de la Sierra</v>
          </cell>
        </row>
        <row r="3846">
          <cell r="D3846" t="str">
            <v>23</v>
          </cell>
          <cell r="E3846" t="str">
            <v>Jaén</v>
          </cell>
          <cell r="F3846" t="str">
            <v>082</v>
          </cell>
          <cell r="G3846" t="str">
            <v>9</v>
          </cell>
          <cell r="H3846" t="str">
            <v>Siles</v>
          </cell>
        </row>
        <row r="3847">
          <cell r="D3847" t="str">
            <v>23</v>
          </cell>
          <cell r="E3847" t="str">
            <v>Jaén</v>
          </cell>
          <cell r="F3847" t="str">
            <v>084</v>
          </cell>
          <cell r="G3847" t="str">
            <v>0</v>
          </cell>
          <cell r="H3847" t="str">
            <v>Sorihuela del Guadalimar</v>
          </cell>
        </row>
        <row r="3848">
          <cell r="D3848" t="str">
            <v>23</v>
          </cell>
          <cell r="E3848" t="str">
            <v>Jaén</v>
          </cell>
          <cell r="F3848" t="str">
            <v>085</v>
          </cell>
          <cell r="G3848" t="str">
            <v>3</v>
          </cell>
          <cell r="H3848" t="str">
            <v>Torreblascopedro</v>
          </cell>
        </row>
        <row r="3849">
          <cell r="D3849" t="str">
            <v>23</v>
          </cell>
          <cell r="E3849" t="str">
            <v>Jaén</v>
          </cell>
          <cell r="F3849" t="str">
            <v>086</v>
          </cell>
          <cell r="G3849" t="str">
            <v>6</v>
          </cell>
          <cell r="H3849" t="str">
            <v>Torredelcampo</v>
          </cell>
        </row>
        <row r="3850">
          <cell r="D3850" t="str">
            <v>23</v>
          </cell>
          <cell r="E3850" t="str">
            <v>Jaén</v>
          </cell>
          <cell r="F3850" t="str">
            <v>087</v>
          </cell>
          <cell r="G3850" t="str">
            <v>2</v>
          </cell>
          <cell r="H3850" t="str">
            <v>Torredonjimeno</v>
          </cell>
        </row>
        <row r="3851">
          <cell r="D3851" t="str">
            <v>23</v>
          </cell>
          <cell r="E3851" t="str">
            <v>Jaén</v>
          </cell>
          <cell r="F3851" t="str">
            <v>088</v>
          </cell>
          <cell r="G3851" t="str">
            <v>8</v>
          </cell>
          <cell r="H3851" t="str">
            <v>Torreperogil</v>
          </cell>
        </row>
        <row r="3852">
          <cell r="D3852" t="str">
            <v>23</v>
          </cell>
          <cell r="E3852" t="str">
            <v>Jaén</v>
          </cell>
          <cell r="F3852" t="str">
            <v>090</v>
          </cell>
          <cell r="G3852" t="str">
            <v>5</v>
          </cell>
          <cell r="H3852" t="str">
            <v>Torres</v>
          </cell>
        </row>
        <row r="3853">
          <cell r="D3853" t="str">
            <v>23</v>
          </cell>
          <cell r="E3853" t="str">
            <v>Jaén</v>
          </cell>
          <cell r="F3853" t="str">
            <v>091</v>
          </cell>
          <cell r="G3853" t="str">
            <v>2</v>
          </cell>
          <cell r="H3853" t="str">
            <v>Torres de Albánchez</v>
          </cell>
        </row>
        <row r="3854">
          <cell r="D3854" t="str">
            <v>23</v>
          </cell>
          <cell r="E3854" t="str">
            <v>Jaén</v>
          </cell>
          <cell r="F3854" t="str">
            <v>092</v>
          </cell>
          <cell r="G3854" t="str">
            <v>7</v>
          </cell>
          <cell r="H3854" t="str">
            <v>Úbeda</v>
          </cell>
        </row>
        <row r="3855">
          <cell r="D3855" t="str">
            <v>23</v>
          </cell>
          <cell r="E3855" t="str">
            <v>Jaén</v>
          </cell>
          <cell r="F3855" t="str">
            <v>093</v>
          </cell>
          <cell r="G3855" t="str">
            <v>3</v>
          </cell>
          <cell r="H3855" t="str">
            <v>Valdepeñas de Jaén</v>
          </cell>
        </row>
        <row r="3856">
          <cell r="D3856" t="str">
            <v>23</v>
          </cell>
          <cell r="E3856" t="str">
            <v>Jaén</v>
          </cell>
          <cell r="F3856" t="str">
            <v>094</v>
          </cell>
          <cell r="G3856" t="str">
            <v>8</v>
          </cell>
          <cell r="H3856" t="str">
            <v>Vilches</v>
          </cell>
        </row>
        <row r="3857">
          <cell r="D3857" t="str">
            <v>23</v>
          </cell>
          <cell r="E3857" t="str">
            <v>Jaén</v>
          </cell>
          <cell r="F3857" t="str">
            <v>095</v>
          </cell>
          <cell r="G3857" t="str">
            <v>1</v>
          </cell>
          <cell r="H3857" t="str">
            <v>Villacarrillo</v>
          </cell>
        </row>
        <row r="3858">
          <cell r="D3858" t="str">
            <v>23</v>
          </cell>
          <cell r="E3858" t="str">
            <v>Jaén</v>
          </cell>
          <cell r="F3858" t="str">
            <v>096</v>
          </cell>
          <cell r="G3858" t="str">
            <v>4</v>
          </cell>
          <cell r="H3858" t="str">
            <v>Villanueva de la Reina</v>
          </cell>
        </row>
        <row r="3859">
          <cell r="D3859" t="str">
            <v>23</v>
          </cell>
          <cell r="E3859" t="str">
            <v>Jaén</v>
          </cell>
          <cell r="F3859" t="str">
            <v>097</v>
          </cell>
          <cell r="G3859" t="str">
            <v>0</v>
          </cell>
          <cell r="H3859" t="str">
            <v>Villanueva del Arzobispo</v>
          </cell>
        </row>
        <row r="3860">
          <cell r="D3860" t="str">
            <v>23</v>
          </cell>
          <cell r="E3860" t="str">
            <v>Jaén</v>
          </cell>
          <cell r="F3860" t="str">
            <v>098</v>
          </cell>
          <cell r="G3860" t="str">
            <v>6</v>
          </cell>
          <cell r="H3860" t="str">
            <v>Villardompardo</v>
          </cell>
        </row>
        <row r="3861">
          <cell r="D3861" t="str">
            <v>23</v>
          </cell>
          <cell r="E3861" t="str">
            <v>Jaén</v>
          </cell>
          <cell r="F3861" t="str">
            <v>099</v>
          </cell>
          <cell r="G3861" t="str">
            <v>9</v>
          </cell>
          <cell r="H3861" t="str">
            <v>Villares, Los</v>
          </cell>
        </row>
        <row r="3862">
          <cell r="D3862" t="str">
            <v>23</v>
          </cell>
          <cell r="E3862" t="str">
            <v>Jaén</v>
          </cell>
          <cell r="F3862" t="str">
            <v>101</v>
          </cell>
          <cell r="G3862" t="str">
            <v>0</v>
          </cell>
          <cell r="H3862" t="str">
            <v>Villarrodrigo</v>
          </cell>
        </row>
        <row r="3863">
          <cell r="D3863" t="str">
            <v>23</v>
          </cell>
          <cell r="E3863" t="str">
            <v>Jaén</v>
          </cell>
          <cell r="F3863" t="str">
            <v>901</v>
          </cell>
          <cell r="G3863" t="str">
            <v>2</v>
          </cell>
          <cell r="H3863" t="str">
            <v>Cárcheles</v>
          </cell>
        </row>
        <row r="3864">
          <cell r="D3864" t="str">
            <v>23</v>
          </cell>
          <cell r="E3864" t="str">
            <v>Jaén</v>
          </cell>
          <cell r="F3864" t="str">
            <v>902</v>
          </cell>
          <cell r="G3864" t="str">
            <v>7</v>
          </cell>
          <cell r="H3864" t="str">
            <v>Bedmar y Garcíez</v>
          </cell>
        </row>
        <row r="3865">
          <cell r="D3865" t="str">
            <v>23</v>
          </cell>
          <cell r="E3865" t="str">
            <v>Jaén</v>
          </cell>
          <cell r="F3865" t="str">
            <v>903</v>
          </cell>
          <cell r="G3865" t="str">
            <v>3</v>
          </cell>
          <cell r="H3865" t="str">
            <v>Villatorres</v>
          </cell>
        </row>
        <row r="3866">
          <cell r="D3866" t="str">
            <v>23</v>
          </cell>
          <cell r="E3866" t="str">
            <v>Jaén</v>
          </cell>
          <cell r="F3866" t="str">
            <v>904</v>
          </cell>
          <cell r="G3866" t="str">
            <v>8</v>
          </cell>
          <cell r="H3866" t="str">
            <v>Santiago-Pontones</v>
          </cell>
        </row>
        <row r="3867">
          <cell r="D3867" t="str">
            <v>23</v>
          </cell>
          <cell r="E3867" t="str">
            <v>Jaén</v>
          </cell>
          <cell r="F3867" t="str">
            <v>905</v>
          </cell>
          <cell r="G3867" t="str">
            <v>1</v>
          </cell>
          <cell r="H3867" t="str">
            <v>Arroyo del Ojanco</v>
          </cell>
        </row>
        <row r="3868">
          <cell r="D3868" t="str">
            <v>24</v>
          </cell>
          <cell r="E3868" t="str">
            <v>León</v>
          </cell>
          <cell r="F3868" t="str">
            <v>002</v>
          </cell>
          <cell r="G3868" t="str">
            <v>1</v>
          </cell>
          <cell r="H3868" t="str">
            <v>Algadefe</v>
          </cell>
        </row>
        <row r="3869">
          <cell r="D3869" t="str">
            <v>24</v>
          </cell>
          <cell r="E3869" t="str">
            <v>León</v>
          </cell>
          <cell r="F3869" t="str">
            <v>003</v>
          </cell>
          <cell r="G3869" t="str">
            <v>7</v>
          </cell>
          <cell r="H3869" t="str">
            <v>Alija del Infantado</v>
          </cell>
        </row>
        <row r="3870">
          <cell r="D3870" t="str">
            <v>24</v>
          </cell>
          <cell r="E3870" t="str">
            <v>León</v>
          </cell>
          <cell r="F3870" t="str">
            <v>005</v>
          </cell>
          <cell r="G3870" t="str">
            <v>5</v>
          </cell>
          <cell r="H3870" t="str">
            <v>Antigua, La</v>
          </cell>
        </row>
        <row r="3871">
          <cell r="D3871" t="str">
            <v>24</v>
          </cell>
          <cell r="E3871" t="str">
            <v>León</v>
          </cell>
          <cell r="F3871" t="str">
            <v>006</v>
          </cell>
          <cell r="G3871" t="str">
            <v>8</v>
          </cell>
          <cell r="H3871" t="str">
            <v>Ardón</v>
          </cell>
        </row>
        <row r="3872">
          <cell r="D3872" t="str">
            <v>24</v>
          </cell>
          <cell r="E3872" t="str">
            <v>León</v>
          </cell>
          <cell r="F3872" t="str">
            <v>008</v>
          </cell>
          <cell r="G3872" t="str">
            <v>0</v>
          </cell>
          <cell r="H3872" t="str">
            <v>Astorga</v>
          </cell>
        </row>
        <row r="3873">
          <cell r="D3873" t="str">
            <v>24</v>
          </cell>
          <cell r="E3873" t="str">
            <v>León</v>
          </cell>
          <cell r="F3873" t="str">
            <v>010</v>
          </cell>
          <cell r="G3873" t="str">
            <v>7</v>
          </cell>
          <cell r="H3873" t="str">
            <v>Bañeza, La</v>
          </cell>
        </row>
        <row r="3874">
          <cell r="D3874" t="str">
            <v>24</v>
          </cell>
          <cell r="E3874" t="str">
            <v>León</v>
          </cell>
          <cell r="F3874" t="str">
            <v>015</v>
          </cell>
          <cell r="G3874" t="str">
            <v>3</v>
          </cell>
          <cell r="H3874" t="str">
            <v>Benavides</v>
          </cell>
        </row>
        <row r="3875">
          <cell r="D3875" t="str">
            <v>24</v>
          </cell>
          <cell r="E3875" t="str">
            <v>León</v>
          </cell>
          <cell r="F3875" t="str">
            <v>017</v>
          </cell>
          <cell r="G3875" t="str">
            <v>2</v>
          </cell>
          <cell r="H3875" t="str">
            <v>Bercianos del Páramo</v>
          </cell>
        </row>
        <row r="3876">
          <cell r="D3876" t="str">
            <v>24</v>
          </cell>
          <cell r="E3876" t="str">
            <v>León</v>
          </cell>
          <cell r="F3876" t="str">
            <v>018</v>
          </cell>
          <cell r="G3876" t="str">
            <v>8</v>
          </cell>
          <cell r="H3876" t="str">
            <v>Bercianos del Real Camino</v>
          </cell>
        </row>
        <row r="3877">
          <cell r="D3877" t="str">
            <v>24</v>
          </cell>
          <cell r="E3877" t="str">
            <v>León</v>
          </cell>
          <cell r="F3877" t="str">
            <v>024</v>
          </cell>
          <cell r="G3877" t="str">
            <v>8</v>
          </cell>
          <cell r="H3877" t="str">
            <v>Burgo Ranero, El</v>
          </cell>
        </row>
        <row r="3878">
          <cell r="D3878" t="str">
            <v>24</v>
          </cell>
          <cell r="E3878" t="str">
            <v>León</v>
          </cell>
          <cell r="F3878" t="str">
            <v>026</v>
          </cell>
          <cell r="G3878" t="str">
            <v>4</v>
          </cell>
          <cell r="H3878" t="str">
            <v>Bustillo del Páramo</v>
          </cell>
        </row>
        <row r="3879">
          <cell r="D3879" t="str">
            <v>24</v>
          </cell>
          <cell r="E3879" t="str">
            <v>León</v>
          </cell>
          <cell r="F3879" t="str">
            <v>028</v>
          </cell>
          <cell r="G3879" t="str">
            <v>6</v>
          </cell>
          <cell r="H3879" t="str">
            <v>Cabreros del Río</v>
          </cell>
        </row>
        <row r="3880">
          <cell r="D3880" t="str">
            <v>24</v>
          </cell>
          <cell r="E3880" t="str">
            <v>León</v>
          </cell>
          <cell r="F3880" t="str">
            <v>031</v>
          </cell>
          <cell r="G3880" t="str">
            <v>0</v>
          </cell>
          <cell r="H3880" t="str">
            <v>Calzada del Coto</v>
          </cell>
        </row>
        <row r="3881">
          <cell r="D3881" t="str">
            <v>24</v>
          </cell>
          <cell r="E3881" t="str">
            <v>León</v>
          </cell>
          <cell r="F3881" t="str">
            <v>032</v>
          </cell>
          <cell r="G3881" t="str">
            <v>5</v>
          </cell>
          <cell r="H3881" t="str">
            <v>Campazas</v>
          </cell>
        </row>
        <row r="3882">
          <cell r="D3882" t="str">
            <v>24</v>
          </cell>
          <cell r="E3882" t="str">
            <v>León</v>
          </cell>
          <cell r="F3882" t="str">
            <v>033</v>
          </cell>
          <cell r="G3882" t="str">
            <v>1</v>
          </cell>
          <cell r="H3882" t="str">
            <v>Campo de Villavidel</v>
          </cell>
        </row>
        <row r="3883">
          <cell r="D3883" t="str">
            <v>24</v>
          </cell>
          <cell r="E3883" t="str">
            <v>León</v>
          </cell>
          <cell r="F3883" t="str">
            <v>039</v>
          </cell>
          <cell r="G3883" t="str">
            <v>7</v>
          </cell>
          <cell r="H3883" t="str">
            <v>Carrizo</v>
          </cell>
        </row>
        <row r="3884">
          <cell r="D3884" t="str">
            <v>24</v>
          </cell>
          <cell r="E3884" t="str">
            <v>León</v>
          </cell>
          <cell r="F3884" t="str">
            <v>042</v>
          </cell>
          <cell r="G3884" t="str">
            <v>3</v>
          </cell>
          <cell r="H3884" t="str">
            <v>Castilfalé</v>
          </cell>
        </row>
        <row r="3885">
          <cell r="D3885" t="str">
            <v>24</v>
          </cell>
          <cell r="E3885" t="str">
            <v>León</v>
          </cell>
          <cell r="F3885" t="str">
            <v>044</v>
          </cell>
          <cell r="G3885" t="str">
            <v>4</v>
          </cell>
          <cell r="H3885" t="str">
            <v>Castrillo de la Valduerna</v>
          </cell>
        </row>
        <row r="3886">
          <cell r="D3886" t="str">
            <v>24</v>
          </cell>
          <cell r="E3886" t="str">
            <v>León</v>
          </cell>
          <cell r="F3886" t="str">
            <v>046</v>
          </cell>
          <cell r="G3886" t="str">
            <v>0</v>
          </cell>
          <cell r="H3886" t="str">
            <v>Castrocalbón</v>
          </cell>
        </row>
        <row r="3887">
          <cell r="D3887" t="str">
            <v>24</v>
          </cell>
          <cell r="E3887" t="str">
            <v>León</v>
          </cell>
          <cell r="F3887" t="str">
            <v>047</v>
          </cell>
          <cell r="G3887" t="str">
            <v>6</v>
          </cell>
          <cell r="H3887" t="str">
            <v>Castrocontrigo</v>
          </cell>
        </row>
        <row r="3888">
          <cell r="D3888" t="str">
            <v>24</v>
          </cell>
          <cell r="E3888" t="str">
            <v>León</v>
          </cell>
          <cell r="F3888" t="str">
            <v>050</v>
          </cell>
          <cell r="G3888" t="str">
            <v>8</v>
          </cell>
          <cell r="H3888" t="str">
            <v>Castrotierra de Valmadrigal</v>
          </cell>
        </row>
        <row r="3889">
          <cell r="D3889" t="str">
            <v>24</v>
          </cell>
          <cell r="E3889" t="str">
            <v>León</v>
          </cell>
          <cell r="F3889" t="str">
            <v>051</v>
          </cell>
          <cell r="G3889" t="str">
            <v>5</v>
          </cell>
          <cell r="H3889" t="str">
            <v>Cea</v>
          </cell>
        </row>
        <row r="3890">
          <cell r="D3890" t="str">
            <v>24</v>
          </cell>
          <cell r="E3890" t="str">
            <v>León</v>
          </cell>
          <cell r="F3890" t="str">
            <v>053</v>
          </cell>
          <cell r="G3890" t="str">
            <v>6</v>
          </cell>
          <cell r="H3890" t="str">
            <v>Cebrones del Río</v>
          </cell>
        </row>
        <row r="3891">
          <cell r="D3891" t="str">
            <v>24</v>
          </cell>
          <cell r="E3891" t="str">
            <v>León</v>
          </cell>
          <cell r="F3891" t="str">
            <v>054</v>
          </cell>
          <cell r="G3891" t="str">
            <v>1</v>
          </cell>
          <cell r="H3891" t="str">
            <v>Cimanes de la Vega</v>
          </cell>
        </row>
        <row r="3892">
          <cell r="D3892" t="str">
            <v>24</v>
          </cell>
          <cell r="E3892" t="str">
            <v>León</v>
          </cell>
          <cell r="F3892" t="str">
            <v>055</v>
          </cell>
          <cell r="G3892" t="str">
            <v>4</v>
          </cell>
          <cell r="H3892" t="str">
            <v>Cimanes del Tejar</v>
          </cell>
        </row>
        <row r="3893">
          <cell r="D3893" t="str">
            <v>24</v>
          </cell>
          <cell r="E3893" t="str">
            <v>León</v>
          </cell>
          <cell r="F3893" t="str">
            <v>058</v>
          </cell>
          <cell r="G3893" t="str">
            <v>9</v>
          </cell>
          <cell r="H3893" t="str">
            <v>Corbillos de los Oteros</v>
          </cell>
        </row>
        <row r="3894">
          <cell r="D3894" t="str">
            <v>24</v>
          </cell>
          <cell r="E3894" t="str">
            <v>León</v>
          </cell>
          <cell r="F3894" t="str">
            <v>062</v>
          </cell>
          <cell r="G3894" t="str">
            <v>8</v>
          </cell>
          <cell r="H3894" t="str">
            <v>Cubillas de los Oteros</v>
          </cell>
        </row>
        <row r="3895">
          <cell r="D3895" t="str">
            <v>24</v>
          </cell>
          <cell r="E3895" t="str">
            <v>León</v>
          </cell>
          <cell r="F3895" t="str">
            <v>065</v>
          </cell>
          <cell r="G3895" t="str">
            <v>2</v>
          </cell>
          <cell r="H3895" t="str">
            <v>Chozas de Abajo</v>
          </cell>
        </row>
        <row r="3896">
          <cell r="D3896" t="str">
            <v>24</v>
          </cell>
          <cell r="E3896" t="str">
            <v>León</v>
          </cell>
          <cell r="F3896" t="str">
            <v>066</v>
          </cell>
          <cell r="G3896" t="str">
            <v>5</v>
          </cell>
          <cell r="H3896" t="str">
            <v>Destriana</v>
          </cell>
        </row>
        <row r="3897">
          <cell r="D3897" t="str">
            <v>24</v>
          </cell>
          <cell r="E3897" t="str">
            <v>León</v>
          </cell>
          <cell r="F3897" t="str">
            <v>067</v>
          </cell>
          <cell r="G3897" t="str">
            <v>1</v>
          </cell>
          <cell r="H3897" t="str">
            <v>Encinedo</v>
          </cell>
        </row>
        <row r="3898">
          <cell r="D3898" t="str">
            <v>24</v>
          </cell>
          <cell r="E3898" t="str">
            <v>León</v>
          </cell>
          <cell r="F3898" t="str">
            <v>069</v>
          </cell>
          <cell r="G3898" t="str">
            <v>0</v>
          </cell>
          <cell r="H3898" t="str">
            <v>Escobar de Campos</v>
          </cell>
        </row>
        <row r="3899">
          <cell r="D3899" t="str">
            <v>24</v>
          </cell>
          <cell r="E3899" t="str">
            <v>León</v>
          </cell>
          <cell r="F3899" t="str">
            <v>073</v>
          </cell>
          <cell r="G3899" t="str">
            <v>2</v>
          </cell>
          <cell r="H3899" t="str">
            <v>Fresno de la Vega</v>
          </cell>
        </row>
        <row r="3900">
          <cell r="D3900" t="str">
            <v>24</v>
          </cell>
          <cell r="E3900" t="str">
            <v>León</v>
          </cell>
          <cell r="F3900" t="str">
            <v>074</v>
          </cell>
          <cell r="G3900" t="str">
            <v>7</v>
          </cell>
          <cell r="H3900" t="str">
            <v>Fuentes de Carbajal</v>
          </cell>
        </row>
        <row r="3901">
          <cell r="D3901" t="str">
            <v>24</v>
          </cell>
          <cell r="E3901" t="str">
            <v>León</v>
          </cell>
          <cell r="F3901" t="str">
            <v>077</v>
          </cell>
          <cell r="G3901" t="str">
            <v>9</v>
          </cell>
          <cell r="H3901" t="str">
            <v>Gordaliza del Pino</v>
          </cell>
        </row>
        <row r="3902">
          <cell r="D3902" t="str">
            <v>24</v>
          </cell>
          <cell r="E3902" t="str">
            <v>León</v>
          </cell>
          <cell r="F3902" t="str">
            <v>078</v>
          </cell>
          <cell r="G3902" t="str">
            <v>5</v>
          </cell>
          <cell r="H3902" t="str">
            <v>Gordoncillo</v>
          </cell>
        </row>
        <row r="3903">
          <cell r="D3903" t="str">
            <v>24</v>
          </cell>
          <cell r="E3903" t="str">
            <v>León</v>
          </cell>
          <cell r="F3903" t="str">
            <v>080</v>
          </cell>
          <cell r="G3903" t="str">
            <v>2</v>
          </cell>
          <cell r="H3903" t="str">
            <v>Grajal de Campos</v>
          </cell>
        </row>
        <row r="3904">
          <cell r="D3904" t="str">
            <v>24</v>
          </cell>
          <cell r="E3904" t="str">
            <v>León</v>
          </cell>
          <cell r="F3904" t="str">
            <v>081</v>
          </cell>
          <cell r="G3904" t="str">
            <v>9</v>
          </cell>
          <cell r="H3904" t="str">
            <v>Gusendos de los Oteros</v>
          </cell>
        </row>
        <row r="3905">
          <cell r="D3905" t="str">
            <v>24</v>
          </cell>
          <cell r="E3905" t="str">
            <v>León</v>
          </cell>
          <cell r="F3905" t="str">
            <v>082</v>
          </cell>
          <cell r="G3905" t="str">
            <v>4</v>
          </cell>
          <cell r="H3905" t="str">
            <v>Hospital de Órbigo</v>
          </cell>
        </row>
        <row r="3906">
          <cell r="D3906" t="str">
            <v>24</v>
          </cell>
          <cell r="E3906" t="str">
            <v>León</v>
          </cell>
          <cell r="F3906" t="str">
            <v>084</v>
          </cell>
          <cell r="G3906" t="str">
            <v>5</v>
          </cell>
          <cell r="H3906" t="str">
            <v>Izagre</v>
          </cell>
        </row>
        <row r="3907">
          <cell r="D3907" t="str">
            <v>24</v>
          </cell>
          <cell r="E3907" t="str">
            <v>León</v>
          </cell>
          <cell r="F3907" t="str">
            <v>086</v>
          </cell>
          <cell r="G3907" t="str">
            <v>1</v>
          </cell>
          <cell r="H3907" t="str">
            <v>Joarilla de las Matas</v>
          </cell>
        </row>
        <row r="3908">
          <cell r="D3908" t="str">
            <v>24</v>
          </cell>
          <cell r="E3908" t="str">
            <v>León</v>
          </cell>
          <cell r="F3908" t="str">
            <v>087</v>
          </cell>
          <cell r="G3908" t="str">
            <v>7</v>
          </cell>
          <cell r="H3908" t="str">
            <v>Laguna Dalga</v>
          </cell>
        </row>
        <row r="3909">
          <cell r="D3909" t="str">
            <v>24</v>
          </cell>
          <cell r="E3909" t="str">
            <v>León</v>
          </cell>
          <cell r="F3909" t="str">
            <v>088</v>
          </cell>
          <cell r="G3909" t="str">
            <v>3</v>
          </cell>
          <cell r="H3909" t="str">
            <v>Laguna de Negrillos</v>
          </cell>
        </row>
        <row r="3910">
          <cell r="D3910" t="str">
            <v>24</v>
          </cell>
          <cell r="E3910" t="str">
            <v>León</v>
          </cell>
          <cell r="F3910" t="str">
            <v>089</v>
          </cell>
          <cell r="G3910" t="str">
            <v>6</v>
          </cell>
          <cell r="H3910" t="str">
            <v>León</v>
          </cell>
        </row>
        <row r="3911">
          <cell r="D3911" t="str">
            <v>24</v>
          </cell>
          <cell r="E3911" t="str">
            <v>León</v>
          </cell>
          <cell r="F3911" t="str">
            <v>091</v>
          </cell>
          <cell r="G3911" t="str">
            <v>7</v>
          </cell>
          <cell r="H3911" t="str">
            <v>Luyego</v>
          </cell>
        </row>
        <row r="3912">
          <cell r="D3912" t="str">
            <v>24</v>
          </cell>
          <cell r="E3912" t="str">
            <v>León</v>
          </cell>
          <cell r="F3912" t="str">
            <v>092</v>
          </cell>
          <cell r="G3912" t="str">
            <v>2</v>
          </cell>
          <cell r="H3912" t="str">
            <v>Llamas de la Ribera</v>
          </cell>
        </row>
        <row r="3913">
          <cell r="D3913" t="str">
            <v>24</v>
          </cell>
          <cell r="E3913" t="str">
            <v>León</v>
          </cell>
          <cell r="F3913" t="str">
            <v>094</v>
          </cell>
          <cell r="G3913" t="str">
            <v>3</v>
          </cell>
          <cell r="H3913" t="str">
            <v>Mansilla de las Mulas</v>
          </cell>
        </row>
        <row r="3914">
          <cell r="D3914" t="str">
            <v>24</v>
          </cell>
          <cell r="E3914" t="str">
            <v>León</v>
          </cell>
          <cell r="F3914" t="str">
            <v>095</v>
          </cell>
          <cell r="G3914" t="str">
            <v>6</v>
          </cell>
          <cell r="H3914" t="str">
            <v>Mansilla Mayor</v>
          </cell>
        </row>
        <row r="3915">
          <cell r="D3915" t="str">
            <v>24</v>
          </cell>
          <cell r="E3915" t="str">
            <v>León</v>
          </cell>
          <cell r="F3915" t="str">
            <v>096</v>
          </cell>
          <cell r="G3915" t="str">
            <v>9</v>
          </cell>
          <cell r="H3915" t="str">
            <v>Maraña</v>
          </cell>
        </row>
        <row r="3916">
          <cell r="D3916" t="str">
            <v>24</v>
          </cell>
          <cell r="E3916" t="str">
            <v>León</v>
          </cell>
          <cell r="F3916" t="str">
            <v>097</v>
          </cell>
          <cell r="G3916" t="str">
            <v>5</v>
          </cell>
          <cell r="H3916" t="str">
            <v>Matadeón de los Oteros</v>
          </cell>
        </row>
        <row r="3917">
          <cell r="D3917" t="str">
            <v>24</v>
          </cell>
          <cell r="E3917" t="str">
            <v>León</v>
          </cell>
          <cell r="F3917" t="str">
            <v>099</v>
          </cell>
          <cell r="G3917" t="str">
            <v>4</v>
          </cell>
          <cell r="H3917" t="str">
            <v>Matanza</v>
          </cell>
        </row>
        <row r="3918">
          <cell r="D3918" t="str">
            <v>24</v>
          </cell>
          <cell r="E3918" t="str">
            <v>León</v>
          </cell>
          <cell r="F3918" t="str">
            <v>105</v>
          </cell>
          <cell r="G3918" t="str">
            <v>4</v>
          </cell>
          <cell r="H3918" t="str">
            <v>Onzonilla</v>
          </cell>
        </row>
        <row r="3919">
          <cell r="D3919" t="str">
            <v>24</v>
          </cell>
          <cell r="E3919" t="str">
            <v>León</v>
          </cell>
          <cell r="F3919" t="str">
            <v>106</v>
          </cell>
          <cell r="G3919" t="str">
            <v>7</v>
          </cell>
          <cell r="H3919" t="str">
            <v>Oseja de Sajambre</v>
          </cell>
        </row>
        <row r="3920">
          <cell r="D3920" t="str">
            <v>24</v>
          </cell>
          <cell r="E3920" t="str">
            <v>León</v>
          </cell>
          <cell r="F3920" t="str">
            <v>107</v>
          </cell>
          <cell r="G3920" t="str">
            <v>3</v>
          </cell>
          <cell r="H3920" t="str">
            <v>Pajares de los Oteros</v>
          </cell>
        </row>
        <row r="3921">
          <cell r="D3921" t="str">
            <v>24</v>
          </cell>
          <cell r="E3921" t="str">
            <v>León</v>
          </cell>
          <cell r="F3921" t="str">
            <v>108</v>
          </cell>
          <cell r="G3921" t="str">
            <v>9</v>
          </cell>
          <cell r="H3921" t="str">
            <v>Palacios de la Valduerna</v>
          </cell>
        </row>
        <row r="3922">
          <cell r="D3922" t="str">
            <v>24</v>
          </cell>
          <cell r="E3922" t="str">
            <v>León</v>
          </cell>
          <cell r="F3922" t="str">
            <v>113</v>
          </cell>
          <cell r="G3922" t="str">
            <v>4</v>
          </cell>
          <cell r="H3922" t="str">
            <v>Pobladura de Pelayo García</v>
          </cell>
        </row>
        <row r="3923">
          <cell r="D3923" t="str">
            <v>24</v>
          </cell>
          <cell r="E3923" t="str">
            <v>León</v>
          </cell>
          <cell r="F3923" t="str">
            <v>117</v>
          </cell>
          <cell r="G3923" t="str">
            <v>1</v>
          </cell>
          <cell r="H3923" t="str">
            <v>Pozuelo del Páramo</v>
          </cell>
        </row>
        <row r="3924">
          <cell r="D3924" t="str">
            <v>24</v>
          </cell>
          <cell r="E3924" t="str">
            <v>León</v>
          </cell>
          <cell r="F3924" t="str">
            <v>124</v>
          </cell>
          <cell r="G3924" t="str">
            <v>7</v>
          </cell>
          <cell r="H3924" t="str">
            <v>Quintana del Marco</v>
          </cell>
        </row>
        <row r="3925">
          <cell r="D3925" t="str">
            <v>24</v>
          </cell>
          <cell r="E3925" t="str">
            <v>León</v>
          </cell>
          <cell r="F3925" t="str">
            <v>125</v>
          </cell>
          <cell r="G3925" t="str">
            <v>0</v>
          </cell>
          <cell r="H3925" t="str">
            <v>Quintana y Congosto</v>
          </cell>
        </row>
        <row r="3926">
          <cell r="D3926" t="str">
            <v>24</v>
          </cell>
          <cell r="E3926" t="str">
            <v>León</v>
          </cell>
          <cell r="F3926" t="str">
            <v>127</v>
          </cell>
          <cell r="G3926" t="str">
            <v>9</v>
          </cell>
          <cell r="H3926" t="str">
            <v>Regueras de Arriba</v>
          </cell>
        </row>
        <row r="3927">
          <cell r="D3927" t="str">
            <v>24</v>
          </cell>
          <cell r="E3927" t="str">
            <v>León</v>
          </cell>
          <cell r="F3927" t="str">
            <v>131</v>
          </cell>
          <cell r="G3927" t="str">
            <v>9</v>
          </cell>
          <cell r="H3927" t="str">
            <v>Riego de la Vega</v>
          </cell>
        </row>
        <row r="3928">
          <cell r="D3928" t="str">
            <v>24</v>
          </cell>
          <cell r="E3928" t="str">
            <v>León</v>
          </cell>
          <cell r="F3928" t="str">
            <v>136</v>
          </cell>
          <cell r="G3928" t="str">
            <v>1</v>
          </cell>
          <cell r="H3928" t="str">
            <v>Roperuelos del Páramo</v>
          </cell>
        </row>
        <row r="3929">
          <cell r="D3929" t="str">
            <v>24</v>
          </cell>
          <cell r="E3929" t="str">
            <v>León</v>
          </cell>
          <cell r="F3929" t="str">
            <v>139</v>
          </cell>
          <cell r="G3929" t="str">
            <v>6</v>
          </cell>
          <cell r="H3929" t="str">
            <v>Sahagún</v>
          </cell>
        </row>
        <row r="3930">
          <cell r="D3930" t="str">
            <v>24</v>
          </cell>
          <cell r="E3930" t="str">
            <v>León</v>
          </cell>
          <cell r="F3930" t="str">
            <v>141</v>
          </cell>
          <cell r="G3930" t="str">
            <v>7</v>
          </cell>
          <cell r="H3930" t="str">
            <v>San Adrián del Valle</v>
          </cell>
        </row>
        <row r="3931">
          <cell r="D3931" t="str">
            <v>24</v>
          </cell>
          <cell r="E3931" t="str">
            <v>León</v>
          </cell>
          <cell r="F3931" t="str">
            <v>142</v>
          </cell>
          <cell r="G3931" t="str">
            <v>2</v>
          </cell>
          <cell r="H3931" t="str">
            <v>San Andrés del Rabanedo</v>
          </cell>
        </row>
        <row r="3932">
          <cell r="D3932" t="str">
            <v>24</v>
          </cell>
          <cell r="E3932" t="str">
            <v>León</v>
          </cell>
          <cell r="F3932" t="str">
            <v>144</v>
          </cell>
          <cell r="G3932" t="str">
            <v>3</v>
          </cell>
          <cell r="H3932" t="str">
            <v>San Cristóbal de la Polantera</v>
          </cell>
        </row>
        <row r="3933">
          <cell r="D3933" t="str">
            <v>24</v>
          </cell>
          <cell r="E3933" t="str">
            <v>León</v>
          </cell>
          <cell r="F3933" t="str">
            <v>146</v>
          </cell>
          <cell r="G3933" t="str">
            <v>9</v>
          </cell>
          <cell r="H3933" t="str">
            <v>San Esteban de Nogales</v>
          </cell>
        </row>
        <row r="3934">
          <cell r="D3934" t="str">
            <v>24</v>
          </cell>
          <cell r="E3934" t="str">
            <v>León</v>
          </cell>
          <cell r="F3934" t="str">
            <v>148</v>
          </cell>
          <cell r="G3934" t="str">
            <v>1</v>
          </cell>
          <cell r="H3934" t="str">
            <v>San Justo de la Vega</v>
          </cell>
        </row>
        <row r="3935">
          <cell r="D3935" t="str">
            <v>24</v>
          </cell>
          <cell r="E3935" t="str">
            <v>León</v>
          </cell>
          <cell r="F3935" t="str">
            <v>149</v>
          </cell>
          <cell r="G3935" t="str">
            <v>4</v>
          </cell>
          <cell r="H3935" t="str">
            <v>San Millán de los Caballeros</v>
          </cell>
        </row>
        <row r="3936">
          <cell r="D3936" t="str">
            <v>24</v>
          </cell>
          <cell r="E3936" t="str">
            <v>León</v>
          </cell>
          <cell r="F3936" t="str">
            <v>150</v>
          </cell>
          <cell r="G3936" t="str">
            <v>7</v>
          </cell>
          <cell r="H3936" t="str">
            <v>San Pedro Bercianos</v>
          </cell>
        </row>
        <row r="3937">
          <cell r="D3937" t="str">
            <v>24</v>
          </cell>
          <cell r="E3937" t="str">
            <v>León</v>
          </cell>
          <cell r="F3937" t="str">
            <v>153</v>
          </cell>
          <cell r="G3937" t="str">
            <v>5</v>
          </cell>
          <cell r="H3937" t="str">
            <v>Santa Cristina de Valmadrigal</v>
          </cell>
        </row>
        <row r="3938">
          <cell r="D3938" t="str">
            <v>24</v>
          </cell>
          <cell r="E3938" t="str">
            <v>León</v>
          </cell>
          <cell r="F3938" t="str">
            <v>154</v>
          </cell>
          <cell r="G3938" t="str">
            <v>0</v>
          </cell>
          <cell r="H3938" t="str">
            <v>Santa Elena de Jamuz</v>
          </cell>
        </row>
        <row r="3939">
          <cell r="D3939" t="str">
            <v>24</v>
          </cell>
          <cell r="E3939" t="str">
            <v>León</v>
          </cell>
          <cell r="F3939" t="str">
            <v>155</v>
          </cell>
          <cell r="G3939" t="str">
            <v>3</v>
          </cell>
          <cell r="H3939" t="str">
            <v>Santa María de la Isla</v>
          </cell>
        </row>
        <row r="3940">
          <cell r="D3940" t="str">
            <v>24</v>
          </cell>
          <cell r="E3940" t="str">
            <v>León</v>
          </cell>
          <cell r="F3940" t="str">
            <v>156</v>
          </cell>
          <cell r="G3940" t="str">
            <v>6</v>
          </cell>
          <cell r="H3940" t="str">
            <v>Santa María del Monte de Cea</v>
          </cell>
        </row>
        <row r="3941">
          <cell r="D3941" t="str">
            <v>24</v>
          </cell>
          <cell r="E3941" t="str">
            <v>León</v>
          </cell>
          <cell r="F3941" t="str">
            <v>157</v>
          </cell>
          <cell r="G3941" t="str">
            <v>2</v>
          </cell>
          <cell r="H3941" t="str">
            <v>Santa María del Páramo</v>
          </cell>
        </row>
        <row r="3942">
          <cell r="D3942" t="str">
            <v>24</v>
          </cell>
          <cell r="E3942" t="str">
            <v>León</v>
          </cell>
          <cell r="F3942" t="str">
            <v>159</v>
          </cell>
          <cell r="G3942" t="str">
            <v>1</v>
          </cell>
          <cell r="H3942" t="str">
            <v>Santa Marina del Rey</v>
          </cell>
        </row>
        <row r="3943">
          <cell r="D3943" t="str">
            <v>24</v>
          </cell>
          <cell r="E3943" t="str">
            <v>León</v>
          </cell>
          <cell r="F3943" t="str">
            <v>160</v>
          </cell>
          <cell r="G3943" t="str">
            <v>5</v>
          </cell>
          <cell r="H3943" t="str">
            <v>Santas Martas</v>
          </cell>
        </row>
        <row r="3944">
          <cell r="D3944" t="str">
            <v>24</v>
          </cell>
          <cell r="E3944" t="str">
            <v>León</v>
          </cell>
          <cell r="F3944" t="str">
            <v>161</v>
          </cell>
          <cell r="G3944" t="str">
            <v>2</v>
          </cell>
          <cell r="H3944" t="str">
            <v>Santiago Millas</v>
          </cell>
        </row>
        <row r="3945">
          <cell r="D3945" t="str">
            <v>24</v>
          </cell>
          <cell r="E3945" t="str">
            <v>León</v>
          </cell>
          <cell r="F3945" t="str">
            <v>162</v>
          </cell>
          <cell r="G3945" t="str">
            <v>7</v>
          </cell>
          <cell r="H3945" t="str">
            <v>Santovenia de la Valdoncina</v>
          </cell>
        </row>
        <row r="3946">
          <cell r="D3946" t="str">
            <v>24</v>
          </cell>
          <cell r="E3946" t="str">
            <v>León</v>
          </cell>
          <cell r="F3946" t="str">
            <v>163</v>
          </cell>
          <cell r="G3946" t="str">
            <v>3</v>
          </cell>
          <cell r="H3946" t="str">
            <v>Sariegos</v>
          </cell>
        </row>
        <row r="3947">
          <cell r="D3947" t="str">
            <v>24</v>
          </cell>
          <cell r="E3947" t="str">
            <v>León</v>
          </cell>
          <cell r="F3947" t="str">
            <v>166</v>
          </cell>
          <cell r="G3947" t="str">
            <v>4</v>
          </cell>
          <cell r="H3947" t="str">
            <v>Soto de la Vega</v>
          </cell>
        </row>
        <row r="3948">
          <cell r="D3948" t="str">
            <v>24</v>
          </cell>
          <cell r="E3948" t="str">
            <v>León</v>
          </cell>
          <cell r="F3948" t="str">
            <v>168</v>
          </cell>
          <cell r="G3948" t="str">
            <v>6</v>
          </cell>
          <cell r="H3948" t="str">
            <v>Toral de los Guzmanes</v>
          </cell>
        </row>
        <row r="3949">
          <cell r="D3949" t="str">
            <v>24</v>
          </cell>
          <cell r="E3949" t="str">
            <v>León</v>
          </cell>
          <cell r="F3949" t="str">
            <v>173</v>
          </cell>
          <cell r="G3949" t="str">
            <v>1</v>
          </cell>
          <cell r="H3949" t="str">
            <v>Turcia</v>
          </cell>
        </row>
        <row r="3950">
          <cell r="D3950" t="str">
            <v>24</v>
          </cell>
          <cell r="E3950" t="str">
            <v>León</v>
          </cell>
          <cell r="F3950" t="str">
            <v>174</v>
          </cell>
          <cell r="G3950" t="str">
            <v>6</v>
          </cell>
          <cell r="H3950" t="str">
            <v>Urdiales del Páramo</v>
          </cell>
        </row>
        <row r="3951">
          <cell r="D3951" t="str">
            <v>24</v>
          </cell>
          <cell r="E3951" t="str">
            <v>León</v>
          </cell>
          <cell r="F3951" t="str">
            <v>175</v>
          </cell>
          <cell r="G3951" t="str">
            <v>9</v>
          </cell>
          <cell r="H3951" t="str">
            <v>Valdefresno</v>
          </cell>
        </row>
        <row r="3952">
          <cell r="D3952" t="str">
            <v>24</v>
          </cell>
          <cell r="E3952" t="str">
            <v>León</v>
          </cell>
          <cell r="F3952" t="str">
            <v>176</v>
          </cell>
          <cell r="G3952" t="str">
            <v>2</v>
          </cell>
          <cell r="H3952" t="str">
            <v>Valdefuentes del Páramo</v>
          </cell>
        </row>
        <row r="3953">
          <cell r="D3953" t="str">
            <v>24</v>
          </cell>
          <cell r="E3953" t="str">
            <v>León</v>
          </cell>
          <cell r="F3953" t="str">
            <v>178</v>
          </cell>
          <cell r="G3953" t="str">
            <v>4</v>
          </cell>
          <cell r="H3953" t="str">
            <v>Valdemora</v>
          </cell>
        </row>
        <row r="3954">
          <cell r="D3954" t="str">
            <v>24</v>
          </cell>
          <cell r="E3954" t="str">
            <v>León</v>
          </cell>
          <cell r="F3954" t="str">
            <v>180</v>
          </cell>
          <cell r="G3954" t="str">
            <v>1</v>
          </cell>
          <cell r="H3954" t="str">
            <v>Valdepolo</v>
          </cell>
        </row>
        <row r="3955">
          <cell r="D3955" t="str">
            <v>24</v>
          </cell>
          <cell r="E3955" t="str">
            <v>León</v>
          </cell>
          <cell r="F3955" t="str">
            <v>181</v>
          </cell>
          <cell r="G3955" t="str">
            <v>8</v>
          </cell>
          <cell r="H3955" t="str">
            <v>Valderas</v>
          </cell>
        </row>
        <row r="3956">
          <cell r="D3956" t="str">
            <v>24</v>
          </cell>
          <cell r="E3956" t="str">
            <v>León</v>
          </cell>
          <cell r="F3956" t="str">
            <v>182</v>
          </cell>
          <cell r="G3956" t="str">
            <v>3</v>
          </cell>
          <cell r="H3956" t="str">
            <v>Valderrey</v>
          </cell>
        </row>
        <row r="3957">
          <cell r="D3957" t="str">
            <v>24</v>
          </cell>
          <cell r="E3957" t="str">
            <v>León</v>
          </cell>
          <cell r="F3957" t="str">
            <v>185</v>
          </cell>
          <cell r="G3957" t="str">
            <v>7</v>
          </cell>
          <cell r="H3957" t="str">
            <v>Val de San Lorenzo</v>
          </cell>
        </row>
        <row r="3958">
          <cell r="D3958" t="str">
            <v>24</v>
          </cell>
          <cell r="E3958" t="str">
            <v>León</v>
          </cell>
          <cell r="F3958" t="str">
            <v>187</v>
          </cell>
          <cell r="G3958" t="str">
            <v>6</v>
          </cell>
          <cell r="H3958" t="str">
            <v>Valdevimbre</v>
          </cell>
        </row>
        <row r="3959">
          <cell r="D3959" t="str">
            <v>24</v>
          </cell>
          <cell r="E3959" t="str">
            <v>León</v>
          </cell>
          <cell r="F3959" t="str">
            <v>188</v>
          </cell>
          <cell r="G3959" t="str">
            <v>2</v>
          </cell>
          <cell r="H3959" t="str">
            <v>Valencia de Don Juan</v>
          </cell>
        </row>
        <row r="3960">
          <cell r="D3960" t="str">
            <v>24</v>
          </cell>
          <cell r="E3960" t="str">
            <v>León</v>
          </cell>
          <cell r="F3960" t="str">
            <v>189</v>
          </cell>
          <cell r="G3960" t="str">
            <v>5</v>
          </cell>
          <cell r="H3960" t="str">
            <v>Valverde de la Virgen</v>
          </cell>
        </row>
        <row r="3961">
          <cell r="D3961" t="str">
            <v>24</v>
          </cell>
          <cell r="E3961" t="str">
            <v>León</v>
          </cell>
          <cell r="F3961" t="str">
            <v>190</v>
          </cell>
          <cell r="G3961" t="str">
            <v>9</v>
          </cell>
          <cell r="H3961" t="str">
            <v>Valverde-Enrique</v>
          </cell>
        </row>
        <row r="3962">
          <cell r="D3962" t="str">
            <v>24</v>
          </cell>
          <cell r="E3962" t="str">
            <v>León</v>
          </cell>
          <cell r="F3962" t="str">
            <v>191</v>
          </cell>
          <cell r="G3962" t="str">
            <v>6</v>
          </cell>
          <cell r="H3962" t="str">
            <v>Vallecillo</v>
          </cell>
        </row>
        <row r="3963">
          <cell r="D3963" t="str">
            <v>24</v>
          </cell>
          <cell r="E3963" t="str">
            <v>León</v>
          </cell>
          <cell r="F3963" t="str">
            <v>197</v>
          </cell>
          <cell r="G3963" t="str">
            <v>4</v>
          </cell>
          <cell r="H3963" t="str">
            <v>Vega de Infanzones</v>
          </cell>
        </row>
        <row r="3964">
          <cell r="D3964" t="str">
            <v>24</v>
          </cell>
          <cell r="E3964" t="str">
            <v>León</v>
          </cell>
          <cell r="F3964" t="str">
            <v>201</v>
          </cell>
          <cell r="G3964" t="str">
            <v>4</v>
          </cell>
          <cell r="H3964" t="str">
            <v>Vegas del Condado</v>
          </cell>
        </row>
        <row r="3965">
          <cell r="D3965" t="str">
            <v>24</v>
          </cell>
          <cell r="E3965" t="str">
            <v>León</v>
          </cell>
          <cell r="F3965" t="str">
            <v>203</v>
          </cell>
          <cell r="G3965" t="str">
            <v>5</v>
          </cell>
          <cell r="H3965" t="str">
            <v>Villabraz</v>
          </cell>
        </row>
        <row r="3966">
          <cell r="D3966" t="str">
            <v>24</v>
          </cell>
          <cell r="E3966" t="str">
            <v>León</v>
          </cell>
          <cell r="F3966" t="str">
            <v>205</v>
          </cell>
          <cell r="G3966" t="str">
            <v>3</v>
          </cell>
          <cell r="H3966" t="str">
            <v>Villadangos del Páramo</v>
          </cell>
        </row>
        <row r="3967">
          <cell r="D3967" t="str">
            <v>24</v>
          </cell>
          <cell r="E3967" t="str">
            <v>León</v>
          </cell>
          <cell r="F3967" t="str">
            <v>207</v>
          </cell>
          <cell r="G3967" t="str">
            <v>2</v>
          </cell>
          <cell r="H3967" t="str">
            <v>Villademor de la Vega</v>
          </cell>
        </row>
        <row r="3968">
          <cell r="D3968" t="str">
            <v>24</v>
          </cell>
          <cell r="E3968" t="str">
            <v>León</v>
          </cell>
          <cell r="F3968" t="str">
            <v>211</v>
          </cell>
          <cell r="G3968" t="str">
            <v>2</v>
          </cell>
          <cell r="H3968" t="str">
            <v>Villamandos</v>
          </cell>
        </row>
        <row r="3969">
          <cell r="D3969" t="str">
            <v>24</v>
          </cell>
          <cell r="E3969" t="str">
            <v>León</v>
          </cell>
          <cell r="F3969" t="str">
            <v>212</v>
          </cell>
          <cell r="G3969" t="str">
            <v>7</v>
          </cell>
          <cell r="H3969" t="str">
            <v>Villamañán</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13-18"/>
      <sheetName val="CONVENIOS 13-18"/>
      <sheetName val="CONVENIOS 98-05 y 06-12"/>
      <sheetName val="Datos 98-05 y 06-12"/>
      <sheetName val="Hoja para desplegable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RESULTADO"/>
      <sheetName val="RESUMEN RESULTADO - UNA RONDA"/>
      <sheetName val="Evaluacion"/>
      <sheetName val="Evaluacion_2"/>
      <sheetName val="Selec Pot Max Isla"/>
      <sheetName val="Selec Pot Max Isla_2"/>
      <sheetName val="Selec Lim Max Presupuesto"/>
      <sheetName val="Selec Lim Max Presupuesto_2"/>
      <sheetName val="Selec Lim Max Presupuesto_FINAL"/>
      <sheetName val="Resultado_FINAL"/>
      <sheetName val="ACTA 1"/>
      <sheetName val="ACTA 1 odt"/>
      <sheetName val="ACTA 2"/>
      <sheetName val="ACTA 2 odt"/>
      <sheetName val="Res Provisional_FINAL"/>
      <sheetName val="ACTA 3 odt"/>
      <sheetName val="Res Provisional_FINAL odt"/>
      <sheetName val="Res Definitiva_FINAL"/>
      <sheetName val="Res Definitiva_FINAL odt"/>
      <sheetName val="Poligonal vs UTM recurso"/>
      <sheetName val="Control"/>
      <sheetName val="Leyenda"/>
      <sheetName val="Res Provisional"/>
      <sheetName val="Res Provisional_2"/>
      <sheetName val="Res Definitiva"/>
      <sheetName val="Res Definitiva_2"/>
      <sheetName val="Motivos de rechazo"/>
      <sheetName val="Ptos almacenamiento"/>
      <sheetName val="EOLCAN2 -  Evaluacion"/>
    </sheetNames>
    <sheetDataSet>
      <sheetData sheetId="0" refreshError="1"/>
      <sheetData sheetId="1" refreshError="1"/>
      <sheetData sheetId="2" refreshError="1"/>
      <sheetData sheetId="3" refreshError="1"/>
      <sheetData sheetId="4" refreshError="1"/>
      <sheetData sheetId="5" refreshError="1"/>
      <sheetData sheetId="6">
        <row r="14">
          <cell r="A14" t="str">
            <v>ID</v>
          </cell>
        </row>
      </sheetData>
      <sheetData sheetId="7">
        <row r="14">
          <cell r="A14" t="str">
            <v>ID</v>
          </cell>
        </row>
      </sheetData>
      <sheetData sheetId="8" refreshError="1"/>
      <sheetData sheetId="9">
        <row r="14">
          <cell r="A14" t="str">
            <v>ID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NOTER-ELECT_CCAA"/>
      <sheetName val="CON_INE_2024"/>
      <sheetName val="revITJ"/>
      <sheetName val="Tabla3"/>
      <sheetName val="INDICADORES ZTJ + MINEROS"/>
      <sheetName val="ESPAÑA"/>
      <sheetName val="INDICADORES CTJ"/>
      <sheetName val="Municipios cn ayudas"/>
      <sheetName val="PARTICIPACIÓN"/>
      <sheetName val="AY.SOCIALES"/>
      <sheetName val="NºENTIDADES (+Min)"/>
      <sheetName val="ENTIDADES"/>
      <sheetName val="Hoja3"/>
      <sheetName val="NºENTIDADES(CTJ)"/>
      <sheetName val="NºPROY "/>
      <sheetName val="AYUDAS"/>
      <sheetName val="INVERSIONES"/>
      <sheetName val="EMPLEOS"/>
      <sheetName val="RESTAURACIONES"/>
    </sheetNames>
    <sheetDataSet>
      <sheetData sheetId="0"/>
      <sheetData sheetId="1"/>
      <sheetData sheetId="2">
        <row r="2">
          <cell r="B2" t="str">
            <v>AST-2020-0002</v>
          </cell>
          <cell r="C2">
            <v>1985352.0299999998</v>
          </cell>
          <cell r="D2" t="str">
            <v>SANEAMIENTO DE TIRAÑA, LA CAUCIA, FABARIEGU Y ENTORNO DE POLA DE LAVIANA</v>
          </cell>
          <cell r="E2">
            <v>44188</v>
          </cell>
          <cell r="F2" t="str">
            <v>Adm. Auton., medio  ambiente y cambio  climático</v>
          </cell>
          <cell r="G2">
            <v>3420000</v>
          </cell>
          <cell r="H2">
            <v>2565000</v>
          </cell>
          <cell r="I2">
            <v>855000</v>
          </cell>
          <cell r="J2">
            <v>3420000</v>
          </cell>
          <cell r="K2">
            <v>0</v>
          </cell>
          <cell r="L2">
            <v>641250</v>
          </cell>
          <cell r="M2">
            <v>0.25</v>
          </cell>
          <cell r="N2">
            <v>1282500</v>
          </cell>
          <cell r="O2">
            <v>0.5</v>
          </cell>
          <cell r="P2">
            <v>513000</v>
          </cell>
          <cell r="Q2">
            <v>0.2</v>
          </cell>
          <cell r="R2">
            <v>128250</v>
          </cell>
          <cell r="S2">
            <v>0.05</v>
          </cell>
          <cell r="T2">
            <v>0</v>
          </cell>
          <cell r="U2">
            <v>0</v>
          </cell>
          <cell r="V2">
            <v>-2565000</v>
          </cell>
          <cell r="W2">
            <v>3420000</v>
          </cell>
          <cell r="X2" t="str">
            <v>LAVIANA</v>
          </cell>
          <cell r="Y2" t="str">
            <v>P. ASTURIAS</v>
          </cell>
          <cell r="Z2" t="str">
            <v>NO MOD PRESUPUESTARIA</v>
          </cell>
          <cell r="AA2">
            <v>3420000</v>
          </cell>
          <cell r="AB2">
            <v>2565000</v>
          </cell>
          <cell r="AC2">
            <v>855000</v>
          </cell>
          <cell r="AD2">
            <v>44370</v>
          </cell>
          <cell r="AE2">
            <v>1923750</v>
          </cell>
          <cell r="AF2">
            <v>0.75</v>
          </cell>
          <cell r="AG2">
            <v>513000</v>
          </cell>
          <cell r="AH2">
            <v>0.2</v>
          </cell>
          <cell r="AI2">
            <v>128250</v>
          </cell>
          <cell r="AJ2">
            <v>0</v>
          </cell>
          <cell r="AK2">
            <v>0.05</v>
          </cell>
          <cell r="AL2">
            <v>0</v>
          </cell>
          <cell r="AM2">
            <v>0</v>
          </cell>
          <cell r="AN2">
            <v>0</v>
          </cell>
          <cell r="AO2">
            <v>0</v>
          </cell>
          <cell r="AP2">
            <v>0</v>
          </cell>
          <cell r="AQ2">
            <v>1923750</v>
          </cell>
          <cell r="AR2">
            <v>513000</v>
          </cell>
          <cell r="AS2">
            <v>128250</v>
          </cell>
          <cell r="AT2">
            <v>0</v>
          </cell>
          <cell r="AU2">
            <v>0</v>
          </cell>
          <cell r="AV2">
            <v>45199</v>
          </cell>
          <cell r="AW2">
            <v>1241525.19</v>
          </cell>
          <cell r="AX2">
            <v>0.48402541520467834</v>
          </cell>
          <cell r="AY2">
            <v>0</v>
          </cell>
          <cell r="AZ2">
            <v>0</v>
          </cell>
          <cell r="BA2">
            <v>0</v>
          </cell>
          <cell r="BB2">
            <v>0</v>
          </cell>
          <cell r="BC2">
            <v>743826.84</v>
          </cell>
          <cell r="BD2">
            <v>0</v>
          </cell>
          <cell r="BE2">
            <v>0</v>
          </cell>
          <cell r="BF2">
            <v>0</v>
          </cell>
          <cell r="BG2" t="str">
            <v>SI</v>
          </cell>
        </row>
        <row r="3">
          <cell r="B3" t="str">
            <v>AST-2020-0007</v>
          </cell>
          <cell r="C3">
            <v>1581064.11</v>
          </cell>
          <cell r="D3" t="str">
            <v>Mejora bombeos Espíritu Santo y Venta de Gallo (Siero)</v>
          </cell>
          <cell r="E3">
            <v>44188</v>
          </cell>
          <cell r="F3" t="str">
            <v>Adm. Auton., medio  ambiente y cambio  climático</v>
          </cell>
          <cell r="G3">
            <v>2800000</v>
          </cell>
          <cell r="H3">
            <v>2100000</v>
          </cell>
          <cell r="I3">
            <v>700000</v>
          </cell>
          <cell r="J3">
            <v>2800000</v>
          </cell>
          <cell r="K3">
            <v>0</v>
          </cell>
          <cell r="L3">
            <v>0</v>
          </cell>
          <cell r="M3">
            <v>0</v>
          </cell>
          <cell r="N3">
            <v>525000</v>
          </cell>
          <cell r="O3">
            <v>0.25</v>
          </cell>
          <cell r="P3">
            <v>1050000</v>
          </cell>
          <cell r="Q3">
            <v>0.5</v>
          </cell>
          <cell r="R3">
            <v>525000</v>
          </cell>
          <cell r="S3">
            <v>0.25</v>
          </cell>
          <cell r="T3">
            <v>0</v>
          </cell>
          <cell r="U3">
            <v>0</v>
          </cell>
          <cell r="V3">
            <v>-2100000</v>
          </cell>
          <cell r="W3">
            <v>2800000</v>
          </cell>
          <cell r="X3" t="str">
            <v>SIERO</v>
          </cell>
          <cell r="Y3" t="str">
            <v>P. ASTURIAS</v>
          </cell>
          <cell r="Z3" t="str">
            <v>NO MOD PRESUPUESTARIA</v>
          </cell>
          <cell r="AA3">
            <v>2800000</v>
          </cell>
          <cell r="AB3">
            <v>2100000</v>
          </cell>
          <cell r="AC3">
            <v>700000</v>
          </cell>
          <cell r="AD3" t="str">
            <v/>
          </cell>
          <cell r="AE3" t="str">
            <v/>
          </cell>
          <cell r="AF3" t="e">
            <v>#VALUE!</v>
          </cell>
          <cell r="AG3" t="str">
            <v/>
          </cell>
          <cell r="AH3" t="e">
            <v>#VALUE!</v>
          </cell>
          <cell r="AI3" t="str">
            <v/>
          </cell>
          <cell r="AJ3" t="str">
            <v/>
          </cell>
          <cell r="AK3" t="e">
            <v>#VALUE!</v>
          </cell>
          <cell r="AL3" t="str">
            <v/>
          </cell>
          <cell r="AM3" t="str">
            <v/>
          </cell>
          <cell r="AN3" t="e">
            <v>#VALUE!</v>
          </cell>
          <cell r="AO3" t="str">
            <v/>
          </cell>
          <cell r="AP3" t="str">
            <v/>
          </cell>
          <cell r="AQ3">
            <v>525000</v>
          </cell>
          <cell r="AR3">
            <v>1050000</v>
          </cell>
          <cell r="AS3">
            <v>525000</v>
          </cell>
          <cell r="AT3">
            <v>0</v>
          </cell>
          <cell r="AU3">
            <v>0</v>
          </cell>
          <cell r="AV3">
            <v>45199</v>
          </cell>
          <cell r="AW3">
            <v>525000</v>
          </cell>
          <cell r="AX3">
            <v>0.25</v>
          </cell>
          <cell r="AY3">
            <v>713540.52</v>
          </cell>
          <cell r="AZ3">
            <v>0.33978120000000001</v>
          </cell>
          <cell r="BA3">
            <v>0</v>
          </cell>
          <cell r="BB3">
            <v>0</v>
          </cell>
          <cell r="BC3">
            <v>342523.59</v>
          </cell>
          <cell r="BD3">
            <v>0</v>
          </cell>
          <cell r="BE3">
            <v>0</v>
          </cell>
          <cell r="BF3">
            <v>0</v>
          </cell>
          <cell r="BG3" t="str">
            <v>SI</v>
          </cell>
        </row>
        <row r="4">
          <cell r="B4" t="str">
            <v>AST-2020-0008</v>
          </cell>
          <cell r="C4">
            <v>1561060.5699999998</v>
          </cell>
          <cell r="D4" t="str">
            <v>Ampliación capacidad interceptor del Nora (Siero)</v>
          </cell>
          <cell r="E4">
            <v>44188</v>
          </cell>
          <cell r="F4" t="str">
            <v>Adm. Auton., medio  ambiente y cambio  climático</v>
          </cell>
          <cell r="G4">
            <v>2500000</v>
          </cell>
          <cell r="H4">
            <v>1875000</v>
          </cell>
          <cell r="I4">
            <v>625000</v>
          </cell>
          <cell r="J4">
            <v>2500000</v>
          </cell>
          <cell r="K4">
            <v>0</v>
          </cell>
          <cell r="L4">
            <v>0</v>
          </cell>
          <cell r="M4">
            <v>0</v>
          </cell>
          <cell r="N4">
            <v>468750</v>
          </cell>
          <cell r="O4">
            <v>0.25</v>
          </cell>
          <cell r="P4">
            <v>937500</v>
          </cell>
          <cell r="Q4">
            <v>0.5</v>
          </cell>
          <cell r="R4">
            <v>468750</v>
          </cell>
          <cell r="S4">
            <v>0.25</v>
          </cell>
          <cell r="T4">
            <v>0</v>
          </cell>
          <cell r="U4">
            <v>0</v>
          </cell>
          <cell r="V4">
            <v>-1875000</v>
          </cell>
          <cell r="W4">
            <v>2500000</v>
          </cell>
          <cell r="X4" t="str">
            <v>SIERO</v>
          </cell>
          <cell r="Y4" t="str">
            <v>P. ASTURIAS</v>
          </cell>
          <cell r="Z4" t="str">
            <v>NO MOD PRESUPUESTARIA</v>
          </cell>
          <cell r="AA4">
            <v>2500000</v>
          </cell>
          <cell r="AB4">
            <v>1875000</v>
          </cell>
          <cell r="AC4">
            <v>625000</v>
          </cell>
          <cell r="AD4">
            <v>45198</v>
          </cell>
          <cell r="AE4">
            <v>0</v>
          </cell>
          <cell r="AF4">
            <v>0</v>
          </cell>
          <cell r="AG4">
            <v>0</v>
          </cell>
          <cell r="AH4">
            <v>0</v>
          </cell>
          <cell r="AI4">
            <v>375000</v>
          </cell>
          <cell r="AJ4">
            <v>0</v>
          </cell>
          <cell r="AK4">
            <v>0.2</v>
          </cell>
          <cell r="AL4">
            <v>372741.18</v>
          </cell>
          <cell r="AM4">
            <v>0</v>
          </cell>
          <cell r="AN4">
            <v>0.19879529599999998</v>
          </cell>
          <cell r="AO4">
            <v>0</v>
          </cell>
          <cell r="AP4">
            <v>0</v>
          </cell>
          <cell r="AQ4">
            <v>468750</v>
          </cell>
          <cell r="AR4">
            <v>937500</v>
          </cell>
          <cell r="AS4">
            <v>468750</v>
          </cell>
          <cell r="AT4">
            <v>0</v>
          </cell>
          <cell r="AU4">
            <v>0</v>
          </cell>
          <cell r="AV4">
            <v>45596</v>
          </cell>
          <cell r="AW4">
            <v>468750</v>
          </cell>
          <cell r="AX4">
            <v>0.25</v>
          </cell>
          <cell r="AY4">
            <v>658508.81999999995</v>
          </cell>
          <cell r="AZ4">
            <v>0.35120470399999998</v>
          </cell>
          <cell r="BA4">
            <v>0</v>
          </cell>
          <cell r="BB4">
            <v>0</v>
          </cell>
          <cell r="BC4">
            <v>433801.75</v>
          </cell>
          <cell r="BD4">
            <v>0</v>
          </cell>
          <cell r="BE4">
            <v>0</v>
          </cell>
          <cell r="BF4">
            <v>0</v>
          </cell>
          <cell r="BG4" t="str">
            <v>SI</v>
          </cell>
        </row>
        <row r="5">
          <cell r="B5" t="str">
            <v>AST-2020-0011</v>
          </cell>
          <cell r="C5">
            <v>570646.43000000005</v>
          </cell>
          <cell r="D5" t="str">
            <v>Renovación del abastecimiento a Mieres desde la cuenca de Aller (Captación de Ronderos)</v>
          </cell>
          <cell r="E5">
            <v>44188</v>
          </cell>
          <cell r="F5" t="str">
            <v>Adm. Auton., medio  ambiente y cambio  climático</v>
          </cell>
          <cell r="G5">
            <v>971000</v>
          </cell>
          <cell r="H5">
            <v>728250</v>
          </cell>
          <cell r="I5">
            <v>242750</v>
          </cell>
          <cell r="J5">
            <v>971000</v>
          </cell>
          <cell r="K5">
            <v>0</v>
          </cell>
          <cell r="L5">
            <v>546187.5</v>
          </cell>
          <cell r="M5">
            <v>0.75</v>
          </cell>
          <cell r="N5">
            <v>182062.5</v>
          </cell>
          <cell r="O5">
            <v>0.25</v>
          </cell>
          <cell r="P5">
            <v>0</v>
          </cell>
          <cell r="Q5">
            <v>0</v>
          </cell>
          <cell r="R5">
            <v>0</v>
          </cell>
          <cell r="S5">
            <v>0</v>
          </cell>
          <cell r="T5">
            <v>0</v>
          </cell>
          <cell r="U5">
            <v>0</v>
          </cell>
          <cell r="V5">
            <v>-728250</v>
          </cell>
          <cell r="W5">
            <v>971000</v>
          </cell>
          <cell r="X5" t="str">
            <v>ALLER</v>
          </cell>
          <cell r="Y5" t="str">
            <v>P. ASTURIAS</v>
          </cell>
          <cell r="Z5" t="str">
            <v>NO MOD PRESUPUESTARIA</v>
          </cell>
          <cell r="AA5">
            <v>971000</v>
          </cell>
          <cell r="AB5">
            <v>728250</v>
          </cell>
          <cell r="AC5">
            <v>242750</v>
          </cell>
          <cell r="AD5" t="str">
            <v/>
          </cell>
          <cell r="AE5" t="str">
            <v/>
          </cell>
          <cell r="AF5" t="e">
            <v>#VALUE!</v>
          </cell>
          <cell r="AG5" t="str">
            <v/>
          </cell>
          <cell r="AH5" t="e">
            <v>#VALUE!</v>
          </cell>
          <cell r="AI5" t="str">
            <v/>
          </cell>
          <cell r="AJ5" t="str">
            <v/>
          </cell>
          <cell r="AK5" t="e">
            <v>#VALUE!</v>
          </cell>
          <cell r="AL5" t="str">
            <v/>
          </cell>
          <cell r="AM5" t="str">
            <v/>
          </cell>
          <cell r="AN5" t="e">
            <v>#VALUE!</v>
          </cell>
          <cell r="AO5" t="str">
            <v/>
          </cell>
          <cell r="AP5" t="str">
            <v/>
          </cell>
          <cell r="AQ5">
            <v>728250</v>
          </cell>
          <cell r="AR5">
            <v>0</v>
          </cell>
          <cell r="AS5">
            <v>0</v>
          </cell>
          <cell r="AT5">
            <v>0</v>
          </cell>
          <cell r="AU5">
            <v>0</v>
          </cell>
          <cell r="AV5">
            <v>44469</v>
          </cell>
          <cell r="AW5">
            <v>0</v>
          </cell>
          <cell r="AX5">
            <v>0</v>
          </cell>
          <cell r="AY5">
            <v>0</v>
          </cell>
          <cell r="AZ5">
            <v>0</v>
          </cell>
          <cell r="BA5">
            <v>0</v>
          </cell>
          <cell r="BB5">
            <v>0</v>
          </cell>
          <cell r="BC5">
            <v>570646.43000000005</v>
          </cell>
          <cell r="BD5">
            <v>0</v>
          </cell>
          <cell r="BE5">
            <v>0</v>
          </cell>
          <cell r="BF5">
            <v>0</v>
          </cell>
          <cell r="BG5" t="str">
            <v>SI</v>
          </cell>
        </row>
        <row r="6">
          <cell r="B6" t="str">
            <v>AST-2020-0012</v>
          </cell>
          <cell r="C6">
            <v>767534.16</v>
          </cell>
          <cell r="D6" t="str">
            <v>Descontaminación de suelo en antiguas minas de cobre</v>
          </cell>
          <cell r="E6">
            <v>44188</v>
          </cell>
          <cell r="F6" t="str">
            <v>Adm. Auton., medio  ambiente y cambio  climático</v>
          </cell>
          <cell r="G6">
            <v>1200000</v>
          </cell>
          <cell r="H6">
            <v>900000</v>
          </cell>
          <cell r="I6">
            <v>300000</v>
          </cell>
          <cell r="J6">
            <v>1200000</v>
          </cell>
          <cell r="K6">
            <v>0</v>
          </cell>
          <cell r="L6">
            <v>0</v>
          </cell>
          <cell r="M6">
            <v>0</v>
          </cell>
          <cell r="N6">
            <v>450000</v>
          </cell>
          <cell r="O6">
            <v>0.5</v>
          </cell>
          <cell r="P6">
            <v>450000</v>
          </cell>
          <cell r="Q6">
            <v>0.5</v>
          </cell>
          <cell r="R6">
            <v>0</v>
          </cell>
          <cell r="S6">
            <v>0</v>
          </cell>
          <cell r="T6">
            <v>0</v>
          </cell>
          <cell r="U6">
            <v>0</v>
          </cell>
          <cell r="V6">
            <v>-900000</v>
          </cell>
          <cell r="W6">
            <v>1200000</v>
          </cell>
          <cell r="X6" t="str">
            <v>RIOSA</v>
          </cell>
          <cell r="Y6" t="str">
            <v>P. ASTURIAS</v>
          </cell>
          <cell r="Z6" t="str">
            <v>ADENDA FIRMADA</v>
          </cell>
          <cell r="AA6">
            <v>1023378.88</v>
          </cell>
          <cell r="AB6">
            <v>767534.16</v>
          </cell>
          <cell r="AC6">
            <v>255844.71999999997</v>
          </cell>
          <cell r="AD6">
            <v>45198</v>
          </cell>
          <cell r="AE6">
            <v>0</v>
          </cell>
          <cell r="AF6">
            <v>0</v>
          </cell>
          <cell r="AG6">
            <v>0</v>
          </cell>
          <cell r="AH6">
            <v>0</v>
          </cell>
          <cell r="AI6">
            <v>575650.62</v>
          </cell>
          <cell r="AJ6">
            <v>0</v>
          </cell>
          <cell r="AK6">
            <v>0.75</v>
          </cell>
          <cell r="AL6">
            <v>191883.54</v>
          </cell>
          <cell r="AM6">
            <v>0</v>
          </cell>
          <cell r="AN6">
            <v>0.25</v>
          </cell>
          <cell r="AO6">
            <v>0</v>
          </cell>
          <cell r="AP6">
            <v>0</v>
          </cell>
          <cell r="AQ6">
            <v>0</v>
          </cell>
          <cell r="AR6">
            <v>0</v>
          </cell>
          <cell r="AS6">
            <v>575650.62</v>
          </cell>
          <cell r="AT6">
            <v>191883.54</v>
          </cell>
          <cell r="AU6">
            <v>0</v>
          </cell>
          <cell r="AV6">
            <v>45596</v>
          </cell>
          <cell r="AW6">
            <v>0</v>
          </cell>
          <cell r="AX6">
            <v>0</v>
          </cell>
          <cell r="AY6">
            <v>0</v>
          </cell>
          <cell r="AZ6">
            <v>0</v>
          </cell>
          <cell r="BA6">
            <v>0</v>
          </cell>
          <cell r="BB6">
            <v>0</v>
          </cell>
          <cell r="BC6">
            <v>767534.16</v>
          </cell>
          <cell r="BD6">
            <v>0</v>
          </cell>
          <cell r="BE6">
            <v>0</v>
          </cell>
          <cell r="BF6">
            <v>0</v>
          </cell>
          <cell r="BG6" t="str">
            <v>SI</v>
          </cell>
        </row>
        <row r="7">
          <cell r="B7" t="str">
            <v>AST-2020-0013</v>
          </cell>
          <cell r="C7">
            <v>650552.13</v>
          </cell>
          <cell r="D7" t="str">
            <v>Saneamiento de las Agüeras y la Fábrica (Quirós)</v>
          </cell>
          <cell r="E7">
            <v>44188</v>
          </cell>
          <cell r="F7" t="str">
            <v>Adm. Auton., medio  ambiente y cambio  climático</v>
          </cell>
          <cell r="G7">
            <v>877000</v>
          </cell>
          <cell r="H7">
            <v>657750</v>
          </cell>
          <cell r="I7">
            <v>219250</v>
          </cell>
          <cell r="J7">
            <v>877000</v>
          </cell>
          <cell r="K7">
            <v>0</v>
          </cell>
          <cell r="L7">
            <v>328875</v>
          </cell>
          <cell r="M7">
            <v>0.5</v>
          </cell>
          <cell r="N7">
            <v>164437.5</v>
          </cell>
          <cell r="O7">
            <v>0.25</v>
          </cell>
          <cell r="P7">
            <v>164437.5</v>
          </cell>
          <cell r="Q7">
            <v>0.25</v>
          </cell>
          <cell r="R7">
            <v>0</v>
          </cell>
          <cell r="S7">
            <v>0</v>
          </cell>
          <cell r="T7">
            <v>0</v>
          </cell>
          <cell r="U7">
            <v>0</v>
          </cell>
          <cell r="V7">
            <v>-657750</v>
          </cell>
          <cell r="W7">
            <v>877000</v>
          </cell>
          <cell r="X7" t="str">
            <v>QUIRÓS</v>
          </cell>
          <cell r="Y7" t="str">
            <v>P. ASTURIAS</v>
          </cell>
          <cell r="Z7" t="str">
            <v>NO MOD PRESUPUESTARIA</v>
          </cell>
          <cell r="AA7">
            <v>877000</v>
          </cell>
          <cell r="AB7">
            <v>657750</v>
          </cell>
          <cell r="AC7">
            <v>219250</v>
          </cell>
          <cell r="AD7" t="str">
            <v/>
          </cell>
          <cell r="AE7" t="str">
            <v/>
          </cell>
          <cell r="AF7" t="e">
            <v>#VALUE!</v>
          </cell>
          <cell r="AG7" t="str">
            <v/>
          </cell>
          <cell r="AH7" t="e">
            <v>#VALUE!</v>
          </cell>
          <cell r="AI7" t="str">
            <v/>
          </cell>
          <cell r="AJ7" t="str">
            <v/>
          </cell>
          <cell r="AK7" t="e">
            <v>#VALUE!</v>
          </cell>
          <cell r="AL7" t="str">
            <v/>
          </cell>
          <cell r="AM7" t="str">
            <v/>
          </cell>
          <cell r="AN7" t="e">
            <v>#VALUE!</v>
          </cell>
          <cell r="AO7" t="str">
            <v/>
          </cell>
          <cell r="AP7" t="str">
            <v/>
          </cell>
          <cell r="AQ7">
            <v>493312.5</v>
          </cell>
          <cell r="AR7">
            <v>164437.5</v>
          </cell>
          <cell r="AS7">
            <v>0</v>
          </cell>
          <cell r="AT7">
            <v>0</v>
          </cell>
          <cell r="AU7">
            <v>0</v>
          </cell>
          <cell r="AV7">
            <v>44834</v>
          </cell>
          <cell r="AW7">
            <v>0</v>
          </cell>
          <cell r="AX7">
            <v>0</v>
          </cell>
          <cell r="AY7">
            <v>650552.13</v>
          </cell>
          <cell r="AZ7">
            <v>0.98905683010262258</v>
          </cell>
          <cell r="BA7">
            <v>0</v>
          </cell>
          <cell r="BB7">
            <v>0</v>
          </cell>
          <cell r="BC7">
            <v>0</v>
          </cell>
          <cell r="BD7">
            <v>0</v>
          </cell>
          <cell r="BE7">
            <v>0</v>
          </cell>
          <cell r="BF7">
            <v>0</v>
          </cell>
          <cell r="BG7" t="str">
            <v>SI</v>
          </cell>
        </row>
        <row r="8">
          <cell r="B8" t="str">
            <v>AST-2020-0014</v>
          </cell>
          <cell r="C8">
            <v>529578.64</v>
          </cell>
          <cell r="D8" t="str">
            <v>Saneamiento de Sorrodiles de Cibea (Cangas de Narcea)</v>
          </cell>
          <cell r="E8">
            <v>44188</v>
          </cell>
          <cell r="F8" t="str">
            <v>Adm. Auton., medio  ambiente y cambio  climático</v>
          </cell>
          <cell r="G8">
            <v>795000</v>
          </cell>
          <cell r="H8">
            <v>596250</v>
          </cell>
          <cell r="I8">
            <v>198750</v>
          </cell>
          <cell r="J8">
            <v>795000</v>
          </cell>
          <cell r="K8">
            <v>0</v>
          </cell>
          <cell r="L8">
            <v>447187.5</v>
          </cell>
          <cell r="M8">
            <v>0.75</v>
          </cell>
          <cell r="N8">
            <v>149062.5</v>
          </cell>
          <cell r="O8">
            <v>0.25</v>
          </cell>
          <cell r="P8">
            <v>0</v>
          </cell>
          <cell r="Q8">
            <v>0</v>
          </cell>
          <cell r="R8">
            <v>0</v>
          </cell>
          <cell r="S8">
            <v>0</v>
          </cell>
          <cell r="T8">
            <v>0</v>
          </cell>
          <cell r="U8">
            <v>0</v>
          </cell>
          <cell r="V8">
            <v>-596250</v>
          </cell>
          <cell r="W8">
            <v>795000</v>
          </cell>
          <cell r="X8" t="str">
            <v>CANGAS DE NARCEA</v>
          </cell>
          <cell r="Y8" t="str">
            <v>P. ASTURIAS</v>
          </cell>
          <cell r="Z8" t="str">
            <v>NO MOD PRESUPUESTARIA</v>
          </cell>
          <cell r="AA8">
            <v>795000</v>
          </cell>
          <cell r="AB8">
            <v>596250</v>
          </cell>
          <cell r="AC8">
            <v>198750</v>
          </cell>
          <cell r="AD8">
            <v>44362</v>
          </cell>
          <cell r="AE8">
            <v>596250</v>
          </cell>
          <cell r="AF8">
            <v>1</v>
          </cell>
          <cell r="AG8">
            <v>0</v>
          </cell>
          <cell r="AH8">
            <v>0</v>
          </cell>
          <cell r="AI8">
            <v>0</v>
          </cell>
          <cell r="AJ8">
            <v>0</v>
          </cell>
          <cell r="AK8">
            <v>0</v>
          </cell>
          <cell r="AL8">
            <v>0</v>
          </cell>
          <cell r="AM8">
            <v>0</v>
          </cell>
          <cell r="AN8">
            <v>0</v>
          </cell>
          <cell r="AO8">
            <v>0</v>
          </cell>
          <cell r="AP8">
            <v>0</v>
          </cell>
          <cell r="AQ8">
            <v>596250</v>
          </cell>
          <cell r="AR8">
            <v>0</v>
          </cell>
          <cell r="AS8">
            <v>0</v>
          </cell>
          <cell r="AT8">
            <v>0</v>
          </cell>
          <cell r="AU8">
            <v>0</v>
          </cell>
          <cell r="AV8">
            <v>44469</v>
          </cell>
          <cell r="AW8">
            <v>0</v>
          </cell>
          <cell r="AX8">
            <v>0</v>
          </cell>
          <cell r="AY8">
            <v>529578.64</v>
          </cell>
          <cell r="AZ8">
            <v>0.88818220545073379</v>
          </cell>
          <cell r="BA8">
            <v>0</v>
          </cell>
          <cell r="BB8">
            <v>0</v>
          </cell>
          <cell r="BC8">
            <v>0</v>
          </cell>
          <cell r="BD8">
            <v>0</v>
          </cell>
          <cell r="BE8">
            <v>0</v>
          </cell>
          <cell r="BF8">
            <v>0</v>
          </cell>
          <cell r="BG8" t="str">
            <v>SI</v>
          </cell>
        </row>
        <row r="9">
          <cell r="B9" t="str">
            <v>AST-2020-0017</v>
          </cell>
          <cell r="C9">
            <v>701581.36</v>
          </cell>
          <cell r="D9" t="str">
            <v>Proyecto para la recuperación y revalorización del  Monte Carrio</v>
          </cell>
          <cell r="E9">
            <v>44188</v>
          </cell>
          <cell r="F9" t="str">
            <v>Medio rural y cohesión territorial</v>
          </cell>
          <cell r="G9">
            <v>1000000</v>
          </cell>
          <cell r="H9">
            <v>750000</v>
          </cell>
          <cell r="I9">
            <v>250000</v>
          </cell>
          <cell r="J9">
            <v>1000000</v>
          </cell>
          <cell r="K9">
            <v>0</v>
          </cell>
          <cell r="L9">
            <v>0</v>
          </cell>
          <cell r="M9">
            <v>0</v>
          </cell>
          <cell r="N9">
            <v>187500</v>
          </cell>
          <cell r="O9">
            <v>0.25</v>
          </cell>
          <cell r="P9">
            <v>375000</v>
          </cell>
          <cell r="Q9">
            <v>0.5</v>
          </cell>
          <cell r="R9">
            <v>187500</v>
          </cell>
          <cell r="S9">
            <v>0.25</v>
          </cell>
          <cell r="T9">
            <v>0</v>
          </cell>
          <cell r="U9">
            <v>0</v>
          </cell>
          <cell r="V9">
            <v>-750000</v>
          </cell>
          <cell r="W9">
            <v>1000000</v>
          </cell>
          <cell r="X9" t="str">
            <v>LAVIANA</v>
          </cell>
          <cell r="Y9" t="str">
            <v>P. ASTURIAS</v>
          </cell>
          <cell r="Z9" t="str">
            <v>NO MOD PRESUPUESTARIA</v>
          </cell>
          <cell r="AA9">
            <v>1000000</v>
          </cell>
          <cell r="AB9">
            <v>750000</v>
          </cell>
          <cell r="AC9">
            <v>250000</v>
          </cell>
          <cell r="AD9">
            <v>45198</v>
          </cell>
          <cell r="AE9">
            <v>0</v>
          </cell>
          <cell r="AF9">
            <v>0</v>
          </cell>
          <cell r="AG9">
            <v>0</v>
          </cell>
          <cell r="AH9">
            <v>0</v>
          </cell>
          <cell r="AI9">
            <v>562500</v>
          </cell>
          <cell r="AJ9">
            <v>0</v>
          </cell>
          <cell r="AK9">
            <v>0.75</v>
          </cell>
          <cell r="AL9">
            <v>187500</v>
          </cell>
          <cell r="AM9">
            <v>0</v>
          </cell>
          <cell r="AN9">
            <v>0.25</v>
          </cell>
          <cell r="AO9">
            <v>0</v>
          </cell>
          <cell r="AP9">
            <v>0</v>
          </cell>
          <cell r="AQ9">
            <v>187500</v>
          </cell>
          <cell r="AR9">
            <v>375000</v>
          </cell>
          <cell r="AS9">
            <v>187500</v>
          </cell>
          <cell r="AT9">
            <v>0</v>
          </cell>
          <cell r="AU9">
            <v>0</v>
          </cell>
          <cell r="AV9">
            <v>45412</v>
          </cell>
          <cell r="AW9">
            <v>0</v>
          </cell>
          <cell r="AX9">
            <v>0</v>
          </cell>
          <cell r="AY9">
            <v>0</v>
          </cell>
          <cell r="AZ9">
            <v>0</v>
          </cell>
          <cell r="BA9">
            <v>0</v>
          </cell>
          <cell r="BB9">
            <v>0</v>
          </cell>
          <cell r="BC9">
            <v>701581.36</v>
          </cell>
          <cell r="BD9">
            <v>0</v>
          </cell>
          <cell r="BE9">
            <v>0</v>
          </cell>
          <cell r="BF9">
            <v>0</v>
          </cell>
          <cell r="BG9" t="str">
            <v>SI</v>
          </cell>
        </row>
        <row r="10">
          <cell r="B10" t="str">
            <v>AST-2020-0019</v>
          </cell>
          <cell r="C10">
            <v>379845.48</v>
          </cell>
          <cell r="D10" t="str">
            <v>Saneamiento de La Piñera y zona río Piloña en Infiesto</v>
          </cell>
          <cell r="E10">
            <v>44188</v>
          </cell>
          <cell r="F10" t="str">
            <v>Adm. Auton., medio  ambiente y cambio  climático</v>
          </cell>
          <cell r="G10">
            <v>716000</v>
          </cell>
          <cell r="H10">
            <v>537000</v>
          </cell>
          <cell r="I10">
            <v>179000</v>
          </cell>
          <cell r="J10">
            <v>716000</v>
          </cell>
          <cell r="K10">
            <v>0</v>
          </cell>
          <cell r="L10">
            <v>268500</v>
          </cell>
          <cell r="M10">
            <v>0.5</v>
          </cell>
          <cell r="N10">
            <v>134250</v>
          </cell>
          <cell r="O10">
            <v>0.25</v>
          </cell>
          <cell r="P10">
            <v>134250</v>
          </cell>
          <cell r="Q10">
            <v>0.25</v>
          </cell>
          <cell r="R10">
            <v>0</v>
          </cell>
          <cell r="S10">
            <v>0</v>
          </cell>
          <cell r="T10">
            <v>0</v>
          </cell>
          <cell r="U10">
            <v>0</v>
          </cell>
          <cell r="V10">
            <v>-537000</v>
          </cell>
          <cell r="W10">
            <v>716000</v>
          </cell>
          <cell r="X10" t="str">
            <v>Varios municipios</v>
          </cell>
          <cell r="Y10" t="str">
            <v>P. ASTURIAS</v>
          </cell>
          <cell r="Z10" t="str">
            <v>ADENDA FIRMADA</v>
          </cell>
          <cell r="AA10">
            <v>694000</v>
          </cell>
          <cell r="AB10">
            <v>520500</v>
          </cell>
          <cell r="AC10">
            <v>173500</v>
          </cell>
          <cell r="AD10">
            <v>44834</v>
          </cell>
          <cell r="AE10">
            <v>0</v>
          </cell>
          <cell r="AF10">
            <v>0</v>
          </cell>
          <cell r="AG10">
            <v>390375</v>
          </cell>
          <cell r="AH10">
            <v>0.75</v>
          </cell>
          <cell r="AI10">
            <v>130125</v>
          </cell>
          <cell r="AJ10">
            <v>0</v>
          </cell>
          <cell r="AK10">
            <v>0.25</v>
          </cell>
          <cell r="AL10">
            <v>0</v>
          </cell>
          <cell r="AM10">
            <v>0</v>
          </cell>
          <cell r="AN10">
            <v>0</v>
          </cell>
          <cell r="AO10">
            <v>0</v>
          </cell>
          <cell r="AP10">
            <v>0</v>
          </cell>
          <cell r="AQ10">
            <v>0</v>
          </cell>
          <cell r="AR10">
            <v>390375</v>
          </cell>
          <cell r="AS10">
            <v>130125</v>
          </cell>
          <cell r="AT10">
            <v>0</v>
          </cell>
          <cell r="AU10">
            <v>0</v>
          </cell>
          <cell r="AV10">
            <v>45199</v>
          </cell>
          <cell r="AW10">
            <v>0</v>
          </cell>
          <cell r="AX10">
            <v>0</v>
          </cell>
          <cell r="AY10">
            <v>0</v>
          </cell>
          <cell r="AZ10">
            <v>0</v>
          </cell>
          <cell r="BA10">
            <v>0</v>
          </cell>
          <cell r="BB10">
            <v>0</v>
          </cell>
          <cell r="BC10">
            <v>379845.48</v>
          </cell>
          <cell r="BD10">
            <v>0</v>
          </cell>
          <cell r="BE10">
            <v>0</v>
          </cell>
          <cell r="BF10">
            <v>0</v>
          </cell>
          <cell r="BG10" t="str">
            <v>SI</v>
          </cell>
        </row>
        <row r="11">
          <cell r="B11" t="str">
            <v>AST-2020-0020</v>
          </cell>
          <cell r="C11">
            <v>479056.2</v>
          </cell>
          <cell r="D11" t="str">
            <v>Saneamiento de Fondos Vega (Degaña)</v>
          </cell>
          <cell r="E11">
            <v>44188</v>
          </cell>
          <cell r="F11" t="str">
            <v>Adm. Auton., medio  ambiente y cambio  climático</v>
          </cell>
          <cell r="G11">
            <v>668000</v>
          </cell>
          <cell r="H11">
            <v>501000</v>
          </cell>
          <cell r="I11">
            <v>167000</v>
          </cell>
          <cell r="J11">
            <v>668000</v>
          </cell>
          <cell r="K11">
            <v>0</v>
          </cell>
          <cell r="L11">
            <v>375750</v>
          </cell>
          <cell r="M11">
            <v>0.75</v>
          </cell>
          <cell r="N11">
            <v>125250</v>
          </cell>
          <cell r="O11">
            <v>0.25</v>
          </cell>
          <cell r="P11">
            <v>0</v>
          </cell>
          <cell r="Q11">
            <v>0</v>
          </cell>
          <cell r="R11">
            <v>0</v>
          </cell>
          <cell r="S11">
            <v>0</v>
          </cell>
          <cell r="T11">
            <v>0</v>
          </cell>
          <cell r="U11">
            <v>0</v>
          </cell>
          <cell r="V11">
            <v>-501000</v>
          </cell>
          <cell r="W11">
            <v>668000</v>
          </cell>
          <cell r="X11" t="str">
            <v>DEGAÑA</v>
          </cell>
          <cell r="Y11" t="str">
            <v>P. ASTURIAS</v>
          </cell>
          <cell r="Z11" t="str">
            <v>NO MOD PRESUPUESTARIA</v>
          </cell>
          <cell r="AA11">
            <v>668000</v>
          </cell>
          <cell r="AB11">
            <v>501000</v>
          </cell>
          <cell r="AC11">
            <v>167000</v>
          </cell>
          <cell r="AD11" t="str">
            <v/>
          </cell>
          <cell r="AE11" t="str">
            <v/>
          </cell>
          <cell r="AF11" t="e">
            <v>#VALUE!</v>
          </cell>
          <cell r="AG11" t="str">
            <v/>
          </cell>
          <cell r="AH11" t="e">
            <v>#VALUE!</v>
          </cell>
          <cell r="AI11" t="str">
            <v/>
          </cell>
          <cell r="AJ11" t="str">
            <v/>
          </cell>
          <cell r="AK11" t="e">
            <v>#VALUE!</v>
          </cell>
          <cell r="AL11" t="str">
            <v/>
          </cell>
          <cell r="AM11" t="str">
            <v/>
          </cell>
          <cell r="AN11" t="e">
            <v>#VALUE!</v>
          </cell>
          <cell r="AO11" t="str">
            <v/>
          </cell>
          <cell r="AP11" t="str">
            <v/>
          </cell>
          <cell r="AQ11">
            <v>501000</v>
          </cell>
          <cell r="AR11">
            <v>0</v>
          </cell>
          <cell r="AS11">
            <v>0</v>
          </cell>
          <cell r="AT11">
            <v>0</v>
          </cell>
          <cell r="AU11">
            <v>0</v>
          </cell>
          <cell r="AV11">
            <v>44469</v>
          </cell>
          <cell r="AW11">
            <v>479056.2</v>
          </cell>
          <cell r="AX11">
            <v>0.95620000000000005</v>
          </cell>
          <cell r="AY11">
            <v>0</v>
          </cell>
          <cell r="AZ11">
            <v>0</v>
          </cell>
          <cell r="BA11">
            <v>0</v>
          </cell>
          <cell r="BB11">
            <v>0</v>
          </cell>
          <cell r="BC11">
            <v>0</v>
          </cell>
          <cell r="BD11">
            <v>0</v>
          </cell>
          <cell r="BE11">
            <v>0</v>
          </cell>
          <cell r="BF11">
            <v>0</v>
          </cell>
          <cell r="BG11" t="str">
            <v>SI</v>
          </cell>
        </row>
        <row r="12">
          <cell r="B12" t="str">
            <v>AST-2020-0021</v>
          </cell>
          <cell r="C12">
            <v>562500</v>
          </cell>
          <cell r="D12" t="str">
            <v>Proyecto de creación de vivero empresarial en Lieres</v>
          </cell>
          <cell r="E12">
            <v>44188</v>
          </cell>
          <cell r="F12" t="str">
            <v>Industria, Empleo y Promoción económica</v>
          </cell>
          <cell r="G12">
            <v>750000</v>
          </cell>
          <cell r="H12">
            <v>562500</v>
          </cell>
          <cell r="I12">
            <v>187500</v>
          </cell>
          <cell r="J12">
            <v>750000</v>
          </cell>
          <cell r="K12">
            <v>0</v>
          </cell>
          <cell r="L12">
            <v>0</v>
          </cell>
          <cell r="M12">
            <v>0</v>
          </cell>
          <cell r="N12">
            <v>140625</v>
          </cell>
          <cell r="O12">
            <v>0.25</v>
          </cell>
          <cell r="P12">
            <v>281250</v>
          </cell>
          <cell r="Q12">
            <v>0.5</v>
          </cell>
          <cell r="R12">
            <v>140625</v>
          </cell>
          <cell r="S12">
            <v>0.25</v>
          </cell>
          <cell r="T12">
            <v>0</v>
          </cell>
          <cell r="U12">
            <v>0</v>
          </cell>
          <cell r="V12">
            <v>-562500</v>
          </cell>
          <cell r="W12">
            <v>750000</v>
          </cell>
          <cell r="X12" t="str">
            <v>SIERO</v>
          </cell>
          <cell r="Y12" t="str">
            <v>P. ASTURIAS</v>
          </cell>
          <cell r="Z12" t="str">
            <v>NO MOD PRESUPUESTARIA</v>
          </cell>
          <cell r="AA12">
            <v>750000</v>
          </cell>
          <cell r="AB12">
            <v>562500</v>
          </cell>
          <cell r="AC12">
            <v>187500</v>
          </cell>
          <cell r="AD12" t="str">
            <v/>
          </cell>
          <cell r="AE12" t="str">
            <v/>
          </cell>
          <cell r="AF12" t="e">
            <v>#VALUE!</v>
          </cell>
          <cell r="AG12" t="str">
            <v/>
          </cell>
          <cell r="AH12" t="e">
            <v>#VALUE!</v>
          </cell>
          <cell r="AI12" t="str">
            <v/>
          </cell>
          <cell r="AJ12" t="str">
            <v/>
          </cell>
          <cell r="AK12" t="e">
            <v>#VALUE!</v>
          </cell>
          <cell r="AL12" t="str">
            <v/>
          </cell>
          <cell r="AM12" t="str">
            <v/>
          </cell>
          <cell r="AN12" t="e">
            <v>#VALUE!</v>
          </cell>
          <cell r="AO12" t="str">
            <v/>
          </cell>
          <cell r="AP12" t="str">
            <v/>
          </cell>
          <cell r="AQ12">
            <v>140625</v>
          </cell>
          <cell r="AR12">
            <v>281250</v>
          </cell>
          <cell r="AS12">
            <v>140625</v>
          </cell>
          <cell r="AT12">
            <v>0</v>
          </cell>
          <cell r="AU12">
            <v>0</v>
          </cell>
          <cell r="AV12">
            <v>45199</v>
          </cell>
          <cell r="AW12">
            <v>0</v>
          </cell>
          <cell r="AX12">
            <v>0</v>
          </cell>
          <cell r="AY12">
            <v>0</v>
          </cell>
          <cell r="AZ12">
            <v>0</v>
          </cell>
          <cell r="BA12">
            <v>562500</v>
          </cell>
          <cell r="BB12">
            <v>0</v>
          </cell>
          <cell r="BC12">
            <v>0</v>
          </cell>
          <cell r="BD12">
            <v>0</v>
          </cell>
          <cell r="BE12">
            <v>0</v>
          </cell>
          <cell r="BF12">
            <v>0</v>
          </cell>
          <cell r="BG12" t="str">
            <v>SI</v>
          </cell>
        </row>
        <row r="13">
          <cell r="B13" t="str">
            <v>AST-2020-0029</v>
          </cell>
          <cell r="C13">
            <v>127500</v>
          </cell>
          <cell r="D13" t="str">
            <v>Recuperación y rehabilitación del entorno y antigua explotación minera del Pozo San Fernando como elemento de dinamización turística</v>
          </cell>
          <cell r="E13">
            <v>44188</v>
          </cell>
          <cell r="F13" t="str">
            <v>Industria, Empleo y Promoción económica</v>
          </cell>
          <cell r="G13">
            <v>170000</v>
          </cell>
          <cell r="H13">
            <v>127500</v>
          </cell>
          <cell r="I13">
            <v>42500</v>
          </cell>
          <cell r="J13">
            <v>170000</v>
          </cell>
          <cell r="K13">
            <v>0</v>
          </cell>
          <cell r="L13">
            <v>0</v>
          </cell>
          <cell r="M13">
            <v>0</v>
          </cell>
          <cell r="N13">
            <v>31875</v>
          </cell>
          <cell r="O13">
            <v>0.25</v>
          </cell>
          <cell r="P13">
            <v>95625</v>
          </cell>
          <cell r="Q13">
            <v>0.75</v>
          </cell>
          <cell r="R13">
            <v>0</v>
          </cell>
          <cell r="S13">
            <v>0</v>
          </cell>
          <cell r="T13">
            <v>0</v>
          </cell>
          <cell r="U13">
            <v>0</v>
          </cell>
          <cell r="V13">
            <v>-127500</v>
          </cell>
          <cell r="W13">
            <v>170000</v>
          </cell>
          <cell r="X13" t="str">
            <v>ALLER</v>
          </cell>
          <cell r="Y13" t="str">
            <v>P. ASTURIAS</v>
          </cell>
          <cell r="Z13" t="str">
            <v>ADENDA FIRMADA</v>
          </cell>
          <cell r="AA13">
            <v>170000</v>
          </cell>
          <cell r="AB13">
            <v>127500</v>
          </cell>
          <cell r="AC13">
            <v>42500</v>
          </cell>
          <cell r="AD13">
            <v>45198</v>
          </cell>
          <cell r="AE13">
            <v>0</v>
          </cell>
          <cell r="AF13">
            <v>0</v>
          </cell>
          <cell r="AG13">
            <v>0</v>
          </cell>
          <cell r="AH13">
            <v>0</v>
          </cell>
          <cell r="AI13">
            <v>31875</v>
          </cell>
          <cell r="AJ13">
            <v>0</v>
          </cell>
          <cell r="AK13">
            <v>0.25</v>
          </cell>
          <cell r="AL13">
            <v>95625</v>
          </cell>
          <cell r="AM13">
            <v>0</v>
          </cell>
          <cell r="AN13">
            <v>0.75</v>
          </cell>
          <cell r="AO13">
            <v>0</v>
          </cell>
          <cell r="AP13">
            <v>0</v>
          </cell>
          <cell r="AQ13">
            <v>0</v>
          </cell>
          <cell r="AR13">
            <v>0</v>
          </cell>
          <cell r="AS13">
            <v>31875</v>
          </cell>
          <cell r="AT13">
            <v>95625</v>
          </cell>
          <cell r="AU13">
            <v>0</v>
          </cell>
          <cell r="AV13">
            <v>45412</v>
          </cell>
          <cell r="AW13">
            <v>0</v>
          </cell>
          <cell r="AX13">
            <v>0</v>
          </cell>
          <cell r="AY13">
            <v>0</v>
          </cell>
          <cell r="AZ13">
            <v>0</v>
          </cell>
          <cell r="BA13">
            <v>31875</v>
          </cell>
          <cell r="BB13">
            <v>0</v>
          </cell>
          <cell r="BC13">
            <v>95625</v>
          </cell>
          <cell r="BD13">
            <v>0</v>
          </cell>
          <cell r="BE13">
            <v>0</v>
          </cell>
          <cell r="BF13">
            <v>0</v>
          </cell>
          <cell r="BG13" t="str">
            <v>SI</v>
          </cell>
        </row>
        <row r="14">
          <cell r="B14" t="str">
            <v>AST-2020-0030</v>
          </cell>
          <cell r="C14">
            <v>107218.99</v>
          </cell>
          <cell r="D14" t="str">
            <v>Restauración de suelos contaminados Talleres del Conde (Langreo)</v>
          </cell>
          <cell r="E14">
            <v>44188</v>
          </cell>
          <cell r="F14" t="str">
            <v>Adm. Auton., medio  ambiente y cambio  climático</v>
          </cell>
          <cell r="G14">
            <v>162000</v>
          </cell>
          <cell r="H14">
            <v>121500</v>
          </cell>
          <cell r="I14">
            <v>40500</v>
          </cell>
          <cell r="J14">
            <v>162000</v>
          </cell>
          <cell r="K14">
            <v>0</v>
          </cell>
          <cell r="L14">
            <v>0</v>
          </cell>
          <cell r="M14">
            <v>0</v>
          </cell>
          <cell r="N14">
            <v>91125</v>
          </cell>
          <cell r="O14">
            <v>0.75</v>
          </cell>
          <cell r="P14">
            <v>30375</v>
          </cell>
          <cell r="Q14">
            <v>0.25</v>
          </cell>
          <cell r="R14">
            <v>0</v>
          </cell>
          <cell r="S14">
            <v>0</v>
          </cell>
          <cell r="T14">
            <v>0</v>
          </cell>
          <cell r="U14">
            <v>0</v>
          </cell>
          <cell r="V14">
            <v>-121500</v>
          </cell>
          <cell r="W14">
            <v>162000</v>
          </cell>
          <cell r="X14" t="str">
            <v>LANGREO</v>
          </cell>
          <cell r="Y14" t="str">
            <v>P. ASTURIAS</v>
          </cell>
          <cell r="Z14" t="str">
            <v>NO MOD PRESUPUESTARIA</v>
          </cell>
          <cell r="AA14">
            <v>162000</v>
          </cell>
          <cell r="AB14">
            <v>121500</v>
          </cell>
          <cell r="AC14">
            <v>40500</v>
          </cell>
          <cell r="AD14" t="str">
            <v/>
          </cell>
          <cell r="AE14" t="str">
            <v/>
          </cell>
          <cell r="AF14" t="e">
            <v>#VALUE!</v>
          </cell>
          <cell r="AG14" t="str">
            <v/>
          </cell>
          <cell r="AH14" t="e">
            <v>#VALUE!</v>
          </cell>
          <cell r="AI14" t="str">
            <v/>
          </cell>
          <cell r="AJ14" t="str">
            <v/>
          </cell>
          <cell r="AK14" t="e">
            <v>#VALUE!</v>
          </cell>
          <cell r="AL14" t="str">
            <v/>
          </cell>
          <cell r="AM14" t="str">
            <v/>
          </cell>
          <cell r="AN14" t="e">
            <v>#VALUE!</v>
          </cell>
          <cell r="AO14" t="str">
            <v/>
          </cell>
          <cell r="AP14" t="str">
            <v/>
          </cell>
          <cell r="AQ14">
            <v>91125</v>
          </cell>
          <cell r="AR14">
            <v>30375</v>
          </cell>
          <cell r="AS14">
            <v>0</v>
          </cell>
          <cell r="AT14">
            <v>0</v>
          </cell>
          <cell r="AU14">
            <v>0</v>
          </cell>
          <cell r="AV14">
            <v>44834</v>
          </cell>
          <cell r="AW14">
            <v>0</v>
          </cell>
          <cell r="AX14">
            <v>0</v>
          </cell>
          <cell r="AY14">
            <v>0</v>
          </cell>
          <cell r="AZ14">
            <v>0</v>
          </cell>
          <cell r="BA14">
            <v>107218.99</v>
          </cell>
          <cell r="BB14">
            <v>0</v>
          </cell>
          <cell r="BC14">
            <v>0</v>
          </cell>
          <cell r="BD14">
            <v>0</v>
          </cell>
          <cell r="BE14">
            <v>0</v>
          </cell>
          <cell r="BF14">
            <v>0</v>
          </cell>
          <cell r="BG14" t="str">
            <v>SI</v>
          </cell>
        </row>
        <row r="15">
          <cell r="B15" t="str">
            <v>AST-2020-0032</v>
          </cell>
          <cell r="C15">
            <v>23449.87</v>
          </cell>
          <cell r="D15" t="str">
            <v>Saneamiento y pavimentación de San Julián (Bimenes)</v>
          </cell>
          <cell r="E15">
            <v>44188</v>
          </cell>
          <cell r="F15" t="str">
            <v>Adm. Auton., medio  ambiente y cambio  climático</v>
          </cell>
          <cell r="G15">
            <v>40000</v>
          </cell>
          <cell r="H15">
            <v>30000</v>
          </cell>
          <cell r="I15">
            <v>10000</v>
          </cell>
          <cell r="J15">
            <v>40000</v>
          </cell>
          <cell r="K15">
            <v>0</v>
          </cell>
          <cell r="L15">
            <v>0</v>
          </cell>
          <cell r="M15">
            <v>0</v>
          </cell>
          <cell r="N15">
            <v>30000</v>
          </cell>
          <cell r="O15">
            <v>1</v>
          </cell>
          <cell r="P15">
            <v>0</v>
          </cell>
          <cell r="Q15">
            <v>0</v>
          </cell>
          <cell r="R15">
            <v>0</v>
          </cell>
          <cell r="S15">
            <v>0</v>
          </cell>
          <cell r="T15">
            <v>0</v>
          </cell>
          <cell r="U15">
            <v>0</v>
          </cell>
          <cell r="V15">
            <v>-30000</v>
          </cell>
          <cell r="W15">
            <v>40000</v>
          </cell>
          <cell r="X15" t="str">
            <v>BIMENES</v>
          </cell>
          <cell r="Y15" t="str">
            <v>P. ASTURIAS</v>
          </cell>
          <cell r="Z15" t="str">
            <v>NO MOD PRESUPUESTARIA</v>
          </cell>
          <cell r="AA15">
            <v>40000</v>
          </cell>
          <cell r="AB15">
            <v>30000</v>
          </cell>
          <cell r="AC15">
            <v>10000</v>
          </cell>
          <cell r="AD15" t="str">
            <v/>
          </cell>
          <cell r="AE15" t="str">
            <v/>
          </cell>
          <cell r="AF15" t="e">
            <v>#VALUE!</v>
          </cell>
          <cell r="AG15" t="str">
            <v/>
          </cell>
          <cell r="AH15" t="e">
            <v>#VALUE!</v>
          </cell>
          <cell r="AI15" t="str">
            <v/>
          </cell>
          <cell r="AJ15" t="str">
            <v/>
          </cell>
          <cell r="AK15" t="e">
            <v>#VALUE!</v>
          </cell>
          <cell r="AL15" t="str">
            <v/>
          </cell>
          <cell r="AM15" t="str">
            <v/>
          </cell>
          <cell r="AN15" t="e">
            <v>#VALUE!</v>
          </cell>
          <cell r="AO15" t="str">
            <v/>
          </cell>
          <cell r="AP15" t="str">
            <v/>
          </cell>
          <cell r="AQ15">
            <v>30000</v>
          </cell>
          <cell r="AR15">
            <v>0</v>
          </cell>
          <cell r="AS15">
            <v>0</v>
          </cell>
          <cell r="AT15">
            <v>0</v>
          </cell>
          <cell r="AU15">
            <v>0</v>
          </cell>
          <cell r="AV15">
            <v>44469</v>
          </cell>
          <cell r="AW15">
            <v>23449.87</v>
          </cell>
          <cell r="AX15">
            <v>0.78166233333333335</v>
          </cell>
          <cell r="AY15">
            <v>0</v>
          </cell>
          <cell r="AZ15">
            <v>0</v>
          </cell>
          <cell r="BA15">
            <v>0</v>
          </cell>
          <cell r="BB15">
            <v>0</v>
          </cell>
          <cell r="BC15">
            <v>0</v>
          </cell>
          <cell r="BD15">
            <v>0</v>
          </cell>
          <cell r="BE15">
            <v>0</v>
          </cell>
          <cell r="BF15">
            <v>0</v>
          </cell>
          <cell r="BG15" t="str">
            <v>SI</v>
          </cell>
        </row>
        <row r="16">
          <cell r="B16" t="str">
            <v>AST-2020-0033</v>
          </cell>
          <cell r="C16">
            <v>5243132.41</v>
          </cell>
          <cell r="D16" t="str">
            <v>Mejora de la eficiencia energética del grupo de 258 viviendas del Principado de Asturias en Lada Langreo</v>
          </cell>
          <cell r="E16">
            <v>44188</v>
          </cell>
          <cell r="F16" t="str">
            <v>Derechos sociales y bienestar</v>
          </cell>
          <cell r="G16">
            <v>7000000</v>
          </cell>
          <cell r="H16">
            <v>5250000</v>
          </cell>
          <cell r="I16">
            <v>1750000</v>
          </cell>
          <cell r="J16">
            <v>7000000</v>
          </cell>
          <cell r="K16">
            <v>0</v>
          </cell>
          <cell r="L16">
            <v>2625000</v>
          </cell>
          <cell r="M16">
            <v>0.5</v>
          </cell>
          <cell r="N16">
            <v>2100000</v>
          </cell>
          <cell r="O16">
            <v>0.4</v>
          </cell>
          <cell r="P16">
            <v>525000</v>
          </cell>
          <cell r="Q16">
            <v>0.1</v>
          </cell>
          <cell r="R16">
            <v>0</v>
          </cell>
          <cell r="S16">
            <v>0</v>
          </cell>
          <cell r="T16">
            <v>0</v>
          </cell>
          <cell r="U16">
            <v>0</v>
          </cell>
          <cell r="V16">
            <v>-5250000</v>
          </cell>
          <cell r="W16">
            <v>7000000</v>
          </cell>
          <cell r="X16" t="str">
            <v>LANGREO</v>
          </cell>
          <cell r="Y16" t="str">
            <v>P. ASTURIAS</v>
          </cell>
          <cell r="Z16" t="str">
            <v>NO MOD PRESUPUESTARIA</v>
          </cell>
          <cell r="AA16">
            <v>7000000</v>
          </cell>
          <cell r="AB16">
            <v>5250000</v>
          </cell>
          <cell r="AC16">
            <v>1750000</v>
          </cell>
          <cell r="AD16" t="str">
            <v/>
          </cell>
          <cell r="AE16" t="str">
            <v/>
          </cell>
          <cell r="AF16" t="e">
            <v>#VALUE!</v>
          </cell>
          <cell r="AG16" t="str">
            <v/>
          </cell>
          <cell r="AH16" t="e">
            <v>#VALUE!</v>
          </cell>
          <cell r="AI16" t="str">
            <v/>
          </cell>
          <cell r="AJ16" t="str">
            <v/>
          </cell>
          <cell r="AK16" t="e">
            <v>#VALUE!</v>
          </cell>
          <cell r="AL16" t="str">
            <v/>
          </cell>
          <cell r="AM16" t="str">
            <v/>
          </cell>
          <cell r="AN16" t="e">
            <v>#VALUE!</v>
          </cell>
          <cell r="AO16" t="str">
            <v/>
          </cell>
          <cell r="AP16" t="str">
            <v/>
          </cell>
          <cell r="AQ16">
            <v>4725000</v>
          </cell>
          <cell r="AR16">
            <v>525000</v>
          </cell>
          <cell r="AS16">
            <v>0</v>
          </cell>
          <cell r="AT16">
            <v>0</v>
          </cell>
          <cell r="AU16">
            <v>0</v>
          </cell>
          <cell r="AV16">
            <v>44834</v>
          </cell>
          <cell r="AW16">
            <v>4725000</v>
          </cell>
          <cell r="AX16">
            <v>0.9</v>
          </cell>
          <cell r="AY16">
            <v>518132.41</v>
          </cell>
          <cell r="AZ16">
            <v>9.8691887619047611E-2</v>
          </cell>
          <cell r="BA16">
            <v>0</v>
          </cell>
          <cell r="BB16">
            <v>0</v>
          </cell>
          <cell r="BC16">
            <v>0</v>
          </cell>
          <cell r="BD16">
            <v>0</v>
          </cell>
          <cell r="BE16">
            <v>0</v>
          </cell>
          <cell r="BF16">
            <v>0</v>
          </cell>
          <cell r="BG16" t="str">
            <v>SI</v>
          </cell>
        </row>
        <row r="17">
          <cell r="B17" t="str">
            <v>AST-2020-0034</v>
          </cell>
          <cell r="C17">
            <v>1101714.69</v>
          </cell>
          <cell r="D17" t="str">
            <v>Instalación de sistema de telegestión eficiencia energética en equipos led. Ampliación y renovación para eficiencia energética de alumbrado público en diversas zonas del concejo (Ribera de Arriba)</v>
          </cell>
          <cell r="E17">
            <v>44188</v>
          </cell>
          <cell r="F17" t="str">
            <v>Presidencia</v>
          </cell>
          <cell r="G17">
            <v>1500000</v>
          </cell>
          <cell r="H17">
            <v>1125000</v>
          </cell>
          <cell r="I17">
            <v>375000</v>
          </cell>
          <cell r="J17">
            <v>1500000</v>
          </cell>
          <cell r="K17">
            <v>0</v>
          </cell>
          <cell r="L17">
            <v>0</v>
          </cell>
          <cell r="M17">
            <v>0</v>
          </cell>
          <cell r="N17">
            <v>562500</v>
          </cell>
          <cell r="O17">
            <v>0.5</v>
          </cell>
          <cell r="P17">
            <v>562500</v>
          </cell>
          <cell r="Q17">
            <v>0.5</v>
          </cell>
          <cell r="R17">
            <v>0</v>
          </cell>
          <cell r="S17">
            <v>0</v>
          </cell>
          <cell r="T17">
            <v>0</v>
          </cell>
          <cell r="U17">
            <v>0</v>
          </cell>
          <cell r="V17">
            <v>-1125000</v>
          </cell>
          <cell r="W17">
            <v>1500000</v>
          </cell>
          <cell r="X17" t="str">
            <v>RIBERA DE ARRIBA</v>
          </cell>
          <cell r="Y17" t="str">
            <v>P. ASTURIAS</v>
          </cell>
          <cell r="Z17" t="str">
            <v>ADENDA FIRMADA</v>
          </cell>
          <cell r="AA17">
            <v>1500000</v>
          </cell>
          <cell r="AB17">
            <v>1125000</v>
          </cell>
          <cell r="AC17">
            <v>375000</v>
          </cell>
          <cell r="AD17">
            <v>44834</v>
          </cell>
          <cell r="AE17">
            <v>0</v>
          </cell>
          <cell r="AF17">
            <v>0</v>
          </cell>
          <cell r="AG17">
            <v>562500</v>
          </cell>
          <cell r="AH17">
            <v>0.5</v>
          </cell>
          <cell r="AI17">
            <v>562500</v>
          </cell>
          <cell r="AJ17">
            <v>0</v>
          </cell>
          <cell r="AK17">
            <v>0.5</v>
          </cell>
          <cell r="AL17">
            <v>0</v>
          </cell>
          <cell r="AM17">
            <v>0</v>
          </cell>
          <cell r="AN17">
            <v>0</v>
          </cell>
          <cell r="AO17">
            <v>0</v>
          </cell>
          <cell r="AP17">
            <v>0</v>
          </cell>
          <cell r="AQ17">
            <v>0</v>
          </cell>
          <cell r="AR17">
            <v>562500</v>
          </cell>
          <cell r="AS17">
            <v>562500</v>
          </cell>
          <cell r="AT17">
            <v>0</v>
          </cell>
          <cell r="AU17">
            <v>0</v>
          </cell>
          <cell r="AV17">
            <v>45199</v>
          </cell>
          <cell r="AW17">
            <v>0</v>
          </cell>
          <cell r="AX17">
            <v>0</v>
          </cell>
          <cell r="AY17">
            <v>562500</v>
          </cell>
          <cell r="AZ17">
            <v>0.5</v>
          </cell>
          <cell r="BA17">
            <v>539214.68999999994</v>
          </cell>
          <cell r="BB17">
            <v>0</v>
          </cell>
          <cell r="BC17">
            <v>0</v>
          </cell>
          <cell r="BD17">
            <v>0</v>
          </cell>
          <cell r="BE17">
            <v>0</v>
          </cell>
          <cell r="BF17">
            <v>0</v>
          </cell>
          <cell r="BG17" t="str">
            <v>SI</v>
          </cell>
        </row>
        <row r="18">
          <cell r="B18" t="str">
            <v>AST-2020-0036</v>
          </cell>
          <cell r="C18">
            <v>645030.39</v>
          </cell>
          <cell r="D18" t="str">
            <v>Acondicionamiento de la carretera de acceso de Hedrada a Entrago ( Acceso Polígono Industrial)</v>
          </cell>
          <cell r="E18">
            <v>44188</v>
          </cell>
          <cell r="F18" t="str">
            <v>Presidencia</v>
          </cell>
          <cell r="G18">
            <v>930000</v>
          </cell>
          <cell r="H18">
            <v>697500</v>
          </cell>
          <cell r="I18">
            <v>232500</v>
          </cell>
          <cell r="J18">
            <v>930000</v>
          </cell>
          <cell r="K18">
            <v>0</v>
          </cell>
          <cell r="L18">
            <v>0</v>
          </cell>
          <cell r="M18">
            <v>0</v>
          </cell>
          <cell r="N18">
            <v>348750</v>
          </cell>
          <cell r="O18">
            <v>0.5</v>
          </cell>
          <cell r="P18">
            <v>348750</v>
          </cell>
          <cell r="Q18">
            <v>0.5</v>
          </cell>
          <cell r="R18">
            <v>0</v>
          </cell>
          <cell r="S18">
            <v>0</v>
          </cell>
          <cell r="T18">
            <v>0</v>
          </cell>
          <cell r="U18">
            <v>0</v>
          </cell>
          <cell r="V18">
            <v>-697500</v>
          </cell>
          <cell r="W18">
            <v>930000</v>
          </cell>
          <cell r="X18" t="str">
            <v>TEVERGA</v>
          </cell>
          <cell r="Y18" t="str">
            <v>P. ASTURIAS</v>
          </cell>
          <cell r="Z18" t="str">
            <v>NO MOD PRESUPUESTARIA</v>
          </cell>
          <cell r="AA18">
            <v>930000</v>
          </cell>
          <cell r="AB18">
            <v>697500</v>
          </cell>
          <cell r="AC18">
            <v>232500</v>
          </cell>
          <cell r="AD18" t="str">
            <v/>
          </cell>
          <cell r="AE18" t="str">
            <v/>
          </cell>
          <cell r="AF18" t="e">
            <v>#VALUE!</v>
          </cell>
          <cell r="AG18" t="str">
            <v/>
          </cell>
          <cell r="AH18" t="e">
            <v>#VALUE!</v>
          </cell>
          <cell r="AI18" t="str">
            <v/>
          </cell>
          <cell r="AJ18" t="str">
            <v/>
          </cell>
          <cell r="AK18" t="e">
            <v>#VALUE!</v>
          </cell>
          <cell r="AL18" t="str">
            <v/>
          </cell>
          <cell r="AM18" t="str">
            <v/>
          </cell>
          <cell r="AN18" t="e">
            <v>#VALUE!</v>
          </cell>
          <cell r="AO18" t="str">
            <v/>
          </cell>
          <cell r="AP18" t="str">
            <v/>
          </cell>
          <cell r="AQ18">
            <v>348750</v>
          </cell>
          <cell r="AR18">
            <v>348750</v>
          </cell>
          <cell r="AS18">
            <v>0</v>
          </cell>
          <cell r="AT18">
            <v>0</v>
          </cell>
          <cell r="AU18">
            <v>0</v>
          </cell>
          <cell r="AV18">
            <v>44834</v>
          </cell>
          <cell r="AW18">
            <v>0</v>
          </cell>
          <cell r="AX18">
            <v>0</v>
          </cell>
          <cell r="AY18">
            <v>0</v>
          </cell>
          <cell r="AZ18">
            <v>0</v>
          </cell>
          <cell r="BA18">
            <v>645030.39</v>
          </cell>
          <cell r="BB18">
            <v>0</v>
          </cell>
          <cell r="BC18">
            <v>0</v>
          </cell>
          <cell r="BD18">
            <v>0</v>
          </cell>
          <cell r="BE18">
            <v>0</v>
          </cell>
          <cell r="BF18">
            <v>0</v>
          </cell>
          <cell r="BG18" t="str">
            <v>SI</v>
          </cell>
        </row>
        <row r="19">
          <cell r="B19" t="str">
            <v>AST-2020-0037</v>
          </cell>
          <cell r="C19">
            <v>333750</v>
          </cell>
          <cell r="D19" t="str">
            <v xml:space="preserve">Mejora del acceso a los prados de La Mortera y La Siete degradados por la actividad minera </v>
          </cell>
          <cell r="E19">
            <v>44188</v>
          </cell>
          <cell r="F19" t="str">
            <v>Medio rural y cohesión territorial</v>
          </cell>
          <cell r="G19">
            <v>445000</v>
          </cell>
          <cell r="H19">
            <v>333750</v>
          </cell>
          <cell r="I19">
            <v>111250</v>
          </cell>
          <cell r="J19">
            <v>445000</v>
          </cell>
          <cell r="K19">
            <v>0</v>
          </cell>
          <cell r="L19">
            <v>0</v>
          </cell>
          <cell r="M19">
            <v>0</v>
          </cell>
          <cell r="N19">
            <v>166875</v>
          </cell>
          <cell r="O19">
            <v>0.5</v>
          </cell>
          <cell r="P19">
            <v>166875</v>
          </cell>
          <cell r="Q19">
            <v>0.5</v>
          </cell>
          <cell r="R19">
            <v>0</v>
          </cell>
          <cell r="S19">
            <v>0</v>
          </cell>
          <cell r="T19">
            <v>0</v>
          </cell>
          <cell r="U19">
            <v>0</v>
          </cell>
          <cell r="V19">
            <v>-333750</v>
          </cell>
          <cell r="W19">
            <v>445000</v>
          </cell>
          <cell r="X19" t="str">
            <v>QUIRÓS</v>
          </cell>
          <cell r="Y19" t="str">
            <v>P. ASTURIAS</v>
          </cell>
          <cell r="Z19" t="str">
            <v>ADENDA FIRMADA</v>
          </cell>
          <cell r="AA19">
            <v>445000</v>
          </cell>
          <cell r="AB19">
            <v>333750</v>
          </cell>
          <cell r="AC19">
            <v>111250</v>
          </cell>
          <cell r="AD19">
            <v>44833</v>
          </cell>
          <cell r="AE19">
            <v>0</v>
          </cell>
          <cell r="AF19">
            <v>0</v>
          </cell>
          <cell r="AG19">
            <v>166875</v>
          </cell>
          <cell r="AH19">
            <v>0.5</v>
          </cell>
          <cell r="AI19">
            <v>166875</v>
          </cell>
          <cell r="AJ19">
            <v>0</v>
          </cell>
          <cell r="AK19">
            <v>0.5</v>
          </cell>
          <cell r="AL19">
            <v>0</v>
          </cell>
          <cell r="AM19">
            <v>0</v>
          </cell>
          <cell r="AN19">
            <v>0</v>
          </cell>
          <cell r="AO19">
            <v>0</v>
          </cell>
          <cell r="AP19">
            <v>0</v>
          </cell>
          <cell r="AQ19">
            <v>0</v>
          </cell>
          <cell r="AR19">
            <v>166875</v>
          </cell>
          <cell r="AS19">
            <v>166875</v>
          </cell>
          <cell r="AT19">
            <v>0</v>
          </cell>
          <cell r="AU19">
            <v>0</v>
          </cell>
          <cell r="AV19">
            <v>45199</v>
          </cell>
          <cell r="AW19">
            <v>0</v>
          </cell>
          <cell r="AX19">
            <v>0</v>
          </cell>
          <cell r="AY19">
            <v>0</v>
          </cell>
          <cell r="AZ19">
            <v>0</v>
          </cell>
          <cell r="BA19">
            <v>0</v>
          </cell>
          <cell r="BB19">
            <v>0</v>
          </cell>
          <cell r="BC19">
            <v>333750</v>
          </cell>
          <cell r="BD19">
            <v>0</v>
          </cell>
          <cell r="BE19">
            <v>0</v>
          </cell>
          <cell r="BF19">
            <v>0</v>
          </cell>
          <cell r="BG19" t="str">
            <v>SI</v>
          </cell>
        </row>
        <row r="20">
          <cell r="B20" t="str">
            <v>AST-2020-0038</v>
          </cell>
          <cell r="C20">
            <v>224999.96</v>
          </cell>
          <cell r="D20" t="str">
            <v>Mejora eficiencia energética edificios públicos-Morcín</v>
          </cell>
          <cell r="E20">
            <v>44188</v>
          </cell>
          <cell r="F20" t="str">
            <v>Presidencia</v>
          </cell>
          <cell r="G20">
            <v>300000</v>
          </cell>
          <cell r="H20">
            <v>225000</v>
          </cell>
          <cell r="I20">
            <v>75000</v>
          </cell>
          <cell r="J20">
            <v>300000</v>
          </cell>
          <cell r="K20">
            <v>0</v>
          </cell>
          <cell r="L20">
            <v>0</v>
          </cell>
          <cell r="M20">
            <v>0</v>
          </cell>
          <cell r="N20">
            <v>168750</v>
          </cell>
          <cell r="O20">
            <v>0.75</v>
          </cell>
          <cell r="P20">
            <v>56250</v>
          </cell>
          <cell r="Q20">
            <v>0.25</v>
          </cell>
          <cell r="R20">
            <v>0</v>
          </cell>
          <cell r="S20">
            <v>0</v>
          </cell>
          <cell r="T20">
            <v>0</v>
          </cell>
          <cell r="U20">
            <v>0</v>
          </cell>
          <cell r="V20">
            <v>-225000</v>
          </cell>
          <cell r="W20">
            <v>300000</v>
          </cell>
          <cell r="X20" t="str">
            <v>MORCÍN</v>
          </cell>
          <cell r="Y20" t="str">
            <v>P. ASTURIAS</v>
          </cell>
          <cell r="Z20" t="str">
            <v>NO MOD PRESUPUESTARIA</v>
          </cell>
          <cell r="AA20">
            <v>300000</v>
          </cell>
          <cell r="AB20">
            <v>225000</v>
          </cell>
          <cell r="AC20">
            <v>75000</v>
          </cell>
          <cell r="AD20">
            <v>44358</v>
          </cell>
          <cell r="AE20">
            <v>168750</v>
          </cell>
          <cell r="AF20">
            <v>0.75</v>
          </cell>
          <cell r="AG20">
            <v>56250</v>
          </cell>
          <cell r="AH20">
            <v>0.25</v>
          </cell>
          <cell r="AI20">
            <v>0</v>
          </cell>
          <cell r="AJ20">
            <v>0</v>
          </cell>
          <cell r="AK20">
            <v>0</v>
          </cell>
          <cell r="AL20">
            <v>0</v>
          </cell>
          <cell r="AM20">
            <v>0</v>
          </cell>
          <cell r="AN20">
            <v>0</v>
          </cell>
          <cell r="AO20">
            <v>0</v>
          </cell>
          <cell r="AP20">
            <v>0</v>
          </cell>
          <cell r="AQ20">
            <v>168750</v>
          </cell>
          <cell r="AR20">
            <v>56250</v>
          </cell>
          <cell r="AS20">
            <v>0</v>
          </cell>
          <cell r="AT20">
            <v>0</v>
          </cell>
          <cell r="AU20">
            <v>0</v>
          </cell>
          <cell r="AV20">
            <v>44834</v>
          </cell>
          <cell r="AW20">
            <v>0</v>
          </cell>
          <cell r="AX20">
            <v>0</v>
          </cell>
          <cell r="AY20">
            <v>224999.96</v>
          </cell>
          <cell r="AZ20">
            <v>0.99999982222222217</v>
          </cell>
          <cell r="BA20">
            <v>0</v>
          </cell>
          <cell r="BB20">
            <v>0</v>
          </cell>
          <cell r="BC20">
            <v>0</v>
          </cell>
          <cell r="BD20">
            <v>0</v>
          </cell>
          <cell r="BE20">
            <v>0</v>
          </cell>
          <cell r="BF20">
            <v>0</v>
          </cell>
          <cell r="BG20" t="str">
            <v>SI</v>
          </cell>
        </row>
        <row r="21">
          <cell r="B21" t="str">
            <v>AST-2020-0042</v>
          </cell>
          <cell r="C21">
            <v>29135.33</v>
          </cell>
          <cell r="D21" t="str">
            <v>Plan de eficiencia y mejora energética de los polígonos industriales de Obanca y Tebongo</v>
          </cell>
          <cell r="E21">
            <v>44188</v>
          </cell>
          <cell r="F21" t="str">
            <v>Presidencia</v>
          </cell>
          <cell r="G21">
            <v>55000</v>
          </cell>
          <cell r="H21">
            <v>41250</v>
          </cell>
          <cell r="I21">
            <v>13750</v>
          </cell>
          <cell r="J21">
            <v>55000</v>
          </cell>
          <cell r="K21">
            <v>0</v>
          </cell>
          <cell r="L21">
            <v>0</v>
          </cell>
          <cell r="M21">
            <v>0</v>
          </cell>
          <cell r="N21">
            <v>20625</v>
          </cell>
          <cell r="O21">
            <v>0.5</v>
          </cell>
          <cell r="P21">
            <v>20625</v>
          </cell>
          <cell r="Q21">
            <v>0.5</v>
          </cell>
          <cell r="R21">
            <v>0</v>
          </cell>
          <cell r="S21">
            <v>0</v>
          </cell>
          <cell r="T21">
            <v>0</v>
          </cell>
          <cell r="U21">
            <v>0</v>
          </cell>
          <cell r="V21">
            <v>-41250</v>
          </cell>
          <cell r="W21">
            <v>55000</v>
          </cell>
          <cell r="X21" t="str">
            <v>CANGAS DE NARCEA</v>
          </cell>
          <cell r="Y21" t="str">
            <v>P. ASTURIAS</v>
          </cell>
          <cell r="Z21" t="str">
            <v>NO MOD PRESUPUESTARIA</v>
          </cell>
          <cell r="AA21">
            <v>55000</v>
          </cell>
          <cell r="AB21">
            <v>41250</v>
          </cell>
          <cell r="AC21">
            <v>13750</v>
          </cell>
          <cell r="AD21">
            <v>44358</v>
          </cell>
          <cell r="AE21">
            <v>20625</v>
          </cell>
          <cell r="AF21">
            <v>0.5</v>
          </cell>
          <cell r="AG21">
            <v>20625</v>
          </cell>
          <cell r="AH21">
            <v>0.5</v>
          </cell>
          <cell r="AI21">
            <v>0</v>
          </cell>
          <cell r="AJ21">
            <v>0</v>
          </cell>
          <cell r="AK21">
            <v>0</v>
          </cell>
          <cell r="AL21">
            <v>0</v>
          </cell>
          <cell r="AM21">
            <v>0</v>
          </cell>
          <cell r="AN21">
            <v>0</v>
          </cell>
          <cell r="AO21">
            <v>0</v>
          </cell>
          <cell r="AP21">
            <v>0</v>
          </cell>
          <cell r="AQ21">
            <v>20625</v>
          </cell>
          <cell r="AR21">
            <v>20625</v>
          </cell>
          <cell r="AS21">
            <v>0</v>
          </cell>
          <cell r="AT21">
            <v>0</v>
          </cell>
          <cell r="AU21">
            <v>0</v>
          </cell>
          <cell r="AV21">
            <v>44834</v>
          </cell>
          <cell r="AW21">
            <v>0</v>
          </cell>
          <cell r="AX21">
            <v>0</v>
          </cell>
          <cell r="AY21">
            <v>0</v>
          </cell>
          <cell r="AZ21">
            <v>0</v>
          </cell>
          <cell r="BA21">
            <v>29135.33</v>
          </cell>
          <cell r="BB21">
            <v>0</v>
          </cell>
          <cell r="BC21">
            <v>0</v>
          </cell>
          <cell r="BD21">
            <v>0</v>
          </cell>
          <cell r="BE21">
            <v>0</v>
          </cell>
          <cell r="BF21">
            <v>0</v>
          </cell>
          <cell r="BG21" t="str">
            <v>SI</v>
          </cell>
        </row>
        <row r="22">
          <cell r="B22" t="str">
            <v>AST-2020-0043</v>
          </cell>
          <cell r="C22">
            <v>13379.95</v>
          </cell>
          <cell r="D22" t="str">
            <v>Despliegue de fibra óptica en el polígono industrial de Tebongo</v>
          </cell>
          <cell r="E22">
            <v>44188</v>
          </cell>
          <cell r="F22" t="str">
            <v>Ciencia, innovación y universidad</v>
          </cell>
          <cell r="G22">
            <v>21000</v>
          </cell>
          <cell r="H22">
            <v>15750</v>
          </cell>
          <cell r="I22">
            <v>5250</v>
          </cell>
          <cell r="J22">
            <v>21000</v>
          </cell>
          <cell r="K22">
            <v>0</v>
          </cell>
          <cell r="L22">
            <v>0</v>
          </cell>
          <cell r="M22">
            <v>0</v>
          </cell>
          <cell r="N22">
            <v>7875</v>
          </cell>
          <cell r="O22">
            <v>0.5</v>
          </cell>
          <cell r="P22">
            <v>7875</v>
          </cell>
          <cell r="Q22">
            <v>0.5</v>
          </cell>
          <cell r="R22">
            <v>0</v>
          </cell>
          <cell r="S22">
            <v>0</v>
          </cell>
          <cell r="T22">
            <v>0</v>
          </cell>
          <cell r="U22">
            <v>0</v>
          </cell>
          <cell r="V22">
            <v>-15750</v>
          </cell>
          <cell r="W22">
            <v>21000</v>
          </cell>
          <cell r="X22" t="str">
            <v>CANGAS DE NARCEA</v>
          </cell>
          <cell r="Y22" t="str">
            <v>P. ASTURIAS</v>
          </cell>
          <cell r="Z22" t="str">
            <v>NO MOD PRESUPUESTARIA</v>
          </cell>
          <cell r="AA22">
            <v>21000</v>
          </cell>
          <cell r="AB22">
            <v>15750</v>
          </cell>
          <cell r="AC22">
            <v>5250</v>
          </cell>
          <cell r="AD22" t="str">
            <v/>
          </cell>
          <cell r="AE22" t="str">
            <v/>
          </cell>
          <cell r="AF22" t="e">
            <v>#VALUE!</v>
          </cell>
          <cell r="AG22" t="str">
            <v/>
          </cell>
          <cell r="AH22" t="e">
            <v>#VALUE!</v>
          </cell>
          <cell r="AI22" t="str">
            <v/>
          </cell>
          <cell r="AJ22" t="str">
            <v/>
          </cell>
          <cell r="AK22" t="e">
            <v>#VALUE!</v>
          </cell>
          <cell r="AL22" t="str">
            <v/>
          </cell>
          <cell r="AM22" t="str">
            <v/>
          </cell>
          <cell r="AN22" t="e">
            <v>#VALUE!</v>
          </cell>
          <cell r="AO22" t="str">
            <v/>
          </cell>
          <cell r="AP22" t="str">
            <v/>
          </cell>
          <cell r="AQ22">
            <v>7875</v>
          </cell>
          <cell r="AR22">
            <v>7875</v>
          </cell>
          <cell r="AS22">
            <v>0</v>
          </cell>
          <cell r="AT22">
            <v>0</v>
          </cell>
          <cell r="AU22">
            <v>0</v>
          </cell>
          <cell r="AV22">
            <v>44834</v>
          </cell>
          <cell r="AW22">
            <v>0</v>
          </cell>
          <cell r="AX22">
            <v>0</v>
          </cell>
          <cell r="AY22">
            <v>13379.95</v>
          </cell>
          <cell r="AZ22">
            <v>0.84952063492063501</v>
          </cell>
          <cell r="BA22">
            <v>0</v>
          </cell>
          <cell r="BB22">
            <v>0</v>
          </cell>
          <cell r="BC22">
            <v>0</v>
          </cell>
          <cell r="BD22">
            <v>0</v>
          </cell>
          <cell r="BE22">
            <v>0</v>
          </cell>
          <cell r="BF22">
            <v>0</v>
          </cell>
          <cell r="BG22" t="str">
            <v>SI</v>
          </cell>
        </row>
        <row r="23">
          <cell r="B23" t="str">
            <v>AST-2020-0046</v>
          </cell>
          <cell r="C23">
            <v>1425000</v>
          </cell>
          <cell r="D23" t="str">
            <v>Recuperación de zonas degradadas del municipio de Sobrescobio para su valoracion agroforestal</v>
          </cell>
          <cell r="E23">
            <v>44188</v>
          </cell>
          <cell r="F23" t="str">
            <v>Medio rural y cohesión territorial</v>
          </cell>
          <cell r="G23">
            <v>1900000</v>
          </cell>
          <cell r="H23">
            <v>1425000</v>
          </cell>
          <cell r="I23">
            <v>475000</v>
          </cell>
          <cell r="J23">
            <v>1900000</v>
          </cell>
          <cell r="K23">
            <v>0</v>
          </cell>
          <cell r="L23">
            <v>0</v>
          </cell>
          <cell r="M23">
            <v>0</v>
          </cell>
          <cell r="N23">
            <v>356250</v>
          </cell>
          <cell r="O23">
            <v>0.25</v>
          </cell>
          <cell r="P23">
            <v>712500</v>
          </cell>
          <cell r="Q23">
            <v>0.5</v>
          </cell>
          <cell r="R23">
            <v>356250</v>
          </cell>
          <cell r="S23">
            <v>0.25</v>
          </cell>
          <cell r="T23">
            <v>0</v>
          </cell>
          <cell r="U23">
            <v>0</v>
          </cell>
          <cell r="V23">
            <v>-1425000</v>
          </cell>
          <cell r="W23">
            <v>1900000</v>
          </cell>
          <cell r="X23" t="str">
            <v>SOBRESCOBIO</v>
          </cell>
          <cell r="Y23" t="str">
            <v>P. ASTURIAS</v>
          </cell>
          <cell r="Z23" t="str">
            <v>NO MOD PRESUPUESTARIA</v>
          </cell>
          <cell r="AA23">
            <v>1900000</v>
          </cell>
          <cell r="AB23">
            <v>1425000</v>
          </cell>
          <cell r="AC23">
            <v>475000</v>
          </cell>
          <cell r="AD23">
            <v>45198</v>
          </cell>
          <cell r="AE23">
            <v>0</v>
          </cell>
          <cell r="AF23">
            <v>0</v>
          </cell>
          <cell r="AG23">
            <v>0</v>
          </cell>
          <cell r="AH23">
            <v>0</v>
          </cell>
          <cell r="AI23">
            <v>712500</v>
          </cell>
          <cell r="AJ23">
            <v>0</v>
          </cell>
          <cell r="AK23">
            <v>0.5</v>
          </cell>
          <cell r="AL23">
            <v>356250</v>
          </cell>
          <cell r="AM23">
            <v>0</v>
          </cell>
          <cell r="AN23">
            <v>0.25</v>
          </cell>
          <cell r="AO23">
            <v>0</v>
          </cell>
          <cell r="AP23">
            <v>0</v>
          </cell>
          <cell r="AQ23">
            <v>356250</v>
          </cell>
          <cell r="AR23">
            <v>712500</v>
          </cell>
          <cell r="AS23">
            <v>356250</v>
          </cell>
          <cell r="AT23">
            <v>0</v>
          </cell>
          <cell r="AU23">
            <v>0</v>
          </cell>
          <cell r="AV23">
            <v>45504</v>
          </cell>
          <cell r="AW23">
            <v>0</v>
          </cell>
          <cell r="AX23">
            <v>0</v>
          </cell>
          <cell r="AY23">
            <v>356250</v>
          </cell>
          <cell r="AZ23">
            <v>0.25</v>
          </cell>
          <cell r="BA23">
            <v>0</v>
          </cell>
          <cell r="BB23">
            <v>0</v>
          </cell>
          <cell r="BC23">
            <v>1068750</v>
          </cell>
          <cell r="BD23">
            <v>0</v>
          </cell>
          <cell r="BE23">
            <v>0</v>
          </cell>
          <cell r="BF23">
            <v>0</v>
          </cell>
          <cell r="BG23" t="str">
            <v>SI</v>
          </cell>
        </row>
        <row r="24">
          <cell r="B24" t="str">
            <v>AST-2020-0048</v>
          </cell>
          <cell r="C24">
            <v>84429.18</v>
          </cell>
          <cell r="D24" t="str">
            <v>Obras de mejora de la eficiencia energética, publicidad identitaria, accesibilidad y señalización viaria de Poligonos industriales de Baiña</v>
          </cell>
          <cell r="E24">
            <v>44188</v>
          </cell>
          <cell r="F24" t="str">
            <v>Presidencia</v>
          </cell>
          <cell r="G24">
            <v>151000</v>
          </cell>
          <cell r="H24">
            <v>113250</v>
          </cell>
          <cell r="I24">
            <v>37750</v>
          </cell>
          <cell r="J24">
            <v>151000</v>
          </cell>
          <cell r="K24">
            <v>0</v>
          </cell>
          <cell r="L24">
            <v>0</v>
          </cell>
          <cell r="M24">
            <v>0</v>
          </cell>
          <cell r="N24">
            <v>56625</v>
          </cell>
          <cell r="O24">
            <v>0.5</v>
          </cell>
          <cell r="P24">
            <v>56625</v>
          </cell>
          <cell r="Q24">
            <v>0.5</v>
          </cell>
          <cell r="R24">
            <v>0</v>
          </cell>
          <cell r="S24">
            <v>0</v>
          </cell>
          <cell r="T24">
            <v>0</v>
          </cell>
          <cell r="U24">
            <v>0</v>
          </cell>
          <cell r="V24">
            <v>-113250</v>
          </cell>
          <cell r="W24">
            <v>151000</v>
          </cell>
          <cell r="X24" t="str">
            <v>MIERES</v>
          </cell>
          <cell r="Y24" t="str">
            <v>P. ASTURIAS</v>
          </cell>
          <cell r="Z24" t="str">
            <v>ADENDA FIRMADA</v>
          </cell>
          <cell r="AA24">
            <v>151000</v>
          </cell>
          <cell r="AB24">
            <v>113250</v>
          </cell>
          <cell r="AC24">
            <v>37750</v>
          </cell>
          <cell r="AD24">
            <v>44771</v>
          </cell>
          <cell r="AE24">
            <v>0</v>
          </cell>
          <cell r="AF24">
            <v>0</v>
          </cell>
          <cell r="AG24">
            <v>56625</v>
          </cell>
          <cell r="AH24">
            <v>0.5</v>
          </cell>
          <cell r="AI24">
            <v>56625</v>
          </cell>
          <cell r="AJ24">
            <v>0</v>
          </cell>
          <cell r="AK24">
            <v>0.5</v>
          </cell>
          <cell r="AL24">
            <v>0</v>
          </cell>
          <cell r="AM24">
            <v>0</v>
          </cell>
          <cell r="AN24">
            <v>0</v>
          </cell>
          <cell r="AO24">
            <v>0</v>
          </cell>
          <cell r="AP24">
            <v>0</v>
          </cell>
          <cell r="AQ24">
            <v>0</v>
          </cell>
          <cell r="AR24">
            <v>56625</v>
          </cell>
          <cell r="AS24">
            <v>56625</v>
          </cell>
          <cell r="AT24">
            <v>0</v>
          </cell>
          <cell r="AU24">
            <v>0</v>
          </cell>
          <cell r="AV24">
            <v>45199</v>
          </cell>
          <cell r="AW24">
            <v>0</v>
          </cell>
          <cell r="AX24">
            <v>0</v>
          </cell>
          <cell r="AY24">
            <v>0</v>
          </cell>
          <cell r="AZ24">
            <v>0</v>
          </cell>
          <cell r="BA24">
            <v>84429.18</v>
          </cell>
          <cell r="BB24">
            <v>0</v>
          </cell>
          <cell r="BC24">
            <v>0</v>
          </cell>
          <cell r="BD24">
            <v>0</v>
          </cell>
          <cell r="BE24">
            <v>0</v>
          </cell>
          <cell r="BF24">
            <v>0</v>
          </cell>
          <cell r="BG24" t="str">
            <v>SI</v>
          </cell>
        </row>
        <row r="25">
          <cell r="B25" t="str">
            <v>AST-2020-0049</v>
          </cell>
          <cell r="C25">
            <v>433079.07</v>
          </cell>
          <cell r="D25" t="str">
            <v>Obras de sustitución de la red de aguas, mejora de la eficiencia energética y accesibilidad en el Polígono de la Fábrica</v>
          </cell>
          <cell r="E25">
            <v>44188</v>
          </cell>
          <cell r="F25" t="str">
            <v>Presidencia</v>
          </cell>
          <cell r="G25">
            <v>651000</v>
          </cell>
          <cell r="H25">
            <v>488250</v>
          </cell>
          <cell r="I25">
            <v>162750</v>
          </cell>
          <cell r="J25">
            <v>651000</v>
          </cell>
          <cell r="K25">
            <v>0</v>
          </cell>
          <cell r="L25">
            <v>0</v>
          </cell>
          <cell r="M25">
            <v>0</v>
          </cell>
          <cell r="N25">
            <v>244125</v>
          </cell>
          <cell r="O25">
            <v>0.5</v>
          </cell>
          <cell r="P25">
            <v>244125</v>
          </cell>
          <cell r="Q25">
            <v>0.5</v>
          </cell>
          <cell r="R25">
            <v>0</v>
          </cell>
          <cell r="S25">
            <v>0</v>
          </cell>
          <cell r="T25">
            <v>0</v>
          </cell>
          <cell r="U25">
            <v>0</v>
          </cell>
          <cell r="V25">
            <v>-488250</v>
          </cell>
          <cell r="W25">
            <v>651000</v>
          </cell>
          <cell r="X25" t="str">
            <v>MIERES</v>
          </cell>
          <cell r="Y25" t="str">
            <v>P. ASTURIAS</v>
          </cell>
          <cell r="Z25" t="str">
            <v>ADENDA FIRMADA</v>
          </cell>
          <cell r="AA25">
            <v>651000</v>
          </cell>
          <cell r="AB25">
            <v>488250</v>
          </cell>
          <cell r="AC25">
            <v>162750</v>
          </cell>
          <cell r="AD25">
            <v>44817</v>
          </cell>
          <cell r="AE25">
            <v>0</v>
          </cell>
          <cell r="AF25">
            <v>0</v>
          </cell>
          <cell r="AG25">
            <v>244125</v>
          </cell>
          <cell r="AH25">
            <v>0.5</v>
          </cell>
          <cell r="AI25">
            <v>244125</v>
          </cell>
          <cell r="AJ25">
            <v>0</v>
          </cell>
          <cell r="AK25">
            <v>0.5</v>
          </cell>
          <cell r="AL25">
            <v>0</v>
          </cell>
          <cell r="AM25">
            <v>0</v>
          </cell>
          <cell r="AN25">
            <v>0</v>
          </cell>
          <cell r="AO25">
            <v>0</v>
          </cell>
          <cell r="AP25">
            <v>0</v>
          </cell>
          <cell r="AQ25">
            <v>0</v>
          </cell>
          <cell r="AR25">
            <v>244125</v>
          </cell>
          <cell r="AS25">
            <v>244125</v>
          </cell>
          <cell r="AT25">
            <v>0</v>
          </cell>
          <cell r="AU25">
            <v>0</v>
          </cell>
          <cell r="AV25">
            <v>45199</v>
          </cell>
          <cell r="AW25">
            <v>0</v>
          </cell>
          <cell r="AX25">
            <v>0</v>
          </cell>
          <cell r="AY25">
            <v>0</v>
          </cell>
          <cell r="AZ25">
            <v>0</v>
          </cell>
          <cell r="BA25">
            <v>433079.07</v>
          </cell>
          <cell r="BB25">
            <v>0</v>
          </cell>
          <cell r="BC25">
            <v>0</v>
          </cell>
          <cell r="BD25">
            <v>0</v>
          </cell>
          <cell r="BE25">
            <v>0</v>
          </cell>
          <cell r="BF25">
            <v>0</v>
          </cell>
          <cell r="BG25" t="str">
            <v>SI</v>
          </cell>
        </row>
        <row r="26">
          <cell r="B26" t="str">
            <v>AST-2020-0050</v>
          </cell>
          <cell r="C26">
            <v>429371.24</v>
          </cell>
          <cell r="D26" t="str">
            <v>Obras de mejora de sustitución de la red de aguas, mejora de la eficiencia energética y accesibilidad en el Polígono Vega de Arriba Fase IV</v>
          </cell>
          <cell r="E26">
            <v>44188</v>
          </cell>
          <cell r="F26" t="str">
            <v>Presidencia</v>
          </cell>
          <cell r="G26">
            <v>590000</v>
          </cell>
          <cell r="H26">
            <v>442500</v>
          </cell>
          <cell r="I26">
            <v>147500</v>
          </cell>
          <cell r="J26">
            <v>590000</v>
          </cell>
          <cell r="K26">
            <v>0</v>
          </cell>
          <cell r="L26">
            <v>0</v>
          </cell>
          <cell r="M26">
            <v>0</v>
          </cell>
          <cell r="N26">
            <v>221250</v>
          </cell>
          <cell r="O26">
            <v>0.5</v>
          </cell>
          <cell r="P26">
            <v>221250</v>
          </cell>
          <cell r="Q26">
            <v>0.5</v>
          </cell>
          <cell r="R26">
            <v>0</v>
          </cell>
          <cell r="S26">
            <v>0</v>
          </cell>
          <cell r="T26">
            <v>0</v>
          </cell>
          <cell r="U26">
            <v>0</v>
          </cell>
          <cell r="V26">
            <v>-442500</v>
          </cell>
          <cell r="W26">
            <v>590000</v>
          </cell>
          <cell r="X26" t="str">
            <v>MIERES</v>
          </cell>
          <cell r="Y26" t="str">
            <v>P. ASTURIAS</v>
          </cell>
          <cell r="Z26" t="str">
            <v>ADENDA FIRMADA</v>
          </cell>
          <cell r="AA26">
            <v>590000</v>
          </cell>
          <cell r="AB26">
            <v>442500</v>
          </cell>
          <cell r="AC26">
            <v>147500</v>
          </cell>
          <cell r="AD26">
            <v>45198</v>
          </cell>
          <cell r="AE26">
            <v>0</v>
          </cell>
          <cell r="AF26">
            <v>0</v>
          </cell>
          <cell r="AG26">
            <v>0</v>
          </cell>
          <cell r="AH26">
            <v>0</v>
          </cell>
          <cell r="AI26">
            <v>331875</v>
          </cell>
          <cell r="AJ26">
            <v>0</v>
          </cell>
          <cell r="AK26">
            <v>0.75</v>
          </cell>
          <cell r="AL26">
            <v>110625</v>
          </cell>
          <cell r="AM26">
            <v>0</v>
          </cell>
          <cell r="AN26">
            <v>0.25</v>
          </cell>
          <cell r="AO26">
            <v>0</v>
          </cell>
          <cell r="AP26">
            <v>0</v>
          </cell>
          <cell r="AQ26">
            <v>0</v>
          </cell>
          <cell r="AR26">
            <v>0</v>
          </cell>
          <cell r="AS26">
            <v>331875</v>
          </cell>
          <cell r="AT26">
            <v>110625</v>
          </cell>
          <cell r="AU26">
            <v>0</v>
          </cell>
          <cell r="AV26">
            <v>45412</v>
          </cell>
          <cell r="AW26">
            <v>0</v>
          </cell>
          <cell r="AX26">
            <v>0</v>
          </cell>
          <cell r="AY26">
            <v>0</v>
          </cell>
          <cell r="AZ26">
            <v>0</v>
          </cell>
          <cell r="BA26">
            <v>0</v>
          </cell>
          <cell r="BB26">
            <v>0</v>
          </cell>
          <cell r="BC26">
            <v>429371.24</v>
          </cell>
          <cell r="BD26">
            <v>0</v>
          </cell>
          <cell r="BE26">
            <v>0</v>
          </cell>
          <cell r="BF26">
            <v>0</v>
          </cell>
          <cell r="BG26" t="str">
            <v>SI</v>
          </cell>
        </row>
        <row r="27">
          <cell r="B27" t="str">
            <v>AST-2020-0051</v>
          </cell>
          <cell r="C27">
            <v>112060.1</v>
          </cell>
          <cell r="D27" t="str">
            <v xml:space="preserve">Mejora de la señalización y acondicionamiento del acceso sur al Polígono de Sovilla  </v>
          </cell>
          <cell r="E27">
            <v>44188</v>
          </cell>
          <cell r="F27" t="str">
            <v>Medio rural y cohesión territorial</v>
          </cell>
          <cell r="G27">
            <v>150000</v>
          </cell>
          <cell r="H27">
            <v>112500</v>
          </cell>
          <cell r="I27">
            <v>37500</v>
          </cell>
          <cell r="J27">
            <v>150000</v>
          </cell>
          <cell r="K27">
            <v>0</v>
          </cell>
          <cell r="L27">
            <v>0</v>
          </cell>
          <cell r="M27">
            <v>0</v>
          </cell>
          <cell r="N27">
            <v>56250</v>
          </cell>
          <cell r="O27">
            <v>0.5</v>
          </cell>
          <cell r="P27">
            <v>56250</v>
          </cell>
          <cell r="Q27">
            <v>0.5</v>
          </cell>
          <cell r="R27">
            <v>0</v>
          </cell>
          <cell r="S27">
            <v>0</v>
          </cell>
          <cell r="T27">
            <v>0</v>
          </cell>
          <cell r="U27">
            <v>0</v>
          </cell>
          <cell r="V27">
            <v>-112500</v>
          </cell>
          <cell r="W27">
            <v>150000</v>
          </cell>
          <cell r="X27" t="str">
            <v>MIERES</v>
          </cell>
          <cell r="Y27" t="str">
            <v>P. ASTURIAS</v>
          </cell>
          <cell r="Z27" t="str">
            <v>ADENDA FIRMADA</v>
          </cell>
          <cell r="AA27">
            <v>150000</v>
          </cell>
          <cell r="AB27">
            <v>112500</v>
          </cell>
          <cell r="AC27">
            <v>37500</v>
          </cell>
          <cell r="AD27">
            <v>44819</v>
          </cell>
          <cell r="AE27">
            <v>0</v>
          </cell>
          <cell r="AF27">
            <v>0</v>
          </cell>
          <cell r="AG27">
            <v>56250</v>
          </cell>
          <cell r="AH27">
            <v>0.5</v>
          </cell>
          <cell r="AI27">
            <v>56250</v>
          </cell>
          <cell r="AJ27">
            <v>0</v>
          </cell>
          <cell r="AK27">
            <v>0.5</v>
          </cell>
          <cell r="AL27">
            <v>0</v>
          </cell>
          <cell r="AM27">
            <v>0</v>
          </cell>
          <cell r="AN27">
            <v>0</v>
          </cell>
          <cell r="AO27">
            <v>0</v>
          </cell>
          <cell r="AP27">
            <v>0</v>
          </cell>
          <cell r="AQ27">
            <v>0</v>
          </cell>
          <cell r="AR27">
            <v>56250</v>
          </cell>
          <cell r="AS27">
            <v>56250</v>
          </cell>
          <cell r="AT27">
            <v>0</v>
          </cell>
          <cell r="AU27">
            <v>0</v>
          </cell>
          <cell r="AV27">
            <v>45199</v>
          </cell>
          <cell r="AW27">
            <v>0</v>
          </cell>
          <cell r="AX27">
            <v>0</v>
          </cell>
          <cell r="AY27">
            <v>0</v>
          </cell>
          <cell r="AZ27">
            <v>0</v>
          </cell>
          <cell r="BA27">
            <v>112060.1</v>
          </cell>
          <cell r="BB27">
            <v>0</v>
          </cell>
          <cell r="BC27">
            <v>0</v>
          </cell>
          <cell r="BD27">
            <v>0</v>
          </cell>
          <cell r="BE27">
            <v>0</v>
          </cell>
          <cell r="BF27">
            <v>0</v>
          </cell>
          <cell r="BG27" t="str">
            <v>SI</v>
          </cell>
        </row>
        <row r="28">
          <cell r="B28" t="str">
            <v>AST-2020-0052</v>
          </cell>
          <cell r="C28">
            <v>105176.27</v>
          </cell>
          <cell r="D28" t="str">
            <v>Mejora de eficiencia energética del Centro Ocupacional de Cardeo</v>
          </cell>
          <cell r="E28">
            <v>44188</v>
          </cell>
          <cell r="F28" t="str">
            <v>Industria, Empleo y Promoción económica</v>
          </cell>
          <cell r="G28">
            <v>150000</v>
          </cell>
          <cell r="H28">
            <v>112500</v>
          </cell>
          <cell r="I28">
            <v>37500</v>
          </cell>
          <cell r="J28">
            <v>150000</v>
          </cell>
          <cell r="K28">
            <v>0</v>
          </cell>
          <cell r="L28">
            <v>0</v>
          </cell>
          <cell r="M28">
            <v>0</v>
          </cell>
          <cell r="N28">
            <v>56250</v>
          </cell>
          <cell r="O28">
            <v>0.5</v>
          </cell>
          <cell r="P28">
            <v>56250</v>
          </cell>
          <cell r="Q28">
            <v>0.5</v>
          </cell>
          <cell r="R28">
            <v>0</v>
          </cell>
          <cell r="S28">
            <v>0</v>
          </cell>
          <cell r="T28">
            <v>0</v>
          </cell>
          <cell r="U28">
            <v>0</v>
          </cell>
          <cell r="V28">
            <v>-112500</v>
          </cell>
          <cell r="W28">
            <v>150000</v>
          </cell>
          <cell r="X28" t="str">
            <v>MIERES</v>
          </cell>
          <cell r="Y28" t="str">
            <v>P. ASTURIAS</v>
          </cell>
          <cell r="Z28" t="str">
            <v>ADENDA FIRMADA</v>
          </cell>
          <cell r="AA28">
            <v>150000</v>
          </cell>
          <cell r="AB28">
            <v>112500</v>
          </cell>
          <cell r="AC28">
            <v>37500</v>
          </cell>
          <cell r="AD28">
            <v>44804</v>
          </cell>
          <cell r="AE28">
            <v>0</v>
          </cell>
          <cell r="AF28">
            <v>0</v>
          </cell>
          <cell r="AG28">
            <v>56250</v>
          </cell>
          <cell r="AH28">
            <v>0.5</v>
          </cell>
          <cell r="AI28">
            <v>56250</v>
          </cell>
          <cell r="AJ28">
            <v>0</v>
          </cell>
          <cell r="AK28">
            <v>0.5</v>
          </cell>
          <cell r="AL28">
            <v>0</v>
          </cell>
          <cell r="AM28">
            <v>0</v>
          </cell>
          <cell r="AN28">
            <v>0</v>
          </cell>
          <cell r="AO28">
            <v>0</v>
          </cell>
          <cell r="AP28">
            <v>0</v>
          </cell>
          <cell r="AQ28">
            <v>0</v>
          </cell>
          <cell r="AR28">
            <v>56250</v>
          </cell>
          <cell r="AS28">
            <v>56250</v>
          </cell>
          <cell r="AT28">
            <v>0</v>
          </cell>
          <cell r="AU28">
            <v>0</v>
          </cell>
          <cell r="AV28">
            <v>45199</v>
          </cell>
          <cell r="AW28">
            <v>0</v>
          </cell>
          <cell r="AX28">
            <v>0</v>
          </cell>
          <cell r="AY28">
            <v>0</v>
          </cell>
          <cell r="AZ28">
            <v>0</v>
          </cell>
          <cell r="BA28">
            <v>105176.27</v>
          </cell>
          <cell r="BB28">
            <v>0</v>
          </cell>
          <cell r="BC28">
            <v>0</v>
          </cell>
          <cell r="BD28">
            <v>0</v>
          </cell>
          <cell r="BE28">
            <v>0</v>
          </cell>
          <cell r="BF28">
            <v>0</v>
          </cell>
          <cell r="BG28" t="str">
            <v>SI</v>
          </cell>
        </row>
        <row r="29">
          <cell r="B29" t="str">
            <v>AST-2020-0053</v>
          </cell>
          <cell r="C29">
            <v>111443.36</v>
          </cell>
          <cell r="D29" t="str">
            <v>Obras de mejora de eficiencia energética de la Casa Consistorial-Mieres</v>
          </cell>
          <cell r="E29">
            <v>44188</v>
          </cell>
          <cell r="F29" t="str">
            <v>Industria, Empleo y Promoción económica</v>
          </cell>
          <cell r="G29">
            <v>150000</v>
          </cell>
          <cell r="H29">
            <v>112500</v>
          </cell>
          <cell r="I29">
            <v>37500</v>
          </cell>
          <cell r="J29">
            <v>150000</v>
          </cell>
          <cell r="K29">
            <v>0</v>
          </cell>
          <cell r="L29">
            <v>0</v>
          </cell>
          <cell r="M29">
            <v>0</v>
          </cell>
          <cell r="N29">
            <v>56250</v>
          </cell>
          <cell r="O29">
            <v>0.5</v>
          </cell>
          <cell r="P29">
            <v>56250</v>
          </cell>
          <cell r="Q29">
            <v>0.5</v>
          </cell>
          <cell r="R29">
            <v>0</v>
          </cell>
          <cell r="S29">
            <v>0</v>
          </cell>
          <cell r="T29">
            <v>0</v>
          </cell>
          <cell r="U29">
            <v>0</v>
          </cell>
          <cell r="V29">
            <v>-112500</v>
          </cell>
          <cell r="W29">
            <v>150000</v>
          </cell>
          <cell r="X29" t="str">
            <v>MIERES</v>
          </cell>
          <cell r="Y29" t="str">
            <v>P. ASTURIAS</v>
          </cell>
          <cell r="Z29" t="str">
            <v>ADENDA FIRMADA</v>
          </cell>
          <cell r="AA29">
            <v>150000</v>
          </cell>
          <cell r="AB29">
            <v>112500</v>
          </cell>
          <cell r="AC29">
            <v>37500</v>
          </cell>
          <cell r="AD29">
            <v>44804</v>
          </cell>
          <cell r="AE29">
            <v>0</v>
          </cell>
          <cell r="AF29">
            <v>0</v>
          </cell>
          <cell r="AG29">
            <v>56250</v>
          </cell>
          <cell r="AH29">
            <v>0.5</v>
          </cell>
          <cell r="AI29">
            <v>56250</v>
          </cell>
          <cell r="AJ29">
            <v>0</v>
          </cell>
          <cell r="AK29">
            <v>0.5</v>
          </cell>
          <cell r="AL29">
            <v>0</v>
          </cell>
          <cell r="AM29">
            <v>0</v>
          </cell>
          <cell r="AN29">
            <v>0</v>
          </cell>
          <cell r="AO29">
            <v>0</v>
          </cell>
          <cell r="AP29">
            <v>0</v>
          </cell>
          <cell r="AQ29">
            <v>0</v>
          </cell>
          <cell r="AR29">
            <v>56250</v>
          </cell>
          <cell r="AS29">
            <v>56250</v>
          </cell>
          <cell r="AT29">
            <v>0</v>
          </cell>
          <cell r="AU29">
            <v>0</v>
          </cell>
          <cell r="AV29">
            <v>45199</v>
          </cell>
          <cell r="AW29">
            <v>0</v>
          </cell>
          <cell r="AX29">
            <v>0</v>
          </cell>
          <cell r="AY29">
            <v>0</v>
          </cell>
          <cell r="AZ29">
            <v>0</v>
          </cell>
          <cell r="BA29">
            <v>111443.36</v>
          </cell>
          <cell r="BB29">
            <v>0</v>
          </cell>
          <cell r="BC29">
            <v>0</v>
          </cell>
          <cell r="BD29">
            <v>0</v>
          </cell>
          <cell r="BE29">
            <v>0</v>
          </cell>
          <cell r="BF29">
            <v>0</v>
          </cell>
          <cell r="BG29" t="str">
            <v>SI</v>
          </cell>
        </row>
        <row r="30">
          <cell r="B30" t="str">
            <v>AST-2020-0054</v>
          </cell>
          <cell r="C30">
            <v>104491.9</v>
          </cell>
          <cell r="D30" t="str">
            <v>Mejora de la eficiencia energética del sistema de alumbrado y envolvente de la biblioteca de Ujo y local de asociaciones</v>
          </cell>
          <cell r="E30">
            <v>44188</v>
          </cell>
          <cell r="F30" t="str">
            <v>Industria, Empleo y Promoción económica</v>
          </cell>
          <cell r="G30">
            <v>150000</v>
          </cell>
          <cell r="H30">
            <v>112500</v>
          </cell>
          <cell r="I30">
            <v>37500</v>
          </cell>
          <cell r="J30">
            <v>150000</v>
          </cell>
          <cell r="K30">
            <v>0</v>
          </cell>
          <cell r="L30">
            <v>0</v>
          </cell>
          <cell r="M30">
            <v>0</v>
          </cell>
          <cell r="N30">
            <v>56250</v>
          </cell>
          <cell r="O30">
            <v>0.5</v>
          </cell>
          <cell r="P30">
            <v>56250</v>
          </cell>
          <cell r="Q30">
            <v>0.5</v>
          </cell>
          <cell r="R30">
            <v>0</v>
          </cell>
          <cell r="S30">
            <v>0</v>
          </cell>
          <cell r="T30">
            <v>0</v>
          </cell>
          <cell r="U30">
            <v>0</v>
          </cell>
          <cell r="V30">
            <v>-112500</v>
          </cell>
          <cell r="W30">
            <v>150000</v>
          </cell>
          <cell r="X30" t="str">
            <v>MIERES</v>
          </cell>
          <cell r="Y30" t="str">
            <v>P. ASTURIAS</v>
          </cell>
          <cell r="Z30" t="str">
            <v>ADENDA FIRMADA</v>
          </cell>
          <cell r="AA30">
            <v>150000</v>
          </cell>
          <cell r="AB30">
            <v>112500</v>
          </cell>
          <cell r="AC30">
            <v>37500</v>
          </cell>
          <cell r="AD30">
            <v>44804</v>
          </cell>
          <cell r="AE30">
            <v>0</v>
          </cell>
          <cell r="AF30">
            <v>0</v>
          </cell>
          <cell r="AG30">
            <v>56250</v>
          </cell>
          <cell r="AH30">
            <v>0.5</v>
          </cell>
          <cell r="AI30">
            <v>56250</v>
          </cell>
          <cell r="AJ30">
            <v>0</v>
          </cell>
          <cell r="AK30">
            <v>0.5</v>
          </cell>
          <cell r="AL30">
            <v>0</v>
          </cell>
          <cell r="AM30">
            <v>0</v>
          </cell>
          <cell r="AN30">
            <v>0</v>
          </cell>
          <cell r="AO30">
            <v>0</v>
          </cell>
          <cell r="AP30">
            <v>0</v>
          </cell>
          <cell r="AQ30">
            <v>0</v>
          </cell>
          <cell r="AR30">
            <v>56250</v>
          </cell>
          <cell r="AS30">
            <v>56250</v>
          </cell>
          <cell r="AT30">
            <v>0</v>
          </cell>
          <cell r="AU30">
            <v>0</v>
          </cell>
          <cell r="AV30">
            <v>45199</v>
          </cell>
          <cell r="AW30">
            <v>0</v>
          </cell>
          <cell r="AX30">
            <v>0</v>
          </cell>
          <cell r="AY30">
            <v>0</v>
          </cell>
          <cell r="AZ30">
            <v>0</v>
          </cell>
          <cell r="BA30">
            <v>104491.9</v>
          </cell>
          <cell r="BB30">
            <v>0</v>
          </cell>
          <cell r="BC30">
            <v>0</v>
          </cell>
          <cell r="BD30">
            <v>0</v>
          </cell>
          <cell r="BE30">
            <v>0</v>
          </cell>
          <cell r="BF30">
            <v>0</v>
          </cell>
          <cell r="BG30" t="str">
            <v>SI</v>
          </cell>
        </row>
        <row r="31">
          <cell r="B31" t="str">
            <v>AST-2020-0055</v>
          </cell>
          <cell r="C31">
            <v>247442.89</v>
          </cell>
          <cell r="D31" t="str">
            <v>Mejora de la eficiencia energética del sistema de alumbrado y envolvente de los polideportivos municipales: Santa Cruz, Ujo, Mieres Sur, Visiola, Rioturbio, Figaredo y Turón</v>
          </cell>
          <cell r="E31">
            <v>44188</v>
          </cell>
          <cell r="F31" t="str">
            <v>Industria, Empleo y Promoción económica</v>
          </cell>
          <cell r="G31">
            <v>350000</v>
          </cell>
          <cell r="H31">
            <v>262500</v>
          </cell>
          <cell r="I31">
            <v>87500</v>
          </cell>
          <cell r="J31">
            <v>350000</v>
          </cell>
          <cell r="K31">
            <v>0</v>
          </cell>
          <cell r="L31">
            <v>0</v>
          </cell>
          <cell r="M31">
            <v>0</v>
          </cell>
          <cell r="N31">
            <v>65625</v>
          </cell>
          <cell r="O31">
            <v>0.25</v>
          </cell>
          <cell r="P31">
            <v>196875</v>
          </cell>
          <cell r="Q31">
            <v>0.75</v>
          </cell>
          <cell r="R31">
            <v>0</v>
          </cell>
          <cell r="S31">
            <v>0</v>
          </cell>
          <cell r="T31">
            <v>0</v>
          </cell>
          <cell r="U31">
            <v>0</v>
          </cell>
          <cell r="V31">
            <v>-262500</v>
          </cell>
          <cell r="W31">
            <v>350000</v>
          </cell>
          <cell r="X31" t="str">
            <v>MIERES</v>
          </cell>
          <cell r="Y31" t="str">
            <v>P. ASTURIAS</v>
          </cell>
          <cell r="Z31" t="str">
            <v>ADENDA FIRMADA</v>
          </cell>
          <cell r="AA31">
            <v>350000</v>
          </cell>
          <cell r="AB31">
            <v>262500</v>
          </cell>
          <cell r="AC31">
            <v>87500</v>
          </cell>
          <cell r="AD31">
            <v>44804</v>
          </cell>
          <cell r="AE31">
            <v>0</v>
          </cell>
          <cell r="AF31">
            <v>0</v>
          </cell>
          <cell r="AG31">
            <v>65625</v>
          </cell>
          <cell r="AH31">
            <v>0.25</v>
          </cell>
          <cell r="AI31">
            <v>196875</v>
          </cell>
          <cell r="AJ31">
            <v>0</v>
          </cell>
          <cell r="AK31">
            <v>0.75</v>
          </cell>
          <cell r="AL31">
            <v>0</v>
          </cell>
          <cell r="AM31">
            <v>0</v>
          </cell>
          <cell r="AN31">
            <v>0</v>
          </cell>
          <cell r="AO31">
            <v>0</v>
          </cell>
          <cell r="AP31">
            <v>0</v>
          </cell>
          <cell r="AQ31">
            <v>0</v>
          </cell>
          <cell r="AR31">
            <v>65625</v>
          </cell>
          <cell r="AS31">
            <v>196875</v>
          </cell>
          <cell r="AT31">
            <v>0</v>
          </cell>
          <cell r="AU31">
            <v>0</v>
          </cell>
          <cell r="AV31">
            <v>45199</v>
          </cell>
          <cell r="AW31">
            <v>0</v>
          </cell>
          <cell r="AX31">
            <v>0</v>
          </cell>
          <cell r="AY31">
            <v>0</v>
          </cell>
          <cell r="AZ31">
            <v>0</v>
          </cell>
          <cell r="BA31">
            <v>247442.89</v>
          </cell>
          <cell r="BB31">
            <v>0</v>
          </cell>
          <cell r="BC31">
            <v>0</v>
          </cell>
          <cell r="BD31">
            <v>0</v>
          </cell>
          <cell r="BE31">
            <v>0</v>
          </cell>
          <cell r="BF31">
            <v>0</v>
          </cell>
          <cell r="BG31" t="str">
            <v>SI</v>
          </cell>
        </row>
        <row r="32">
          <cell r="B32" t="str">
            <v>AST-2020-0060</v>
          </cell>
          <cell r="C32">
            <v>1972500</v>
          </cell>
          <cell r="D32" t="str">
            <v>Acceso al espacio de relación empresarial y comercial "Talleres del Conde" Fase I</v>
          </cell>
          <cell r="E32">
            <v>44188</v>
          </cell>
          <cell r="F32" t="str">
            <v>Medio rural y cohesión territorial</v>
          </cell>
          <cell r="G32">
            <v>2630000</v>
          </cell>
          <cell r="H32">
            <v>1972500</v>
          </cell>
          <cell r="I32">
            <v>657500</v>
          </cell>
          <cell r="J32">
            <v>2630000</v>
          </cell>
          <cell r="K32">
            <v>0</v>
          </cell>
          <cell r="L32">
            <v>0</v>
          </cell>
          <cell r="M32">
            <v>0</v>
          </cell>
          <cell r="N32">
            <v>493125</v>
          </cell>
          <cell r="O32">
            <v>0.25</v>
          </cell>
          <cell r="P32">
            <v>986250</v>
          </cell>
          <cell r="Q32">
            <v>0.5</v>
          </cell>
          <cell r="R32">
            <v>493125</v>
          </cell>
          <cell r="S32">
            <v>0.25</v>
          </cell>
          <cell r="T32">
            <v>0</v>
          </cell>
          <cell r="U32">
            <v>0</v>
          </cell>
          <cell r="V32">
            <v>-1972500</v>
          </cell>
          <cell r="W32">
            <v>2630000</v>
          </cell>
          <cell r="X32" t="str">
            <v>LANGREO</v>
          </cell>
          <cell r="Y32" t="str">
            <v>P. ASTURIAS</v>
          </cell>
          <cell r="Z32" t="str">
            <v>NO MOD PRESUPUESTARIA</v>
          </cell>
          <cell r="AA32">
            <v>2630000</v>
          </cell>
          <cell r="AB32">
            <v>1972500</v>
          </cell>
          <cell r="AC32">
            <v>657500</v>
          </cell>
          <cell r="AD32" t="str">
            <v/>
          </cell>
          <cell r="AE32" t="str">
            <v/>
          </cell>
          <cell r="AF32" t="e">
            <v>#VALUE!</v>
          </cell>
          <cell r="AG32" t="str">
            <v/>
          </cell>
          <cell r="AH32" t="e">
            <v>#VALUE!</v>
          </cell>
          <cell r="AI32" t="str">
            <v/>
          </cell>
          <cell r="AJ32" t="str">
            <v/>
          </cell>
          <cell r="AK32" t="e">
            <v>#VALUE!</v>
          </cell>
          <cell r="AL32" t="str">
            <v/>
          </cell>
          <cell r="AM32" t="str">
            <v/>
          </cell>
          <cell r="AN32" t="e">
            <v>#VALUE!</v>
          </cell>
          <cell r="AO32" t="str">
            <v/>
          </cell>
          <cell r="AP32" t="str">
            <v/>
          </cell>
          <cell r="AQ32">
            <v>493125</v>
          </cell>
          <cell r="AR32">
            <v>986250</v>
          </cell>
          <cell r="AS32">
            <v>493125</v>
          </cell>
          <cell r="AT32">
            <v>0</v>
          </cell>
          <cell r="AU32">
            <v>0</v>
          </cell>
          <cell r="AV32">
            <v>45199</v>
          </cell>
          <cell r="AW32">
            <v>0</v>
          </cell>
          <cell r="AX32">
            <v>0</v>
          </cell>
          <cell r="AY32">
            <v>493125</v>
          </cell>
          <cell r="AZ32">
            <v>0.25</v>
          </cell>
          <cell r="BA32">
            <v>1479375</v>
          </cell>
          <cell r="BB32">
            <v>0</v>
          </cell>
          <cell r="BC32">
            <v>0</v>
          </cell>
          <cell r="BD32">
            <v>0</v>
          </cell>
          <cell r="BE32">
            <v>0</v>
          </cell>
          <cell r="BF32">
            <v>0</v>
          </cell>
          <cell r="BG32" t="str">
            <v>SI</v>
          </cell>
        </row>
        <row r="33">
          <cell r="B33" t="str">
            <v>AST-2020-0061</v>
          </cell>
          <cell r="C33">
            <v>56177.380000000005</v>
          </cell>
          <cell r="D33" t="str">
            <v>Actuación de mejora y renovación de las redes de saneamiento y depuración de varios núcleos de población (Quirós)</v>
          </cell>
          <cell r="E33">
            <v>44188</v>
          </cell>
          <cell r="F33" t="str">
            <v>Adm. Auton., medio  ambiente y cambio  climático</v>
          </cell>
          <cell r="G33">
            <v>91000</v>
          </cell>
          <cell r="H33">
            <v>68250</v>
          </cell>
          <cell r="I33">
            <v>22750</v>
          </cell>
          <cell r="J33">
            <v>91000</v>
          </cell>
          <cell r="K33">
            <v>0</v>
          </cell>
          <cell r="L33">
            <v>0</v>
          </cell>
          <cell r="M33">
            <v>0</v>
          </cell>
          <cell r="N33">
            <v>34125</v>
          </cell>
          <cell r="O33">
            <v>0.5</v>
          </cell>
          <cell r="P33">
            <v>34125</v>
          </cell>
          <cell r="Q33">
            <v>0.5</v>
          </cell>
          <cell r="R33">
            <v>0</v>
          </cell>
          <cell r="S33">
            <v>0</v>
          </cell>
          <cell r="T33">
            <v>0</v>
          </cell>
          <cell r="U33">
            <v>0</v>
          </cell>
          <cell r="V33">
            <v>-68250</v>
          </cell>
          <cell r="W33">
            <v>91000</v>
          </cell>
          <cell r="X33" t="str">
            <v>QUIRÓS</v>
          </cell>
          <cell r="Y33" t="str">
            <v>P. ASTURIAS</v>
          </cell>
          <cell r="Z33" t="str">
            <v>NO MOD PRESUPUESTARIA</v>
          </cell>
          <cell r="AA33">
            <v>91000</v>
          </cell>
          <cell r="AB33">
            <v>68250</v>
          </cell>
          <cell r="AC33">
            <v>22750</v>
          </cell>
          <cell r="AD33">
            <v>44362</v>
          </cell>
          <cell r="AE33">
            <v>34125</v>
          </cell>
          <cell r="AF33">
            <v>0.5</v>
          </cell>
          <cell r="AG33">
            <v>34125</v>
          </cell>
          <cell r="AH33">
            <v>0.5</v>
          </cell>
          <cell r="AI33">
            <v>0</v>
          </cell>
          <cell r="AJ33">
            <v>0</v>
          </cell>
          <cell r="AK33">
            <v>0</v>
          </cell>
          <cell r="AL33">
            <v>0</v>
          </cell>
          <cell r="AM33">
            <v>0</v>
          </cell>
          <cell r="AN33">
            <v>0</v>
          </cell>
          <cell r="AO33">
            <v>0</v>
          </cell>
          <cell r="AP33">
            <v>0</v>
          </cell>
          <cell r="AQ33">
            <v>34125</v>
          </cell>
          <cell r="AR33">
            <v>34125</v>
          </cell>
          <cell r="AS33">
            <v>0</v>
          </cell>
          <cell r="AT33">
            <v>0</v>
          </cell>
          <cell r="AU33">
            <v>0</v>
          </cell>
          <cell r="AV33">
            <v>44834</v>
          </cell>
          <cell r="AW33">
            <v>17062.5</v>
          </cell>
          <cell r="AX33">
            <v>0.25</v>
          </cell>
          <cell r="AY33">
            <v>39114.880000000005</v>
          </cell>
          <cell r="AZ33">
            <v>0.57311179487179498</v>
          </cell>
          <cell r="BA33">
            <v>0</v>
          </cell>
          <cell r="BB33">
            <v>0</v>
          </cell>
          <cell r="BC33">
            <v>0</v>
          </cell>
          <cell r="BD33">
            <v>0</v>
          </cell>
          <cell r="BE33">
            <v>0</v>
          </cell>
          <cell r="BF33">
            <v>0</v>
          </cell>
          <cell r="BG33" t="str">
            <v>SI</v>
          </cell>
        </row>
        <row r="34">
          <cell r="B34" t="str">
            <v>AST-2020-0062</v>
          </cell>
          <cell r="C34">
            <v>390122.39</v>
          </cell>
          <cell r="D34" t="str">
            <v>Polígono Industrial Venturo I (SMRA)</v>
          </cell>
          <cell r="E34">
            <v>44188</v>
          </cell>
          <cell r="F34" t="str">
            <v>Industria, Empleo y Promoción económica</v>
          </cell>
          <cell r="G34">
            <v>601000</v>
          </cell>
          <cell r="H34">
            <v>450750</v>
          </cell>
          <cell r="I34">
            <v>150250</v>
          </cell>
          <cell r="J34">
            <v>601000</v>
          </cell>
          <cell r="K34">
            <v>0</v>
          </cell>
          <cell r="L34">
            <v>0</v>
          </cell>
          <cell r="M34">
            <v>0</v>
          </cell>
          <cell r="N34">
            <v>112687.5</v>
          </cell>
          <cell r="O34">
            <v>0.25</v>
          </cell>
          <cell r="P34">
            <v>225375</v>
          </cell>
          <cell r="Q34">
            <v>0.5</v>
          </cell>
          <cell r="R34">
            <v>112687.5</v>
          </cell>
          <cell r="S34">
            <v>0.25</v>
          </cell>
          <cell r="T34">
            <v>0</v>
          </cell>
          <cell r="U34">
            <v>0</v>
          </cell>
          <cell r="V34">
            <v>-450750</v>
          </cell>
          <cell r="W34">
            <v>601000</v>
          </cell>
          <cell r="X34" t="str">
            <v>SMRA</v>
          </cell>
          <cell r="Y34" t="str">
            <v>P. ASTURIAS</v>
          </cell>
          <cell r="Z34" t="str">
            <v>NO MOD PRESUPUESTARIA</v>
          </cell>
          <cell r="AA34">
            <v>601000</v>
          </cell>
          <cell r="AB34">
            <v>450750</v>
          </cell>
          <cell r="AC34">
            <v>150250</v>
          </cell>
          <cell r="AD34">
            <v>45404</v>
          </cell>
          <cell r="AE34">
            <v>0</v>
          </cell>
          <cell r="AF34">
            <v>0</v>
          </cell>
          <cell r="AG34">
            <v>0</v>
          </cell>
          <cell r="AH34">
            <v>0</v>
          </cell>
          <cell r="AI34">
            <v>0</v>
          </cell>
          <cell r="AJ34">
            <v>0</v>
          </cell>
          <cell r="AK34">
            <v>0</v>
          </cell>
          <cell r="AL34">
            <v>450750</v>
          </cell>
          <cell r="AM34">
            <v>0</v>
          </cell>
          <cell r="AN34">
            <v>1</v>
          </cell>
          <cell r="AO34">
            <v>0</v>
          </cell>
          <cell r="AP34">
            <v>0</v>
          </cell>
          <cell r="AQ34">
            <v>112687.5</v>
          </cell>
          <cell r="AR34">
            <v>225375</v>
          </cell>
          <cell r="AS34">
            <v>112687.5</v>
          </cell>
          <cell r="AT34">
            <v>0</v>
          </cell>
          <cell r="AU34">
            <v>0</v>
          </cell>
          <cell r="AV34">
            <v>45596</v>
          </cell>
          <cell r="AW34">
            <v>0</v>
          </cell>
          <cell r="AX34">
            <v>0</v>
          </cell>
          <cell r="AY34">
            <v>0</v>
          </cell>
          <cell r="AZ34">
            <v>0</v>
          </cell>
          <cell r="BA34">
            <v>0</v>
          </cell>
          <cell r="BB34">
            <v>0</v>
          </cell>
          <cell r="BC34">
            <v>390122.39</v>
          </cell>
          <cell r="BD34">
            <v>0</v>
          </cell>
          <cell r="BE34">
            <v>0</v>
          </cell>
          <cell r="BF34">
            <v>0</v>
          </cell>
          <cell r="BG34" t="str">
            <v>SI</v>
          </cell>
        </row>
        <row r="35">
          <cell r="B35" t="str">
            <v>AST-2021-0004</v>
          </cell>
          <cell r="C35">
            <v>558566.25</v>
          </cell>
          <cell r="D35" t="str">
            <v>Mejora eficiencia energética y reducción de emisiones transporte publico (Mieres)</v>
          </cell>
          <cell r="E35">
            <v>44550</v>
          </cell>
          <cell r="F35" t="str">
            <v>Industria, Empleo y Promoción económica</v>
          </cell>
          <cell r="G35">
            <v>847000</v>
          </cell>
          <cell r="H35">
            <v>635250</v>
          </cell>
          <cell r="I35">
            <v>211750</v>
          </cell>
          <cell r="J35">
            <v>847000</v>
          </cell>
          <cell r="K35">
            <v>0</v>
          </cell>
          <cell r="L35">
            <v>0</v>
          </cell>
          <cell r="M35">
            <v>0</v>
          </cell>
          <cell r="N35">
            <v>158812.5</v>
          </cell>
          <cell r="O35">
            <v>0.25</v>
          </cell>
          <cell r="P35">
            <v>63525</v>
          </cell>
          <cell r="Q35">
            <v>0.1</v>
          </cell>
          <cell r="R35">
            <v>412912.5</v>
          </cell>
          <cell r="S35">
            <v>0.65</v>
          </cell>
          <cell r="T35">
            <v>0</v>
          </cell>
          <cell r="U35">
            <v>0</v>
          </cell>
          <cell r="V35">
            <v>-635250</v>
          </cell>
          <cell r="W35">
            <v>847000</v>
          </cell>
          <cell r="X35" t="str">
            <v>MIERES</v>
          </cell>
          <cell r="Y35" t="str">
            <v>P. ASTURIAS</v>
          </cell>
          <cell r="Z35" t="str">
            <v>NO MOD PRESUPUESTARIA</v>
          </cell>
          <cell r="AA35">
            <v>847000</v>
          </cell>
          <cell r="AB35">
            <v>635250</v>
          </cell>
          <cell r="AC35">
            <v>211750</v>
          </cell>
          <cell r="AD35">
            <v>45198</v>
          </cell>
          <cell r="AE35">
            <v>0</v>
          </cell>
          <cell r="AF35">
            <v>0</v>
          </cell>
          <cell r="AG35">
            <v>0</v>
          </cell>
          <cell r="AH35">
            <v>0</v>
          </cell>
          <cell r="AI35">
            <v>317625</v>
          </cell>
          <cell r="AJ35">
            <v>0</v>
          </cell>
          <cell r="AK35">
            <v>0.5</v>
          </cell>
          <cell r="AL35">
            <v>158812.5</v>
          </cell>
          <cell r="AM35">
            <v>0</v>
          </cell>
          <cell r="AN35">
            <v>0.25</v>
          </cell>
          <cell r="AO35">
            <v>0</v>
          </cell>
          <cell r="AP35">
            <v>0</v>
          </cell>
          <cell r="AQ35">
            <v>158812.5</v>
          </cell>
          <cell r="AR35">
            <v>63525</v>
          </cell>
          <cell r="AS35">
            <v>412912.5</v>
          </cell>
          <cell r="AT35">
            <v>0</v>
          </cell>
          <cell r="AU35">
            <v>0</v>
          </cell>
          <cell r="AV35">
            <v>45412</v>
          </cell>
          <cell r="AW35">
            <v>158812.5</v>
          </cell>
          <cell r="AX35">
            <v>0.25</v>
          </cell>
          <cell r="AY35">
            <v>0</v>
          </cell>
          <cell r="AZ35">
            <v>0</v>
          </cell>
          <cell r="BA35">
            <v>317625</v>
          </cell>
          <cell r="BB35">
            <v>0</v>
          </cell>
          <cell r="BC35">
            <v>82128.75</v>
          </cell>
          <cell r="BD35">
            <v>0</v>
          </cell>
          <cell r="BE35">
            <v>0</v>
          </cell>
          <cell r="BF35">
            <v>0</v>
          </cell>
          <cell r="BG35" t="str">
            <v>SI</v>
          </cell>
        </row>
        <row r="36">
          <cell r="B36" t="str">
            <v>AST-2021-0005</v>
          </cell>
          <cell r="C36">
            <v>6048000</v>
          </cell>
          <cell r="D36" t="str">
            <v>Desestacionalización y Reconstrucción de la EEIMVP como motor económico del valle de Lena. Fase 1</v>
          </cell>
          <cell r="E36">
            <v>44550</v>
          </cell>
          <cell r="F36" t="str">
            <v>Cultura, Política Llingüística y turismo</v>
          </cell>
          <cell r="G36">
            <v>10000000</v>
          </cell>
          <cell r="H36">
            <v>7500000</v>
          </cell>
          <cell r="I36">
            <v>2500000</v>
          </cell>
          <cell r="J36">
            <v>10000000</v>
          </cell>
          <cell r="K36">
            <v>0</v>
          </cell>
          <cell r="L36">
            <v>0</v>
          </cell>
          <cell r="M36">
            <v>0</v>
          </cell>
          <cell r="N36">
            <v>1875000</v>
          </cell>
          <cell r="O36">
            <v>0.25</v>
          </cell>
          <cell r="P36">
            <v>1125000</v>
          </cell>
          <cell r="Q36">
            <v>0.15</v>
          </cell>
          <cell r="R36">
            <v>4500000</v>
          </cell>
          <cell r="S36">
            <v>0.6</v>
          </cell>
          <cell r="T36">
            <v>0</v>
          </cell>
          <cell r="U36">
            <v>0</v>
          </cell>
          <cell r="V36">
            <v>-7500000</v>
          </cell>
          <cell r="W36">
            <v>10000000</v>
          </cell>
          <cell r="X36" t="str">
            <v>LENA</v>
          </cell>
          <cell r="Y36" t="str">
            <v>P. ASTURIAS</v>
          </cell>
          <cell r="Z36" t="str">
            <v>NO MOD PRESUPUESTARIA</v>
          </cell>
          <cell r="AA36">
            <v>10000000</v>
          </cell>
          <cell r="AB36">
            <v>7500000</v>
          </cell>
          <cell r="AC36">
            <v>2500000</v>
          </cell>
          <cell r="AD36" t="str">
            <v/>
          </cell>
          <cell r="AE36" t="str">
            <v/>
          </cell>
          <cell r="AF36" t="e">
            <v>#VALUE!</v>
          </cell>
          <cell r="AG36" t="str">
            <v/>
          </cell>
          <cell r="AH36" t="e">
            <v>#VALUE!</v>
          </cell>
          <cell r="AI36" t="str">
            <v/>
          </cell>
          <cell r="AJ36" t="str">
            <v/>
          </cell>
          <cell r="AK36" t="e">
            <v>#VALUE!</v>
          </cell>
          <cell r="AL36" t="str">
            <v/>
          </cell>
          <cell r="AM36" t="str">
            <v/>
          </cell>
          <cell r="AN36" t="e">
            <v>#VALUE!</v>
          </cell>
          <cell r="AO36" t="str">
            <v/>
          </cell>
          <cell r="AP36" t="str">
            <v/>
          </cell>
          <cell r="AQ36">
            <v>1875000</v>
          </cell>
          <cell r="AR36">
            <v>1125000</v>
          </cell>
          <cell r="AS36">
            <v>4500000</v>
          </cell>
          <cell r="AT36">
            <v>0</v>
          </cell>
          <cell r="AU36">
            <v>0</v>
          </cell>
          <cell r="AV36">
            <v>45199</v>
          </cell>
          <cell r="AW36">
            <v>0</v>
          </cell>
          <cell r="AX36">
            <v>0</v>
          </cell>
          <cell r="AY36">
            <v>3000000</v>
          </cell>
          <cell r="AZ36">
            <v>0.4</v>
          </cell>
          <cell r="BA36">
            <v>0</v>
          </cell>
          <cell r="BB36">
            <v>0</v>
          </cell>
          <cell r="BC36">
            <v>3048000</v>
          </cell>
          <cell r="BD36">
            <v>0</v>
          </cell>
          <cell r="BE36">
            <v>0</v>
          </cell>
          <cell r="BF36">
            <v>0</v>
          </cell>
          <cell r="BG36" t="str">
            <v>SI</v>
          </cell>
        </row>
        <row r="37">
          <cell r="B37" t="str">
            <v>ARA-2020-0001</v>
          </cell>
          <cell r="C37">
            <v>798750</v>
          </cell>
          <cell r="D37" t="str">
            <v>Ampliación pol. Cuencas Mineras e implantación planta tratamiento y reciclaje de residuos  plásticos en Montalbán</v>
          </cell>
          <cell r="E37">
            <v>44188</v>
          </cell>
          <cell r="F37" t="str">
            <v>Industria, competitividad y desarrollo empresarial</v>
          </cell>
          <cell r="G37">
            <v>1065000</v>
          </cell>
          <cell r="H37">
            <v>798750</v>
          </cell>
          <cell r="I37">
            <v>266250</v>
          </cell>
          <cell r="J37">
            <v>1065000</v>
          </cell>
          <cell r="K37">
            <v>0</v>
          </cell>
          <cell r="L37">
            <v>79875</v>
          </cell>
          <cell r="M37">
            <v>0.1</v>
          </cell>
          <cell r="N37">
            <v>239625</v>
          </cell>
          <cell r="O37">
            <v>0.3</v>
          </cell>
          <cell r="P37">
            <v>239625</v>
          </cell>
          <cell r="Q37">
            <v>0.3</v>
          </cell>
          <cell r="R37">
            <v>239625</v>
          </cell>
          <cell r="S37">
            <v>0.3</v>
          </cell>
          <cell r="T37">
            <v>0</v>
          </cell>
          <cell r="U37">
            <v>0</v>
          </cell>
          <cell r="V37">
            <v>-798750</v>
          </cell>
          <cell r="W37">
            <v>1065000</v>
          </cell>
          <cell r="X37" t="str">
            <v>MONTALBÁN</v>
          </cell>
          <cell r="Y37" t="str">
            <v>TERUEL</v>
          </cell>
          <cell r="Z37" t="str">
            <v>NO MOD PRESUPUESTARIA</v>
          </cell>
          <cell r="AA37">
            <v>1065000</v>
          </cell>
          <cell r="AB37">
            <v>798750</v>
          </cell>
          <cell r="AC37">
            <v>266250</v>
          </cell>
          <cell r="AD37">
            <v>45223</v>
          </cell>
          <cell r="AE37">
            <v>0</v>
          </cell>
          <cell r="AF37">
            <v>0</v>
          </cell>
          <cell r="AG37">
            <v>0</v>
          </cell>
          <cell r="AH37">
            <v>0</v>
          </cell>
          <cell r="AI37">
            <v>359437.5</v>
          </cell>
          <cell r="AJ37">
            <v>0</v>
          </cell>
          <cell r="AK37">
            <v>0.45</v>
          </cell>
          <cell r="AL37">
            <v>239625</v>
          </cell>
          <cell r="AM37">
            <v>0</v>
          </cell>
          <cell r="AN37">
            <v>0.3</v>
          </cell>
          <cell r="AO37">
            <v>0</v>
          </cell>
          <cell r="AP37">
            <v>0</v>
          </cell>
          <cell r="AQ37">
            <v>319500</v>
          </cell>
          <cell r="AR37">
            <v>239625</v>
          </cell>
          <cell r="AS37">
            <v>239625</v>
          </cell>
          <cell r="AT37">
            <v>0</v>
          </cell>
          <cell r="AU37">
            <v>0</v>
          </cell>
          <cell r="AV37">
            <v>45412</v>
          </cell>
          <cell r="AW37">
            <v>0</v>
          </cell>
          <cell r="AX37">
            <v>0</v>
          </cell>
          <cell r="AY37">
            <v>199687.5</v>
          </cell>
          <cell r="AZ37">
            <v>0.25</v>
          </cell>
          <cell r="BA37">
            <v>359437.5</v>
          </cell>
          <cell r="BB37">
            <v>0</v>
          </cell>
          <cell r="BC37">
            <v>239625</v>
          </cell>
          <cell r="BD37">
            <v>0</v>
          </cell>
          <cell r="BE37">
            <v>0</v>
          </cell>
          <cell r="BF37">
            <v>0</v>
          </cell>
          <cell r="BG37" t="str">
            <v>SI</v>
          </cell>
        </row>
        <row r="38">
          <cell r="B38" t="str">
            <v>ARA-2020-0002</v>
          </cell>
          <cell r="C38">
            <v>160217.38</v>
          </cell>
          <cell r="D38" t="str">
            <v>Mejora y acondicionamiento de accesos a zona industrial transformadora de  alabastro - Albalate del Arzobispo</v>
          </cell>
          <cell r="E38">
            <v>44188</v>
          </cell>
          <cell r="F38" t="str">
            <v>Industria, competitividad y desarrollo empresarial</v>
          </cell>
          <cell r="G38">
            <v>197707</v>
          </cell>
          <cell r="H38">
            <v>148280.25</v>
          </cell>
          <cell r="I38">
            <v>49426.75</v>
          </cell>
          <cell r="J38">
            <v>197707</v>
          </cell>
          <cell r="K38">
            <v>0</v>
          </cell>
          <cell r="L38">
            <v>0</v>
          </cell>
          <cell r="M38">
            <v>0</v>
          </cell>
          <cell r="N38">
            <v>74140.13</v>
          </cell>
          <cell r="O38">
            <v>0.5000000337199324</v>
          </cell>
          <cell r="P38">
            <v>74140.12</v>
          </cell>
          <cell r="Q38">
            <v>0.4999999662800676</v>
          </cell>
          <cell r="R38">
            <v>0</v>
          </cell>
          <cell r="S38">
            <v>0</v>
          </cell>
          <cell r="T38">
            <v>0</v>
          </cell>
          <cell r="U38">
            <v>0</v>
          </cell>
          <cell r="V38">
            <v>-148280.25</v>
          </cell>
          <cell r="W38">
            <v>197707</v>
          </cell>
          <cell r="X38" t="str">
            <v>ALBALATE DEL ARZOBISPO</v>
          </cell>
          <cell r="Y38" t="str">
            <v>TERUEL</v>
          </cell>
          <cell r="Z38" t="str">
            <v>ADENDA FIRMADA</v>
          </cell>
          <cell r="AA38">
            <v>251223.1</v>
          </cell>
          <cell r="AB38">
            <v>188417.33</v>
          </cell>
          <cell r="AC38">
            <v>62805.770000000019</v>
          </cell>
          <cell r="AD38">
            <v>44946</v>
          </cell>
          <cell r="AE38">
            <v>0</v>
          </cell>
          <cell r="AF38">
            <v>0</v>
          </cell>
          <cell r="AG38">
            <v>0</v>
          </cell>
          <cell r="AH38">
            <v>0</v>
          </cell>
          <cell r="AI38">
            <v>47104.34</v>
          </cell>
          <cell r="AJ38">
            <v>0</v>
          </cell>
          <cell r="AK38">
            <v>0.2500000398052557</v>
          </cell>
          <cell r="AL38">
            <v>64105.85</v>
          </cell>
          <cell r="AM38">
            <v>40137.08</v>
          </cell>
          <cell r="AN38">
            <v>0.55325553121891702</v>
          </cell>
          <cell r="AO38">
            <v>0</v>
          </cell>
          <cell r="AP38">
            <v>0</v>
          </cell>
          <cell r="AQ38">
            <v>0</v>
          </cell>
          <cell r="AR38">
            <v>0</v>
          </cell>
          <cell r="AS38">
            <v>47104.34</v>
          </cell>
          <cell r="AT38">
            <v>64105.85</v>
          </cell>
          <cell r="AU38">
            <v>0</v>
          </cell>
          <cell r="AV38">
            <v>45412</v>
          </cell>
          <cell r="AW38">
            <v>0</v>
          </cell>
          <cell r="AX38">
            <v>0</v>
          </cell>
          <cell r="AY38">
            <v>37070.06</v>
          </cell>
          <cell r="AZ38">
            <v>0.2499999831400338</v>
          </cell>
          <cell r="BA38">
            <v>47104.34</v>
          </cell>
          <cell r="BB38">
            <v>0</v>
          </cell>
          <cell r="BC38">
            <v>35905.9</v>
          </cell>
          <cell r="BD38">
            <v>40137.08</v>
          </cell>
          <cell r="BE38">
            <v>0</v>
          </cell>
          <cell r="BF38">
            <v>0</v>
          </cell>
          <cell r="BG38" t="str">
            <v>SI</v>
          </cell>
        </row>
        <row r="39">
          <cell r="B39" t="str">
            <v>ARA-2020-0003</v>
          </cell>
          <cell r="C39">
            <v>73536.41</v>
          </cell>
          <cell r="D39" t="str">
            <v>RENOVACIÓN DE RED ABASTECIMIENTO AL POLÍGONO INDUSTRIAL CUENCAS MINERAS DESDE LA TOMA DEL EMBALSE LAS PARRAS EN MONTALBÁN (TERUEL)</v>
          </cell>
          <cell r="E39">
            <v>44188</v>
          </cell>
          <cell r="F39" t="str">
            <v>Industria, competitividad y desarrollo empresarial</v>
          </cell>
          <cell r="G39">
            <v>120000</v>
          </cell>
          <cell r="H39">
            <v>90000</v>
          </cell>
          <cell r="I39">
            <v>30000</v>
          </cell>
          <cell r="J39">
            <v>120000</v>
          </cell>
          <cell r="K39">
            <v>0</v>
          </cell>
          <cell r="L39">
            <v>9000</v>
          </cell>
          <cell r="M39">
            <v>0.1</v>
          </cell>
          <cell r="N39">
            <v>45000</v>
          </cell>
          <cell r="O39">
            <v>0.5</v>
          </cell>
          <cell r="P39">
            <v>36000</v>
          </cell>
          <cell r="Q39">
            <v>0.4</v>
          </cell>
          <cell r="R39">
            <v>0</v>
          </cell>
          <cell r="S39">
            <v>0</v>
          </cell>
          <cell r="T39">
            <v>0</v>
          </cell>
          <cell r="U39">
            <v>0</v>
          </cell>
          <cell r="V39">
            <v>-90000</v>
          </cell>
          <cell r="W39">
            <v>120000</v>
          </cell>
          <cell r="X39" t="str">
            <v>LAS PARRAS EN MONTALBÁN</v>
          </cell>
          <cell r="Y39" t="str">
            <v>TERUEL</v>
          </cell>
          <cell r="Z39" t="str">
            <v>NO MOD PRESUPUESTARIA</v>
          </cell>
          <cell r="AA39">
            <v>120000</v>
          </cell>
          <cell r="AB39">
            <v>90000</v>
          </cell>
          <cell r="AC39">
            <v>30000</v>
          </cell>
          <cell r="AD39" t="str">
            <v/>
          </cell>
          <cell r="AE39" t="str">
            <v/>
          </cell>
          <cell r="AF39" t="e">
            <v>#VALUE!</v>
          </cell>
          <cell r="AG39" t="str">
            <v/>
          </cell>
          <cell r="AH39" t="e">
            <v>#VALUE!</v>
          </cell>
          <cell r="AI39" t="str">
            <v/>
          </cell>
          <cell r="AJ39" t="str">
            <v/>
          </cell>
          <cell r="AK39" t="e">
            <v>#VALUE!</v>
          </cell>
          <cell r="AL39" t="str">
            <v/>
          </cell>
          <cell r="AM39" t="str">
            <v/>
          </cell>
          <cell r="AN39" t="e">
            <v>#VALUE!</v>
          </cell>
          <cell r="AO39" t="str">
            <v/>
          </cell>
          <cell r="AP39" t="str">
            <v/>
          </cell>
          <cell r="AQ39">
            <v>54000</v>
          </cell>
          <cell r="AR39">
            <v>36000</v>
          </cell>
          <cell r="AS39">
            <v>0</v>
          </cell>
          <cell r="AT39">
            <v>0</v>
          </cell>
          <cell r="AU39">
            <v>0</v>
          </cell>
          <cell r="AV39">
            <v>44834</v>
          </cell>
          <cell r="AW39">
            <v>0</v>
          </cell>
          <cell r="AX39">
            <v>0</v>
          </cell>
          <cell r="AY39">
            <v>73536.41</v>
          </cell>
          <cell r="AZ39">
            <v>0.81707122222222228</v>
          </cell>
          <cell r="BA39">
            <v>0</v>
          </cell>
          <cell r="BB39">
            <v>0</v>
          </cell>
          <cell r="BC39">
            <v>0</v>
          </cell>
          <cell r="BD39">
            <v>0</v>
          </cell>
          <cell r="BE39">
            <v>0</v>
          </cell>
          <cell r="BF39">
            <v>0</v>
          </cell>
          <cell r="BG39" t="str">
            <v>SI</v>
          </cell>
        </row>
        <row r="40">
          <cell r="B40" t="str">
            <v>ARA-2020-0004</v>
          </cell>
          <cell r="C40">
            <v>176023.4</v>
          </cell>
          <cell r="D40" t="str">
            <v>MEJORA TECNOLÓGICA Y DE ACCESIBILIDAD EN EL POLÍGONO INDUSTRIAL LOS LLANOS. (APARCAMIENTO) EN UTRILLAS (TERUEL)</v>
          </cell>
          <cell r="E40">
            <v>44188</v>
          </cell>
          <cell r="F40" t="str">
            <v>Industria, competitividad y desarrollo empresarial</v>
          </cell>
          <cell r="G40">
            <v>235000</v>
          </cell>
          <cell r="H40">
            <v>176250</v>
          </cell>
          <cell r="I40">
            <v>58750</v>
          </cell>
          <cell r="J40">
            <v>235000</v>
          </cell>
          <cell r="K40">
            <v>0</v>
          </cell>
          <cell r="L40">
            <v>0</v>
          </cell>
          <cell r="M40">
            <v>0</v>
          </cell>
          <cell r="N40">
            <v>88125</v>
          </cell>
          <cell r="O40">
            <v>0.5</v>
          </cell>
          <cell r="P40">
            <v>88125</v>
          </cell>
          <cell r="Q40">
            <v>0.5</v>
          </cell>
          <cell r="R40">
            <v>0</v>
          </cell>
          <cell r="S40">
            <v>0</v>
          </cell>
          <cell r="T40">
            <v>0</v>
          </cell>
          <cell r="U40">
            <v>0</v>
          </cell>
          <cell r="V40">
            <v>-176250</v>
          </cell>
          <cell r="W40">
            <v>235000</v>
          </cell>
          <cell r="X40" t="str">
            <v>UTRILLAS</v>
          </cell>
          <cell r="Y40" t="str">
            <v>TERUEL</v>
          </cell>
          <cell r="Z40" t="str">
            <v>NO MOD PRESUPUESTARIA</v>
          </cell>
          <cell r="AA40">
            <v>235000</v>
          </cell>
          <cell r="AB40">
            <v>176250</v>
          </cell>
          <cell r="AC40">
            <v>58750</v>
          </cell>
          <cell r="AD40">
            <v>44531</v>
          </cell>
          <cell r="AE40">
            <v>88125</v>
          </cell>
          <cell r="AF40">
            <v>0.5</v>
          </cell>
          <cell r="AG40">
            <v>88125</v>
          </cell>
          <cell r="AH40">
            <v>0.5</v>
          </cell>
          <cell r="AI40">
            <v>0</v>
          </cell>
          <cell r="AJ40">
            <v>0</v>
          </cell>
          <cell r="AK40">
            <v>0</v>
          </cell>
          <cell r="AL40">
            <v>0</v>
          </cell>
          <cell r="AM40">
            <v>0</v>
          </cell>
          <cell r="AN40">
            <v>0</v>
          </cell>
          <cell r="AO40">
            <v>0</v>
          </cell>
          <cell r="AP40">
            <v>0</v>
          </cell>
          <cell r="AQ40">
            <v>88125</v>
          </cell>
          <cell r="AR40">
            <v>88125</v>
          </cell>
          <cell r="AS40">
            <v>0</v>
          </cell>
          <cell r="AT40">
            <v>0</v>
          </cell>
          <cell r="AU40">
            <v>0</v>
          </cell>
          <cell r="AV40">
            <v>44865</v>
          </cell>
          <cell r="AW40">
            <v>0</v>
          </cell>
          <cell r="AX40">
            <v>0</v>
          </cell>
          <cell r="AY40">
            <v>176023.4</v>
          </cell>
          <cell r="AZ40">
            <v>0.99871432624113476</v>
          </cell>
          <cell r="BA40">
            <v>0</v>
          </cell>
          <cell r="BB40">
            <v>0</v>
          </cell>
          <cell r="BC40">
            <v>0</v>
          </cell>
          <cell r="BD40">
            <v>0</v>
          </cell>
          <cell r="BE40">
            <v>0</v>
          </cell>
          <cell r="BF40">
            <v>0</v>
          </cell>
          <cell r="BG40" t="str">
            <v>SI</v>
          </cell>
        </row>
        <row r="41">
          <cell r="B41" t="str">
            <v>ARA-2020-0005</v>
          </cell>
          <cell r="C41">
            <v>208210.71999999997</v>
          </cell>
          <cell r="D41" t="str">
            <v>Implantación de infraestructuras para promoción de explotaciones ganaderas - Castellote</v>
          </cell>
          <cell r="E41">
            <v>44188</v>
          </cell>
          <cell r="F41" t="str">
            <v>Industria, competitividad y desarrollo empresarial</v>
          </cell>
          <cell r="G41">
            <v>289639</v>
          </cell>
          <cell r="H41">
            <v>217229.25</v>
          </cell>
          <cell r="I41">
            <v>72409.75</v>
          </cell>
          <cell r="J41">
            <v>289639</v>
          </cell>
          <cell r="K41">
            <v>0</v>
          </cell>
          <cell r="L41">
            <v>0</v>
          </cell>
          <cell r="M41">
            <v>0</v>
          </cell>
          <cell r="N41">
            <v>108614.63</v>
          </cell>
          <cell r="O41">
            <v>0.50000002301715818</v>
          </cell>
          <cell r="P41">
            <v>108614.62</v>
          </cell>
          <cell r="Q41">
            <v>0.49999997698284182</v>
          </cell>
          <cell r="R41">
            <v>0</v>
          </cell>
          <cell r="S41">
            <v>0</v>
          </cell>
          <cell r="T41">
            <v>0</v>
          </cell>
          <cell r="U41">
            <v>0</v>
          </cell>
          <cell r="V41">
            <v>-217229.25</v>
          </cell>
          <cell r="W41">
            <v>289639</v>
          </cell>
          <cell r="X41" t="str">
            <v>CASTELLOTE</v>
          </cell>
          <cell r="Y41" t="str">
            <v>TERUEL</v>
          </cell>
          <cell r="Z41" t="str">
            <v>ADENDA FIRMADA</v>
          </cell>
          <cell r="AA41">
            <v>367830.15</v>
          </cell>
          <cell r="AB41">
            <v>275872.61</v>
          </cell>
          <cell r="AC41">
            <v>91957.540000000037</v>
          </cell>
          <cell r="AD41">
            <v>44946</v>
          </cell>
          <cell r="AE41">
            <v>0</v>
          </cell>
          <cell r="AF41">
            <v>0</v>
          </cell>
          <cell r="AG41">
            <v>0</v>
          </cell>
          <cell r="AH41">
            <v>0</v>
          </cell>
          <cell r="AI41">
            <v>68968.149999999994</v>
          </cell>
          <cell r="AJ41">
            <v>0</v>
          </cell>
          <cell r="AK41">
            <v>0.24999999093784628</v>
          </cell>
          <cell r="AL41">
            <v>93953.79</v>
          </cell>
          <cell r="AM41">
            <v>58643.360000000001</v>
          </cell>
          <cell r="AN41">
            <v>0.5531435324441959</v>
          </cell>
          <cell r="AO41">
            <v>0</v>
          </cell>
          <cell r="AP41">
            <v>0</v>
          </cell>
          <cell r="AQ41">
            <v>0</v>
          </cell>
          <cell r="AR41">
            <v>0</v>
          </cell>
          <cell r="AS41">
            <v>68968.149999999994</v>
          </cell>
          <cell r="AT41">
            <v>93953.79</v>
          </cell>
          <cell r="AU41">
            <v>0</v>
          </cell>
          <cell r="AV41">
            <v>45412</v>
          </cell>
          <cell r="AW41">
            <v>0</v>
          </cell>
          <cell r="AX41">
            <v>0</v>
          </cell>
          <cell r="AY41">
            <v>54307.31</v>
          </cell>
          <cell r="AZ41">
            <v>0.24999998849142091</v>
          </cell>
          <cell r="BA41">
            <v>0</v>
          </cell>
          <cell r="BB41">
            <v>0</v>
          </cell>
          <cell r="BC41">
            <v>95260.049999999988</v>
          </cell>
          <cell r="BD41">
            <v>58643.360000000001</v>
          </cell>
          <cell r="BE41">
            <v>0</v>
          </cell>
          <cell r="BF41">
            <v>0</v>
          </cell>
          <cell r="BG41" t="str">
            <v>SI</v>
          </cell>
        </row>
        <row r="42">
          <cell r="B42" t="str">
            <v>ARA-2020-0007</v>
          </cell>
          <cell r="C42">
            <v>50411.59</v>
          </cell>
          <cell r="D42" t="str">
            <v>Ahorro energético, renovación alumbrado público - Montalbán</v>
          </cell>
          <cell r="E42">
            <v>44188</v>
          </cell>
          <cell r="F42" t="str">
            <v>Industria, competitividad y desarrollo empresarial</v>
          </cell>
          <cell r="G42">
            <v>99888</v>
          </cell>
          <cell r="H42">
            <v>74916</v>
          </cell>
          <cell r="I42">
            <v>24972</v>
          </cell>
          <cell r="J42">
            <v>99888</v>
          </cell>
          <cell r="K42">
            <v>0</v>
          </cell>
          <cell r="L42">
            <v>7491.6</v>
          </cell>
          <cell r="M42">
            <v>0.1</v>
          </cell>
          <cell r="N42">
            <v>37458</v>
          </cell>
          <cell r="O42">
            <v>0.5</v>
          </cell>
          <cell r="P42">
            <v>29966.400000000001</v>
          </cell>
          <cell r="Q42">
            <v>0.4</v>
          </cell>
          <cell r="R42">
            <v>0</v>
          </cell>
          <cell r="S42">
            <v>0</v>
          </cell>
          <cell r="T42">
            <v>0</v>
          </cell>
          <cell r="U42">
            <v>0</v>
          </cell>
          <cell r="V42">
            <v>-74916</v>
          </cell>
          <cell r="W42">
            <v>99888</v>
          </cell>
          <cell r="X42" t="str">
            <v>MONTALBÁN</v>
          </cell>
          <cell r="Y42" t="str">
            <v>TERUEL</v>
          </cell>
          <cell r="Z42" t="str">
            <v>ADENDA FIRMADA</v>
          </cell>
          <cell r="AA42">
            <v>99888</v>
          </cell>
          <cell r="AB42">
            <v>74916</v>
          </cell>
          <cell r="AC42">
            <v>24972</v>
          </cell>
          <cell r="AD42">
            <v>44858</v>
          </cell>
          <cell r="AE42">
            <v>18729</v>
          </cell>
          <cell r="AF42">
            <v>0.25</v>
          </cell>
          <cell r="AG42">
            <v>11237.4</v>
          </cell>
          <cell r="AH42">
            <v>0.15</v>
          </cell>
          <cell r="AI42">
            <v>44949.599999999999</v>
          </cell>
          <cell r="AJ42">
            <v>0</v>
          </cell>
          <cell r="AK42">
            <v>0.6</v>
          </cell>
          <cell r="AL42">
            <v>0</v>
          </cell>
          <cell r="AM42">
            <v>0</v>
          </cell>
          <cell r="AN42">
            <v>0</v>
          </cell>
          <cell r="AO42">
            <v>0</v>
          </cell>
          <cell r="AP42">
            <v>0</v>
          </cell>
          <cell r="AQ42">
            <v>18729</v>
          </cell>
          <cell r="AR42">
            <v>11237.4</v>
          </cell>
          <cell r="AS42">
            <v>44949.599999999999</v>
          </cell>
          <cell r="AT42">
            <v>0</v>
          </cell>
          <cell r="AU42">
            <v>0</v>
          </cell>
          <cell r="AV42">
            <v>45230</v>
          </cell>
          <cell r="AW42">
            <v>0</v>
          </cell>
          <cell r="AX42">
            <v>0</v>
          </cell>
          <cell r="AY42">
            <v>18729</v>
          </cell>
          <cell r="AZ42">
            <v>0.25</v>
          </cell>
          <cell r="BA42">
            <v>0</v>
          </cell>
          <cell r="BB42">
            <v>0</v>
          </cell>
          <cell r="BC42">
            <v>31682.59</v>
          </cell>
          <cell r="BD42">
            <v>0</v>
          </cell>
          <cell r="BE42">
            <v>0</v>
          </cell>
          <cell r="BF42">
            <v>0</v>
          </cell>
          <cell r="BG42" t="str">
            <v>SI</v>
          </cell>
        </row>
        <row r="43">
          <cell r="B43" t="str">
            <v>ARA-2020-0008</v>
          </cell>
          <cell r="C43">
            <v>43457.45</v>
          </cell>
          <cell r="D43" t="str">
            <v>EFICIENCIA ENERGÉTICA EN EDIFICIOS MUNICIPALES EN MONTALBÁN (TERUEL)</v>
          </cell>
          <cell r="E43">
            <v>44188</v>
          </cell>
          <cell r="F43" t="str">
            <v>Industria, competitividad y desarrollo empresarial</v>
          </cell>
          <cell r="G43">
            <v>86673</v>
          </cell>
          <cell r="H43">
            <v>65004.75</v>
          </cell>
          <cell r="I43">
            <v>21668.25</v>
          </cell>
          <cell r="J43">
            <v>86673</v>
          </cell>
          <cell r="K43">
            <v>0</v>
          </cell>
          <cell r="L43">
            <v>6500.48</v>
          </cell>
          <cell r="M43">
            <v>0.10000007691745602</v>
          </cell>
          <cell r="N43">
            <v>32502.37</v>
          </cell>
          <cell r="O43">
            <v>0.49999992308254393</v>
          </cell>
          <cell r="P43">
            <v>26001.9</v>
          </cell>
          <cell r="Q43">
            <v>0.4</v>
          </cell>
          <cell r="R43">
            <v>0</v>
          </cell>
          <cell r="S43">
            <v>0</v>
          </cell>
          <cell r="T43">
            <v>0</v>
          </cell>
          <cell r="U43">
            <v>0</v>
          </cell>
          <cell r="V43">
            <v>-65004.75</v>
          </cell>
          <cell r="W43">
            <v>86673</v>
          </cell>
          <cell r="X43" t="str">
            <v>MONTALBÁN</v>
          </cell>
          <cell r="Y43" t="str">
            <v>TERUEL</v>
          </cell>
          <cell r="Z43" t="str">
            <v>ADENDA FIRMADA</v>
          </cell>
          <cell r="AA43">
            <v>86673</v>
          </cell>
          <cell r="AB43">
            <v>65004.75</v>
          </cell>
          <cell r="AC43">
            <v>21668.25</v>
          </cell>
          <cell r="AD43">
            <v>44853</v>
          </cell>
          <cell r="AE43">
            <v>16251.19</v>
          </cell>
          <cell r="AF43">
            <v>0.25000003845872804</v>
          </cell>
          <cell r="AG43">
            <v>9750.7099999999991</v>
          </cell>
          <cell r="AH43">
            <v>0.14999996154127196</v>
          </cell>
          <cell r="AI43">
            <v>39002.85</v>
          </cell>
          <cell r="AJ43">
            <v>0</v>
          </cell>
          <cell r="AK43">
            <v>0.6</v>
          </cell>
          <cell r="AL43">
            <v>0</v>
          </cell>
          <cell r="AM43">
            <v>0</v>
          </cell>
          <cell r="AN43">
            <v>0</v>
          </cell>
          <cell r="AO43">
            <v>0</v>
          </cell>
          <cell r="AP43">
            <v>0</v>
          </cell>
          <cell r="AQ43">
            <v>16251.19</v>
          </cell>
          <cell r="AR43">
            <v>9750.7099999999991</v>
          </cell>
          <cell r="AS43">
            <v>39002.85</v>
          </cell>
          <cell r="AT43">
            <v>0</v>
          </cell>
          <cell r="AU43">
            <v>0</v>
          </cell>
          <cell r="AV43">
            <v>45230</v>
          </cell>
          <cell r="AW43">
            <v>0</v>
          </cell>
          <cell r="AX43">
            <v>0</v>
          </cell>
          <cell r="AY43">
            <v>16251.19</v>
          </cell>
          <cell r="AZ43">
            <v>0.25000003845872804</v>
          </cell>
          <cell r="BA43">
            <v>0</v>
          </cell>
          <cell r="BB43">
            <v>0</v>
          </cell>
          <cell r="BC43">
            <v>27206.26</v>
          </cell>
          <cell r="BD43">
            <v>0</v>
          </cell>
          <cell r="BE43">
            <v>0</v>
          </cell>
          <cell r="BF43">
            <v>0</v>
          </cell>
          <cell r="BG43" t="str">
            <v>SI</v>
          </cell>
        </row>
        <row r="44">
          <cell r="B44" t="str">
            <v>ARA-2020-0010</v>
          </cell>
          <cell r="C44">
            <v>186235.84000000003</v>
          </cell>
          <cell r="D44" t="str">
            <v>Mejoras pol. Industrial La Fuensalada: aparcamientos y equipamientos públicos - Calanda</v>
          </cell>
          <cell r="E44">
            <v>44188</v>
          </cell>
          <cell r="F44" t="str">
            <v>Industria, competitividad y desarrollo empresarial</v>
          </cell>
          <cell r="G44">
            <v>249769</v>
          </cell>
          <cell r="H44">
            <v>187326.75</v>
          </cell>
          <cell r="I44">
            <v>62442.25</v>
          </cell>
          <cell r="J44">
            <v>249769</v>
          </cell>
          <cell r="K44">
            <v>0</v>
          </cell>
          <cell r="L44">
            <v>0</v>
          </cell>
          <cell r="M44">
            <v>0</v>
          </cell>
          <cell r="N44">
            <v>93663.38</v>
          </cell>
          <cell r="O44">
            <v>0.50000002669132948</v>
          </cell>
          <cell r="P44">
            <v>93663.37</v>
          </cell>
          <cell r="Q44">
            <v>0.49999997330867052</v>
          </cell>
          <cell r="R44">
            <v>0</v>
          </cell>
          <cell r="S44">
            <v>0</v>
          </cell>
          <cell r="T44">
            <v>0</v>
          </cell>
          <cell r="U44">
            <v>0</v>
          </cell>
          <cell r="V44">
            <v>-187326.75</v>
          </cell>
          <cell r="W44">
            <v>249769</v>
          </cell>
          <cell r="X44" t="str">
            <v>CALANDA</v>
          </cell>
          <cell r="Y44" t="str">
            <v>TERUEL</v>
          </cell>
          <cell r="Z44" t="str">
            <v>ADENDA FIRMADA</v>
          </cell>
          <cell r="AA44">
            <v>249769</v>
          </cell>
          <cell r="AB44">
            <v>187326.75</v>
          </cell>
          <cell r="AC44">
            <v>62442.25</v>
          </cell>
          <cell r="AD44">
            <v>45219</v>
          </cell>
          <cell r="AE44">
            <v>0</v>
          </cell>
          <cell r="AF44">
            <v>0</v>
          </cell>
          <cell r="AG44">
            <v>0</v>
          </cell>
          <cell r="AH44">
            <v>0</v>
          </cell>
          <cell r="AI44">
            <v>46831.69</v>
          </cell>
          <cell r="AJ44">
            <v>0</v>
          </cell>
          <cell r="AK44">
            <v>0.25000001334566474</v>
          </cell>
          <cell r="AL44">
            <v>93663.37</v>
          </cell>
          <cell r="AM44">
            <v>0</v>
          </cell>
          <cell r="AN44">
            <v>0.49999997330867052</v>
          </cell>
          <cell r="AO44">
            <v>0</v>
          </cell>
          <cell r="AP44">
            <v>0</v>
          </cell>
          <cell r="AQ44">
            <v>0</v>
          </cell>
          <cell r="AR44">
            <v>0</v>
          </cell>
          <cell r="AS44">
            <v>46831.69</v>
          </cell>
          <cell r="AT44">
            <v>93663.37</v>
          </cell>
          <cell r="AU44">
            <v>0</v>
          </cell>
          <cell r="AV44">
            <v>45412</v>
          </cell>
          <cell r="AW44">
            <v>0</v>
          </cell>
          <cell r="AX44">
            <v>0</v>
          </cell>
          <cell r="AY44">
            <v>46831.69</v>
          </cell>
          <cell r="AZ44">
            <v>0.25000001334566474</v>
          </cell>
          <cell r="BA44">
            <v>0</v>
          </cell>
          <cell r="BB44">
            <v>0</v>
          </cell>
          <cell r="BC44">
            <v>139404.15000000002</v>
          </cell>
          <cell r="BD44">
            <v>0</v>
          </cell>
          <cell r="BE44">
            <v>0</v>
          </cell>
          <cell r="BF44">
            <v>0</v>
          </cell>
          <cell r="BG44" t="str">
            <v>SI</v>
          </cell>
        </row>
        <row r="45">
          <cell r="B45" t="str">
            <v>ARA-2020-0011</v>
          </cell>
          <cell r="C45">
            <v>149991</v>
          </cell>
          <cell r="D45" t="str">
            <v>Mejoras pol. Industrial La Fuensalada: Urbanización EJE 6 - Calanda</v>
          </cell>
          <cell r="E45">
            <v>44188</v>
          </cell>
          <cell r="F45" t="str">
            <v>Industria, competitividad y desarrollo empresarial</v>
          </cell>
          <cell r="G45">
            <v>199988</v>
          </cell>
          <cell r="H45">
            <v>149991</v>
          </cell>
          <cell r="I45">
            <v>49997</v>
          </cell>
          <cell r="J45">
            <v>199988</v>
          </cell>
          <cell r="K45">
            <v>0</v>
          </cell>
          <cell r="L45">
            <v>0</v>
          </cell>
          <cell r="M45">
            <v>0</v>
          </cell>
          <cell r="N45">
            <v>74995.5</v>
          </cell>
          <cell r="O45">
            <v>0.5</v>
          </cell>
          <cell r="P45">
            <v>74995.5</v>
          </cell>
          <cell r="Q45">
            <v>0.5</v>
          </cell>
          <cell r="R45">
            <v>0</v>
          </cell>
          <cell r="S45">
            <v>0</v>
          </cell>
          <cell r="T45">
            <v>0</v>
          </cell>
          <cell r="U45">
            <v>0</v>
          </cell>
          <cell r="V45">
            <v>-149991</v>
          </cell>
          <cell r="W45">
            <v>199988</v>
          </cell>
          <cell r="X45" t="str">
            <v>CALANDA</v>
          </cell>
          <cell r="Y45" t="str">
            <v>TERUEL</v>
          </cell>
          <cell r="Z45" t="str">
            <v>NO MOD PRESUPUESTARIA</v>
          </cell>
          <cell r="AA45">
            <v>199988</v>
          </cell>
          <cell r="AB45">
            <v>149991</v>
          </cell>
          <cell r="AC45">
            <v>49997</v>
          </cell>
          <cell r="AD45">
            <v>44531</v>
          </cell>
          <cell r="AE45">
            <v>74995.5</v>
          </cell>
          <cell r="AF45">
            <v>0.5</v>
          </cell>
          <cell r="AG45">
            <v>74995.5</v>
          </cell>
          <cell r="AH45">
            <v>0.5</v>
          </cell>
          <cell r="AI45">
            <v>0</v>
          </cell>
          <cell r="AJ45">
            <v>0</v>
          </cell>
          <cell r="AK45">
            <v>0</v>
          </cell>
          <cell r="AL45">
            <v>0</v>
          </cell>
          <cell r="AM45">
            <v>0</v>
          </cell>
          <cell r="AN45">
            <v>0</v>
          </cell>
          <cell r="AO45">
            <v>0</v>
          </cell>
          <cell r="AP45">
            <v>0</v>
          </cell>
          <cell r="AQ45">
            <v>74995.5</v>
          </cell>
          <cell r="AR45">
            <v>74995.5</v>
          </cell>
          <cell r="AS45">
            <v>0</v>
          </cell>
          <cell r="AT45">
            <v>0</v>
          </cell>
          <cell r="AU45">
            <v>0</v>
          </cell>
          <cell r="AV45">
            <v>44865</v>
          </cell>
          <cell r="AW45">
            <v>0</v>
          </cell>
          <cell r="AX45">
            <v>0</v>
          </cell>
          <cell r="AY45">
            <v>149991</v>
          </cell>
          <cell r="AZ45">
            <v>1</v>
          </cell>
          <cell r="BA45">
            <v>0</v>
          </cell>
          <cell r="BB45">
            <v>0</v>
          </cell>
          <cell r="BC45">
            <v>0</v>
          </cell>
          <cell r="BD45">
            <v>0</v>
          </cell>
          <cell r="BE45">
            <v>0</v>
          </cell>
          <cell r="BF45">
            <v>0</v>
          </cell>
          <cell r="BG45" t="str">
            <v>SI</v>
          </cell>
        </row>
        <row r="46">
          <cell r="B46" t="str">
            <v>ARA-2020-0013</v>
          </cell>
          <cell r="C46">
            <v>338851.78</v>
          </cell>
          <cell r="D46" t="str">
            <v>Nuevo centro de trabajo y economía social ATADI - Alcorisa</v>
          </cell>
          <cell r="E46">
            <v>44188</v>
          </cell>
          <cell r="F46" t="str">
            <v>Industria, competitividad y desarrollo empresarial</v>
          </cell>
          <cell r="G46">
            <v>485759</v>
          </cell>
          <cell r="H46">
            <v>364319.25</v>
          </cell>
          <cell r="I46">
            <v>121439.75</v>
          </cell>
          <cell r="J46">
            <v>485759</v>
          </cell>
          <cell r="K46">
            <v>0</v>
          </cell>
          <cell r="L46">
            <v>0</v>
          </cell>
          <cell r="M46">
            <v>0</v>
          </cell>
          <cell r="N46">
            <v>127511.74</v>
          </cell>
          <cell r="O46">
            <v>0.35000000686211341</v>
          </cell>
          <cell r="P46">
            <v>127511.74</v>
          </cell>
          <cell r="Q46">
            <v>0.35000000686211341</v>
          </cell>
          <cell r="R46">
            <v>109295.77</v>
          </cell>
          <cell r="S46">
            <v>0.29999998627577323</v>
          </cell>
          <cell r="T46">
            <v>0</v>
          </cell>
          <cell r="U46">
            <v>0</v>
          </cell>
          <cell r="V46">
            <v>-364319.25</v>
          </cell>
          <cell r="W46">
            <v>485759</v>
          </cell>
          <cell r="X46" t="str">
            <v>ALCORISA</v>
          </cell>
          <cell r="Y46" t="str">
            <v>TERUEL</v>
          </cell>
          <cell r="Z46" t="str">
            <v>NO MOD PRESUPUESTARIA</v>
          </cell>
          <cell r="AA46">
            <v>485759</v>
          </cell>
          <cell r="AB46">
            <v>364319.25</v>
          </cell>
          <cell r="AC46">
            <v>121439.75</v>
          </cell>
          <cell r="AD46">
            <v>45219</v>
          </cell>
          <cell r="AE46">
            <v>0</v>
          </cell>
          <cell r="AF46">
            <v>0</v>
          </cell>
          <cell r="AG46">
            <v>0</v>
          </cell>
          <cell r="AH46">
            <v>0</v>
          </cell>
          <cell r="AI46">
            <v>127511.74</v>
          </cell>
          <cell r="AJ46">
            <v>0</v>
          </cell>
          <cell r="AK46">
            <v>0.35000000686211341</v>
          </cell>
          <cell r="AL46">
            <v>236807.51</v>
          </cell>
          <cell r="AM46">
            <v>0</v>
          </cell>
          <cell r="AN46">
            <v>0.6499999931378867</v>
          </cell>
          <cell r="AO46">
            <v>0</v>
          </cell>
          <cell r="AP46">
            <v>0</v>
          </cell>
          <cell r="AQ46">
            <v>127511.74</v>
          </cell>
          <cell r="AR46">
            <v>127511.74</v>
          </cell>
          <cell r="AS46">
            <v>109295.77</v>
          </cell>
          <cell r="AT46">
            <v>0</v>
          </cell>
          <cell r="AU46">
            <v>0</v>
          </cell>
          <cell r="AV46">
            <v>45504</v>
          </cell>
          <cell r="AW46">
            <v>0</v>
          </cell>
          <cell r="AX46">
            <v>0</v>
          </cell>
          <cell r="AY46">
            <v>0</v>
          </cell>
          <cell r="AZ46">
            <v>0</v>
          </cell>
          <cell r="BA46">
            <v>91079.81</v>
          </cell>
          <cell r="BB46">
            <v>0</v>
          </cell>
          <cell r="BC46">
            <v>247771.97</v>
          </cell>
          <cell r="BD46">
            <v>0</v>
          </cell>
          <cell r="BE46">
            <v>0</v>
          </cell>
          <cell r="BF46">
            <v>0</v>
          </cell>
          <cell r="BG46" t="str">
            <v>SI</v>
          </cell>
        </row>
        <row r="47">
          <cell r="B47" t="str">
            <v>ARA-2020-0014</v>
          </cell>
          <cell r="C47">
            <v>40115.25</v>
          </cell>
          <cell r="D47" t="str">
            <v>ALUMBRADO PÚBLICO PARA ACCESO POLÍGONO INDUSTRIAL (TRAVESÍA CTRA A-223) EN ALBALATE DEL ARZOBISPO (TERUEL)</v>
          </cell>
          <cell r="E47">
            <v>44188</v>
          </cell>
          <cell r="F47" t="str">
            <v>Industria, competitividad y desarrollo empresarial</v>
          </cell>
          <cell r="G47">
            <v>53487</v>
          </cell>
          <cell r="H47">
            <v>40115.25</v>
          </cell>
          <cell r="I47">
            <v>13371.75</v>
          </cell>
          <cell r="J47">
            <v>53487</v>
          </cell>
          <cell r="K47">
            <v>0</v>
          </cell>
          <cell r="L47">
            <v>4011.52</v>
          </cell>
          <cell r="M47">
            <v>9.9999875359121526E-2</v>
          </cell>
          <cell r="N47">
            <v>20057.63</v>
          </cell>
          <cell r="O47">
            <v>0.50000012464087851</v>
          </cell>
          <cell r="P47">
            <v>16046.1</v>
          </cell>
          <cell r="Q47">
            <v>0.4</v>
          </cell>
          <cell r="R47">
            <v>0</v>
          </cell>
          <cell r="S47">
            <v>0</v>
          </cell>
          <cell r="T47">
            <v>0</v>
          </cell>
          <cell r="U47">
            <v>0</v>
          </cell>
          <cell r="V47">
            <v>-40115.25</v>
          </cell>
          <cell r="W47">
            <v>53487</v>
          </cell>
          <cell r="X47" t="str">
            <v>ALBALATE DEL ARZOBISPO</v>
          </cell>
          <cell r="Y47" t="str">
            <v>TERUEL</v>
          </cell>
          <cell r="Z47" t="str">
            <v>NO MOD PRESUPUESTARIA</v>
          </cell>
          <cell r="AA47">
            <v>53487</v>
          </cell>
          <cell r="AB47">
            <v>40115.25</v>
          </cell>
          <cell r="AC47">
            <v>13371.75</v>
          </cell>
          <cell r="AD47">
            <v>44531</v>
          </cell>
          <cell r="AE47">
            <v>24069.149999999998</v>
          </cell>
          <cell r="AF47">
            <v>0.6</v>
          </cell>
          <cell r="AG47">
            <v>16046.100000000002</v>
          </cell>
          <cell r="AH47">
            <v>0.40000000000000008</v>
          </cell>
          <cell r="AI47">
            <v>0</v>
          </cell>
          <cell r="AJ47">
            <v>0</v>
          </cell>
          <cell r="AK47">
            <v>0</v>
          </cell>
          <cell r="AL47">
            <v>0</v>
          </cell>
          <cell r="AM47">
            <v>0</v>
          </cell>
          <cell r="AN47">
            <v>0</v>
          </cell>
          <cell r="AO47">
            <v>0</v>
          </cell>
          <cell r="AP47">
            <v>0</v>
          </cell>
          <cell r="AQ47">
            <v>24069.15</v>
          </cell>
          <cell r="AR47">
            <v>16046.1</v>
          </cell>
          <cell r="AS47">
            <v>0</v>
          </cell>
          <cell r="AT47">
            <v>0</v>
          </cell>
          <cell r="AU47">
            <v>0</v>
          </cell>
          <cell r="AV47">
            <v>44865</v>
          </cell>
          <cell r="AW47">
            <v>0</v>
          </cell>
          <cell r="AX47">
            <v>0</v>
          </cell>
          <cell r="AY47">
            <v>10028.81</v>
          </cell>
          <cell r="AZ47">
            <v>0.24999993767956075</v>
          </cell>
          <cell r="BA47">
            <v>30086.440000000002</v>
          </cell>
          <cell r="BB47">
            <v>0</v>
          </cell>
          <cell r="BC47">
            <v>0</v>
          </cell>
          <cell r="BD47">
            <v>0</v>
          </cell>
          <cell r="BE47">
            <v>0</v>
          </cell>
          <cell r="BF47">
            <v>0</v>
          </cell>
          <cell r="BG47" t="str">
            <v>SI</v>
          </cell>
        </row>
        <row r="48">
          <cell r="B48" t="str">
            <v>ARA-2020-0015</v>
          </cell>
          <cell r="C48">
            <v>3987837</v>
          </cell>
          <cell r="D48" t="str">
            <v>Centro de atención personas mayores y  centro de día - Mequinenza (Zaragoza)</v>
          </cell>
          <cell r="E48">
            <v>44188</v>
          </cell>
          <cell r="F48" t="str">
            <v>Industria, competitividad y desarrollo empresarial</v>
          </cell>
          <cell r="G48">
            <v>5317116</v>
          </cell>
          <cell r="H48">
            <v>3987837</v>
          </cell>
          <cell r="I48">
            <v>1329279</v>
          </cell>
          <cell r="J48">
            <v>5317116</v>
          </cell>
          <cell r="K48">
            <v>0</v>
          </cell>
          <cell r="L48">
            <v>0</v>
          </cell>
          <cell r="M48">
            <v>0</v>
          </cell>
          <cell r="N48">
            <v>1395742.95</v>
          </cell>
          <cell r="O48">
            <v>0.35</v>
          </cell>
          <cell r="P48">
            <v>1395742.95</v>
          </cell>
          <cell r="Q48">
            <v>0.35</v>
          </cell>
          <cell r="R48">
            <v>1196351.1000000001</v>
          </cell>
          <cell r="S48">
            <v>0.30000000000000004</v>
          </cell>
          <cell r="T48">
            <v>0</v>
          </cell>
          <cell r="U48">
            <v>0</v>
          </cell>
          <cell r="V48">
            <v>-3987837</v>
          </cell>
          <cell r="W48">
            <v>5317116</v>
          </cell>
          <cell r="X48" t="str">
            <v>MEQUINENZA</v>
          </cell>
          <cell r="Y48" t="str">
            <v>ZARAGOZA</v>
          </cell>
          <cell r="Z48" t="str">
            <v>NO MOD PRESUPUESTARIA</v>
          </cell>
          <cell r="AA48">
            <v>5317116</v>
          </cell>
          <cell r="AB48">
            <v>3987837</v>
          </cell>
          <cell r="AC48">
            <v>1329279</v>
          </cell>
          <cell r="AD48">
            <v>45229</v>
          </cell>
          <cell r="AE48">
            <v>0</v>
          </cell>
          <cell r="AF48">
            <v>0</v>
          </cell>
          <cell r="AG48">
            <v>0</v>
          </cell>
          <cell r="AH48">
            <v>0</v>
          </cell>
          <cell r="AI48">
            <v>996959.25</v>
          </cell>
          <cell r="AJ48">
            <v>0</v>
          </cell>
          <cell r="AK48">
            <v>0.25</v>
          </cell>
          <cell r="AL48">
            <v>1993918.5</v>
          </cell>
          <cell r="AM48">
            <v>0</v>
          </cell>
          <cell r="AN48">
            <v>0.5</v>
          </cell>
          <cell r="AO48">
            <v>0</v>
          </cell>
          <cell r="AP48">
            <v>0</v>
          </cell>
          <cell r="AQ48">
            <v>1395742.95</v>
          </cell>
          <cell r="AR48">
            <v>1395742.95</v>
          </cell>
          <cell r="AS48">
            <v>1196351.1000000001</v>
          </cell>
          <cell r="AT48">
            <v>0</v>
          </cell>
          <cell r="AU48">
            <v>0</v>
          </cell>
          <cell r="AV48">
            <v>45504</v>
          </cell>
          <cell r="AW48">
            <v>0</v>
          </cell>
          <cell r="AX48">
            <v>0</v>
          </cell>
          <cell r="AY48">
            <v>996959.25</v>
          </cell>
          <cell r="AZ48">
            <v>0.25</v>
          </cell>
          <cell r="BA48">
            <v>0</v>
          </cell>
          <cell r="BB48">
            <v>0</v>
          </cell>
          <cell r="BC48">
            <v>2990877.75</v>
          </cell>
          <cell r="BD48">
            <v>0</v>
          </cell>
          <cell r="BE48">
            <v>0</v>
          </cell>
          <cell r="BF48">
            <v>0</v>
          </cell>
          <cell r="BG48" t="str">
            <v>SI</v>
          </cell>
        </row>
        <row r="49">
          <cell r="B49" t="str">
            <v>ARA-2020-0016</v>
          </cell>
          <cell r="C49">
            <v>148961.56999999998</v>
          </cell>
          <cell r="D49" t="str">
            <v>Infraestructuras abastecimiento de agua y energía eléctrica a zona para implantación de explotaciones ganaderas - Cañizar del Olivar</v>
          </cell>
          <cell r="E49">
            <v>44188</v>
          </cell>
          <cell r="F49" t="str">
            <v>Industria, competitividad y desarrollo empresarial</v>
          </cell>
          <cell r="G49">
            <v>199700.7</v>
          </cell>
          <cell r="H49">
            <v>149775.52500000002</v>
          </cell>
          <cell r="I49">
            <v>49925.175000000003</v>
          </cell>
          <cell r="J49">
            <v>199700.7</v>
          </cell>
          <cell r="K49">
            <v>0</v>
          </cell>
          <cell r="L49">
            <v>14977.55</v>
          </cell>
          <cell r="M49">
            <v>9.9999983308354259E-2</v>
          </cell>
          <cell r="N49">
            <v>74887.77</v>
          </cell>
          <cell r="O49">
            <v>0.50000005007493709</v>
          </cell>
          <cell r="P49">
            <v>59910.21</v>
          </cell>
          <cell r="Q49">
            <v>0.39999999999999991</v>
          </cell>
          <cell r="R49">
            <v>0</v>
          </cell>
          <cell r="S49">
            <v>0</v>
          </cell>
          <cell r="T49">
            <v>0</v>
          </cell>
          <cell r="U49">
            <v>0</v>
          </cell>
          <cell r="V49">
            <v>-149775.52500000002</v>
          </cell>
          <cell r="W49">
            <v>199700.7</v>
          </cell>
          <cell r="X49" t="str">
            <v>CAÑIZAR DEL OLIVAR</v>
          </cell>
          <cell r="Y49" t="str">
            <v>TERUEL</v>
          </cell>
          <cell r="Z49" t="str">
            <v>NO MOD PRESUPUESTARIA</v>
          </cell>
          <cell r="AA49">
            <v>199700.7</v>
          </cell>
          <cell r="AB49">
            <v>149775.52500000002</v>
          </cell>
          <cell r="AC49">
            <v>49925.174999999988</v>
          </cell>
          <cell r="AD49" t="str">
            <v/>
          </cell>
          <cell r="AE49" t="str">
            <v/>
          </cell>
          <cell r="AF49" t="e">
            <v>#VALUE!</v>
          </cell>
          <cell r="AG49" t="str">
            <v/>
          </cell>
          <cell r="AH49" t="e">
            <v>#VALUE!</v>
          </cell>
          <cell r="AI49" t="str">
            <v/>
          </cell>
          <cell r="AJ49" t="str">
            <v/>
          </cell>
          <cell r="AK49" t="e">
            <v>#VALUE!</v>
          </cell>
          <cell r="AL49" t="str">
            <v/>
          </cell>
          <cell r="AM49" t="str">
            <v/>
          </cell>
          <cell r="AN49" t="e">
            <v>#VALUE!</v>
          </cell>
          <cell r="AO49" t="str">
            <v/>
          </cell>
          <cell r="AP49" t="str">
            <v/>
          </cell>
          <cell r="AQ49">
            <v>89865.32</v>
          </cell>
          <cell r="AR49">
            <v>59910.21</v>
          </cell>
          <cell r="AS49">
            <v>0</v>
          </cell>
          <cell r="AT49">
            <v>0</v>
          </cell>
          <cell r="AU49">
            <v>0</v>
          </cell>
          <cell r="AV49">
            <v>44834</v>
          </cell>
          <cell r="AW49">
            <v>14977.55</v>
          </cell>
          <cell r="AX49">
            <v>9.9999983308354259E-2</v>
          </cell>
          <cell r="AY49">
            <v>0</v>
          </cell>
          <cell r="AZ49">
            <v>0</v>
          </cell>
          <cell r="BA49">
            <v>133984.01999999999</v>
          </cell>
          <cell r="BB49">
            <v>0</v>
          </cell>
          <cell r="BC49">
            <v>0</v>
          </cell>
          <cell r="BD49">
            <v>0</v>
          </cell>
          <cell r="BE49">
            <v>0</v>
          </cell>
          <cell r="BF49">
            <v>0</v>
          </cell>
          <cell r="BG49" t="str">
            <v>SI</v>
          </cell>
        </row>
        <row r="50">
          <cell r="B50" t="str">
            <v>ARA-2020-0017</v>
          </cell>
          <cell r="C50">
            <v>97785</v>
          </cell>
          <cell r="D50" t="str">
            <v>Instalación y construcción depósito de agua de 520 metros cúbicos de capacidad - Foz Calanda</v>
          </cell>
          <cell r="E50">
            <v>44188</v>
          </cell>
          <cell r="F50" t="str">
            <v>Industria, competitividad y desarrollo empresarial</v>
          </cell>
          <cell r="G50">
            <v>130380</v>
          </cell>
          <cell r="H50">
            <v>97785</v>
          </cell>
          <cell r="I50">
            <v>32595</v>
          </cell>
          <cell r="J50">
            <v>130380</v>
          </cell>
          <cell r="K50">
            <v>0</v>
          </cell>
          <cell r="L50">
            <v>9778.5</v>
          </cell>
          <cell r="M50">
            <v>0.1</v>
          </cell>
          <cell r="N50">
            <v>48892.5</v>
          </cell>
          <cell r="O50">
            <v>0.5</v>
          </cell>
          <cell r="P50">
            <v>39114</v>
          </cell>
          <cell r="Q50">
            <v>0.4</v>
          </cell>
          <cell r="R50">
            <v>0</v>
          </cell>
          <cell r="S50">
            <v>0</v>
          </cell>
          <cell r="T50">
            <v>0</v>
          </cell>
          <cell r="U50">
            <v>0</v>
          </cell>
          <cell r="V50">
            <v>-97785</v>
          </cell>
          <cell r="W50">
            <v>130380</v>
          </cell>
          <cell r="X50" t="str">
            <v>FOZ CALANDA</v>
          </cell>
          <cell r="Y50" t="str">
            <v>TERUEL</v>
          </cell>
          <cell r="Z50" t="str">
            <v>NO MOD PRESUPUESTARIA</v>
          </cell>
          <cell r="AA50">
            <v>130380</v>
          </cell>
          <cell r="AB50">
            <v>97785</v>
          </cell>
          <cell r="AC50">
            <v>32595</v>
          </cell>
          <cell r="AD50">
            <v>44839</v>
          </cell>
          <cell r="AE50">
            <v>58671</v>
          </cell>
          <cell r="AF50">
            <v>0.6</v>
          </cell>
          <cell r="AG50">
            <v>39114</v>
          </cell>
          <cell r="AH50">
            <v>0.4</v>
          </cell>
          <cell r="AI50">
            <v>0</v>
          </cell>
          <cell r="AJ50">
            <v>0</v>
          </cell>
          <cell r="AK50">
            <v>0</v>
          </cell>
          <cell r="AL50">
            <v>0</v>
          </cell>
          <cell r="AM50">
            <v>0</v>
          </cell>
          <cell r="AN50">
            <v>0</v>
          </cell>
          <cell r="AO50">
            <v>0</v>
          </cell>
          <cell r="AP50">
            <v>0</v>
          </cell>
          <cell r="AQ50">
            <v>58671</v>
          </cell>
          <cell r="AR50">
            <v>39114</v>
          </cell>
          <cell r="AS50">
            <v>0</v>
          </cell>
          <cell r="AT50">
            <v>0</v>
          </cell>
          <cell r="AU50">
            <v>0</v>
          </cell>
          <cell r="AV50">
            <v>44865</v>
          </cell>
          <cell r="AW50">
            <v>0</v>
          </cell>
          <cell r="AX50">
            <v>0</v>
          </cell>
          <cell r="AY50">
            <v>97785</v>
          </cell>
          <cell r="AZ50">
            <v>1</v>
          </cell>
          <cell r="BA50">
            <v>0</v>
          </cell>
          <cell r="BB50">
            <v>0</v>
          </cell>
          <cell r="BC50">
            <v>0</v>
          </cell>
          <cell r="BD50">
            <v>0</v>
          </cell>
          <cell r="BE50">
            <v>0</v>
          </cell>
          <cell r="BF50">
            <v>0</v>
          </cell>
          <cell r="BG50" t="str">
            <v>SI</v>
          </cell>
        </row>
        <row r="51">
          <cell r="B51" t="str">
            <v>ARA-2020-0018</v>
          </cell>
          <cell r="C51">
            <v>23683.89</v>
          </cell>
          <cell r="D51" t="str">
            <v>EFICIENCIA ENERGÉTICA ALUMBRADO PÚBLICO POLÍGONO INDUSTRIAL CUENCAS MINERAS. (SUSTITUCIÓN A LED), TERUEL</v>
          </cell>
          <cell r="E51">
            <v>44188</v>
          </cell>
          <cell r="F51" t="str">
            <v>Industria, competitividad y desarrollo empresarial</v>
          </cell>
          <cell r="G51">
            <v>37295</v>
          </cell>
          <cell r="H51">
            <v>27971.25</v>
          </cell>
          <cell r="I51">
            <v>9323.75</v>
          </cell>
          <cell r="J51">
            <v>37295</v>
          </cell>
          <cell r="K51">
            <v>0</v>
          </cell>
          <cell r="L51">
            <v>2797.12</v>
          </cell>
          <cell r="M51">
            <v>9.9999821245028375E-2</v>
          </cell>
          <cell r="N51">
            <v>25174.13</v>
          </cell>
          <cell r="O51">
            <v>0.90000017875497162</v>
          </cell>
          <cell r="P51">
            <v>0</v>
          </cell>
          <cell r="Q51">
            <v>0</v>
          </cell>
          <cell r="R51">
            <v>0</v>
          </cell>
          <cell r="S51">
            <v>0</v>
          </cell>
          <cell r="T51">
            <v>0</v>
          </cell>
          <cell r="U51">
            <v>0</v>
          </cell>
          <cell r="V51">
            <v>-27971.25</v>
          </cell>
          <cell r="W51">
            <v>37295</v>
          </cell>
          <cell r="X51" t="str">
            <v>COMARCAS MINERAS (LAS PARRAS EN MONTALBÁN)</v>
          </cell>
          <cell r="Y51" t="str">
            <v>TERUEL</v>
          </cell>
          <cell r="Z51" t="str">
            <v>NO MOD PRESUPUESTARIA</v>
          </cell>
          <cell r="AA51">
            <v>37295</v>
          </cell>
          <cell r="AB51">
            <v>27971.25</v>
          </cell>
          <cell r="AC51">
            <v>9323.75</v>
          </cell>
          <cell r="AD51" t="str">
            <v/>
          </cell>
          <cell r="AE51" t="str">
            <v/>
          </cell>
          <cell r="AF51" t="e">
            <v>#VALUE!</v>
          </cell>
          <cell r="AG51" t="str">
            <v/>
          </cell>
          <cell r="AH51" t="e">
            <v>#VALUE!</v>
          </cell>
          <cell r="AI51" t="str">
            <v/>
          </cell>
          <cell r="AJ51" t="str">
            <v/>
          </cell>
          <cell r="AK51" t="e">
            <v>#VALUE!</v>
          </cell>
          <cell r="AL51" t="str">
            <v/>
          </cell>
          <cell r="AM51" t="str">
            <v/>
          </cell>
          <cell r="AN51" t="e">
            <v>#VALUE!</v>
          </cell>
          <cell r="AO51" t="str">
            <v/>
          </cell>
          <cell r="AP51" t="str">
            <v/>
          </cell>
          <cell r="AQ51">
            <v>27971.25</v>
          </cell>
          <cell r="AR51">
            <v>0</v>
          </cell>
          <cell r="AS51">
            <v>0</v>
          </cell>
          <cell r="AT51">
            <v>0</v>
          </cell>
          <cell r="AU51">
            <v>0</v>
          </cell>
          <cell r="AV51">
            <v>44469</v>
          </cell>
          <cell r="AW51">
            <v>0</v>
          </cell>
          <cell r="AX51">
            <v>0</v>
          </cell>
          <cell r="AY51">
            <v>23683.89</v>
          </cell>
          <cell r="AZ51">
            <v>0.8467226169727845</v>
          </cell>
          <cell r="BA51">
            <v>0</v>
          </cell>
          <cell r="BB51">
            <v>0</v>
          </cell>
          <cell r="BC51">
            <v>0</v>
          </cell>
          <cell r="BD51">
            <v>0</v>
          </cell>
          <cell r="BE51">
            <v>0</v>
          </cell>
          <cell r="BF51">
            <v>0</v>
          </cell>
          <cell r="BG51" t="str">
            <v>SI</v>
          </cell>
        </row>
        <row r="52">
          <cell r="B52" t="str">
            <v>ARA-2020-0019</v>
          </cell>
          <cell r="C52">
            <v>168781.78999999998</v>
          </cell>
          <cell r="D52" t="str">
            <v>Sustitución luminarias-ahorro energético - Alloza</v>
          </cell>
          <cell r="E52">
            <v>44188</v>
          </cell>
          <cell r="F52" t="str">
            <v>Industria, competitividad y desarrollo empresarial</v>
          </cell>
          <cell r="G52">
            <v>237978</v>
          </cell>
          <cell r="H52">
            <v>178483.5</v>
          </cell>
          <cell r="I52">
            <v>59494.5</v>
          </cell>
          <cell r="J52">
            <v>237978</v>
          </cell>
          <cell r="K52">
            <v>0</v>
          </cell>
          <cell r="L52">
            <v>0</v>
          </cell>
          <cell r="M52">
            <v>0</v>
          </cell>
          <cell r="N52">
            <v>44620.875</v>
          </cell>
          <cell r="O52">
            <v>0.25</v>
          </cell>
          <cell r="P52">
            <v>133862.625</v>
          </cell>
          <cell r="Q52">
            <v>0.75</v>
          </cell>
          <cell r="R52">
            <v>0</v>
          </cell>
          <cell r="S52">
            <v>0</v>
          </cell>
          <cell r="T52">
            <v>0</v>
          </cell>
          <cell r="U52">
            <v>0</v>
          </cell>
          <cell r="V52">
            <v>-178483.5</v>
          </cell>
          <cell r="W52">
            <v>237978</v>
          </cell>
          <cell r="X52" t="str">
            <v>ALLOZA</v>
          </cell>
          <cell r="Y52" t="str">
            <v>TERUEL</v>
          </cell>
          <cell r="Z52" t="str">
            <v>NO MOD PRESUPUESTARIA</v>
          </cell>
          <cell r="AA52">
            <v>237978</v>
          </cell>
          <cell r="AB52">
            <v>178483.5</v>
          </cell>
          <cell r="AC52">
            <v>59494.5</v>
          </cell>
          <cell r="AD52">
            <v>44498</v>
          </cell>
          <cell r="AE52">
            <v>44620.88</v>
          </cell>
          <cell r="AF52">
            <v>0.25000002801379395</v>
          </cell>
          <cell r="AG52">
            <v>133862.62</v>
          </cell>
          <cell r="AH52">
            <v>0.74999997198620594</v>
          </cell>
          <cell r="AI52">
            <v>0</v>
          </cell>
          <cell r="AJ52">
            <v>0</v>
          </cell>
          <cell r="AK52">
            <v>0</v>
          </cell>
          <cell r="AL52">
            <v>0</v>
          </cell>
          <cell r="AM52">
            <v>0</v>
          </cell>
          <cell r="AN52">
            <v>0</v>
          </cell>
          <cell r="AO52">
            <v>0</v>
          </cell>
          <cell r="AP52">
            <v>0</v>
          </cell>
          <cell r="AQ52">
            <v>44620.875</v>
          </cell>
          <cell r="AR52">
            <v>133862.625</v>
          </cell>
          <cell r="AS52">
            <v>0</v>
          </cell>
          <cell r="AT52">
            <v>0</v>
          </cell>
          <cell r="AU52">
            <v>0</v>
          </cell>
          <cell r="AV52">
            <v>44773</v>
          </cell>
          <cell r="AW52">
            <v>0</v>
          </cell>
          <cell r="AX52">
            <v>0</v>
          </cell>
          <cell r="AY52">
            <v>0</v>
          </cell>
          <cell r="AZ52">
            <v>0</v>
          </cell>
          <cell r="BA52">
            <v>168781.78999999998</v>
          </cell>
          <cell r="BB52">
            <v>0</v>
          </cell>
          <cell r="BC52">
            <v>0</v>
          </cell>
          <cell r="BD52">
            <v>0</v>
          </cell>
          <cell r="BE52">
            <v>0</v>
          </cell>
          <cell r="BF52">
            <v>0</v>
          </cell>
          <cell r="BG52" t="str">
            <v>SI</v>
          </cell>
        </row>
        <row r="53">
          <cell r="B53" t="str">
            <v>ARA-2020-0020</v>
          </cell>
          <cell r="C53">
            <v>185032.01</v>
          </cell>
          <cell r="D53" t="str">
            <v xml:space="preserve">Renovación alumbrado casco urbano - Andorra </v>
          </cell>
          <cell r="E53">
            <v>44188</v>
          </cell>
          <cell r="F53" t="str">
            <v>Industria, competitividad y desarrollo empresarial</v>
          </cell>
          <cell r="G53">
            <v>249550</v>
          </cell>
          <cell r="H53">
            <v>187162.5</v>
          </cell>
          <cell r="I53">
            <v>62387.5</v>
          </cell>
          <cell r="J53">
            <v>249550</v>
          </cell>
          <cell r="K53">
            <v>0</v>
          </cell>
          <cell r="L53">
            <v>18716.25</v>
          </cell>
          <cell r="M53">
            <v>0.1</v>
          </cell>
          <cell r="N53">
            <v>93581.25</v>
          </cell>
          <cell r="O53">
            <v>0.5</v>
          </cell>
          <cell r="P53">
            <v>74865</v>
          </cell>
          <cell r="Q53">
            <v>0.4</v>
          </cell>
          <cell r="R53">
            <v>0</v>
          </cell>
          <cell r="S53">
            <v>0</v>
          </cell>
          <cell r="T53">
            <v>0</v>
          </cell>
          <cell r="U53">
            <v>0</v>
          </cell>
          <cell r="V53">
            <v>-187162.5</v>
          </cell>
          <cell r="W53">
            <v>249550</v>
          </cell>
          <cell r="X53" t="str">
            <v>ANDORRA</v>
          </cell>
          <cell r="Y53" t="str">
            <v>TERUEL</v>
          </cell>
          <cell r="Z53" t="str">
            <v>ADENDA FIRMADA</v>
          </cell>
          <cell r="AA53">
            <v>249550</v>
          </cell>
          <cell r="AB53">
            <v>187162.5</v>
          </cell>
          <cell r="AC53">
            <v>62387.5</v>
          </cell>
          <cell r="AD53">
            <v>44858</v>
          </cell>
          <cell r="AE53">
            <v>0</v>
          </cell>
          <cell r="AF53">
            <v>0</v>
          </cell>
          <cell r="AG53">
            <v>93581.25</v>
          </cell>
          <cell r="AH53">
            <v>0.5</v>
          </cell>
          <cell r="AI53">
            <v>93581.25</v>
          </cell>
          <cell r="AJ53">
            <v>0</v>
          </cell>
          <cell r="AK53">
            <v>0.5</v>
          </cell>
          <cell r="AL53">
            <v>0</v>
          </cell>
          <cell r="AM53">
            <v>0</v>
          </cell>
          <cell r="AN53">
            <v>0</v>
          </cell>
          <cell r="AO53">
            <v>0</v>
          </cell>
          <cell r="AP53">
            <v>0</v>
          </cell>
          <cell r="AQ53">
            <v>0</v>
          </cell>
          <cell r="AR53">
            <v>93581.25</v>
          </cell>
          <cell r="AS53">
            <v>93581.25</v>
          </cell>
          <cell r="AT53">
            <v>0</v>
          </cell>
          <cell r="AU53">
            <v>0</v>
          </cell>
          <cell r="AV53">
            <v>45230</v>
          </cell>
          <cell r="AW53">
            <v>0</v>
          </cell>
          <cell r="AX53">
            <v>0</v>
          </cell>
          <cell r="AY53">
            <v>0</v>
          </cell>
          <cell r="AZ53">
            <v>0</v>
          </cell>
          <cell r="BA53">
            <v>0</v>
          </cell>
          <cell r="BB53">
            <v>0</v>
          </cell>
          <cell r="BC53">
            <v>185032.01</v>
          </cell>
          <cell r="BD53">
            <v>0</v>
          </cell>
          <cell r="BE53">
            <v>0</v>
          </cell>
          <cell r="BF53">
            <v>0</v>
          </cell>
          <cell r="BG53" t="str">
            <v>SI</v>
          </cell>
        </row>
        <row r="54">
          <cell r="B54" t="str">
            <v>ARA-2020-0021</v>
          </cell>
          <cell r="C54">
            <v>89999.99</v>
          </cell>
          <cell r="D54" t="str">
            <v>Creación de centro de día - Montalbán</v>
          </cell>
          <cell r="E54">
            <v>44188</v>
          </cell>
          <cell r="F54" t="str">
            <v>Industria, competitividad y desarrollo empresarial</v>
          </cell>
          <cell r="G54">
            <v>120000</v>
          </cell>
          <cell r="H54">
            <v>90000</v>
          </cell>
          <cell r="I54">
            <v>30000</v>
          </cell>
          <cell r="J54">
            <v>120000</v>
          </cell>
          <cell r="K54">
            <v>0</v>
          </cell>
          <cell r="L54">
            <v>0</v>
          </cell>
          <cell r="M54">
            <v>0</v>
          </cell>
          <cell r="N54">
            <v>22500</v>
          </cell>
          <cell r="O54">
            <v>0.25</v>
          </cell>
          <cell r="P54">
            <v>67500</v>
          </cell>
          <cell r="Q54">
            <v>0.75</v>
          </cell>
          <cell r="R54">
            <v>0</v>
          </cell>
          <cell r="S54">
            <v>0</v>
          </cell>
          <cell r="T54">
            <v>0</v>
          </cell>
          <cell r="U54">
            <v>0</v>
          </cell>
          <cell r="V54">
            <v>-90000</v>
          </cell>
          <cell r="W54">
            <v>120000</v>
          </cell>
          <cell r="X54" t="str">
            <v>MONTALBÁN</v>
          </cell>
          <cell r="Y54" t="str">
            <v>TERUEL</v>
          </cell>
          <cell r="Z54" t="str">
            <v>NO MOD PRESUPUESTARIA</v>
          </cell>
          <cell r="AA54">
            <v>120000</v>
          </cell>
          <cell r="AB54">
            <v>90000</v>
          </cell>
          <cell r="AC54">
            <v>30000</v>
          </cell>
          <cell r="AD54">
            <v>44498</v>
          </cell>
          <cell r="AE54">
            <v>22500</v>
          </cell>
          <cell r="AF54">
            <v>0.25</v>
          </cell>
          <cell r="AG54">
            <v>67500</v>
          </cell>
          <cell r="AH54">
            <v>0.75</v>
          </cell>
          <cell r="AI54">
            <v>0</v>
          </cell>
          <cell r="AJ54">
            <v>0</v>
          </cell>
          <cell r="AK54">
            <v>0</v>
          </cell>
          <cell r="AL54">
            <v>0</v>
          </cell>
          <cell r="AM54">
            <v>0</v>
          </cell>
          <cell r="AN54">
            <v>0</v>
          </cell>
          <cell r="AO54">
            <v>0</v>
          </cell>
          <cell r="AP54">
            <v>0</v>
          </cell>
          <cell r="AQ54">
            <v>22500</v>
          </cell>
          <cell r="AR54">
            <v>67500</v>
          </cell>
          <cell r="AS54">
            <v>0</v>
          </cell>
          <cell r="AT54">
            <v>0</v>
          </cell>
          <cell r="AU54">
            <v>0</v>
          </cell>
          <cell r="AV54">
            <v>44865</v>
          </cell>
          <cell r="AW54">
            <v>0</v>
          </cell>
          <cell r="AX54">
            <v>0</v>
          </cell>
          <cell r="AY54">
            <v>0</v>
          </cell>
          <cell r="AZ54">
            <v>0</v>
          </cell>
          <cell r="BA54">
            <v>89999.99</v>
          </cell>
          <cell r="BB54">
            <v>0</v>
          </cell>
          <cell r="BC54">
            <v>0</v>
          </cell>
          <cell r="BD54">
            <v>0</v>
          </cell>
          <cell r="BE54">
            <v>0</v>
          </cell>
          <cell r="BF54">
            <v>0</v>
          </cell>
          <cell r="BG54" t="str">
            <v>SI</v>
          </cell>
        </row>
        <row r="55">
          <cell r="B55" t="str">
            <v>ARA-2020-0022</v>
          </cell>
          <cell r="C55">
            <v>271342.19</v>
          </cell>
          <cell r="D55" t="str">
            <v>Colector general exterior a la Unidad de Actuación UE-20 (SANEAMIENTO DE LA POBLACIÓN) - Andorra</v>
          </cell>
          <cell r="E55">
            <v>44188</v>
          </cell>
          <cell r="F55" t="str">
            <v>Industria, competitividad y desarrollo empresarial</v>
          </cell>
          <cell r="G55">
            <v>241395</v>
          </cell>
          <cell r="H55">
            <v>181046.25</v>
          </cell>
          <cell r="I55">
            <v>60348.75</v>
          </cell>
          <cell r="J55">
            <v>241395</v>
          </cell>
          <cell r="K55">
            <v>0</v>
          </cell>
          <cell r="L55">
            <v>0</v>
          </cell>
          <cell r="M55">
            <v>0</v>
          </cell>
          <cell r="N55">
            <v>90523.12</v>
          </cell>
          <cell r="O55">
            <v>0.49999997238274746</v>
          </cell>
          <cell r="P55">
            <v>90523.13</v>
          </cell>
          <cell r="Q55">
            <v>0.50000002761725248</v>
          </cell>
          <cell r="R55">
            <v>0</v>
          </cell>
          <cell r="S55">
            <v>0</v>
          </cell>
          <cell r="T55">
            <v>0</v>
          </cell>
          <cell r="U55">
            <v>0</v>
          </cell>
          <cell r="V55">
            <v>-181046.25</v>
          </cell>
          <cell r="W55">
            <v>241395</v>
          </cell>
          <cell r="X55" t="str">
            <v>ANDORRA (Teruel)</v>
          </cell>
          <cell r="Y55" t="str">
            <v>TERUEL</v>
          </cell>
          <cell r="Z55" t="str">
            <v>ADENDA FIRMADA</v>
          </cell>
          <cell r="AA55">
            <v>361789.58</v>
          </cell>
          <cell r="AB55">
            <v>271342.19</v>
          </cell>
          <cell r="AC55">
            <v>90447.390000000014</v>
          </cell>
          <cell r="AD55">
            <v>45219</v>
          </cell>
          <cell r="AE55">
            <v>0</v>
          </cell>
          <cell r="AF55">
            <v>0</v>
          </cell>
          <cell r="AG55">
            <v>0</v>
          </cell>
          <cell r="AH55">
            <v>0</v>
          </cell>
          <cell r="AI55">
            <v>135785.25</v>
          </cell>
          <cell r="AJ55">
            <v>90295.94</v>
          </cell>
          <cell r="AK55">
            <v>0.83319586239058507</v>
          </cell>
          <cell r="AL55">
            <v>0</v>
          </cell>
          <cell r="AM55">
            <v>0</v>
          </cell>
          <cell r="AN55">
            <v>0</v>
          </cell>
          <cell r="AO55">
            <v>0</v>
          </cell>
          <cell r="AP55">
            <v>0</v>
          </cell>
          <cell r="AQ55">
            <v>0</v>
          </cell>
          <cell r="AR55">
            <v>0</v>
          </cell>
          <cell r="AS55">
            <v>135785.25</v>
          </cell>
          <cell r="AT55">
            <v>0</v>
          </cell>
          <cell r="AU55">
            <v>0</v>
          </cell>
          <cell r="AV55">
            <v>45230</v>
          </cell>
          <cell r="AW55">
            <v>0</v>
          </cell>
          <cell r="AX55">
            <v>0</v>
          </cell>
          <cell r="AY55">
            <v>45261</v>
          </cell>
          <cell r="AZ55">
            <v>0.24999689305909401</v>
          </cell>
          <cell r="BA55">
            <v>0</v>
          </cell>
          <cell r="BB55">
            <v>0</v>
          </cell>
          <cell r="BC55">
            <v>135785.25</v>
          </cell>
          <cell r="BD55">
            <v>90295.94</v>
          </cell>
          <cell r="BE55">
            <v>0</v>
          </cell>
          <cell r="BF55">
            <v>0</v>
          </cell>
          <cell r="BG55" t="str">
            <v>SI</v>
          </cell>
        </row>
        <row r="56">
          <cell r="B56" t="str">
            <v>ARA-2020-0024</v>
          </cell>
          <cell r="C56">
            <v>659909.99</v>
          </cell>
          <cell r="D56" t="str">
            <v>Ampliación residencia mixta tercera edad - Albalate del Arzobispo</v>
          </cell>
          <cell r="E56">
            <v>44188</v>
          </cell>
          <cell r="F56" t="str">
            <v>Industria, competitividad y desarrollo empresarial</v>
          </cell>
          <cell r="G56">
            <v>693802</v>
          </cell>
          <cell r="H56">
            <v>520351.5</v>
          </cell>
          <cell r="I56">
            <v>173450.5</v>
          </cell>
          <cell r="J56">
            <v>693802</v>
          </cell>
          <cell r="K56">
            <v>0</v>
          </cell>
          <cell r="L56">
            <v>52035.15</v>
          </cell>
          <cell r="M56">
            <v>0.1</v>
          </cell>
          <cell r="N56">
            <v>156105.45000000001</v>
          </cell>
          <cell r="O56">
            <v>0.30000000000000004</v>
          </cell>
          <cell r="P56">
            <v>156105.45000000001</v>
          </cell>
          <cell r="Q56">
            <v>0.30000000000000004</v>
          </cell>
          <cell r="R56">
            <v>156105.45000000001</v>
          </cell>
          <cell r="S56">
            <v>0.30000000000000004</v>
          </cell>
          <cell r="T56">
            <v>0</v>
          </cell>
          <cell r="U56">
            <v>0</v>
          </cell>
          <cell r="V56">
            <v>-520351.5</v>
          </cell>
          <cell r="W56">
            <v>693802</v>
          </cell>
          <cell r="X56" t="str">
            <v>ALBALATE DEL ARZOBISPO</v>
          </cell>
          <cell r="Y56" t="str">
            <v>TERUEL</v>
          </cell>
          <cell r="Z56" t="str">
            <v>NO MOD PRESUPUESTARIA</v>
          </cell>
          <cell r="AA56">
            <v>1036918.07</v>
          </cell>
          <cell r="AB56">
            <v>777688.55</v>
          </cell>
          <cell r="AC56">
            <v>259229.5199999999</v>
          </cell>
          <cell r="AD56">
            <v>45218</v>
          </cell>
          <cell r="AE56">
            <v>0</v>
          </cell>
          <cell r="AF56">
            <v>0</v>
          </cell>
          <cell r="AG56">
            <v>0</v>
          </cell>
          <cell r="AH56">
            <v>0</v>
          </cell>
          <cell r="AI56">
            <v>194422.14</v>
          </cell>
          <cell r="AJ56">
            <v>0</v>
          </cell>
          <cell r="AK56">
            <v>0.25000000321465449</v>
          </cell>
          <cell r="AL56">
            <v>325929.36</v>
          </cell>
          <cell r="AM56">
            <v>257337.05</v>
          </cell>
          <cell r="AN56">
            <v>0.74999999678534535</v>
          </cell>
          <cell r="AO56">
            <v>0</v>
          </cell>
          <cell r="AP56">
            <v>0</v>
          </cell>
          <cell r="AQ56">
            <v>208140.6</v>
          </cell>
          <cell r="AR56">
            <v>156105.45000000001</v>
          </cell>
          <cell r="AS56">
            <v>156105.45000000001</v>
          </cell>
          <cell r="AT56">
            <v>0</v>
          </cell>
          <cell r="AU56">
            <v>0</v>
          </cell>
          <cell r="AV56">
            <v>45596</v>
          </cell>
          <cell r="AW56">
            <v>0</v>
          </cell>
          <cell r="AX56">
            <v>0</v>
          </cell>
          <cell r="AY56">
            <v>0</v>
          </cell>
          <cell r="AZ56">
            <v>0</v>
          </cell>
          <cell r="BA56">
            <v>0</v>
          </cell>
          <cell r="BB56">
            <v>0</v>
          </cell>
          <cell r="BC56">
            <v>402572.94</v>
          </cell>
          <cell r="BD56">
            <v>257337.05</v>
          </cell>
          <cell r="BE56">
            <v>0</v>
          </cell>
          <cell r="BF56">
            <v>0</v>
          </cell>
          <cell r="BG56" t="str">
            <v>SI</v>
          </cell>
        </row>
        <row r="57">
          <cell r="B57" t="str">
            <v>ARA-2020-0025</v>
          </cell>
          <cell r="C57">
            <v>201775.78999999998</v>
          </cell>
          <cell r="D57" t="str">
            <v>Urbanización manzana norte del pol. industrial Cueva de San José, II etapa - Calanda</v>
          </cell>
          <cell r="E57">
            <v>44188</v>
          </cell>
          <cell r="F57" t="str">
            <v>Industria, competitividad y desarrollo empresarial</v>
          </cell>
          <cell r="G57">
            <v>393361</v>
          </cell>
          <cell r="H57">
            <v>295020.75</v>
          </cell>
          <cell r="I57">
            <v>98340.25</v>
          </cell>
          <cell r="J57">
            <v>393361</v>
          </cell>
          <cell r="K57">
            <v>0</v>
          </cell>
          <cell r="L57">
            <v>29502.080000000002</v>
          </cell>
          <cell r="M57">
            <v>0.10000001694796044</v>
          </cell>
          <cell r="N57">
            <v>88506.22</v>
          </cell>
          <cell r="O57">
            <v>0.29999998305203956</v>
          </cell>
          <cell r="P57">
            <v>88506.22</v>
          </cell>
          <cell r="Q57">
            <v>0.29999998305203956</v>
          </cell>
          <cell r="R57">
            <v>88506.23</v>
          </cell>
          <cell r="S57">
            <v>0.30000001694796041</v>
          </cell>
          <cell r="T57">
            <v>0</v>
          </cell>
          <cell r="U57">
            <v>0</v>
          </cell>
          <cell r="V57">
            <v>-295020.75</v>
          </cell>
          <cell r="W57">
            <v>393361</v>
          </cell>
          <cell r="X57" t="str">
            <v>CALANDA</v>
          </cell>
          <cell r="Y57" t="str">
            <v>TERUEL</v>
          </cell>
          <cell r="Z57" t="str">
            <v>ADENDA FIRMADA</v>
          </cell>
          <cell r="AA57">
            <v>393361</v>
          </cell>
          <cell r="AB57">
            <v>295020.75</v>
          </cell>
          <cell r="AC57">
            <v>98340.25</v>
          </cell>
          <cell r="AD57">
            <v>44853</v>
          </cell>
          <cell r="AE57">
            <v>0</v>
          </cell>
          <cell r="AF57">
            <v>0</v>
          </cell>
          <cell r="AG57">
            <v>132759.34</v>
          </cell>
          <cell r="AH57">
            <v>0.4500000084739802</v>
          </cell>
          <cell r="AI57">
            <v>162261.41</v>
          </cell>
          <cell r="AJ57">
            <v>0</v>
          </cell>
          <cell r="AK57">
            <v>0.54999999152601975</v>
          </cell>
          <cell r="AL57">
            <v>0</v>
          </cell>
          <cell r="AM57">
            <v>0</v>
          </cell>
          <cell r="AN57">
            <v>0</v>
          </cell>
          <cell r="AO57">
            <v>0</v>
          </cell>
          <cell r="AP57">
            <v>0</v>
          </cell>
          <cell r="AQ57">
            <v>0</v>
          </cell>
          <cell r="AR57">
            <v>132759.34</v>
          </cell>
          <cell r="AS57">
            <v>162261.41</v>
          </cell>
          <cell r="AT57">
            <v>0</v>
          </cell>
          <cell r="AU57">
            <v>0</v>
          </cell>
          <cell r="AV57">
            <v>45230</v>
          </cell>
          <cell r="AW57">
            <v>0</v>
          </cell>
          <cell r="AX57">
            <v>0</v>
          </cell>
          <cell r="AY57">
            <v>105602.53</v>
          </cell>
          <cell r="AZ57">
            <v>0.35794950016227672</v>
          </cell>
          <cell r="BA57">
            <v>96173.26</v>
          </cell>
          <cell r="BB57">
            <v>0</v>
          </cell>
          <cell r="BC57">
            <v>0</v>
          </cell>
          <cell r="BD57">
            <v>0</v>
          </cell>
          <cell r="BE57">
            <v>0</v>
          </cell>
          <cell r="BF57">
            <v>0</v>
          </cell>
          <cell r="BG57" t="str">
            <v>SI</v>
          </cell>
        </row>
        <row r="58">
          <cell r="B58" t="str">
            <v>CYL-2019-0001</v>
          </cell>
          <cell r="C58">
            <v>17129574.09</v>
          </cell>
          <cell r="D58" t="str">
            <v>Restauración en explotación de carbón a cielo abierto Nueva Julia en los términos municipales de Cabrillanes y Villablino (León) - Convenio específico</v>
          </cell>
          <cell r="E58">
            <v>43773</v>
          </cell>
          <cell r="F58" t="str">
            <v>Economía y Hacienda</v>
          </cell>
          <cell r="G58">
            <v>24346882.120000001</v>
          </cell>
          <cell r="H58">
            <v>18260161.59</v>
          </cell>
          <cell r="I58">
            <v>6086720.5300000003</v>
          </cell>
          <cell r="J58">
            <v>24346882.120000001</v>
          </cell>
          <cell r="K58">
            <v>0</v>
          </cell>
          <cell r="L58">
            <v>16299999.989999998</v>
          </cell>
          <cell r="M58">
            <v>0.89265365531740615</v>
          </cell>
          <cell r="N58">
            <v>1960161.6</v>
          </cell>
          <cell r="O58">
            <v>0.1073463446825938</v>
          </cell>
          <cell r="P58">
            <v>0</v>
          </cell>
          <cell r="Q58">
            <v>0</v>
          </cell>
          <cell r="R58">
            <v>0</v>
          </cell>
          <cell r="S58">
            <v>0</v>
          </cell>
          <cell r="T58">
            <v>0</v>
          </cell>
          <cell r="U58">
            <v>0</v>
          </cell>
          <cell r="V58">
            <v>-18260161.59</v>
          </cell>
          <cell r="W58">
            <v>24346882.120000001</v>
          </cell>
          <cell r="X58" t="str">
            <v>MUNICIPIOS</v>
          </cell>
          <cell r="Y58" t="str">
            <v>LEÓN</v>
          </cell>
          <cell r="Z58" t="str">
            <v>NO MOD PRESUPUESTARIA</v>
          </cell>
          <cell r="AA58">
            <v>24346882.120000001</v>
          </cell>
          <cell r="AB58">
            <v>18260161.59</v>
          </cell>
          <cell r="AC58">
            <v>6086720.5300000012</v>
          </cell>
          <cell r="AD58">
            <v>44139</v>
          </cell>
          <cell r="AE58">
            <v>18260161.59</v>
          </cell>
          <cell r="AF58">
            <v>1</v>
          </cell>
          <cell r="AG58">
            <v>0</v>
          </cell>
          <cell r="AH58">
            <v>0</v>
          </cell>
          <cell r="AI58">
            <v>0</v>
          </cell>
          <cell r="AJ58">
            <v>0</v>
          </cell>
          <cell r="AK58">
            <v>0</v>
          </cell>
          <cell r="AL58">
            <v>0</v>
          </cell>
          <cell r="AM58">
            <v>0</v>
          </cell>
          <cell r="AN58">
            <v>0</v>
          </cell>
          <cell r="AO58">
            <v>0</v>
          </cell>
          <cell r="AP58">
            <v>0</v>
          </cell>
          <cell r="AQ58">
            <v>18260161.59</v>
          </cell>
          <cell r="AR58">
            <v>0</v>
          </cell>
          <cell r="AS58">
            <v>0</v>
          </cell>
          <cell r="AT58">
            <v>0</v>
          </cell>
          <cell r="AU58">
            <v>0</v>
          </cell>
          <cell r="AV58">
            <v>44469</v>
          </cell>
          <cell r="AW58">
            <v>17129574.09</v>
          </cell>
          <cell r="AX58">
            <v>0.93808447453065502</v>
          </cell>
          <cell r="AY58">
            <v>0</v>
          </cell>
          <cell r="AZ58">
            <v>0</v>
          </cell>
          <cell r="BA58">
            <v>0</v>
          </cell>
          <cell r="BB58">
            <v>0</v>
          </cell>
          <cell r="BC58">
            <v>0</v>
          </cell>
          <cell r="BD58">
            <v>0</v>
          </cell>
          <cell r="BE58">
            <v>0</v>
          </cell>
          <cell r="BF58">
            <v>0</v>
          </cell>
          <cell r="BG58" t="str">
            <v>SI</v>
          </cell>
        </row>
        <row r="59">
          <cell r="B59" t="str">
            <v>CYL-2021-0005</v>
          </cell>
          <cell r="C59">
            <v>109431.59</v>
          </cell>
          <cell r="D59" t="str">
            <v>Plan de Optimización y diversificación energética Casas de Cultura de Olleros  de Sabero y  de Sabero</v>
          </cell>
          <cell r="E59">
            <v>44560</v>
          </cell>
          <cell r="F59" t="str">
            <v>Economía y Hacienda</v>
          </cell>
          <cell r="G59">
            <v>145908.79</v>
          </cell>
          <cell r="H59">
            <v>109431.59</v>
          </cell>
          <cell r="I59">
            <v>36477.199999999997</v>
          </cell>
          <cell r="J59">
            <v>145908.78999999998</v>
          </cell>
          <cell r="K59">
            <v>0</v>
          </cell>
          <cell r="L59">
            <v>0</v>
          </cell>
          <cell r="M59">
            <v>0</v>
          </cell>
          <cell r="N59">
            <v>27357.9</v>
          </cell>
          <cell r="O59">
            <v>0.25000002284532286</v>
          </cell>
          <cell r="P59">
            <v>82073.69</v>
          </cell>
          <cell r="Q59">
            <v>0.74999997715467726</v>
          </cell>
          <cell r="R59">
            <v>0</v>
          </cell>
          <cell r="S59">
            <v>0</v>
          </cell>
          <cell r="T59">
            <v>0</v>
          </cell>
          <cell r="U59">
            <v>0</v>
          </cell>
          <cell r="V59">
            <v>-109431.59</v>
          </cell>
          <cell r="W59">
            <v>145908.78999999998</v>
          </cell>
          <cell r="X59" t="str">
            <v>SABERO</v>
          </cell>
          <cell r="Y59" t="str">
            <v>LEÓN</v>
          </cell>
          <cell r="Z59" t="str">
            <v>ADENDA FIRMADA</v>
          </cell>
          <cell r="AA59">
            <v>145908.79</v>
          </cell>
          <cell r="AB59">
            <v>109431.59</v>
          </cell>
          <cell r="AC59">
            <v>36477.200000000012</v>
          </cell>
          <cell r="AD59">
            <v>44718</v>
          </cell>
          <cell r="AE59">
            <v>0</v>
          </cell>
          <cell r="AF59">
            <v>0</v>
          </cell>
          <cell r="AG59">
            <v>27357.9</v>
          </cell>
          <cell r="AH59">
            <v>0.25000002284532286</v>
          </cell>
          <cell r="AI59">
            <v>82073.69</v>
          </cell>
          <cell r="AJ59">
            <v>0</v>
          </cell>
          <cell r="AK59">
            <v>0.74999997715467726</v>
          </cell>
          <cell r="AL59">
            <v>0</v>
          </cell>
          <cell r="AM59">
            <v>0</v>
          </cell>
          <cell r="AN59">
            <v>0</v>
          </cell>
          <cell r="AO59">
            <v>0</v>
          </cell>
          <cell r="AP59">
            <v>0</v>
          </cell>
          <cell r="AQ59">
            <v>0</v>
          </cell>
          <cell r="AR59">
            <v>27357.9</v>
          </cell>
          <cell r="AS59">
            <v>82073.69</v>
          </cell>
          <cell r="AT59">
            <v>0</v>
          </cell>
          <cell r="AU59">
            <v>0</v>
          </cell>
          <cell r="AV59">
            <v>45199</v>
          </cell>
          <cell r="AW59">
            <v>0</v>
          </cell>
          <cell r="AX59">
            <v>0</v>
          </cell>
          <cell r="AY59">
            <v>0</v>
          </cell>
          <cell r="AZ59">
            <v>0</v>
          </cell>
          <cell r="BA59">
            <v>109431.59</v>
          </cell>
          <cell r="BB59">
            <v>0</v>
          </cell>
          <cell r="BC59">
            <v>0</v>
          </cell>
          <cell r="BD59">
            <v>0</v>
          </cell>
          <cell r="BE59">
            <v>0</v>
          </cell>
          <cell r="BF59">
            <v>0</v>
          </cell>
          <cell r="BG59" t="str">
            <v>SI</v>
          </cell>
        </row>
        <row r="60">
          <cell r="B60" t="str">
            <v>CYL-2021-0009</v>
          </cell>
          <cell r="C60">
            <v>75825.429999999993</v>
          </cell>
          <cell r="D60" t="str">
            <v>Mejora en Colectores en Villablino</v>
          </cell>
          <cell r="E60">
            <v>44559</v>
          </cell>
          <cell r="F60" t="str">
            <v>Fomento y medio ambiente</v>
          </cell>
          <cell r="G60">
            <v>105092.23</v>
          </cell>
          <cell r="H60">
            <v>78819.17</v>
          </cell>
          <cell r="I60">
            <v>26273.06</v>
          </cell>
          <cell r="J60">
            <v>105092.23</v>
          </cell>
          <cell r="K60">
            <v>0</v>
          </cell>
          <cell r="L60">
            <v>0</v>
          </cell>
          <cell r="M60">
            <v>0</v>
          </cell>
          <cell r="N60">
            <v>19704.79</v>
          </cell>
          <cell r="O60">
            <v>0.24999996828182791</v>
          </cell>
          <cell r="P60">
            <v>59114.38</v>
          </cell>
          <cell r="Q60">
            <v>0.75000003171817209</v>
          </cell>
          <cell r="R60">
            <v>0</v>
          </cell>
          <cell r="S60">
            <v>0</v>
          </cell>
          <cell r="T60">
            <v>0</v>
          </cell>
          <cell r="U60">
            <v>0</v>
          </cell>
          <cell r="V60">
            <v>-78819.17</v>
          </cell>
          <cell r="W60">
            <v>105092.23</v>
          </cell>
          <cell r="X60" t="str">
            <v>VILLABLINO</v>
          </cell>
          <cell r="Y60" t="str">
            <v>LEÓN</v>
          </cell>
          <cell r="Z60" t="str">
            <v>ADENDA FIRMADA</v>
          </cell>
          <cell r="AA60">
            <v>105092.23</v>
          </cell>
          <cell r="AB60">
            <v>78819.17</v>
          </cell>
          <cell r="AC60">
            <v>26273.059999999998</v>
          </cell>
          <cell r="AD60">
            <v>45196</v>
          </cell>
          <cell r="AE60">
            <v>0</v>
          </cell>
          <cell r="AF60">
            <v>0</v>
          </cell>
          <cell r="AG60">
            <v>0</v>
          </cell>
          <cell r="AH60">
            <v>0</v>
          </cell>
          <cell r="AI60">
            <v>19704.79</v>
          </cell>
          <cell r="AJ60">
            <v>0</v>
          </cell>
          <cell r="AK60">
            <v>0.24999996828182791</v>
          </cell>
          <cell r="AL60">
            <v>39409.589999999997</v>
          </cell>
          <cell r="AM60">
            <v>0</v>
          </cell>
          <cell r="AN60">
            <v>0.50000006343634418</v>
          </cell>
          <cell r="AO60">
            <v>0</v>
          </cell>
          <cell r="AP60">
            <v>0</v>
          </cell>
          <cell r="AQ60">
            <v>0</v>
          </cell>
          <cell r="AR60">
            <v>0</v>
          </cell>
          <cell r="AS60">
            <v>19704.79</v>
          </cell>
          <cell r="AT60">
            <v>39409.589999999997</v>
          </cell>
          <cell r="AU60">
            <v>0</v>
          </cell>
          <cell r="AV60">
            <v>45596</v>
          </cell>
          <cell r="AW60">
            <v>0</v>
          </cell>
          <cell r="AX60">
            <v>0</v>
          </cell>
          <cell r="AY60">
            <v>19704.79</v>
          </cell>
          <cell r="AZ60">
            <v>0.24999996828182791</v>
          </cell>
          <cell r="BA60">
            <v>0</v>
          </cell>
          <cell r="BB60">
            <v>0</v>
          </cell>
          <cell r="BC60">
            <v>56120.639999999999</v>
          </cell>
          <cell r="BD60">
            <v>0</v>
          </cell>
          <cell r="BE60">
            <v>0</v>
          </cell>
          <cell r="BF60">
            <v>0</v>
          </cell>
          <cell r="BG60" t="str">
            <v>SI</v>
          </cell>
        </row>
        <row r="61">
          <cell r="B61" t="str">
            <v>CYL-2021-0010</v>
          </cell>
          <cell r="C61">
            <v>2221154.12</v>
          </cell>
          <cell r="D61" t="str">
            <v>Restauración de espacios afectados por la actividad minera en León y Palencia</v>
          </cell>
          <cell r="E61">
            <v>44560</v>
          </cell>
          <cell r="F61" t="str">
            <v>Economía y Hacienda</v>
          </cell>
          <cell r="G61">
            <v>2961684.75</v>
          </cell>
          <cell r="H61">
            <v>2221263.56</v>
          </cell>
          <cell r="I61">
            <v>740421.19</v>
          </cell>
          <cell r="J61">
            <v>2961684.75</v>
          </cell>
          <cell r="K61">
            <v>0</v>
          </cell>
          <cell r="L61">
            <v>0</v>
          </cell>
          <cell r="M61">
            <v>0</v>
          </cell>
          <cell r="N61">
            <v>666379.06999999995</v>
          </cell>
          <cell r="O61">
            <v>0.30000000090038842</v>
          </cell>
          <cell r="P61">
            <v>0</v>
          </cell>
          <cell r="Q61">
            <v>0</v>
          </cell>
          <cell r="R61">
            <v>1554884.49</v>
          </cell>
          <cell r="S61">
            <v>0.69999999909961153</v>
          </cell>
          <cell r="T61">
            <v>0</v>
          </cell>
          <cell r="U61">
            <v>0</v>
          </cell>
          <cell r="V61">
            <v>-2221263.56</v>
          </cell>
          <cell r="W61">
            <v>2961684.75</v>
          </cell>
          <cell r="X61" t="str">
            <v>MATALLANA DE TORIO Y FABERO</v>
          </cell>
          <cell r="Y61" t="str">
            <v>LEÓN</v>
          </cell>
          <cell r="Z61" t="str">
            <v>NO MOD PRESUPUESTARIA</v>
          </cell>
          <cell r="AA61">
            <v>2961684.75</v>
          </cell>
          <cell r="AB61">
            <v>2221263.56</v>
          </cell>
          <cell r="AC61">
            <v>740421.19</v>
          </cell>
          <cell r="AD61">
            <v>45198</v>
          </cell>
          <cell r="AE61">
            <v>0</v>
          </cell>
          <cell r="AF61">
            <v>0</v>
          </cell>
          <cell r="AG61">
            <v>0</v>
          </cell>
          <cell r="AH61">
            <v>0</v>
          </cell>
          <cell r="AI61">
            <v>555315.89</v>
          </cell>
          <cell r="AJ61">
            <v>0</v>
          </cell>
          <cell r="AK61">
            <v>0.25</v>
          </cell>
          <cell r="AL61">
            <v>1110631.78</v>
          </cell>
          <cell r="AM61">
            <v>0</v>
          </cell>
          <cell r="AN61">
            <v>0.5</v>
          </cell>
          <cell r="AO61">
            <v>0</v>
          </cell>
          <cell r="AP61">
            <v>0</v>
          </cell>
          <cell r="AQ61">
            <v>666379.06999999995</v>
          </cell>
          <cell r="AR61">
            <v>0</v>
          </cell>
          <cell r="AS61">
            <v>1554884.49</v>
          </cell>
          <cell r="AT61">
            <v>0</v>
          </cell>
          <cell r="AU61">
            <v>0</v>
          </cell>
          <cell r="AV61">
            <v>45596</v>
          </cell>
          <cell r="AW61">
            <v>0</v>
          </cell>
          <cell r="AX61">
            <v>0</v>
          </cell>
          <cell r="AY61">
            <v>555315.89</v>
          </cell>
          <cell r="AZ61">
            <v>0.25</v>
          </cell>
          <cell r="BA61">
            <v>0</v>
          </cell>
          <cell r="BB61">
            <v>0</v>
          </cell>
          <cell r="BC61">
            <v>1665838.23</v>
          </cell>
          <cell r="BD61">
            <v>0</v>
          </cell>
          <cell r="BE61">
            <v>0</v>
          </cell>
          <cell r="BF61">
            <v>0</v>
          </cell>
          <cell r="BG61" t="str">
            <v>SI</v>
          </cell>
        </row>
        <row r="62">
          <cell r="B62" t="str">
            <v>CYL-2020-0009</v>
          </cell>
          <cell r="C62">
            <v>327734.84999999998</v>
          </cell>
          <cell r="D62" t="str">
            <v>Centro tecnológico de la castaña, en Pobladura de las Regueras</v>
          </cell>
          <cell r="E62">
            <v>44144</v>
          </cell>
          <cell r="F62" t="str">
            <v>Economía y Hacienda</v>
          </cell>
          <cell r="G62">
            <v>437959.5</v>
          </cell>
          <cell r="H62">
            <v>328469.62</v>
          </cell>
          <cell r="I62">
            <v>109489.875</v>
          </cell>
          <cell r="J62">
            <v>437959.495</v>
          </cell>
          <cell r="K62">
            <v>-5.0000000046566129E-3</v>
          </cell>
          <cell r="L62">
            <v>0</v>
          </cell>
          <cell r="M62">
            <v>0</v>
          </cell>
          <cell r="N62">
            <v>164234.81</v>
          </cell>
          <cell r="O62">
            <v>0.5</v>
          </cell>
          <cell r="P62">
            <v>164234.81</v>
          </cell>
          <cell r="Q62">
            <v>0.5</v>
          </cell>
          <cell r="R62">
            <v>0</v>
          </cell>
          <cell r="S62">
            <v>0</v>
          </cell>
          <cell r="T62">
            <v>0</v>
          </cell>
          <cell r="U62">
            <v>0</v>
          </cell>
          <cell r="V62">
            <v>-328469.62</v>
          </cell>
          <cell r="W62">
            <v>437959.495</v>
          </cell>
          <cell r="X62" t="str">
            <v>IGÜEÑA</v>
          </cell>
          <cell r="Y62" t="str">
            <v>LEÓN</v>
          </cell>
          <cell r="Z62" t="str">
            <v>ADENDA FIRMADA</v>
          </cell>
          <cell r="AA62">
            <v>437959.5</v>
          </cell>
          <cell r="AB62">
            <v>328469.62</v>
          </cell>
          <cell r="AC62">
            <v>109489.88</v>
          </cell>
          <cell r="AD62">
            <v>45189</v>
          </cell>
          <cell r="AE62">
            <v>0</v>
          </cell>
          <cell r="AF62">
            <v>0</v>
          </cell>
          <cell r="AG62">
            <v>0</v>
          </cell>
          <cell r="AH62">
            <v>0</v>
          </cell>
          <cell r="AI62">
            <v>164234.82</v>
          </cell>
          <cell r="AJ62">
            <v>0</v>
          </cell>
          <cell r="AK62">
            <v>0.50000003044421581</v>
          </cell>
          <cell r="AL62">
            <v>82117.399999999994</v>
          </cell>
          <cell r="AM62">
            <v>0</v>
          </cell>
          <cell r="AN62">
            <v>0.24999998477789206</v>
          </cell>
          <cell r="AO62">
            <v>0</v>
          </cell>
          <cell r="AP62">
            <v>0</v>
          </cell>
          <cell r="AQ62">
            <v>0</v>
          </cell>
          <cell r="AR62">
            <v>0</v>
          </cell>
          <cell r="AS62">
            <v>164234.82</v>
          </cell>
          <cell r="AT62">
            <v>82117.399999999994</v>
          </cell>
          <cell r="AU62">
            <v>0</v>
          </cell>
          <cell r="AV62">
            <v>45596</v>
          </cell>
          <cell r="AW62">
            <v>82117.399999999994</v>
          </cell>
          <cell r="AX62">
            <v>0.24999998477789206</v>
          </cell>
          <cell r="AY62">
            <v>0</v>
          </cell>
          <cell r="AZ62">
            <v>0</v>
          </cell>
          <cell r="BA62">
            <v>0</v>
          </cell>
          <cell r="BB62">
            <v>0</v>
          </cell>
          <cell r="BC62">
            <v>245617.45</v>
          </cell>
          <cell r="BD62">
            <v>0</v>
          </cell>
          <cell r="BE62">
            <v>0</v>
          </cell>
          <cell r="BF62">
            <v>0</v>
          </cell>
          <cell r="BG62" t="str">
            <v>SI</v>
          </cell>
        </row>
        <row r="63">
          <cell r="B63" t="str">
            <v>CYL-2020-0007</v>
          </cell>
          <cell r="C63">
            <v>218510.45</v>
          </cell>
          <cell r="D63" t="str">
            <v xml:space="preserve">Plan de Optimización energetica Centros sociales </v>
          </cell>
          <cell r="E63">
            <v>44188</v>
          </cell>
          <cell r="F63" t="str">
            <v>Familia e igualdad de oportunidades</v>
          </cell>
          <cell r="G63">
            <v>365100</v>
          </cell>
          <cell r="H63">
            <v>273825</v>
          </cell>
          <cell r="I63">
            <v>91275</v>
          </cell>
          <cell r="J63">
            <v>365100</v>
          </cell>
          <cell r="K63">
            <v>0</v>
          </cell>
          <cell r="L63">
            <v>62250</v>
          </cell>
          <cell r="M63">
            <v>0.2273349767187072</v>
          </cell>
          <cell r="N63">
            <v>211575</v>
          </cell>
          <cell r="O63">
            <v>0.77266502328129283</v>
          </cell>
          <cell r="P63">
            <v>0</v>
          </cell>
          <cell r="Q63">
            <v>0</v>
          </cell>
          <cell r="R63">
            <v>0</v>
          </cell>
          <cell r="S63">
            <v>0</v>
          </cell>
          <cell r="T63">
            <v>0</v>
          </cell>
          <cell r="U63">
            <v>0</v>
          </cell>
          <cell r="V63">
            <v>-273825</v>
          </cell>
          <cell r="W63">
            <v>365100</v>
          </cell>
          <cell r="X63" t="str">
            <v>MUNICIPIOS</v>
          </cell>
          <cell r="Y63">
            <v>0</v>
          </cell>
          <cell r="Z63" t="str">
            <v>NO MOD PRESUPUESTARIA</v>
          </cell>
          <cell r="AA63">
            <v>365100</v>
          </cell>
          <cell r="AB63">
            <v>273825</v>
          </cell>
          <cell r="AC63">
            <v>91275</v>
          </cell>
          <cell r="AD63">
            <v>44459</v>
          </cell>
          <cell r="AE63">
            <v>273825</v>
          </cell>
          <cell r="AF63">
            <v>1</v>
          </cell>
          <cell r="AG63">
            <v>0</v>
          </cell>
          <cell r="AH63">
            <v>0</v>
          </cell>
          <cell r="AI63">
            <v>0</v>
          </cell>
          <cell r="AJ63">
            <v>0</v>
          </cell>
          <cell r="AK63">
            <v>0</v>
          </cell>
          <cell r="AL63">
            <v>0</v>
          </cell>
          <cell r="AM63">
            <v>0</v>
          </cell>
          <cell r="AN63">
            <v>0</v>
          </cell>
          <cell r="AO63">
            <v>0</v>
          </cell>
          <cell r="AP63">
            <v>0</v>
          </cell>
          <cell r="AQ63">
            <v>273825</v>
          </cell>
          <cell r="AR63">
            <v>0</v>
          </cell>
          <cell r="AS63">
            <v>0</v>
          </cell>
          <cell r="AT63">
            <v>0</v>
          </cell>
          <cell r="AU63">
            <v>0</v>
          </cell>
          <cell r="AV63">
            <v>44500</v>
          </cell>
          <cell r="AW63">
            <v>0</v>
          </cell>
          <cell r="AX63">
            <v>0</v>
          </cell>
          <cell r="AY63">
            <v>0</v>
          </cell>
          <cell r="AZ63">
            <v>0</v>
          </cell>
          <cell r="BA63">
            <v>218510.45</v>
          </cell>
          <cell r="BB63">
            <v>0</v>
          </cell>
          <cell r="BC63">
            <v>0</v>
          </cell>
          <cell r="BD63">
            <v>0</v>
          </cell>
          <cell r="BE63">
            <v>0</v>
          </cell>
          <cell r="BF63">
            <v>0</v>
          </cell>
          <cell r="BG63" t="str">
            <v>SI</v>
          </cell>
        </row>
        <row r="64">
          <cell r="B64" t="str">
            <v>CYL-2020-0008</v>
          </cell>
          <cell r="C64">
            <v>254913.74</v>
          </cell>
          <cell r="D64" t="str">
            <v>Plan de Optimizacion energetica para Institutos de Enseñanza Secundaria</v>
          </cell>
          <cell r="E64">
            <v>44188</v>
          </cell>
          <cell r="F64" t="str">
            <v>Educación</v>
          </cell>
          <cell r="G64">
            <v>363663.4</v>
          </cell>
          <cell r="H64">
            <v>272747.55000000005</v>
          </cell>
          <cell r="I64">
            <v>90915.85</v>
          </cell>
          <cell r="J64">
            <v>363663.4</v>
          </cell>
          <cell r="K64">
            <v>0</v>
          </cell>
          <cell r="L64">
            <v>184190.41</v>
          </cell>
          <cell r="M64">
            <v>0.67531462702414735</v>
          </cell>
          <cell r="N64">
            <v>88557.14</v>
          </cell>
          <cell r="O64">
            <v>0.32468537297585254</v>
          </cell>
          <cell r="P64">
            <v>0</v>
          </cell>
          <cell r="Q64">
            <v>0</v>
          </cell>
          <cell r="R64">
            <v>0</v>
          </cell>
          <cell r="S64">
            <v>0</v>
          </cell>
          <cell r="T64">
            <v>0</v>
          </cell>
          <cell r="U64">
            <v>0</v>
          </cell>
          <cell r="V64">
            <v>-272747.55000000005</v>
          </cell>
          <cell r="W64">
            <v>363663.4</v>
          </cell>
          <cell r="X64" t="str">
            <v>MUNICIPIOS</v>
          </cell>
          <cell r="Y64">
            <v>0</v>
          </cell>
          <cell r="Z64" t="str">
            <v>NO MOD PRESUPUESTARIA</v>
          </cell>
          <cell r="AA64">
            <v>363663.4</v>
          </cell>
          <cell r="AB64">
            <v>272747.55</v>
          </cell>
          <cell r="AC64">
            <v>90915.850000000035</v>
          </cell>
          <cell r="AD64">
            <v>44496</v>
          </cell>
          <cell r="AE64">
            <v>272747.55</v>
          </cell>
          <cell r="AF64">
            <v>1</v>
          </cell>
          <cell r="AG64">
            <v>0</v>
          </cell>
          <cell r="AH64">
            <v>0</v>
          </cell>
          <cell r="AI64">
            <v>0</v>
          </cell>
          <cell r="AJ64">
            <v>0</v>
          </cell>
          <cell r="AK64">
            <v>0</v>
          </cell>
          <cell r="AL64">
            <v>0</v>
          </cell>
          <cell r="AM64">
            <v>0</v>
          </cell>
          <cell r="AN64">
            <v>0</v>
          </cell>
          <cell r="AO64">
            <v>0</v>
          </cell>
          <cell r="AP64">
            <v>0</v>
          </cell>
          <cell r="AQ64">
            <v>272747.55</v>
          </cell>
          <cell r="AR64">
            <v>0</v>
          </cell>
          <cell r="AS64">
            <v>0</v>
          </cell>
          <cell r="AT64">
            <v>0</v>
          </cell>
          <cell r="AU64">
            <v>0</v>
          </cell>
          <cell r="AV64">
            <v>44500</v>
          </cell>
          <cell r="AW64">
            <v>0</v>
          </cell>
          <cell r="AX64">
            <v>0</v>
          </cell>
          <cell r="AY64">
            <v>254913.74</v>
          </cell>
          <cell r="AZ64">
            <v>0.93461422476572176</v>
          </cell>
          <cell r="BA64">
            <v>0</v>
          </cell>
          <cell r="BB64">
            <v>0</v>
          </cell>
          <cell r="BC64">
            <v>0</v>
          </cell>
          <cell r="BD64">
            <v>0</v>
          </cell>
          <cell r="BE64">
            <v>0</v>
          </cell>
          <cell r="BF64">
            <v>0</v>
          </cell>
          <cell r="BG64" t="str">
            <v>SI</v>
          </cell>
        </row>
        <row r="65">
          <cell r="B65" t="str">
            <v>CYL-2020-0010</v>
          </cell>
          <cell r="C65">
            <v>4404913.82</v>
          </cell>
          <cell r="D65" t="str">
            <v>Parque Industrial Bierzo Alto, 9ª fase: TOTALIDAD SECTOR 10-PARRAS</v>
          </cell>
          <cell r="E65">
            <v>44188</v>
          </cell>
          <cell r="F65" t="str">
            <v>Economía y Hacienda</v>
          </cell>
          <cell r="G65">
            <v>5873218.4199999999</v>
          </cell>
          <cell r="H65">
            <v>4404913.8149999995</v>
          </cell>
          <cell r="I65">
            <v>1468304.605</v>
          </cell>
          <cell r="J65">
            <v>5873218.4199999999</v>
          </cell>
          <cell r="K65">
            <v>0</v>
          </cell>
          <cell r="L65">
            <v>0</v>
          </cell>
          <cell r="M65">
            <v>0</v>
          </cell>
          <cell r="N65">
            <v>1101228.45</v>
          </cell>
          <cell r="O65">
            <v>0.24999999914867801</v>
          </cell>
          <cell r="P65">
            <v>2202456.92</v>
          </cell>
          <cell r="Q65">
            <v>0.50000000283774004</v>
          </cell>
          <cell r="R65">
            <v>1101228.45</v>
          </cell>
          <cell r="S65">
            <v>0.24999999914867801</v>
          </cell>
          <cell r="T65">
            <v>0</v>
          </cell>
          <cell r="U65">
            <v>0</v>
          </cell>
          <cell r="V65">
            <v>-4404913.8149999995</v>
          </cell>
          <cell r="W65">
            <v>5873218.4199999999</v>
          </cell>
          <cell r="X65" t="str">
            <v>BEMBIBRE</v>
          </cell>
          <cell r="Y65" t="str">
            <v>LEÓN</v>
          </cell>
          <cell r="Z65" t="str">
            <v>NO MOD PRESUPUESTARIA</v>
          </cell>
          <cell r="AA65">
            <v>5873218.4199999999</v>
          </cell>
          <cell r="AB65">
            <v>4404913.82</v>
          </cell>
          <cell r="AC65">
            <v>1468304.5999999996</v>
          </cell>
          <cell r="AD65">
            <v>45198</v>
          </cell>
          <cell r="AE65">
            <v>0</v>
          </cell>
          <cell r="AF65">
            <v>0</v>
          </cell>
          <cell r="AG65">
            <v>0</v>
          </cell>
          <cell r="AH65">
            <v>0</v>
          </cell>
          <cell r="AI65">
            <v>2202456.92</v>
          </cell>
          <cell r="AJ65">
            <v>0</v>
          </cell>
          <cell r="AK65">
            <v>0.50000000227019192</v>
          </cell>
          <cell r="AL65">
            <v>1101228.45</v>
          </cell>
          <cell r="AM65">
            <v>0</v>
          </cell>
          <cell r="AN65">
            <v>0.24999999886490398</v>
          </cell>
          <cell r="AO65">
            <v>0</v>
          </cell>
          <cell r="AP65">
            <v>0</v>
          </cell>
          <cell r="AQ65">
            <v>1101228.45</v>
          </cell>
          <cell r="AR65">
            <v>2202456.92</v>
          </cell>
          <cell r="AS65">
            <v>1101228.45</v>
          </cell>
          <cell r="AT65">
            <v>0</v>
          </cell>
          <cell r="AU65">
            <v>0</v>
          </cell>
          <cell r="AV65">
            <v>45596</v>
          </cell>
          <cell r="AW65">
            <v>1101228.45</v>
          </cell>
          <cell r="AX65">
            <v>0.24999999914867801</v>
          </cell>
          <cell r="AY65">
            <v>0</v>
          </cell>
          <cell r="AZ65">
            <v>0</v>
          </cell>
          <cell r="BA65">
            <v>0</v>
          </cell>
          <cell r="BB65">
            <v>0</v>
          </cell>
          <cell r="BC65">
            <v>3303685.37</v>
          </cell>
          <cell r="BD65">
            <v>0</v>
          </cell>
          <cell r="BE65">
            <v>0</v>
          </cell>
          <cell r="BF65">
            <v>0</v>
          </cell>
          <cell r="BG65" t="str">
            <v>SI</v>
          </cell>
        </row>
        <row r="66">
          <cell r="B66" t="str">
            <v>CLM-2020-0003</v>
          </cell>
          <cell r="C66">
            <v>633385.51</v>
          </cell>
          <cell r="D66" t="str">
            <v>Actuación de renovación y adecuación del polígono industrial de Sepes y polígono Aragonesas. Asfaltado, Iluminación, Desbroce, Señalética y Circuito videovigilancia</v>
          </cell>
          <cell r="E66">
            <v>44188</v>
          </cell>
          <cell r="F66" t="str">
            <v>Desarrollo sostenible</v>
          </cell>
          <cell r="G66">
            <v>1250000</v>
          </cell>
          <cell r="H66">
            <v>937500</v>
          </cell>
          <cell r="I66">
            <v>312500</v>
          </cell>
          <cell r="J66">
            <v>1250000</v>
          </cell>
          <cell r="K66">
            <v>0</v>
          </cell>
          <cell r="L66">
            <v>0</v>
          </cell>
          <cell r="M66">
            <v>0</v>
          </cell>
          <cell r="N66">
            <v>234375</v>
          </cell>
          <cell r="O66">
            <v>0.25</v>
          </cell>
          <cell r="P66">
            <v>468750</v>
          </cell>
          <cell r="Q66">
            <v>0.5</v>
          </cell>
          <cell r="R66">
            <v>234375</v>
          </cell>
          <cell r="S66">
            <v>0.25</v>
          </cell>
          <cell r="T66">
            <v>0</v>
          </cell>
          <cell r="U66">
            <v>0</v>
          </cell>
          <cell r="V66">
            <v>-937500</v>
          </cell>
          <cell r="W66">
            <v>1250000</v>
          </cell>
          <cell r="X66" t="str">
            <v>Puertollano</v>
          </cell>
          <cell r="Y66" t="str">
            <v>CIUDAD REAL</v>
          </cell>
          <cell r="Z66" t="str">
            <v>NO MOD PRESUPUESTARIA</v>
          </cell>
          <cell r="AA66">
            <v>1250000</v>
          </cell>
          <cell r="AB66">
            <v>937500</v>
          </cell>
          <cell r="AC66">
            <v>312500</v>
          </cell>
          <cell r="AD66">
            <v>44514</v>
          </cell>
          <cell r="AE66">
            <v>234375</v>
          </cell>
          <cell r="AF66">
            <v>0.25</v>
          </cell>
          <cell r="AG66">
            <v>468750</v>
          </cell>
          <cell r="AH66">
            <v>0.5</v>
          </cell>
          <cell r="AI66">
            <v>234375</v>
          </cell>
          <cell r="AJ66">
            <v>0</v>
          </cell>
          <cell r="AK66">
            <v>0.25</v>
          </cell>
          <cell r="AL66">
            <v>0</v>
          </cell>
          <cell r="AM66">
            <v>0</v>
          </cell>
          <cell r="AN66">
            <v>0</v>
          </cell>
          <cell r="AO66">
            <v>0</v>
          </cell>
          <cell r="AP66">
            <v>0</v>
          </cell>
          <cell r="AQ66">
            <v>234375</v>
          </cell>
          <cell r="AR66">
            <v>468750</v>
          </cell>
          <cell r="AS66">
            <v>234375</v>
          </cell>
          <cell r="AT66">
            <v>0</v>
          </cell>
          <cell r="AU66">
            <v>0</v>
          </cell>
          <cell r="AV66">
            <v>45230</v>
          </cell>
          <cell r="AW66">
            <v>0</v>
          </cell>
          <cell r="AX66">
            <v>0</v>
          </cell>
          <cell r="AY66">
            <v>234375</v>
          </cell>
          <cell r="AZ66">
            <v>0.25</v>
          </cell>
          <cell r="BA66">
            <v>399010.51</v>
          </cell>
          <cell r="BB66">
            <v>0</v>
          </cell>
          <cell r="BC66">
            <v>0</v>
          </cell>
          <cell r="BD66">
            <v>0</v>
          </cell>
          <cell r="BE66">
            <v>0</v>
          </cell>
          <cell r="BF66">
            <v>0</v>
          </cell>
          <cell r="BG66" t="str">
            <v>SI</v>
          </cell>
        </row>
        <row r="67">
          <cell r="B67" t="str">
            <v>CLM-2020-0004</v>
          </cell>
          <cell r="C67">
            <v>229045.76000000001</v>
          </cell>
          <cell r="D67" t="str">
            <v>Adecuación del carril bici entre el casco urbano de Puertollano y la Dehesa de Boyal de Puertollano. Asfaltado, Iluminación, Desbroce, Señalética y Recuperación del entorno</v>
          </cell>
          <cell r="E67">
            <v>44188</v>
          </cell>
          <cell r="F67" t="str">
            <v>Desarrollo sostenible</v>
          </cell>
          <cell r="G67">
            <v>340000</v>
          </cell>
          <cell r="H67">
            <v>255000</v>
          </cell>
          <cell r="I67">
            <v>85000</v>
          </cell>
          <cell r="J67">
            <v>340000</v>
          </cell>
          <cell r="K67">
            <v>0</v>
          </cell>
          <cell r="L67">
            <v>0</v>
          </cell>
          <cell r="M67">
            <v>0</v>
          </cell>
          <cell r="N67">
            <v>63750</v>
          </cell>
          <cell r="O67">
            <v>0.25</v>
          </cell>
          <cell r="P67">
            <v>191250</v>
          </cell>
          <cell r="Q67">
            <v>0.75</v>
          </cell>
          <cell r="R67">
            <v>0</v>
          </cell>
          <cell r="S67">
            <v>0</v>
          </cell>
          <cell r="T67">
            <v>0</v>
          </cell>
          <cell r="U67">
            <v>0</v>
          </cell>
          <cell r="V67">
            <v>-255000</v>
          </cell>
          <cell r="W67">
            <v>340000</v>
          </cell>
          <cell r="X67" t="str">
            <v>Puertollano</v>
          </cell>
          <cell r="Y67" t="str">
            <v>CIUDAD REAL</v>
          </cell>
          <cell r="Z67" t="str">
            <v>NO MOD PRESUPUESTARIA</v>
          </cell>
          <cell r="AA67">
            <v>340000</v>
          </cell>
          <cell r="AB67">
            <v>255000</v>
          </cell>
          <cell r="AC67">
            <v>85000</v>
          </cell>
          <cell r="AD67">
            <v>44514</v>
          </cell>
          <cell r="AE67">
            <v>63750</v>
          </cell>
          <cell r="AF67">
            <v>0.25</v>
          </cell>
          <cell r="AG67">
            <v>191250</v>
          </cell>
          <cell r="AH67">
            <v>0.75</v>
          </cell>
          <cell r="AI67">
            <v>0</v>
          </cell>
          <cell r="AJ67">
            <v>0</v>
          </cell>
          <cell r="AK67">
            <v>0</v>
          </cell>
          <cell r="AL67">
            <v>0</v>
          </cell>
          <cell r="AM67">
            <v>0</v>
          </cell>
          <cell r="AN67">
            <v>0</v>
          </cell>
          <cell r="AO67">
            <v>0</v>
          </cell>
          <cell r="AP67">
            <v>0</v>
          </cell>
          <cell r="AQ67">
            <v>63750</v>
          </cell>
          <cell r="AR67">
            <v>191250</v>
          </cell>
          <cell r="AS67">
            <v>0</v>
          </cell>
          <cell r="AT67">
            <v>0</v>
          </cell>
          <cell r="AU67">
            <v>0</v>
          </cell>
          <cell r="AV67">
            <v>44865</v>
          </cell>
          <cell r="AW67">
            <v>63750</v>
          </cell>
          <cell r="AX67">
            <v>0.25</v>
          </cell>
          <cell r="AY67">
            <v>165295.76</v>
          </cell>
          <cell r="AZ67">
            <v>0.64821866666666672</v>
          </cell>
          <cell r="BA67">
            <v>0</v>
          </cell>
          <cell r="BB67">
            <v>0</v>
          </cell>
          <cell r="BC67">
            <v>0</v>
          </cell>
          <cell r="BD67">
            <v>0</v>
          </cell>
          <cell r="BE67">
            <v>0</v>
          </cell>
          <cell r="BF67">
            <v>0</v>
          </cell>
          <cell r="BG67" t="str">
            <v>SI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INEROS 2025"/>
      <sheetName val="MINEROS 2024"/>
      <sheetName val="IND CULTURAL"/>
      <sheetName val="Tabla CULTURA"/>
      <sheetName val="ESPAÑA"/>
      <sheetName val="Indicadores TJ + Mineros"/>
      <sheetName val="Indicadores Mineros"/>
      <sheetName val="Indicadores TJ "/>
      <sheetName val="CON_INE_2024"/>
      <sheetName val="Tabla VISOR"/>
      <sheetName val="Tabla3"/>
      <sheetName val="td_ft_visor"/>
      <sheetName val="INDICADORES participación"/>
      <sheetName val="Beneficiarios"/>
      <sheetName val="MUNICIPIOS"/>
      <sheetName val="Indicadores VISOR"/>
      <sheetName val="nº entidades"/>
    </sheetNames>
    <sheetDataSet>
      <sheetData sheetId="0"/>
      <sheetData sheetId="1"/>
      <sheetData sheetId="2"/>
      <sheetData sheetId="3"/>
      <sheetData sheetId="4"/>
      <sheetData sheetId="5"/>
      <sheetData sheetId="6"/>
      <sheetData sheetId="7"/>
      <sheetData sheetId="8">
        <row r="5">
          <cell r="H5" t="str">
            <v>Acebedo</v>
          </cell>
          <cell r="I5" t="str">
            <v>24001</v>
          </cell>
        </row>
        <row r="6">
          <cell r="H6" t="str">
            <v>Aguaviva</v>
          </cell>
          <cell r="I6" t="str">
            <v>44004</v>
          </cell>
        </row>
        <row r="7">
          <cell r="H7" t="str">
            <v>Aguilar de Campoo</v>
          </cell>
          <cell r="I7" t="str">
            <v>34004</v>
          </cell>
        </row>
        <row r="8">
          <cell r="H8" t="str">
            <v>Alacón</v>
          </cell>
          <cell r="I8" t="str">
            <v>44006</v>
          </cell>
        </row>
        <row r="9">
          <cell r="H9" t="str">
            <v>Alcaine</v>
          </cell>
          <cell r="I9" t="str">
            <v>44011</v>
          </cell>
        </row>
        <row r="10">
          <cell r="H10" t="str">
            <v>Alcañiz</v>
          </cell>
          <cell r="I10" t="str">
            <v>44013</v>
          </cell>
        </row>
        <row r="11">
          <cell r="H11" t="str">
            <v>Aliaga</v>
          </cell>
          <cell r="I11" t="str">
            <v>44017</v>
          </cell>
        </row>
        <row r="12">
          <cell r="H12" t="str">
            <v>Allande</v>
          </cell>
          <cell r="I12" t="str">
            <v>33001</v>
          </cell>
        </row>
        <row r="13">
          <cell r="H13" t="str">
            <v>Almanza</v>
          </cell>
          <cell r="I13" t="str">
            <v>24004</v>
          </cell>
        </row>
        <row r="14">
          <cell r="H14" t="str">
            <v>Alpeñés</v>
          </cell>
          <cell r="I14" t="str">
            <v>44020</v>
          </cell>
        </row>
        <row r="15">
          <cell r="H15" t="str">
            <v>Anadón</v>
          </cell>
          <cell r="I15" t="str">
            <v>44024</v>
          </cell>
        </row>
        <row r="16">
          <cell r="H16" t="str">
            <v>Arganza</v>
          </cell>
          <cell r="I16" t="str">
            <v>24007</v>
          </cell>
        </row>
        <row r="17">
          <cell r="H17" t="str">
            <v>Avilés</v>
          </cell>
          <cell r="I17" t="str">
            <v>33004</v>
          </cell>
        </row>
        <row r="18">
          <cell r="H18" t="str">
            <v>Balboa</v>
          </cell>
          <cell r="I18" t="str">
            <v>24009</v>
          </cell>
        </row>
        <row r="19">
          <cell r="H19" t="str">
            <v>Barjas</v>
          </cell>
          <cell r="I19" t="str">
            <v>24011</v>
          </cell>
        </row>
        <row r="20">
          <cell r="H20" t="str">
            <v>Barrios de Luna, Los</v>
          </cell>
          <cell r="I20" t="str">
            <v>24012</v>
          </cell>
        </row>
        <row r="21">
          <cell r="H21" t="str">
            <v>Belmonte de Miranda</v>
          </cell>
          <cell r="I21" t="str">
            <v>33005</v>
          </cell>
        </row>
        <row r="22">
          <cell r="H22" t="str">
            <v>Belmonte de San José</v>
          </cell>
          <cell r="I22" t="str">
            <v>44038</v>
          </cell>
        </row>
        <row r="23">
          <cell r="H23" t="str">
            <v>Benuza</v>
          </cell>
          <cell r="I23" t="str">
            <v>24016</v>
          </cell>
        </row>
        <row r="24">
          <cell r="H24" t="str">
            <v>Berge</v>
          </cell>
          <cell r="I24" t="str">
            <v>44040</v>
          </cell>
        </row>
        <row r="25">
          <cell r="H25" t="str">
            <v>Boca de Huérgano</v>
          </cell>
          <cell r="I25" t="str">
            <v>24020</v>
          </cell>
        </row>
        <row r="26">
          <cell r="H26" t="str">
            <v>Boñar</v>
          </cell>
          <cell r="I26" t="str">
            <v>24021</v>
          </cell>
        </row>
        <row r="27">
          <cell r="H27" t="str">
            <v>Bordón</v>
          </cell>
          <cell r="I27" t="str">
            <v>44044</v>
          </cell>
        </row>
        <row r="28">
          <cell r="H28" t="str">
            <v>Borrenes</v>
          </cell>
          <cell r="I28" t="str">
            <v>24022</v>
          </cell>
        </row>
        <row r="29">
          <cell r="H29" t="str">
            <v>Brañosera</v>
          </cell>
          <cell r="I29" t="str">
            <v>34036</v>
          </cell>
        </row>
        <row r="30">
          <cell r="H30" t="str">
            <v>Brazuelo</v>
          </cell>
          <cell r="I30" t="str">
            <v>24023</v>
          </cell>
        </row>
        <row r="31">
          <cell r="H31" t="str">
            <v>Burón</v>
          </cell>
          <cell r="I31" t="str">
            <v>24025</v>
          </cell>
        </row>
        <row r="32">
          <cell r="H32" t="str">
            <v>Cabañas Raras</v>
          </cell>
          <cell r="I32" t="str">
            <v>24027</v>
          </cell>
        </row>
        <row r="33">
          <cell r="H33" t="str">
            <v>Cabranes</v>
          </cell>
          <cell r="I33" t="str">
            <v>33009</v>
          </cell>
        </row>
        <row r="34">
          <cell r="H34" t="str">
            <v>Cacabelos</v>
          </cell>
          <cell r="I34" t="str">
            <v>24030</v>
          </cell>
        </row>
        <row r="35">
          <cell r="H35" t="str">
            <v>Camarillas</v>
          </cell>
          <cell r="I35" t="str">
            <v>44055</v>
          </cell>
        </row>
        <row r="36">
          <cell r="H36" t="str">
            <v>Camponaraya</v>
          </cell>
          <cell r="I36" t="str">
            <v>24034</v>
          </cell>
        </row>
        <row r="37">
          <cell r="H37" t="str">
            <v>Cañada de Verich, La</v>
          </cell>
          <cell r="I37" t="str">
            <v>44061</v>
          </cell>
        </row>
        <row r="38">
          <cell r="H38" t="str">
            <v>Cañada Vellida</v>
          </cell>
          <cell r="I38" t="str">
            <v>44062</v>
          </cell>
        </row>
        <row r="39">
          <cell r="H39" t="str">
            <v>Caravia</v>
          </cell>
          <cell r="I39" t="str">
            <v>33013</v>
          </cell>
        </row>
        <row r="40">
          <cell r="H40" t="str">
            <v>Cármenes</v>
          </cell>
          <cell r="I40" t="str">
            <v>24037</v>
          </cell>
        </row>
        <row r="41">
          <cell r="H41" t="str">
            <v>Carracedelo</v>
          </cell>
          <cell r="I41" t="str">
            <v>24038</v>
          </cell>
        </row>
        <row r="42">
          <cell r="H42" t="str">
            <v>Carreño</v>
          </cell>
          <cell r="I42" t="str">
            <v>33014</v>
          </cell>
        </row>
        <row r="43">
          <cell r="H43" t="str">
            <v>Carrocera</v>
          </cell>
          <cell r="I43" t="str">
            <v>24040</v>
          </cell>
        </row>
        <row r="44">
          <cell r="H44" t="str">
            <v>Carucedo</v>
          </cell>
          <cell r="I44" t="str">
            <v>24041</v>
          </cell>
        </row>
        <row r="45">
          <cell r="H45" t="str">
            <v>Caspe</v>
          </cell>
          <cell r="I45" t="str">
            <v>50074</v>
          </cell>
        </row>
        <row r="46">
          <cell r="H46" t="str">
            <v>Castel de Cabra</v>
          </cell>
          <cell r="I46" t="str">
            <v>44066</v>
          </cell>
        </row>
        <row r="47">
          <cell r="H47" t="str">
            <v>Castelserás</v>
          </cell>
          <cell r="I47" t="str">
            <v>44068</v>
          </cell>
        </row>
        <row r="48">
          <cell r="H48" t="str">
            <v>Castrillo de Cabrera</v>
          </cell>
          <cell r="I48" t="str">
            <v>24043</v>
          </cell>
        </row>
        <row r="49">
          <cell r="H49" t="str">
            <v>Castrillón</v>
          </cell>
          <cell r="I49" t="str">
            <v>33016</v>
          </cell>
        </row>
        <row r="50">
          <cell r="H50" t="str">
            <v>Castropodame</v>
          </cell>
          <cell r="I50" t="str">
            <v>24049</v>
          </cell>
        </row>
        <row r="51">
          <cell r="H51" t="str">
            <v>Cebanico</v>
          </cell>
          <cell r="I51" t="str">
            <v>24052</v>
          </cell>
        </row>
        <row r="52">
          <cell r="H52" t="str">
            <v>Cerollera, La</v>
          </cell>
          <cell r="I52" t="str">
            <v>44077</v>
          </cell>
        </row>
        <row r="53">
          <cell r="H53" t="str">
            <v>Codoñera, La</v>
          </cell>
          <cell r="I53" t="str">
            <v>44080</v>
          </cell>
        </row>
        <row r="54">
          <cell r="H54" t="str">
            <v>Colunga</v>
          </cell>
          <cell r="I54" t="str">
            <v>33019</v>
          </cell>
        </row>
        <row r="55">
          <cell r="H55" t="str">
            <v>Congosto</v>
          </cell>
          <cell r="I55" t="str">
            <v>24057</v>
          </cell>
        </row>
        <row r="56">
          <cell r="H56" t="str">
            <v>Congosto de Valdavia</v>
          </cell>
          <cell r="I56" t="str">
            <v>34062</v>
          </cell>
        </row>
        <row r="57">
          <cell r="H57" t="str">
            <v>Corullón</v>
          </cell>
          <cell r="I57" t="str">
            <v>24059</v>
          </cell>
        </row>
        <row r="58">
          <cell r="H58" t="str">
            <v>Corvera de Asturias</v>
          </cell>
          <cell r="I58" t="str">
            <v>33020</v>
          </cell>
        </row>
        <row r="59">
          <cell r="H59" t="str">
            <v>Cosa</v>
          </cell>
          <cell r="I59" t="str">
            <v>44085</v>
          </cell>
        </row>
        <row r="60">
          <cell r="H60" t="str">
            <v>Crémenes</v>
          </cell>
          <cell r="I60" t="str">
            <v>24060</v>
          </cell>
        </row>
        <row r="61">
          <cell r="H61" t="str">
            <v>Crivillén</v>
          </cell>
          <cell r="I61" t="str">
            <v>44087</v>
          </cell>
        </row>
        <row r="62">
          <cell r="H62" t="str">
            <v>Cuadros</v>
          </cell>
          <cell r="I62" t="str">
            <v>24061</v>
          </cell>
        </row>
        <row r="63">
          <cell r="H63" t="str">
            <v>Cubillas de Rueda</v>
          </cell>
          <cell r="I63" t="str">
            <v>24063</v>
          </cell>
        </row>
        <row r="64">
          <cell r="H64" t="str">
            <v>Cubillos del Sil</v>
          </cell>
          <cell r="I64" t="str">
            <v>24064</v>
          </cell>
        </row>
        <row r="65">
          <cell r="H65" t="str">
            <v>Cuevas de Almudén</v>
          </cell>
          <cell r="I65" t="str">
            <v>44093</v>
          </cell>
        </row>
        <row r="66">
          <cell r="H66" t="str">
            <v>Dehesa de Montejo</v>
          </cell>
          <cell r="I66" t="str">
            <v>34067</v>
          </cell>
        </row>
        <row r="67">
          <cell r="H67" t="str">
            <v>Ejulve</v>
          </cell>
          <cell r="I67" t="str">
            <v>44096</v>
          </cell>
        </row>
        <row r="68">
          <cell r="H68" t="str">
            <v>Ercina, La</v>
          </cell>
          <cell r="I68" t="str">
            <v>24068</v>
          </cell>
        </row>
        <row r="69">
          <cell r="H69" t="str">
            <v>Fabara</v>
          </cell>
          <cell r="I69" t="str">
            <v>50102</v>
          </cell>
        </row>
        <row r="70">
          <cell r="H70" t="str">
            <v>Fayón</v>
          </cell>
          <cell r="I70" t="str">
            <v>50105</v>
          </cell>
        </row>
        <row r="71">
          <cell r="H71" t="str">
            <v>Fórnoles</v>
          </cell>
          <cell r="I71" t="str">
            <v>44105</v>
          </cell>
        </row>
        <row r="72">
          <cell r="H72" t="str">
            <v>Fortanete</v>
          </cell>
          <cell r="I72" t="str">
            <v>44106</v>
          </cell>
        </row>
        <row r="73">
          <cell r="H73" t="str">
            <v>Fraga</v>
          </cell>
          <cell r="I73" t="str">
            <v>22112</v>
          </cell>
        </row>
        <row r="74">
          <cell r="H74" t="str">
            <v>Fuenferrada</v>
          </cell>
          <cell r="I74" t="str">
            <v>44110</v>
          </cell>
        </row>
        <row r="75">
          <cell r="H75" t="str">
            <v>Fuentes Calientes</v>
          </cell>
          <cell r="I75" t="str">
            <v>44111</v>
          </cell>
        </row>
        <row r="76">
          <cell r="H76" t="str">
            <v>Galve</v>
          </cell>
          <cell r="I76" t="str">
            <v>44115</v>
          </cell>
        </row>
        <row r="77">
          <cell r="H77" t="str">
            <v>Garrafe de Torío</v>
          </cell>
          <cell r="I77" t="str">
            <v>24076</v>
          </cell>
        </row>
        <row r="78">
          <cell r="H78" t="str">
            <v>Ginebrosa, La</v>
          </cell>
          <cell r="I78" t="str">
            <v>44118</v>
          </cell>
        </row>
        <row r="79">
          <cell r="H79" t="str">
            <v>Gozón</v>
          </cell>
          <cell r="I79" t="str">
            <v>33025</v>
          </cell>
        </row>
        <row r="80">
          <cell r="H80" t="str">
            <v>Gradefes</v>
          </cell>
          <cell r="I80" t="str">
            <v>24079</v>
          </cell>
        </row>
        <row r="81">
          <cell r="H81" t="str">
            <v>Grado</v>
          </cell>
          <cell r="I81" t="str">
            <v>33026</v>
          </cell>
        </row>
        <row r="82">
          <cell r="H82" t="str">
            <v>Híjar</v>
          </cell>
          <cell r="I82" t="str">
            <v>44122</v>
          </cell>
        </row>
        <row r="83">
          <cell r="H83" t="str">
            <v>Hinojosa de Jarque</v>
          </cell>
          <cell r="I83" t="str">
            <v>44123</v>
          </cell>
        </row>
        <row r="84">
          <cell r="H84" t="str">
            <v>Hoz de la Vieja, La</v>
          </cell>
          <cell r="I84" t="str">
            <v>44124</v>
          </cell>
        </row>
        <row r="85">
          <cell r="H85" t="str">
            <v>Illas</v>
          </cell>
          <cell r="I85" t="str">
            <v>33030</v>
          </cell>
        </row>
        <row r="86">
          <cell r="H86" t="str">
            <v>Jarque de la Val</v>
          </cell>
          <cell r="I86" t="str">
            <v>44128</v>
          </cell>
        </row>
        <row r="87">
          <cell r="H87" t="str">
            <v>Lécera</v>
          </cell>
          <cell r="I87" t="str">
            <v>50136</v>
          </cell>
        </row>
        <row r="88">
          <cell r="H88" t="str">
            <v>Lidón</v>
          </cell>
          <cell r="I88" t="str">
            <v>44136</v>
          </cell>
        </row>
        <row r="89">
          <cell r="H89" t="str">
            <v>Llanera</v>
          </cell>
          <cell r="I89" t="str">
            <v>33035</v>
          </cell>
        </row>
        <row r="90">
          <cell r="H90" t="str">
            <v>Lucillo</v>
          </cell>
          <cell r="I90" t="str">
            <v>24090</v>
          </cell>
        </row>
        <row r="91">
          <cell r="H91" t="str">
            <v>Magaz de Cepeda</v>
          </cell>
          <cell r="I91" t="str">
            <v>24093</v>
          </cell>
        </row>
        <row r="92">
          <cell r="H92" t="str">
            <v>Maicas</v>
          </cell>
          <cell r="I92" t="str">
            <v>44142</v>
          </cell>
        </row>
        <row r="93">
          <cell r="H93" t="str">
            <v>Mantinos</v>
          </cell>
          <cell r="I93" t="str">
            <v>34100</v>
          </cell>
        </row>
        <row r="94">
          <cell r="H94" t="str">
            <v>Martín del Río</v>
          </cell>
          <cell r="I94" t="str">
            <v>44144</v>
          </cell>
        </row>
        <row r="95">
          <cell r="H95" t="str">
            <v>Mas de las Matas</v>
          </cell>
          <cell r="I95" t="str">
            <v>44145</v>
          </cell>
        </row>
        <row r="96">
          <cell r="H96" t="str">
            <v>Mata de los Olmos, La</v>
          </cell>
          <cell r="I96" t="str">
            <v>44146</v>
          </cell>
        </row>
        <row r="97">
          <cell r="H97" t="str">
            <v>Mezquita de Jarque</v>
          </cell>
          <cell r="I97" t="str">
            <v>44148</v>
          </cell>
        </row>
        <row r="98">
          <cell r="H98" t="str">
            <v>Miravete de la Sierra</v>
          </cell>
          <cell r="I98" t="str">
            <v>44150</v>
          </cell>
        </row>
        <row r="99">
          <cell r="H99" t="str">
            <v>Molinaseca</v>
          </cell>
          <cell r="I99" t="str">
            <v>24100</v>
          </cell>
        </row>
        <row r="100">
          <cell r="H100" t="str">
            <v>Molinos</v>
          </cell>
          <cell r="I100" t="str">
            <v>44151</v>
          </cell>
        </row>
        <row r="101">
          <cell r="H101" t="str">
            <v>Monroyo</v>
          </cell>
          <cell r="I101" t="str">
            <v>44154</v>
          </cell>
        </row>
        <row r="102">
          <cell r="H102" t="str">
            <v>Mudá</v>
          </cell>
          <cell r="I102" t="str">
            <v>34110</v>
          </cell>
        </row>
        <row r="103">
          <cell r="H103" t="str">
            <v>Muniesa</v>
          </cell>
          <cell r="I103" t="str">
            <v>44161</v>
          </cell>
        </row>
        <row r="104">
          <cell r="H104" t="str">
            <v>Murias de Paredes</v>
          </cell>
          <cell r="I104" t="str">
            <v>24101</v>
          </cell>
        </row>
        <row r="105">
          <cell r="H105" t="str">
            <v>Nava</v>
          </cell>
          <cell r="I105" t="str">
            <v>33040</v>
          </cell>
        </row>
        <row r="106">
          <cell r="H106" t="str">
            <v>Nonaspe</v>
          </cell>
          <cell r="I106" t="str">
            <v>50189</v>
          </cell>
        </row>
        <row r="107">
          <cell r="H107" t="str">
            <v>Noreña</v>
          </cell>
          <cell r="I107" t="str">
            <v>33042</v>
          </cell>
        </row>
        <row r="108">
          <cell r="H108" t="str">
            <v>Obón</v>
          </cell>
          <cell r="I108" t="str">
            <v>44167</v>
          </cell>
        </row>
        <row r="109">
          <cell r="H109" t="str">
            <v>Oencia</v>
          </cell>
          <cell r="I109" t="str">
            <v>24103</v>
          </cell>
        </row>
        <row r="110">
          <cell r="H110" t="str">
            <v>Oliete</v>
          </cell>
          <cell r="I110" t="str">
            <v>44172</v>
          </cell>
        </row>
        <row r="111">
          <cell r="H111" t="str">
            <v>Olmos de Ojeda</v>
          </cell>
          <cell r="I111" t="str">
            <v>34114</v>
          </cell>
        </row>
        <row r="112">
          <cell r="H112" t="str">
            <v>Olmos, Los</v>
          </cell>
          <cell r="I112" t="str">
            <v>44173</v>
          </cell>
        </row>
        <row r="113">
          <cell r="H113" t="str">
            <v>Omañas, Las</v>
          </cell>
          <cell r="I113" t="str">
            <v>24104</v>
          </cell>
        </row>
        <row r="114">
          <cell r="H114" t="str">
            <v>Pancrudo</v>
          </cell>
          <cell r="I114" t="str">
            <v>44177</v>
          </cell>
        </row>
        <row r="115">
          <cell r="H115" t="str">
            <v>Parras de Castellote, Las</v>
          </cell>
          <cell r="I115" t="str">
            <v>44178</v>
          </cell>
        </row>
        <row r="116">
          <cell r="H116" t="str">
            <v>Parres</v>
          </cell>
          <cell r="I116" t="str">
            <v>33045</v>
          </cell>
        </row>
        <row r="117">
          <cell r="H117" t="str">
            <v>Payo de Ojeda</v>
          </cell>
          <cell r="I117" t="str">
            <v>34124</v>
          </cell>
        </row>
        <row r="118">
          <cell r="H118" t="str">
            <v>Perales del Alfambra</v>
          </cell>
          <cell r="I118" t="str">
            <v>44182</v>
          </cell>
        </row>
        <row r="119">
          <cell r="H119" t="str">
            <v>Peranzanes</v>
          </cell>
          <cell r="I119" t="str">
            <v>24112</v>
          </cell>
        </row>
        <row r="120">
          <cell r="H120" t="str">
            <v>Pitarque</v>
          </cell>
          <cell r="I120" t="str">
            <v>44183</v>
          </cell>
        </row>
        <row r="121">
          <cell r="H121" t="str">
            <v>Polentinos</v>
          </cell>
          <cell r="I121" t="str">
            <v>34134</v>
          </cell>
        </row>
        <row r="122">
          <cell r="H122" t="str">
            <v>Ponferrada</v>
          </cell>
          <cell r="I122" t="str">
            <v>24115</v>
          </cell>
        </row>
        <row r="123">
          <cell r="H123" t="str">
            <v>Ponga</v>
          </cell>
          <cell r="I123" t="str">
            <v>33050</v>
          </cell>
        </row>
        <row r="124">
          <cell r="H124" t="str">
            <v>Posada de Valdeón</v>
          </cell>
          <cell r="I124" t="str">
            <v>24116</v>
          </cell>
        </row>
        <row r="125">
          <cell r="H125" t="str">
            <v>Prado de la Guzpeña</v>
          </cell>
          <cell r="I125" t="str">
            <v>24118</v>
          </cell>
        </row>
        <row r="126">
          <cell r="H126" t="str">
            <v>Priaranza del Bierzo</v>
          </cell>
          <cell r="I126" t="str">
            <v>24119</v>
          </cell>
        </row>
        <row r="127">
          <cell r="H127" t="str">
            <v>Prioro</v>
          </cell>
          <cell r="I127" t="str">
            <v>24120</v>
          </cell>
        </row>
        <row r="128">
          <cell r="H128" t="str">
            <v>Proaza</v>
          </cell>
          <cell r="I128" t="str">
            <v>33052</v>
          </cell>
        </row>
        <row r="129">
          <cell r="H129" t="str">
            <v>Puebla de Lillo</v>
          </cell>
          <cell r="I129" t="str">
            <v>24121</v>
          </cell>
        </row>
        <row r="130">
          <cell r="H130" t="str">
            <v>Puente de Domingo Flórez</v>
          </cell>
          <cell r="I130" t="str">
            <v>24122</v>
          </cell>
        </row>
        <row r="131">
          <cell r="H131" t="str">
            <v>Quintana del Castillo</v>
          </cell>
          <cell r="I131" t="str">
            <v>24123</v>
          </cell>
        </row>
        <row r="132">
          <cell r="H132" t="str">
            <v>Ráfales</v>
          </cell>
          <cell r="I132" t="str">
            <v>44194</v>
          </cell>
        </row>
        <row r="133">
          <cell r="H133" t="str">
            <v>Regueras, Las</v>
          </cell>
          <cell r="I133" t="str">
            <v>33054</v>
          </cell>
        </row>
        <row r="134">
          <cell r="H134" t="str">
            <v>Respenda de la Peña</v>
          </cell>
          <cell r="I134" t="str">
            <v>34151</v>
          </cell>
        </row>
        <row r="135">
          <cell r="H135" t="str">
            <v>Reyero</v>
          </cell>
          <cell r="I135" t="str">
            <v>24129</v>
          </cell>
        </row>
        <row r="136">
          <cell r="H136" t="str">
            <v>Riaño</v>
          </cell>
          <cell r="I136" t="str">
            <v>24130</v>
          </cell>
        </row>
        <row r="137">
          <cell r="H137" t="str">
            <v>Riello</v>
          </cell>
          <cell r="I137" t="str">
            <v>24132</v>
          </cell>
        </row>
        <row r="138">
          <cell r="H138" t="str">
            <v>Rillo</v>
          </cell>
          <cell r="I138" t="str">
            <v>44195</v>
          </cell>
        </row>
        <row r="139">
          <cell r="H139" t="str">
            <v>Rioseco de Tapia</v>
          </cell>
          <cell r="I139" t="str">
            <v>24133</v>
          </cell>
        </row>
        <row r="140">
          <cell r="H140" t="str">
            <v>Salas</v>
          </cell>
          <cell r="I140" t="str">
            <v>33059</v>
          </cell>
        </row>
        <row r="141">
          <cell r="H141" t="str">
            <v>Salcedillo</v>
          </cell>
          <cell r="I141" t="str">
            <v>44203</v>
          </cell>
        </row>
        <row r="142">
          <cell r="H142" t="str">
            <v>Salinas de Pisuerga</v>
          </cell>
          <cell r="I142" t="str">
            <v>34158</v>
          </cell>
        </row>
        <row r="143">
          <cell r="H143" t="str">
            <v>San Cebrián de Mudá</v>
          </cell>
          <cell r="I143" t="str">
            <v>34160</v>
          </cell>
        </row>
        <row r="144">
          <cell r="H144" t="str">
            <v>Sancedo</v>
          </cell>
          <cell r="I144" t="str">
            <v>24143</v>
          </cell>
        </row>
        <row r="145">
          <cell r="H145" t="str">
            <v>Santa Colomba de Curueño</v>
          </cell>
          <cell r="I145" t="str">
            <v>24151</v>
          </cell>
        </row>
        <row r="146">
          <cell r="H146" t="str">
            <v>Santa Colomba de Somoza</v>
          </cell>
          <cell r="I146" t="str">
            <v>24152</v>
          </cell>
        </row>
        <row r="147">
          <cell r="H147" t="str">
            <v>Santa María de Ordás</v>
          </cell>
          <cell r="I147" t="str">
            <v>24158</v>
          </cell>
        </row>
        <row r="148">
          <cell r="H148" t="str">
            <v>Santo Adriano</v>
          </cell>
          <cell r="I148" t="str">
            <v>33064</v>
          </cell>
        </row>
        <row r="149">
          <cell r="H149" t="str">
            <v>Sariego</v>
          </cell>
          <cell r="I149" t="str">
            <v>33065</v>
          </cell>
        </row>
        <row r="150">
          <cell r="H150" t="str">
            <v>Segura de los Baños</v>
          </cell>
          <cell r="I150" t="str">
            <v>44211</v>
          </cell>
        </row>
        <row r="151">
          <cell r="H151" t="str">
            <v>Sena de Luna</v>
          </cell>
          <cell r="I151" t="str">
            <v>24164</v>
          </cell>
        </row>
        <row r="152">
          <cell r="H152" t="str">
            <v>Sobrado</v>
          </cell>
          <cell r="I152">
            <v>24165</v>
          </cell>
        </row>
        <row r="153">
          <cell r="H153" t="str">
            <v>Somiedo</v>
          </cell>
          <cell r="I153" t="str">
            <v>33068</v>
          </cell>
        </row>
        <row r="154">
          <cell r="H154" t="str">
            <v>Soto y Amío</v>
          </cell>
          <cell r="I154" t="str">
            <v>24167</v>
          </cell>
        </row>
        <row r="155">
          <cell r="H155" t="str">
            <v>Toral de los Vados</v>
          </cell>
          <cell r="I155" t="str">
            <v>24206</v>
          </cell>
        </row>
        <row r="156">
          <cell r="H156" t="str">
            <v>Torre de las Arcas</v>
          </cell>
          <cell r="I156" t="str">
            <v>44224</v>
          </cell>
        </row>
        <row r="157">
          <cell r="H157" t="str">
            <v>Torre los Negros</v>
          </cell>
          <cell r="I157" t="str">
            <v>44227</v>
          </cell>
        </row>
        <row r="158">
          <cell r="H158" t="str">
            <v>Torrecilla del Rebollar</v>
          </cell>
          <cell r="I158" t="str">
            <v>44222</v>
          </cell>
        </row>
        <row r="159">
          <cell r="H159" t="str">
            <v>Torrente de Cinca</v>
          </cell>
          <cell r="I159" t="str">
            <v>22234</v>
          </cell>
        </row>
        <row r="160">
          <cell r="H160" t="str">
            <v>Torrevelilla</v>
          </cell>
          <cell r="I160" t="str">
            <v>44230</v>
          </cell>
        </row>
        <row r="161">
          <cell r="H161" t="str">
            <v>Trabadelo</v>
          </cell>
          <cell r="I161" t="str">
            <v>24171</v>
          </cell>
        </row>
        <row r="162">
          <cell r="H162" t="str">
            <v>Triollo</v>
          </cell>
          <cell r="I162" t="str">
            <v>34185</v>
          </cell>
        </row>
        <row r="163">
          <cell r="H163" t="str">
            <v>Truchas</v>
          </cell>
          <cell r="I163" t="str">
            <v>24172</v>
          </cell>
        </row>
        <row r="164">
          <cell r="H164" t="str">
            <v>Urrea de Gaén</v>
          </cell>
          <cell r="I164" t="str">
            <v>44237</v>
          </cell>
        </row>
        <row r="165">
          <cell r="H165" t="str">
            <v>Valdelugueros</v>
          </cell>
          <cell r="I165" t="str">
            <v>24177</v>
          </cell>
        </row>
        <row r="166">
          <cell r="H166" t="str">
            <v>Valdés</v>
          </cell>
          <cell r="I166" t="str">
            <v>33034</v>
          </cell>
        </row>
        <row r="167">
          <cell r="H167" t="str">
            <v>Valle de Ancares</v>
          </cell>
          <cell r="I167" t="str">
            <v>24036</v>
          </cell>
        </row>
        <row r="168">
          <cell r="H168" t="str">
            <v>Vecilla, La</v>
          </cell>
          <cell r="I168" t="str">
            <v>24193</v>
          </cell>
        </row>
        <row r="169">
          <cell r="H169" t="str">
            <v>Vega de Valcarce</v>
          </cell>
          <cell r="I169" t="str">
            <v>24198</v>
          </cell>
        </row>
        <row r="170">
          <cell r="H170" t="str">
            <v>Vegaquemada</v>
          </cell>
          <cell r="I170" t="str">
            <v>24199</v>
          </cell>
        </row>
        <row r="171">
          <cell r="H171" t="str">
            <v>Villafranca del Bierzo</v>
          </cell>
          <cell r="I171" t="str">
            <v>24209</v>
          </cell>
        </row>
        <row r="172">
          <cell r="H172" t="str">
            <v>Villalba de Guardo</v>
          </cell>
          <cell r="I172" t="str">
            <v>34214</v>
          </cell>
        </row>
        <row r="173">
          <cell r="H173" t="str">
            <v>Villamanín</v>
          </cell>
          <cell r="I173" t="str">
            <v>24901</v>
          </cell>
        </row>
        <row r="174">
          <cell r="H174" t="str">
            <v>Villanueva del Rebollar de la Sierra</v>
          </cell>
          <cell r="I174" t="str">
            <v>44256</v>
          </cell>
        </row>
        <row r="175">
          <cell r="H175" t="str">
            <v>Villarluengo</v>
          </cell>
          <cell r="I175" t="str">
            <v>44260</v>
          </cell>
        </row>
        <row r="176">
          <cell r="H176" t="str">
            <v>Villarroya de los Pinares</v>
          </cell>
          <cell r="I176" t="str">
            <v>44262</v>
          </cell>
        </row>
        <row r="177">
          <cell r="H177" t="str">
            <v>Villaviciosa</v>
          </cell>
          <cell r="I177" t="str">
            <v>33076</v>
          </cell>
        </row>
        <row r="178">
          <cell r="H178" t="str">
            <v>Villayón</v>
          </cell>
          <cell r="I178" t="str">
            <v>33077</v>
          </cell>
        </row>
        <row r="179">
          <cell r="H179" t="str">
            <v>Visiedo</v>
          </cell>
          <cell r="I179" t="str">
            <v>44266</v>
          </cell>
        </row>
        <row r="180">
          <cell r="H180" t="str">
            <v>Vivel del Río Martín</v>
          </cell>
          <cell r="I180" t="str">
            <v>44267</v>
          </cell>
        </row>
        <row r="181">
          <cell r="H181" t="str">
            <v>Yernes y Tameza</v>
          </cell>
          <cell r="I181" t="str">
            <v>33078</v>
          </cell>
        </row>
        <row r="182">
          <cell r="H182" t="str">
            <v>Zoma, La</v>
          </cell>
          <cell r="I182" t="str">
            <v>44268</v>
          </cell>
        </row>
        <row r="183">
          <cell r="H183" t="str">
            <v>Albalate del Arzobispo</v>
          </cell>
          <cell r="I183" t="str">
            <v>44008</v>
          </cell>
        </row>
        <row r="184">
          <cell r="H184" t="str">
            <v>Alcorisa</v>
          </cell>
          <cell r="I184" t="str">
            <v>44014</v>
          </cell>
        </row>
        <row r="185">
          <cell r="H185" t="str">
            <v>Aller</v>
          </cell>
          <cell r="I185" t="str">
            <v>33002</v>
          </cell>
        </row>
        <row r="186">
          <cell r="H186" t="str">
            <v>Alloza</v>
          </cell>
          <cell r="I186" t="str">
            <v>44022</v>
          </cell>
        </row>
        <row r="187">
          <cell r="H187" t="str">
            <v>Andorra</v>
          </cell>
          <cell r="I187" t="str">
            <v>44025</v>
          </cell>
        </row>
        <row r="188">
          <cell r="H188" t="str">
            <v>Ariño</v>
          </cell>
          <cell r="I188" t="str">
            <v>44029</v>
          </cell>
        </row>
        <row r="189">
          <cell r="H189" t="str">
            <v>Barruelo de Santullán</v>
          </cell>
          <cell r="I189" t="str">
            <v>34027</v>
          </cell>
        </row>
        <row r="190">
          <cell r="H190" t="str">
            <v>Bembibre</v>
          </cell>
          <cell r="I190" t="str">
            <v>24014</v>
          </cell>
        </row>
        <row r="191">
          <cell r="H191" t="str">
            <v>Berlanga del Bierzo</v>
          </cell>
          <cell r="I191" t="str">
            <v>24019</v>
          </cell>
        </row>
        <row r="192">
          <cell r="H192" t="str">
            <v>Bimenes</v>
          </cell>
          <cell r="I192" t="str">
            <v>33006</v>
          </cell>
        </row>
        <row r="193">
          <cell r="H193" t="str">
            <v>Cabrillanes</v>
          </cell>
          <cell r="I193" t="str">
            <v>24029</v>
          </cell>
        </row>
        <row r="194">
          <cell r="H194" t="str">
            <v>Calanda</v>
          </cell>
          <cell r="I194" t="str">
            <v>44051</v>
          </cell>
        </row>
        <row r="195">
          <cell r="H195" t="str">
            <v>Cangas del Narcea</v>
          </cell>
          <cell r="I195" t="str">
            <v>33011</v>
          </cell>
        </row>
        <row r="196">
          <cell r="H196" t="str">
            <v>Cañizar del Olivar</v>
          </cell>
          <cell r="I196" t="str">
            <v>44063</v>
          </cell>
        </row>
        <row r="197">
          <cell r="H197" t="str">
            <v>Caso</v>
          </cell>
          <cell r="I197" t="str">
            <v>33015</v>
          </cell>
        </row>
        <row r="198">
          <cell r="H198" t="str">
            <v>Castellote</v>
          </cell>
          <cell r="I198" t="str">
            <v>44071</v>
          </cell>
        </row>
        <row r="199">
          <cell r="H199" t="str">
            <v>Castrejón de la Peña</v>
          </cell>
          <cell r="I199" t="str">
            <v>34049</v>
          </cell>
        </row>
        <row r="200">
          <cell r="H200" t="str">
            <v>Cervera de Pisuerga</v>
          </cell>
          <cell r="I200" t="str">
            <v>34056</v>
          </cell>
        </row>
        <row r="201">
          <cell r="H201" t="str">
            <v>Cistierna</v>
          </cell>
          <cell r="I201" t="str">
            <v>24056</v>
          </cell>
        </row>
        <row r="202">
          <cell r="H202" t="str">
            <v>Degaña</v>
          </cell>
          <cell r="I202" t="str">
            <v>33022</v>
          </cell>
        </row>
        <row r="203">
          <cell r="H203" t="str">
            <v>Escucha</v>
          </cell>
          <cell r="I203" t="str">
            <v>44099</v>
          </cell>
        </row>
        <row r="204">
          <cell r="H204" t="str">
            <v>Estercuel</v>
          </cell>
          <cell r="I204" t="str">
            <v>44100</v>
          </cell>
        </row>
        <row r="205">
          <cell r="H205" t="str">
            <v>Fabero</v>
          </cell>
          <cell r="I205" t="str">
            <v>24070</v>
          </cell>
        </row>
        <row r="206">
          <cell r="H206" t="str">
            <v>Folgoso de la Ribera</v>
          </cell>
          <cell r="I206" t="str">
            <v>24071</v>
          </cell>
        </row>
        <row r="207">
          <cell r="H207" t="str">
            <v>Foz-Calanda</v>
          </cell>
          <cell r="I207" t="str">
            <v>44107</v>
          </cell>
        </row>
        <row r="208">
          <cell r="H208" t="str">
            <v>Gargallo</v>
          </cell>
          <cell r="I208" t="str">
            <v>44116</v>
          </cell>
        </row>
        <row r="209">
          <cell r="H209" t="str">
            <v>Gijón</v>
          </cell>
          <cell r="I209" t="str">
            <v>33024</v>
          </cell>
        </row>
        <row r="210">
          <cell r="H210" t="str">
            <v>Guardo</v>
          </cell>
          <cell r="I210" t="str">
            <v>34080</v>
          </cell>
        </row>
        <row r="211">
          <cell r="H211" t="str">
            <v>Ibias</v>
          </cell>
          <cell r="I211" t="str">
            <v>33028</v>
          </cell>
        </row>
        <row r="212">
          <cell r="H212" t="str">
            <v>Igüeña</v>
          </cell>
          <cell r="I212" t="str">
            <v>24083</v>
          </cell>
        </row>
        <row r="213">
          <cell r="H213" t="str">
            <v>Langreo</v>
          </cell>
          <cell r="I213" t="str">
            <v>33031</v>
          </cell>
        </row>
        <row r="214">
          <cell r="H214" t="str">
            <v>Laviana</v>
          </cell>
          <cell r="I214" t="str">
            <v>33032</v>
          </cell>
        </row>
        <row r="215">
          <cell r="H215" t="str">
            <v>Lena</v>
          </cell>
          <cell r="I215" t="str">
            <v>33033</v>
          </cell>
        </row>
        <row r="216">
          <cell r="H216" t="str">
            <v>Matallana de Torío</v>
          </cell>
          <cell r="I216" t="str">
            <v>24098</v>
          </cell>
        </row>
        <row r="217">
          <cell r="H217" t="str">
            <v>Mequinenza</v>
          </cell>
          <cell r="I217" t="str">
            <v>50165</v>
          </cell>
        </row>
        <row r="218">
          <cell r="H218" t="str">
            <v>Mieres</v>
          </cell>
          <cell r="I218" t="str">
            <v>33037</v>
          </cell>
        </row>
        <row r="219">
          <cell r="H219" t="str">
            <v>Montalbán</v>
          </cell>
          <cell r="I219" t="str">
            <v>44155</v>
          </cell>
        </row>
        <row r="220">
          <cell r="H220" t="str">
            <v>Morcín</v>
          </cell>
          <cell r="I220" t="str">
            <v>33038</v>
          </cell>
        </row>
        <row r="221">
          <cell r="H221" t="str">
            <v>Noceda del Bierzo</v>
          </cell>
          <cell r="I221" t="str">
            <v>24102</v>
          </cell>
        </row>
        <row r="222">
          <cell r="H222" t="str">
            <v>Oviedo</v>
          </cell>
          <cell r="I222" t="str">
            <v>33044</v>
          </cell>
        </row>
        <row r="223">
          <cell r="H223" t="str">
            <v>Palacios del Sil</v>
          </cell>
          <cell r="I223" t="str">
            <v>24109</v>
          </cell>
        </row>
        <row r="224">
          <cell r="H224" t="str">
            <v>Palomar de Arroyos</v>
          </cell>
          <cell r="I224" t="str">
            <v>44176</v>
          </cell>
        </row>
        <row r="225">
          <cell r="H225" t="str">
            <v>Páramo del Sil</v>
          </cell>
          <cell r="I225" t="str">
            <v>24110</v>
          </cell>
        </row>
        <row r="226">
          <cell r="H226" t="str">
            <v>Pernía, La</v>
          </cell>
          <cell r="I226" t="str">
            <v>34904</v>
          </cell>
        </row>
        <row r="227">
          <cell r="H227" t="str">
            <v>Piloña</v>
          </cell>
          <cell r="I227" t="str">
            <v>33049</v>
          </cell>
        </row>
        <row r="228">
          <cell r="H228" t="str">
            <v>Pola de Gordón, La</v>
          </cell>
          <cell r="I228" t="str">
            <v>24114</v>
          </cell>
        </row>
        <row r="229">
          <cell r="H229" t="str">
            <v>Puertollano</v>
          </cell>
          <cell r="I229" t="str">
            <v>13071</v>
          </cell>
        </row>
        <row r="230">
          <cell r="H230" t="str">
            <v>Quirós</v>
          </cell>
          <cell r="I230" t="str">
            <v>33053</v>
          </cell>
        </row>
        <row r="231">
          <cell r="H231" t="str">
            <v>Ribera de Arriba</v>
          </cell>
          <cell r="I231" t="str">
            <v>33057</v>
          </cell>
        </row>
        <row r="232">
          <cell r="H232" t="str">
            <v>Riosa</v>
          </cell>
          <cell r="I232" t="str">
            <v>33058</v>
          </cell>
        </row>
        <row r="233">
          <cell r="H233" t="str">
            <v>Robla, La</v>
          </cell>
          <cell r="I233" t="str">
            <v>24134</v>
          </cell>
        </row>
        <row r="234">
          <cell r="H234" t="str">
            <v>Sabero</v>
          </cell>
          <cell r="I234" t="str">
            <v>24137</v>
          </cell>
        </row>
        <row r="235">
          <cell r="H235" t="str">
            <v>San Emiliano</v>
          </cell>
          <cell r="I235" t="str">
            <v>24145</v>
          </cell>
        </row>
        <row r="236">
          <cell r="H236" t="str">
            <v>San Martín del Rey Aurelio</v>
          </cell>
          <cell r="I236" t="str">
            <v>33060</v>
          </cell>
        </row>
        <row r="237">
          <cell r="H237" t="str">
            <v>Santibáñez de la Peña</v>
          </cell>
          <cell r="I237" t="str">
            <v>34171</v>
          </cell>
        </row>
        <row r="238">
          <cell r="H238" t="str">
            <v>Siero</v>
          </cell>
          <cell r="I238" t="str">
            <v>33066</v>
          </cell>
        </row>
        <row r="239">
          <cell r="H239" t="str">
            <v>Sobrescobio</v>
          </cell>
          <cell r="I239" t="str">
            <v>33067</v>
          </cell>
        </row>
        <row r="240">
          <cell r="H240" t="str">
            <v>Teverga</v>
          </cell>
          <cell r="I240" t="str">
            <v>33072</v>
          </cell>
        </row>
        <row r="241">
          <cell r="H241" t="str">
            <v>Tineo</v>
          </cell>
          <cell r="I241" t="str">
            <v>33073</v>
          </cell>
        </row>
        <row r="242">
          <cell r="H242" t="str">
            <v>Toreno</v>
          </cell>
          <cell r="I242" t="str">
            <v>24169</v>
          </cell>
        </row>
        <row r="243">
          <cell r="H243" t="str">
            <v>Torre del Bierzo</v>
          </cell>
          <cell r="I243" t="str">
            <v>24170</v>
          </cell>
        </row>
        <row r="244">
          <cell r="H244" t="str">
            <v>Utrillas</v>
          </cell>
          <cell r="I244" t="str">
            <v>44238</v>
          </cell>
        </row>
        <row r="245">
          <cell r="H245" t="str">
            <v>Valdepiélago</v>
          </cell>
          <cell r="I245" t="str">
            <v>24179</v>
          </cell>
        </row>
        <row r="246">
          <cell r="H246" t="str">
            <v>Valderrueda</v>
          </cell>
          <cell r="I246" t="str">
            <v>24183</v>
          </cell>
        </row>
        <row r="247">
          <cell r="H247" t="str">
            <v>Valdesamario</v>
          </cell>
          <cell r="I247" t="str">
            <v>24184</v>
          </cell>
        </row>
        <row r="248">
          <cell r="H248" t="str">
            <v>Vega de Espinareda</v>
          </cell>
          <cell r="I248" t="str">
            <v>24196</v>
          </cell>
        </row>
        <row r="249">
          <cell r="H249" t="str">
            <v>Vegacervera</v>
          </cell>
          <cell r="I249" t="str">
            <v>24194</v>
          </cell>
        </row>
        <row r="250">
          <cell r="H250" t="str">
            <v>Velilla del Río Carrión</v>
          </cell>
          <cell r="I250" t="str">
            <v>34199</v>
          </cell>
        </row>
        <row r="251">
          <cell r="H251" t="str">
            <v>Villablino</v>
          </cell>
          <cell r="I251" t="str">
            <v>24202</v>
          </cell>
        </row>
        <row r="252">
          <cell r="H252" t="str">
            <v>Villagatón</v>
          </cell>
          <cell r="I252" t="str">
            <v>24210</v>
          </cell>
        </row>
        <row r="253">
          <cell r="H253" t="str">
            <v>Alaró</v>
          </cell>
          <cell r="I253" t="str">
            <v>07001</v>
          </cell>
        </row>
        <row r="254">
          <cell r="H254" t="str">
            <v>Albalate de Zorita</v>
          </cell>
          <cell r="I254" t="str">
            <v>19006</v>
          </cell>
        </row>
        <row r="255">
          <cell r="H255" t="str">
            <v>Albares</v>
          </cell>
          <cell r="I255" t="str">
            <v>19007</v>
          </cell>
        </row>
        <row r="256">
          <cell r="H256" t="str">
            <v>Alcúdia</v>
          </cell>
          <cell r="I256" t="str">
            <v>07003</v>
          </cell>
        </row>
        <row r="257">
          <cell r="H257" t="str">
            <v>Algeciras</v>
          </cell>
          <cell r="I257" t="str">
            <v>11004</v>
          </cell>
        </row>
        <row r="258">
          <cell r="H258" t="str">
            <v>Almoguera</v>
          </cell>
          <cell r="I258" t="str">
            <v>19021</v>
          </cell>
        </row>
        <row r="259">
          <cell r="H259" t="str">
            <v>Almonacid de Zorita</v>
          </cell>
          <cell r="I259" t="str">
            <v>19022</v>
          </cell>
        </row>
        <row r="260">
          <cell r="H260" t="str">
            <v>Ameyugo</v>
          </cell>
          <cell r="I260" t="str">
            <v>09016</v>
          </cell>
        </row>
        <row r="261">
          <cell r="H261" t="str">
            <v>Ariany</v>
          </cell>
          <cell r="I261" t="str">
            <v>07901</v>
          </cell>
        </row>
        <row r="262">
          <cell r="H262" t="str">
            <v>Azaila</v>
          </cell>
          <cell r="I262" t="str">
            <v>44031</v>
          </cell>
        </row>
        <row r="263">
          <cell r="H263" t="str">
            <v>Barrios, Los</v>
          </cell>
          <cell r="I263" t="str">
            <v>11008</v>
          </cell>
        </row>
        <row r="264">
          <cell r="H264" t="str">
            <v>Belmez</v>
          </cell>
          <cell r="I264" t="str">
            <v>14009</v>
          </cell>
        </row>
        <row r="265">
          <cell r="H265" t="str">
            <v>Berberana</v>
          </cell>
          <cell r="I265" t="str">
            <v>09050</v>
          </cell>
        </row>
        <row r="266">
          <cell r="H266" t="str">
            <v>Blázquez, Los</v>
          </cell>
          <cell r="I266" t="str">
            <v>14011</v>
          </cell>
        </row>
        <row r="267">
          <cell r="H267" t="str">
            <v>Bozoó</v>
          </cell>
          <cell r="I267" t="str">
            <v>09054</v>
          </cell>
        </row>
        <row r="268">
          <cell r="H268" t="str">
            <v>Buendía</v>
          </cell>
          <cell r="I268" t="str">
            <v>16041</v>
          </cell>
        </row>
        <row r="269">
          <cell r="H269" t="str">
            <v>Búger</v>
          </cell>
          <cell r="I269" t="str">
            <v>07009</v>
          </cell>
        </row>
        <row r="270">
          <cell r="H270" t="str">
            <v>Busto de Bureba</v>
          </cell>
          <cell r="I270" t="str">
            <v>09060</v>
          </cell>
        </row>
        <row r="271">
          <cell r="H271" t="str">
            <v>Cabanas</v>
          </cell>
          <cell r="I271" t="str">
            <v>15015</v>
          </cell>
        </row>
        <row r="272">
          <cell r="H272" t="str">
            <v>Campanet</v>
          </cell>
          <cell r="I272" t="str">
            <v>07012</v>
          </cell>
        </row>
        <row r="273">
          <cell r="H273" t="str">
            <v>Capela, A</v>
          </cell>
          <cell r="I273" t="str">
            <v>15018</v>
          </cell>
        </row>
        <row r="274">
          <cell r="H274" t="str">
            <v>Carboneras</v>
          </cell>
          <cell r="I274" t="str">
            <v>04032</v>
          </cell>
        </row>
        <row r="275">
          <cell r="H275" t="str">
            <v>Carral</v>
          </cell>
          <cell r="I275" t="str">
            <v>15021</v>
          </cell>
        </row>
        <row r="276">
          <cell r="H276" t="str">
            <v>Cascajares de Bureba</v>
          </cell>
          <cell r="I276" t="str">
            <v>09077</v>
          </cell>
        </row>
        <row r="277">
          <cell r="H277" t="str">
            <v>Castelnou</v>
          </cell>
          <cell r="I277" t="str">
            <v>44067</v>
          </cell>
        </row>
        <row r="278">
          <cell r="H278" t="str">
            <v>Cerceda</v>
          </cell>
          <cell r="I278" t="str">
            <v>15024</v>
          </cell>
        </row>
        <row r="279">
          <cell r="H279" t="str">
            <v>Cerdido</v>
          </cell>
          <cell r="I279" t="str">
            <v>15025</v>
          </cell>
        </row>
        <row r="280">
          <cell r="H280" t="str">
            <v>Cillaperlata</v>
          </cell>
          <cell r="I280" t="str">
            <v>09102</v>
          </cell>
        </row>
        <row r="281">
          <cell r="H281" t="str">
            <v>Consell</v>
          </cell>
          <cell r="I281" t="str">
            <v>07016</v>
          </cell>
        </row>
        <row r="282">
          <cell r="H282" t="str">
            <v>Cubo de Bureba</v>
          </cell>
          <cell r="I282" t="str">
            <v>09115</v>
          </cell>
        </row>
        <row r="283">
          <cell r="H283" t="str">
            <v>Driebes</v>
          </cell>
          <cell r="I283" t="str">
            <v>19107</v>
          </cell>
        </row>
        <row r="284">
          <cell r="H284" t="str">
            <v>Encío</v>
          </cell>
          <cell r="I284" t="str">
            <v>09120</v>
          </cell>
        </row>
        <row r="285">
          <cell r="H285" t="str">
            <v>Escatrón</v>
          </cell>
          <cell r="I285" t="str">
            <v>50101</v>
          </cell>
        </row>
        <row r="286">
          <cell r="H286" t="str">
            <v>Escopete</v>
          </cell>
          <cell r="I286" t="str">
            <v>19112</v>
          </cell>
        </row>
        <row r="287">
          <cell r="H287" t="str">
            <v>Espiel</v>
          </cell>
          <cell r="I287" t="str">
            <v>14026</v>
          </cell>
        </row>
        <row r="288">
          <cell r="H288" t="str">
            <v>Ferrol</v>
          </cell>
          <cell r="I288" t="str">
            <v>15036</v>
          </cell>
        </row>
        <row r="289">
          <cell r="H289" t="str">
            <v>Frías</v>
          </cell>
          <cell r="I289" t="str">
            <v>09134</v>
          </cell>
        </row>
        <row r="290">
          <cell r="H290" t="str">
            <v>Fuente Obejuna</v>
          </cell>
          <cell r="I290" t="str">
            <v>14029</v>
          </cell>
        </row>
        <row r="291">
          <cell r="H291" t="str">
            <v>Granjuela, La</v>
          </cell>
          <cell r="I291" t="str">
            <v>14032</v>
          </cell>
        </row>
        <row r="292">
          <cell r="H292" t="str">
            <v>Hueva</v>
          </cell>
          <cell r="I292" t="str">
            <v>19150</v>
          </cell>
        </row>
        <row r="293">
          <cell r="H293" t="str">
            <v>Illana</v>
          </cell>
          <cell r="I293" t="str">
            <v>19152</v>
          </cell>
        </row>
        <row r="294">
          <cell r="H294" t="str">
            <v>Jatiel</v>
          </cell>
          <cell r="I294" t="str">
            <v>44129</v>
          </cell>
        </row>
        <row r="295">
          <cell r="H295" t="str">
            <v>Jurisdicción de San Zadornil</v>
          </cell>
          <cell r="I295" t="str">
            <v>09192</v>
          </cell>
        </row>
        <row r="296">
          <cell r="H296" t="str">
            <v>Lantarón</v>
          </cell>
          <cell r="I296" t="str">
            <v>01902</v>
          </cell>
        </row>
        <row r="297">
          <cell r="H297" t="str">
            <v>Laracha, A</v>
          </cell>
          <cell r="I297" t="str">
            <v>15041</v>
          </cell>
        </row>
        <row r="298">
          <cell r="H298" t="str">
            <v>Línea de la Concepción, La</v>
          </cell>
          <cell r="I298" t="str">
            <v>11022</v>
          </cell>
        </row>
        <row r="299">
          <cell r="H299" t="str">
            <v>Lloseta</v>
          </cell>
          <cell r="I299" t="str">
            <v>07029</v>
          </cell>
        </row>
        <row r="300">
          <cell r="H300" t="str">
            <v>Llubí</v>
          </cell>
          <cell r="I300" t="str">
            <v>07030</v>
          </cell>
        </row>
        <row r="301">
          <cell r="H301" t="str">
            <v>Mancor de la Vall</v>
          </cell>
          <cell r="I301" t="str">
            <v>07034</v>
          </cell>
        </row>
        <row r="302">
          <cell r="H302" t="str">
            <v>Mañón</v>
          </cell>
          <cell r="I302" t="str">
            <v>15044</v>
          </cell>
        </row>
        <row r="303">
          <cell r="H303" t="str">
            <v>Maria de la Salut</v>
          </cell>
          <cell r="I303" t="str">
            <v>07035</v>
          </cell>
        </row>
        <row r="304">
          <cell r="H304" t="str">
            <v>Mazuecos</v>
          </cell>
          <cell r="I304" t="str">
            <v>19176</v>
          </cell>
        </row>
        <row r="305">
          <cell r="H305" t="str">
            <v>Medina de Pomar</v>
          </cell>
          <cell r="I305" t="str">
            <v>09209</v>
          </cell>
        </row>
        <row r="306">
          <cell r="H306" t="str">
            <v>Merindad de Cuesta-Urria</v>
          </cell>
          <cell r="I306" t="str">
            <v>09213</v>
          </cell>
        </row>
        <row r="307">
          <cell r="H307" t="str">
            <v>Miranda de Ebro</v>
          </cell>
          <cell r="I307" t="str">
            <v>09219</v>
          </cell>
        </row>
        <row r="308">
          <cell r="H308" t="str">
            <v>Miraveche</v>
          </cell>
          <cell r="I308" t="str">
            <v>09220</v>
          </cell>
        </row>
        <row r="309">
          <cell r="H309" t="str">
            <v>Moeche</v>
          </cell>
          <cell r="I309" t="str">
            <v>15049</v>
          </cell>
        </row>
        <row r="310">
          <cell r="H310" t="str">
            <v>Mondéjar</v>
          </cell>
          <cell r="I310" t="str">
            <v>19192</v>
          </cell>
        </row>
        <row r="311">
          <cell r="H311" t="str">
            <v>Monfero</v>
          </cell>
          <cell r="I311" t="str">
            <v>15050</v>
          </cell>
        </row>
        <row r="312">
          <cell r="H312" t="str">
            <v>Muras</v>
          </cell>
          <cell r="I312" t="str">
            <v>27033</v>
          </cell>
        </row>
        <row r="313">
          <cell r="H313" t="str">
            <v>Muro</v>
          </cell>
          <cell r="I313" t="str">
            <v>07039</v>
          </cell>
        </row>
        <row r="314">
          <cell r="H314" t="str">
            <v>Navas de Bureba</v>
          </cell>
          <cell r="I314" t="str">
            <v>09230</v>
          </cell>
        </row>
        <row r="315">
          <cell r="H315" t="str">
            <v>Obejo</v>
          </cell>
          <cell r="I315" t="str">
            <v>14047</v>
          </cell>
        </row>
        <row r="316">
          <cell r="H316" t="str">
            <v>Oña</v>
          </cell>
          <cell r="I316" t="str">
            <v>09238</v>
          </cell>
        </row>
        <row r="317">
          <cell r="H317" t="str">
            <v>Ordes</v>
          </cell>
          <cell r="I317" t="str">
            <v>15059</v>
          </cell>
        </row>
        <row r="318">
          <cell r="H318" t="str">
            <v>Ortigueira</v>
          </cell>
          <cell r="I318" t="str">
            <v>15061</v>
          </cell>
        </row>
        <row r="319">
          <cell r="H319" t="str">
            <v>Pancorbo</v>
          </cell>
          <cell r="I319" t="str">
            <v>09251</v>
          </cell>
        </row>
        <row r="320">
          <cell r="H320" t="str">
            <v>Partido de la Sierra en Tobalina</v>
          </cell>
          <cell r="I320" t="str">
            <v>09255</v>
          </cell>
        </row>
        <row r="321">
          <cell r="H321" t="str">
            <v>Pastrana</v>
          </cell>
          <cell r="I321" t="str">
            <v>19212</v>
          </cell>
        </row>
        <row r="322">
          <cell r="H322" t="str">
            <v>Peñarroya-Pueblonuevo</v>
          </cell>
          <cell r="I322" t="str">
            <v>14052</v>
          </cell>
        </row>
        <row r="323">
          <cell r="H323" t="str">
            <v>Pollença</v>
          </cell>
          <cell r="I323" t="str">
            <v>07042</v>
          </cell>
        </row>
        <row r="324">
          <cell r="H324" t="str">
            <v>Pontes de García Rodríguez, As</v>
          </cell>
          <cell r="I324" t="str">
            <v>15070</v>
          </cell>
        </row>
        <row r="325">
          <cell r="H325" t="str">
            <v>Pozo de Almoguera</v>
          </cell>
          <cell r="I325" t="str">
            <v>19224</v>
          </cell>
        </row>
        <row r="326">
          <cell r="H326" t="str">
            <v>Puebla de Híjar, La</v>
          </cell>
          <cell r="I326" t="str">
            <v>44191</v>
          </cell>
        </row>
        <row r="327">
          <cell r="H327" t="str">
            <v>Quintanaélez</v>
          </cell>
          <cell r="I327" t="str">
            <v>09283</v>
          </cell>
        </row>
        <row r="328">
          <cell r="H328" t="str">
            <v>Ribera Baja/Erriberabeitia</v>
          </cell>
          <cell r="I328" t="str">
            <v>01047</v>
          </cell>
        </row>
        <row r="329">
          <cell r="H329" t="str">
            <v>Samper de Calanda</v>
          </cell>
          <cell r="I329" t="str">
            <v>44205</v>
          </cell>
        </row>
        <row r="330">
          <cell r="H330" t="str">
            <v>San Roque</v>
          </cell>
          <cell r="I330" t="str">
            <v>11033</v>
          </cell>
        </row>
        <row r="331">
          <cell r="H331" t="str">
            <v>San Sadurniño</v>
          </cell>
          <cell r="I331" t="str">
            <v>15076</v>
          </cell>
        </row>
        <row r="332">
          <cell r="H332" t="str">
            <v>Santa Gadea del Cid</v>
          </cell>
          <cell r="I332" t="str">
            <v>09347</v>
          </cell>
        </row>
        <row r="333">
          <cell r="H333" t="str">
            <v>Santa María Ribarredonda</v>
          </cell>
          <cell r="I333" t="str">
            <v>09353</v>
          </cell>
        </row>
        <row r="334">
          <cell r="H334" t="str">
            <v>Sayatón</v>
          </cell>
          <cell r="I334" t="str">
            <v>19252</v>
          </cell>
        </row>
        <row r="335">
          <cell r="H335" t="str">
            <v>Selva</v>
          </cell>
          <cell r="I335" t="str">
            <v>07058</v>
          </cell>
        </row>
        <row r="336">
          <cell r="H336" t="str">
            <v>Seno</v>
          </cell>
          <cell r="I336" t="str">
            <v>44212</v>
          </cell>
        </row>
        <row r="337">
          <cell r="H337" t="str">
            <v>Somozas, As</v>
          </cell>
          <cell r="I337" t="str">
            <v>15081</v>
          </cell>
        </row>
        <row r="338">
          <cell r="H338" t="str">
            <v>Tordoia</v>
          </cell>
          <cell r="I338" t="str">
            <v>15084</v>
          </cell>
        </row>
        <row r="339">
          <cell r="H339" t="str">
            <v>Trespaderne</v>
          </cell>
          <cell r="I339" t="str">
            <v>09394</v>
          </cell>
        </row>
        <row r="340">
          <cell r="H340" t="str">
            <v>Valdeconcha</v>
          </cell>
          <cell r="I340" t="str">
            <v>19301</v>
          </cell>
        </row>
        <row r="341">
          <cell r="H341" t="str">
            <v>Valdegovía/Gaubea</v>
          </cell>
          <cell r="I341" t="str">
            <v>01055</v>
          </cell>
        </row>
        <row r="342">
          <cell r="H342" t="str">
            <v>Valle de Altomira, El</v>
          </cell>
          <cell r="I342" t="str">
            <v>16173</v>
          </cell>
        </row>
        <row r="343">
          <cell r="H343" t="str">
            <v>Valle de Tobalina</v>
          </cell>
          <cell r="I343" t="str">
            <v>09412</v>
          </cell>
        </row>
        <row r="344">
          <cell r="H344" t="str">
            <v>Valsequillo</v>
          </cell>
          <cell r="I344" t="str">
            <v>14064</v>
          </cell>
        </row>
        <row r="345">
          <cell r="H345" t="str">
            <v>Vilalba</v>
          </cell>
          <cell r="I345" t="str">
            <v>27065</v>
          </cell>
        </row>
        <row r="346">
          <cell r="H346" t="str">
            <v>Villaharta</v>
          </cell>
          <cell r="I346" t="str">
            <v>14068</v>
          </cell>
        </row>
        <row r="347">
          <cell r="H347" t="str">
            <v>Villanueva de Teba</v>
          </cell>
          <cell r="I347" t="str">
            <v>09454</v>
          </cell>
        </row>
        <row r="348">
          <cell r="H348" t="str">
            <v>Villanueva del Rey</v>
          </cell>
          <cell r="I348" t="str">
            <v>14071</v>
          </cell>
        </row>
        <row r="349">
          <cell r="H349" t="str">
            <v>Villaviciosa de Córdoba</v>
          </cell>
          <cell r="I349" t="str">
            <v>14073</v>
          </cell>
        </row>
        <row r="350">
          <cell r="H350" t="str">
            <v>Vinaceite</v>
          </cell>
          <cell r="I350" t="str">
            <v>44265</v>
          </cell>
        </row>
        <row r="351">
          <cell r="H351" t="str">
            <v>Xermade</v>
          </cell>
          <cell r="I351" t="str">
            <v>27021</v>
          </cell>
        </row>
        <row r="352">
          <cell r="H352" t="str">
            <v>Yebra</v>
          </cell>
          <cell r="I352" t="str">
            <v>19327</v>
          </cell>
        </row>
        <row r="353">
          <cell r="H353" t="str">
            <v>Zorita de los Canes</v>
          </cell>
          <cell r="I353" t="str">
            <v>19335</v>
          </cell>
        </row>
        <row r="354">
          <cell r="H354" t="str">
            <v>Ababuj</v>
          </cell>
          <cell r="I354" t="str">
            <v>44001</v>
          </cell>
        </row>
        <row r="355">
          <cell r="H355" t="str">
            <v>Abades</v>
          </cell>
          <cell r="I355" t="str">
            <v>40001</v>
          </cell>
        </row>
        <row r="356">
          <cell r="H356" t="str">
            <v>Abadía</v>
          </cell>
          <cell r="I356" t="str">
            <v>10001</v>
          </cell>
        </row>
        <row r="357">
          <cell r="H357" t="str">
            <v>Abadín</v>
          </cell>
          <cell r="I357" t="str">
            <v>27001</v>
          </cell>
        </row>
        <row r="358">
          <cell r="H358" t="str">
            <v>Abadiño</v>
          </cell>
          <cell r="I358" t="str">
            <v>48001</v>
          </cell>
        </row>
        <row r="359">
          <cell r="H359" t="str">
            <v>Abáigar</v>
          </cell>
          <cell r="I359" t="str">
            <v>31001</v>
          </cell>
        </row>
        <row r="360">
          <cell r="H360" t="str">
            <v>Abajas</v>
          </cell>
          <cell r="I360" t="str">
            <v>09001</v>
          </cell>
        </row>
        <row r="361">
          <cell r="H361" t="str">
            <v>Ábalos</v>
          </cell>
          <cell r="I361" t="str">
            <v>26001</v>
          </cell>
        </row>
        <row r="362">
          <cell r="H362" t="str">
            <v>Abaltzisketa</v>
          </cell>
          <cell r="I362" t="str">
            <v>20001</v>
          </cell>
        </row>
        <row r="363">
          <cell r="H363" t="str">
            <v>Abánades</v>
          </cell>
          <cell r="I363" t="str">
            <v>19001</v>
          </cell>
        </row>
        <row r="364">
          <cell r="H364" t="str">
            <v>Abanilla</v>
          </cell>
          <cell r="I364" t="str">
            <v>30001</v>
          </cell>
        </row>
        <row r="365">
          <cell r="H365" t="str">
            <v>Abanto</v>
          </cell>
          <cell r="I365" t="str">
            <v>50001</v>
          </cell>
        </row>
        <row r="366">
          <cell r="H366" t="str">
            <v>Abanto y Ciérvana-Abanto Zierbena</v>
          </cell>
          <cell r="I366" t="str">
            <v>48002</v>
          </cell>
        </row>
        <row r="367">
          <cell r="H367" t="str">
            <v>Abarán</v>
          </cell>
          <cell r="I367" t="str">
            <v>30002</v>
          </cell>
        </row>
        <row r="368">
          <cell r="H368" t="str">
            <v>Abarca de Campos</v>
          </cell>
          <cell r="I368" t="str">
            <v>34001</v>
          </cell>
        </row>
        <row r="369">
          <cell r="H369" t="str">
            <v>Abárzuza/Abartzuza</v>
          </cell>
          <cell r="I369" t="str">
            <v>31002</v>
          </cell>
        </row>
        <row r="370">
          <cell r="H370" t="str">
            <v>Abaurregaina/Abaurrea Alta</v>
          </cell>
          <cell r="I370" t="str">
            <v>31003</v>
          </cell>
        </row>
        <row r="371">
          <cell r="H371" t="str">
            <v>Abaurrepea/Abaurrea Baja</v>
          </cell>
          <cell r="I371" t="str">
            <v>31004</v>
          </cell>
        </row>
        <row r="372">
          <cell r="H372" t="str">
            <v>Abegondo</v>
          </cell>
          <cell r="I372" t="str">
            <v>15001</v>
          </cell>
        </row>
        <row r="373">
          <cell r="H373" t="str">
            <v>Abejar</v>
          </cell>
          <cell r="I373" t="str">
            <v>42001</v>
          </cell>
        </row>
        <row r="374">
          <cell r="H374" t="str">
            <v>Abejuela</v>
          </cell>
          <cell r="I374" t="str">
            <v>44002</v>
          </cell>
        </row>
        <row r="375">
          <cell r="H375" t="str">
            <v>Abella de la Conca</v>
          </cell>
          <cell r="I375" t="str">
            <v>25001</v>
          </cell>
        </row>
        <row r="376">
          <cell r="H376" t="str">
            <v>Abengibre</v>
          </cell>
          <cell r="I376" t="str">
            <v>02001</v>
          </cell>
        </row>
        <row r="377">
          <cell r="H377" t="str">
            <v>Abenójar</v>
          </cell>
          <cell r="I377" t="str">
            <v>13001</v>
          </cell>
        </row>
        <row r="378">
          <cell r="H378" t="str">
            <v>Aberin</v>
          </cell>
          <cell r="I378" t="str">
            <v>31005</v>
          </cell>
        </row>
        <row r="379">
          <cell r="H379" t="str">
            <v>Abertura</v>
          </cell>
          <cell r="I379" t="str">
            <v>10002</v>
          </cell>
        </row>
        <row r="380">
          <cell r="H380" t="str">
            <v>Abezames</v>
          </cell>
          <cell r="I380" t="str">
            <v>49002</v>
          </cell>
        </row>
        <row r="381">
          <cell r="H381" t="str">
            <v>Abia de la Obispalía</v>
          </cell>
          <cell r="I381" t="str">
            <v>16001</v>
          </cell>
        </row>
        <row r="382">
          <cell r="H382" t="str">
            <v>Abia de las Torres</v>
          </cell>
          <cell r="I382" t="str">
            <v>34003</v>
          </cell>
        </row>
        <row r="383">
          <cell r="H383" t="str">
            <v>Abiego</v>
          </cell>
          <cell r="I383" t="str">
            <v>22001</v>
          </cell>
        </row>
        <row r="384">
          <cell r="H384" t="str">
            <v>Abizanda</v>
          </cell>
          <cell r="I384" t="str">
            <v>22002</v>
          </cell>
        </row>
        <row r="385">
          <cell r="H385" t="str">
            <v>Abla</v>
          </cell>
          <cell r="I385" t="str">
            <v>04001</v>
          </cell>
        </row>
        <row r="386">
          <cell r="H386" t="str">
            <v>Ablanque</v>
          </cell>
          <cell r="I386" t="str">
            <v>19002</v>
          </cell>
        </row>
        <row r="387">
          <cell r="H387" t="str">
            <v>Ablitas</v>
          </cell>
          <cell r="I387" t="str">
            <v>31006</v>
          </cell>
        </row>
        <row r="388">
          <cell r="H388" t="str">
            <v>Abrera</v>
          </cell>
          <cell r="I388" t="str">
            <v>08001</v>
          </cell>
        </row>
        <row r="389">
          <cell r="H389" t="str">
            <v>Abrucena</v>
          </cell>
          <cell r="I389" t="str">
            <v>04002</v>
          </cell>
        </row>
        <row r="390">
          <cell r="H390" t="str">
            <v>Abusejo</v>
          </cell>
          <cell r="I390" t="str">
            <v>37001</v>
          </cell>
        </row>
        <row r="391">
          <cell r="H391" t="str">
            <v>Acebeda, La</v>
          </cell>
          <cell r="I391" t="str">
            <v>28001</v>
          </cell>
        </row>
        <row r="392">
          <cell r="H392" t="str">
            <v>Acebo</v>
          </cell>
          <cell r="I392" t="str">
            <v>10003</v>
          </cell>
        </row>
        <row r="393">
          <cell r="H393" t="str">
            <v>Acebrón, El</v>
          </cell>
          <cell r="I393" t="str">
            <v>16002</v>
          </cell>
        </row>
        <row r="394">
          <cell r="H394" t="str">
            <v>Acedera</v>
          </cell>
          <cell r="I394" t="str">
            <v>06001</v>
          </cell>
        </row>
        <row r="395">
          <cell r="H395" t="str">
            <v>Acehúche</v>
          </cell>
          <cell r="I395" t="str">
            <v>10004</v>
          </cell>
        </row>
        <row r="396">
          <cell r="H396" t="str">
            <v>Aceituna</v>
          </cell>
          <cell r="I396" t="str">
            <v>10005</v>
          </cell>
        </row>
        <row r="397">
          <cell r="H397" t="str">
            <v>Acered</v>
          </cell>
          <cell r="I397" t="str">
            <v>50002</v>
          </cell>
        </row>
        <row r="398">
          <cell r="H398" t="str">
            <v>Aceuchal</v>
          </cell>
          <cell r="I398" t="str">
            <v>06002</v>
          </cell>
        </row>
        <row r="399">
          <cell r="H399" t="str">
            <v>Adahuesca</v>
          </cell>
          <cell r="I399" t="str">
            <v>22003</v>
          </cell>
        </row>
        <row r="400">
          <cell r="H400" t="str">
            <v>Adalia</v>
          </cell>
          <cell r="I400" t="str">
            <v>47001</v>
          </cell>
        </row>
        <row r="401">
          <cell r="H401" t="str">
            <v>Adamuz</v>
          </cell>
          <cell r="I401" t="str">
            <v>14001</v>
          </cell>
        </row>
        <row r="402">
          <cell r="H402" t="str">
            <v>Adanero</v>
          </cell>
          <cell r="I402" t="str">
            <v>05001</v>
          </cell>
        </row>
        <row r="403">
          <cell r="H403" t="str">
            <v>Adeje</v>
          </cell>
          <cell r="I403" t="str">
            <v>38001</v>
          </cell>
        </row>
        <row r="404">
          <cell r="H404" t="str">
            <v>Ademuz</v>
          </cell>
          <cell r="I404" t="str">
            <v>46001</v>
          </cell>
        </row>
        <row r="405">
          <cell r="H405" t="str">
            <v>Adiós</v>
          </cell>
          <cell r="I405" t="str">
            <v>31007</v>
          </cell>
        </row>
        <row r="406">
          <cell r="H406" t="str">
            <v>Adobes</v>
          </cell>
          <cell r="I406" t="str">
            <v>19003</v>
          </cell>
        </row>
        <row r="407">
          <cell r="H407" t="str">
            <v>Ador</v>
          </cell>
          <cell r="I407" t="str">
            <v>46002</v>
          </cell>
        </row>
        <row r="408">
          <cell r="H408" t="str">
            <v>Adra</v>
          </cell>
          <cell r="I408" t="str">
            <v>04003</v>
          </cell>
        </row>
        <row r="409">
          <cell r="H409" t="str">
            <v>Adrada de Haza</v>
          </cell>
          <cell r="I409" t="str">
            <v>09003</v>
          </cell>
        </row>
        <row r="410">
          <cell r="H410" t="str">
            <v>Adrada de Pirón</v>
          </cell>
          <cell r="I410" t="str">
            <v>40002</v>
          </cell>
        </row>
        <row r="411">
          <cell r="H411" t="str">
            <v>Adrada, La</v>
          </cell>
          <cell r="I411" t="str">
            <v>05002</v>
          </cell>
        </row>
        <row r="412">
          <cell r="H412" t="str">
            <v>Adradas</v>
          </cell>
          <cell r="I412" t="str">
            <v>42003</v>
          </cell>
        </row>
        <row r="413">
          <cell r="H413" t="str">
            <v>Adrados</v>
          </cell>
          <cell r="I413" t="str">
            <v>40003</v>
          </cell>
        </row>
        <row r="414">
          <cell r="H414" t="str">
            <v>Aduna</v>
          </cell>
          <cell r="I414" t="str">
            <v>20002</v>
          </cell>
        </row>
        <row r="415">
          <cell r="H415" t="str">
            <v>Agaete</v>
          </cell>
          <cell r="I415" t="str">
            <v>35001</v>
          </cell>
        </row>
        <row r="416">
          <cell r="H416" t="str">
            <v>Agallas</v>
          </cell>
          <cell r="I416" t="str">
            <v>37002</v>
          </cell>
        </row>
        <row r="417">
          <cell r="H417" t="str">
            <v>Àger</v>
          </cell>
          <cell r="I417" t="str">
            <v>25002</v>
          </cell>
        </row>
        <row r="418">
          <cell r="H418" t="str">
            <v>Agolada</v>
          </cell>
          <cell r="I418" t="str">
            <v>36020</v>
          </cell>
        </row>
        <row r="419">
          <cell r="H419" t="str">
            <v>Agón</v>
          </cell>
          <cell r="I419" t="str">
            <v>50003</v>
          </cell>
        </row>
        <row r="420">
          <cell r="H420" t="str">
            <v>Agoncillo</v>
          </cell>
          <cell r="I420" t="str">
            <v>26002</v>
          </cell>
        </row>
        <row r="421">
          <cell r="H421" t="str">
            <v>Agost</v>
          </cell>
          <cell r="I421" t="str">
            <v>03002</v>
          </cell>
        </row>
        <row r="422">
          <cell r="H422" t="str">
            <v>Agramunt</v>
          </cell>
          <cell r="I422" t="str">
            <v>25003</v>
          </cell>
        </row>
        <row r="423">
          <cell r="H423" t="str">
            <v>Ágreda</v>
          </cell>
          <cell r="I423" t="str">
            <v>42004</v>
          </cell>
        </row>
        <row r="424">
          <cell r="H424" t="str">
            <v>Agres</v>
          </cell>
          <cell r="I424" t="str">
            <v>03003</v>
          </cell>
        </row>
        <row r="425">
          <cell r="H425" t="str">
            <v>Agrón</v>
          </cell>
          <cell r="I425" t="str">
            <v>18001</v>
          </cell>
        </row>
        <row r="426">
          <cell r="H426" t="str">
            <v>Aguadulce</v>
          </cell>
          <cell r="I426" t="str">
            <v>41001</v>
          </cell>
        </row>
        <row r="427">
          <cell r="H427" t="str">
            <v>Aguarón</v>
          </cell>
          <cell r="I427" t="str">
            <v>50004</v>
          </cell>
        </row>
        <row r="428">
          <cell r="H428" t="str">
            <v>Aguas Cándidas</v>
          </cell>
          <cell r="I428" t="str">
            <v>09006</v>
          </cell>
        </row>
        <row r="429">
          <cell r="H429" t="str">
            <v>Aguasal</v>
          </cell>
          <cell r="I429" t="str">
            <v>47002</v>
          </cell>
        </row>
        <row r="430">
          <cell r="H430" t="str">
            <v>Aguatón</v>
          </cell>
          <cell r="I430" t="str">
            <v>44003</v>
          </cell>
        </row>
        <row r="431">
          <cell r="H431" t="str">
            <v>Agudo</v>
          </cell>
          <cell r="I431" t="str">
            <v>13002</v>
          </cell>
        </row>
        <row r="432">
          <cell r="H432" t="str">
            <v>Agüero</v>
          </cell>
          <cell r="I432" t="str">
            <v>22004</v>
          </cell>
        </row>
        <row r="433">
          <cell r="H433" t="str">
            <v>Aguilafuente</v>
          </cell>
          <cell r="I433" t="str">
            <v>40004</v>
          </cell>
        </row>
        <row r="434">
          <cell r="H434" t="str">
            <v>Aguilar de Bureba</v>
          </cell>
          <cell r="I434" t="str">
            <v>09007</v>
          </cell>
        </row>
        <row r="435">
          <cell r="H435" t="str">
            <v>Aguilar de Campos</v>
          </cell>
          <cell r="I435" t="str">
            <v>47003</v>
          </cell>
        </row>
        <row r="436">
          <cell r="H436" t="str">
            <v>Aguilar de Codés</v>
          </cell>
          <cell r="I436" t="str">
            <v>31008</v>
          </cell>
        </row>
        <row r="437">
          <cell r="H437" t="str">
            <v>Aguilar de la Frontera</v>
          </cell>
          <cell r="I437" t="str">
            <v>14002</v>
          </cell>
        </row>
        <row r="438">
          <cell r="H438" t="str">
            <v>Aguilar de Segarra</v>
          </cell>
          <cell r="I438" t="str">
            <v>08002</v>
          </cell>
        </row>
        <row r="439">
          <cell r="H439" t="str">
            <v>Aguilar del Alfambra</v>
          </cell>
          <cell r="I439" t="str">
            <v>44005</v>
          </cell>
        </row>
        <row r="440">
          <cell r="H440" t="str">
            <v>Aguilar del Río Alhama</v>
          </cell>
          <cell r="I440" t="str">
            <v>26003</v>
          </cell>
        </row>
        <row r="441">
          <cell r="H441" t="str">
            <v>Águilas</v>
          </cell>
          <cell r="I441" t="str">
            <v>30003</v>
          </cell>
        </row>
        <row r="442">
          <cell r="H442" t="str">
            <v>Aguilón</v>
          </cell>
          <cell r="I442" t="str">
            <v>50005</v>
          </cell>
        </row>
        <row r="443">
          <cell r="H443" t="str">
            <v>Agüimes</v>
          </cell>
          <cell r="I443" t="str">
            <v>35002</v>
          </cell>
        </row>
        <row r="444">
          <cell r="H444" t="str">
            <v>Agullana</v>
          </cell>
          <cell r="I444" t="str">
            <v>17001</v>
          </cell>
        </row>
        <row r="445">
          <cell r="H445" t="str">
            <v>Agullent</v>
          </cell>
          <cell r="I445" t="str">
            <v>46004</v>
          </cell>
        </row>
        <row r="446">
          <cell r="H446" t="str">
            <v>Agulo</v>
          </cell>
          <cell r="I446" t="str">
            <v>38002</v>
          </cell>
        </row>
        <row r="447">
          <cell r="H447" t="str">
            <v>Agurain/Salvatierra</v>
          </cell>
          <cell r="I447" t="str">
            <v>01051</v>
          </cell>
        </row>
        <row r="448">
          <cell r="H448" t="str">
            <v>Ahigal</v>
          </cell>
          <cell r="I448" t="str">
            <v>10006</v>
          </cell>
        </row>
        <row r="449">
          <cell r="H449" t="str">
            <v>Ahigal de los Aceiteros</v>
          </cell>
          <cell r="I449" t="str">
            <v>37003</v>
          </cell>
        </row>
        <row r="450">
          <cell r="H450" t="str">
            <v>Ahigal de Villarino</v>
          </cell>
          <cell r="I450" t="str">
            <v>37004</v>
          </cell>
        </row>
        <row r="451">
          <cell r="H451" t="str">
            <v>Ahillones</v>
          </cell>
          <cell r="I451" t="str">
            <v>06003</v>
          </cell>
        </row>
        <row r="452">
          <cell r="H452" t="str">
            <v>Aia</v>
          </cell>
          <cell r="I452" t="str">
            <v>20016</v>
          </cell>
        </row>
        <row r="453">
          <cell r="H453" t="str">
            <v>Aibar/Oibar</v>
          </cell>
          <cell r="I453" t="str">
            <v>31009</v>
          </cell>
        </row>
        <row r="454">
          <cell r="H454" t="str">
            <v>Aielo de Malferit</v>
          </cell>
          <cell r="I454" t="str">
            <v>46042</v>
          </cell>
        </row>
        <row r="455">
          <cell r="H455" t="str">
            <v>Aielo de Rugat</v>
          </cell>
          <cell r="I455" t="str">
            <v>46043</v>
          </cell>
        </row>
        <row r="456">
          <cell r="H456" t="str">
            <v>Aiguafreda</v>
          </cell>
          <cell r="I456" t="str">
            <v>08014</v>
          </cell>
        </row>
        <row r="457">
          <cell r="H457" t="str">
            <v>Aiguamúrcia</v>
          </cell>
          <cell r="I457" t="str">
            <v>43001</v>
          </cell>
        </row>
        <row r="458">
          <cell r="H458" t="str">
            <v>Aiguaviva</v>
          </cell>
          <cell r="I458" t="str">
            <v>17002</v>
          </cell>
        </row>
        <row r="459">
          <cell r="H459" t="str">
            <v>Aigües</v>
          </cell>
          <cell r="I459" t="str">
            <v>03004</v>
          </cell>
        </row>
        <row r="460">
          <cell r="H460" t="str">
            <v>Aín</v>
          </cell>
          <cell r="I460" t="str">
            <v>12002</v>
          </cell>
        </row>
        <row r="461">
          <cell r="H461" t="str">
            <v>Aínsa-Sobrarbe</v>
          </cell>
          <cell r="I461" t="str">
            <v>22907</v>
          </cell>
        </row>
        <row r="462">
          <cell r="H462" t="str">
            <v>Ainzón</v>
          </cell>
          <cell r="I462" t="str">
            <v>50006</v>
          </cell>
        </row>
        <row r="463">
          <cell r="H463" t="str">
            <v>Aisa</v>
          </cell>
          <cell r="I463" t="str">
            <v>22006</v>
          </cell>
        </row>
        <row r="464">
          <cell r="H464" t="str">
            <v>Aitona</v>
          </cell>
          <cell r="I464" t="str">
            <v>25038</v>
          </cell>
        </row>
        <row r="465">
          <cell r="H465" t="str">
            <v>Aizarnazabal</v>
          </cell>
          <cell r="I465" t="str">
            <v>20003</v>
          </cell>
        </row>
        <row r="466">
          <cell r="H466" t="str">
            <v>Ajalvir</v>
          </cell>
          <cell r="I466" t="str">
            <v>28002</v>
          </cell>
        </row>
        <row r="467">
          <cell r="H467" t="str">
            <v>Ajamil de Cameros</v>
          </cell>
          <cell r="I467" t="str">
            <v>26004</v>
          </cell>
        </row>
        <row r="468">
          <cell r="H468" t="str">
            <v>Ajangiz</v>
          </cell>
          <cell r="I468" t="str">
            <v>48911</v>
          </cell>
        </row>
        <row r="469">
          <cell r="H469" t="str">
            <v>Ajofrín</v>
          </cell>
          <cell r="I469" t="str">
            <v>45001</v>
          </cell>
        </row>
        <row r="470">
          <cell r="H470" t="str">
            <v>Alacant/Alicante</v>
          </cell>
          <cell r="I470" t="str">
            <v>03014</v>
          </cell>
        </row>
        <row r="471">
          <cell r="H471" t="str">
            <v>Aladrén</v>
          </cell>
          <cell r="I471" t="str">
            <v>50007</v>
          </cell>
        </row>
        <row r="472">
          <cell r="H472" t="str">
            <v>Alaejos</v>
          </cell>
          <cell r="I472" t="str">
            <v>47004</v>
          </cell>
        </row>
        <row r="473">
          <cell r="H473" t="str">
            <v>Alagón</v>
          </cell>
          <cell r="I473" t="str">
            <v>50008</v>
          </cell>
        </row>
        <row r="474">
          <cell r="H474" t="str">
            <v>Alagón del Río</v>
          </cell>
          <cell r="I474" t="str">
            <v>10903</v>
          </cell>
        </row>
        <row r="475">
          <cell r="H475" t="str">
            <v>Alaior</v>
          </cell>
          <cell r="I475" t="str">
            <v>07002</v>
          </cell>
        </row>
        <row r="476">
          <cell r="H476" t="str">
            <v>Alájar</v>
          </cell>
          <cell r="I476" t="str">
            <v>21001</v>
          </cell>
        </row>
        <row r="477">
          <cell r="H477" t="str">
            <v>Alajeró</v>
          </cell>
          <cell r="I477" t="str">
            <v>38003</v>
          </cell>
        </row>
        <row r="478">
          <cell r="H478" t="str">
            <v>Alameda</v>
          </cell>
          <cell r="I478" t="str">
            <v>29001</v>
          </cell>
        </row>
        <row r="479">
          <cell r="H479" t="str">
            <v>Alameda de Gardón, La</v>
          </cell>
          <cell r="I479" t="str">
            <v>37005</v>
          </cell>
        </row>
        <row r="480">
          <cell r="H480" t="str">
            <v>Alameda de la Sagra</v>
          </cell>
          <cell r="I480" t="str">
            <v>45002</v>
          </cell>
        </row>
        <row r="481">
          <cell r="H481" t="str">
            <v>Alameda del Valle</v>
          </cell>
          <cell r="I481" t="str">
            <v>28003</v>
          </cell>
        </row>
        <row r="482">
          <cell r="H482" t="str">
            <v>Alamedilla</v>
          </cell>
          <cell r="I482" t="str">
            <v>18002</v>
          </cell>
        </row>
        <row r="483">
          <cell r="H483" t="str">
            <v>Alamedilla, La</v>
          </cell>
          <cell r="I483" t="str">
            <v>37006</v>
          </cell>
        </row>
        <row r="484">
          <cell r="H484" t="str">
            <v>Alamillo</v>
          </cell>
          <cell r="I484" t="str">
            <v>13003</v>
          </cell>
        </row>
        <row r="485">
          <cell r="H485" t="str">
            <v>Alaminos</v>
          </cell>
          <cell r="I485" t="str">
            <v>19004</v>
          </cell>
        </row>
        <row r="486">
          <cell r="H486" t="str">
            <v>Álamo, El</v>
          </cell>
          <cell r="I486" t="str">
            <v>28004</v>
          </cell>
        </row>
        <row r="487">
          <cell r="H487" t="str">
            <v>Alamús, Els</v>
          </cell>
          <cell r="I487" t="str">
            <v>25004</v>
          </cell>
        </row>
        <row r="488">
          <cell r="H488" t="str">
            <v>Alange</v>
          </cell>
          <cell r="I488" t="str">
            <v>06004</v>
          </cell>
        </row>
        <row r="489">
          <cell r="H489" t="str">
            <v>Alanís</v>
          </cell>
          <cell r="I489" t="str">
            <v>41002</v>
          </cell>
        </row>
        <row r="490">
          <cell r="H490" t="str">
            <v>Alaquàs</v>
          </cell>
          <cell r="I490" t="str">
            <v>46005</v>
          </cell>
        </row>
        <row r="491">
          <cell r="H491" t="str">
            <v>Alar del Rey</v>
          </cell>
          <cell r="I491" t="str">
            <v>34005</v>
          </cell>
        </row>
        <row r="492">
          <cell r="H492" t="str">
            <v>Alaraz</v>
          </cell>
          <cell r="I492" t="str">
            <v>37007</v>
          </cell>
        </row>
        <row r="493">
          <cell r="H493" t="str">
            <v>Alarba</v>
          </cell>
          <cell r="I493" t="str">
            <v>50009</v>
          </cell>
        </row>
        <row r="494">
          <cell r="H494" t="str">
            <v>Alarcón</v>
          </cell>
          <cell r="I494" t="str">
            <v>16003</v>
          </cell>
        </row>
        <row r="495">
          <cell r="H495" t="str">
            <v>Alarilla</v>
          </cell>
          <cell r="I495" t="str">
            <v>19005</v>
          </cell>
        </row>
        <row r="496">
          <cell r="H496" t="str">
            <v>Alàs i Cerc</v>
          </cell>
          <cell r="I496" t="str">
            <v>25005</v>
          </cell>
        </row>
        <row r="497">
          <cell r="H497" t="str">
            <v>Alatoz</v>
          </cell>
          <cell r="I497" t="str">
            <v>02002</v>
          </cell>
        </row>
        <row r="498">
          <cell r="H498" t="str">
            <v>Alba</v>
          </cell>
          <cell r="I498" t="str">
            <v>44007</v>
          </cell>
        </row>
        <row r="499">
          <cell r="H499" t="str">
            <v>Alba de Cerrato</v>
          </cell>
          <cell r="I499" t="str">
            <v>34006</v>
          </cell>
        </row>
        <row r="500">
          <cell r="H500" t="str">
            <v>Alba de Tormes</v>
          </cell>
          <cell r="I500" t="str">
            <v>37008</v>
          </cell>
        </row>
        <row r="501">
          <cell r="H501" t="str">
            <v>Alba de Yeltes</v>
          </cell>
          <cell r="I501" t="str">
            <v>37009</v>
          </cell>
        </row>
        <row r="502">
          <cell r="H502" t="str">
            <v>Albacete</v>
          </cell>
          <cell r="I502" t="str">
            <v>02003</v>
          </cell>
        </row>
        <row r="503">
          <cell r="H503" t="str">
            <v>Albagés, L'</v>
          </cell>
          <cell r="I503" t="str">
            <v>25006</v>
          </cell>
        </row>
        <row r="504">
          <cell r="H504" t="str">
            <v>Albaida</v>
          </cell>
          <cell r="I504" t="str">
            <v>46006</v>
          </cell>
        </row>
        <row r="505">
          <cell r="H505" t="str">
            <v>Albaida del Aljarafe</v>
          </cell>
          <cell r="I505" t="str">
            <v>41003</v>
          </cell>
        </row>
        <row r="506">
          <cell r="H506" t="str">
            <v>Albal</v>
          </cell>
          <cell r="I506" t="str">
            <v>46007</v>
          </cell>
        </row>
        <row r="507">
          <cell r="H507" t="str">
            <v>Albalá</v>
          </cell>
          <cell r="I507" t="str">
            <v>10007</v>
          </cell>
        </row>
        <row r="508">
          <cell r="H508" t="str">
            <v>Albaladejo</v>
          </cell>
          <cell r="I508" t="str">
            <v>13004</v>
          </cell>
        </row>
        <row r="509">
          <cell r="H509" t="str">
            <v>Albaladejo del Cuende</v>
          </cell>
          <cell r="I509" t="str">
            <v>16004</v>
          </cell>
        </row>
        <row r="510">
          <cell r="H510" t="str">
            <v>Albalat de la Ribera</v>
          </cell>
          <cell r="I510" t="str">
            <v>46008</v>
          </cell>
        </row>
        <row r="511">
          <cell r="H511" t="str">
            <v>Albalat dels Sorells</v>
          </cell>
          <cell r="I511" t="str">
            <v>46009</v>
          </cell>
        </row>
        <row r="512">
          <cell r="H512" t="str">
            <v>Albalat dels Tarongers</v>
          </cell>
          <cell r="I512" t="str">
            <v>46010</v>
          </cell>
        </row>
        <row r="513">
          <cell r="H513" t="str">
            <v>Albalate de Cinca</v>
          </cell>
          <cell r="I513" t="str">
            <v>22007</v>
          </cell>
        </row>
        <row r="514">
          <cell r="H514" t="str">
            <v>Albalate de las Nogueras</v>
          </cell>
          <cell r="I514" t="str">
            <v>16005</v>
          </cell>
        </row>
        <row r="515">
          <cell r="H515" t="str">
            <v>Albalatillo</v>
          </cell>
          <cell r="I515" t="str">
            <v>22008</v>
          </cell>
        </row>
        <row r="516">
          <cell r="H516" t="str">
            <v>Albanchez</v>
          </cell>
          <cell r="I516" t="str">
            <v>04004</v>
          </cell>
        </row>
        <row r="517">
          <cell r="H517" t="str">
            <v>Albanchez de Mágina</v>
          </cell>
          <cell r="I517" t="str">
            <v>23001</v>
          </cell>
        </row>
        <row r="518">
          <cell r="H518" t="str">
            <v>Albanyà</v>
          </cell>
          <cell r="I518" t="str">
            <v>17003</v>
          </cell>
        </row>
        <row r="519">
          <cell r="H519" t="str">
            <v>Albarracín</v>
          </cell>
          <cell r="I519" t="str">
            <v>44009</v>
          </cell>
        </row>
        <row r="520">
          <cell r="H520" t="str">
            <v>Albarreal de Tajo</v>
          </cell>
          <cell r="I520" t="str">
            <v>45003</v>
          </cell>
        </row>
        <row r="521">
          <cell r="H521" t="str">
            <v>Albatana</v>
          </cell>
          <cell r="I521" t="str">
            <v>02004</v>
          </cell>
        </row>
        <row r="522">
          <cell r="H522" t="str">
            <v>Albatàrrec</v>
          </cell>
          <cell r="I522" t="str">
            <v>25007</v>
          </cell>
        </row>
        <row r="523">
          <cell r="H523" t="str">
            <v>Albatera</v>
          </cell>
          <cell r="I523" t="str">
            <v>03005</v>
          </cell>
        </row>
        <row r="524">
          <cell r="H524" t="str">
            <v>Albelda</v>
          </cell>
          <cell r="I524" t="str">
            <v>22009</v>
          </cell>
        </row>
        <row r="525">
          <cell r="H525" t="str">
            <v>Albelda de Iregua</v>
          </cell>
          <cell r="I525" t="str">
            <v>26005</v>
          </cell>
        </row>
        <row r="526">
          <cell r="H526" t="str">
            <v>Albendea</v>
          </cell>
          <cell r="I526" t="str">
            <v>16006</v>
          </cell>
        </row>
        <row r="527">
          <cell r="H527" t="str">
            <v>Albendiego</v>
          </cell>
          <cell r="I527" t="str">
            <v>19008</v>
          </cell>
        </row>
        <row r="528">
          <cell r="H528" t="str">
            <v>Albentosa</v>
          </cell>
          <cell r="I528" t="str">
            <v>44010</v>
          </cell>
        </row>
        <row r="529">
          <cell r="H529" t="str">
            <v>Alberca de Záncara, La</v>
          </cell>
          <cell r="I529" t="str">
            <v>16007</v>
          </cell>
        </row>
        <row r="530">
          <cell r="H530" t="str">
            <v>Alberca, La</v>
          </cell>
          <cell r="I530" t="str">
            <v>37010</v>
          </cell>
        </row>
        <row r="531">
          <cell r="H531" t="str">
            <v>Alberguería de Argañán, La</v>
          </cell>
          <cell r="I531" t="str">
            <v>37011</v>
          </cell>
        </row>
        <row r="532">
          <cell r="H532" t="str">
            <v>Alberic</v>
          </cell>
          <cell r="I532" t="str">
            <v>46011</v>
          </cell>
        </row>
        <row r="533">
          <cell r="H533" t="str">
            <v>Alberite</v>
          </cell>
          <cell r="I533" t="str">
            <v>26006</v>
          </cell>
        </row>
        <row r="534">
          <cell r="H534" t="str">
            <v>Alberite de San Juan</v>
          </cell>
          <cell r="I534" t="str">
            <v>50010</v>
          </cell>
        </row>
        <row r="535">
          <cell r="H535" t="str">
            <v>Albero Alto</v>
          </cell>
          <cell r="I535" t="str">
            <v>22011</v>
          </cell>
        </row>
        <row r="536">
          <cell r="H536" t="str">
            <v>Albero Bajo</v>
          </cell>
          <cell r="I536" t="str">
            <v>22012</v>
          </cell>
        </row>
        <row r="537">
          <cell r="H537" t="str">
            <v>Alberuela de Tubo</v>
          </cell>
          <cell r="I537" t="str">
            <v>22013</v>
          </cell>
        </row>
        <row r="538">
          <cell r="H538" t="str">
            <v>Albesa</v>
          </cell>
          <cell r="I538" t="str">
            <v>25008</v>
          </cell>
        </row>
        <row r="539">
          <cell r="H539" t="str">
            <v>Albeta</v>
          </cell>
          <cell r="I539" t="str">
            <v>50011</v>
          </cell>
        </row>
        <row r="540">
          <cell r="H540" t="str">
            <v>Albi, L'</v>
          </cell>
          <cell r="I540" t="str">
            <v>25009</v>
          </cell>
        </row>
        <row r="541">
          <cell r="H541" t="str">
            <v>Albillos</v>
          </cell>
          <cell r="I541" t="str">
            <v>09009</v>
          </cell>
        </row>
        <row r="542">
          <cell r="H542" t="str">
            <v>Albinyana</v>
          </cell>
          <cell r="I542" t="str">
            <v>43002</v>
          </cell>
        </row>
        <row r="543">
          <cell r="H543" t="str">
            <v>Albiol, L'</v>
          </cell>
          <cell r="I543" t="str">
            <v>43003</v>
          </cell>
        </row>
        <row r="544">
          <cell r="H544" t="str">
            <v>Albiztur</v>
          </cell>
          <cell r="I544" t="str">
            <v>20004</v>
          </cell>
        </row>
        <row r="545">
          <cell r="H545" t="str">
            <v>Albocàsser</v>
          </cell>
          <cell r="I545" t="str">
            <v>12003</v>
          </cell>
        </row>
        <row r="546">
          <cell r="H546" t="str">
            <v>Alboloduy</v>
          </cell>
          <cell r="I546" t="str">
            <v>04005</v>
          </cell>
        </row>
        <row r="547">
          <cell r="H547" t="str">
            <v>Albolote</v>
          </cell>
          <cell r="I547" t="str">
            <v>18003</v>
          </cell>
        </row>
        <row r="548">
          <cell r="H548" t="str">
            <v>Albondón</v>
          </cell>
          <cell r="I548" t="str">
            <v>18004</v>
          </cell>
        </row>
        <row r="549">
          <cell r="H549" t="str">
            <v>Albons</v>
          </cell>
          <cell r="I549" t="str">
            <v>17004</v>
          </cell>
        </row>
        <row r="550">
          <cell r="H550" t="str">
            <v>Alborache</v>
          </cell>
          <cell r="I550" t="str">
            <v>46012</v>
          </cell>
        </row>
        <row r="551">
          <cell r="H551" t="str">
            <v>Alboraia/Alboraya</v>
          </cell>
          <cell r="I551" t="str">
            <v>46013</v>
          </cell>
        </row>
        <row r="552">
          <cell r="H552" t="str">
            <v>Alborea</v>
          </cell>
          <cell r="I552" t="str">
            <v>02005</v>
          </cell>
        </row>
        <row r="553">
          <cell r="H553" t="str">
            <v>Alborge</v>
          </cell>
          <cell r="I553" t="str">
            <v>50012</v>
          </cell>
        </row>
        <row r="554">
          <cell r="H554" t="str">
            <v>Albornos</v>
          </cell>
          <cell r="I554" t="str">
            <v>05005</v>
          </cell>
        </row>
        <row r="555">
          <cell r="H555" t="str">
            <v>Albox</v>
          </cell>
          <cell r="I555" t="str">
            <v>04006</v>
          </cell>
        </row>
        <row r="556">
          <cell r="H556" t="str">
            <v>Albudeite</v>
          </cell>
          <cell r="I556" t="str">
            <v>30004</v>
          </cell>
        </row>
        <row r="557">
          <cell r="H557" t="str">
            <v>Albuera, La</v>
          </cell>
          <cell r="I557" t="str">
            <v>06005</v>
          </cell>
        </row>
        <row r="558">
          <cell r="H558" t="str">
            <v>Albuixech</v>
          </cell>
          <cell r="I558" t="str">
            <v>46014</v>
          </cell>
        </row>
        <row r="559">
          <cell r="H559" t="str">
            <v>Albuñán</v>
          </cell>
          <cell r="I559" t="str">
            <v>18005</v>
          </cell>
        </row>
        <row r="560">
          <cell r="H560" t="str">
            <v>Albuñol</v>
          </cell>
          <cell r="I560" t="str">
            <v>18006</v>
          </cell>
        </row>
        <row r="561">
          <cell r="H561" t="str">
            <v>Albuñuelas</v>
          </cell>
          <cell r="I561" t="str">
            <v>18007</v>
          </cell>
        </row>
        <row r="562">
          <cell r="H562" t="str">
            <v>Alburquerque</v>
          </cell>
          <cell r="I562" t="str">
            <v>06006</v>
          </cell>
        </row>
        <row r="563">
          <cell r="H563" t="str">
            <v>Alcabón</v>
          </cell>
          <cell r="I563" t="str">
            <v>45004</v>
          </cell>
        </row>
        <row r="564">
          <cell r="H564" t="str">
            <v>Alcadozo</v>
          </cell>
          <cell r="I564" t="str">
            <v>02006</v>
          </cell>
        </row>
        <row r="565">
          <cell r="H565" t="str">
            <v>Alcalá de Ebro</v>
          </cell>
          <cell r="I565" t="str">
            <v>50013</v>
          </cell>
        </row>
        <row r="566">
          <cell r="H566" t="str">
            <v>Alcalá de Guadaíra</v>
          </cell>
          <cell r="I566" t="str">
            <v>41004</v>
          </cell>
        </row>
        <row r="567">
          <cell r="H567" t="str">
            <v>Alcalá de Gurrea</v>
          </cell>
          <cell r="I567" t="str">
            <v>22014</v>
          </cell>
        </row>
        <row r="568">
          <cell r="H568" t="str">
            <v>Alcalá de Henares</v>
          </cell>
          <cell r="I568" t="str">
            <v>28005</v>
          </cell>
        </row>
        <row r="569">
          <cell r="H569" t="str">
            <v>Alcalá de la Selva</v>
          </cell>
          <cell r="I569" t="str">
            <v>44012</v>
          </cell>
        </row>
        <row r="570">
          <cell r="H570" t="str">
            <v>Alcalá de la Vega</v>
          </cell>
          <cell r="I570" t="str">
            <v>16008</v>
          </cell>
        </row>
        <row r="571">
          <cell r="H571" t="str">
            <v>Alcalá de los Gazules</v>
          </cell>
          <cell r="I571" t="str">
            <v>11001</v>
          </cell>
        </row>
        <row r="572">
          <cell r="H572" t="str">
            <v>Alcalá de Moncayo</v>
          </cell>
          <cell r="I572" t="str">
            <v>50014</v>
          </cell>
        </row>
        <row r="573">
          <cell r="H573" t="str">
            <v>Alcalà de Xivert</v>
          </cell>
          <cell r="I573" t="str">
            <v>12004</v>
          </cell>
        </row>
        <row r="574">
          <cell r="H574" t="str">
            <v>Alcalá del Júcar</v>
          </cell>
          <cell r="I574" t="str">
            <v>02007</v>
          </cell>
        </row>
        <row r="575">
          <cell r="H575" t="str">
            <v>Alcalá del Obispo</v>
          </cell>
          <cell r="I575" t="str">
            <v>22015</v>
          </cell>
        </row>
        <row r="576">
          <cell r="H576" t="str">
            <v>Alcalá del Río</v>
          </cell>
          <cell r="I576" t="str">
            <v>41005</v>
          </cell>
        </row>
        <row r="577">
          <cell r="H577" t="str">
            <v>Alcalá del Valle</v>
          </cell>
          <cell r="I577" t="str">
            <v>11002</v>
          </cell>
        </row>
        <row r="578">
          <cell r="H578" t="str">
            <v>Alcalá la Real</v>
          </cell>
          <cell r="I578" t="str">
            <v>23002</v>
          </cell>
        </row>
        <row r="579">
          <cell r="H579" t="str">
            <v>Alcalalí</v>
          </cell>
          <cell r="I579" t="str">
            <v>03006</v>
          </cell>
        </row>
        <row r="580">
          <cell r="H580" t="str">
            <v>Alcampell</v>
          </cell>
          <cell r="I580" t="str">
            <v>22016</v>
          </cell>
        </row>
        <row r="581">
          <cell r="H581" t="str">
            <v>Alcanadre</v>
          </cell>
          <cell r="I581" t="str">
            <v>26007</v>
          </cell>
        </row>
        <row r="582">
          <cell r="H582" t="str">
            <v>Alcanar</v>
          </cell>
          <cell r="I582" t="str">
            <v>43004</v>
          </cell>
        </row>
        <row r="583">
          <cell r="H583" t="str">
            <v>Alcanó</v>
          </cell>
          <cell r="I583" t="str">
            <v>25010</v>
          </cell>
        </row>
        <row r="584">
          <cell r="H584" t="str">
            <v>Alcántara</v>
          </cell>
          <cell r="I584" t="str">
            <v>10008</v>
          </cell>
        </row>
        <row r="585">
          <cell r="H585" t="str">
            <v>Alcantarilla</v>
          </cell>
          <cell r="I585" t="str">
            <v>30005</v>
          </cell>
        </row>
        <row r="586">
          <cell r="H586" t="str">
            <v>Alcàntera de Xúquer</v>
          </cell>
          <cell r="I586" t="str">
            <v>46016</v>
          </cell>
        </row>
        <row r="587">
          <cell r="H587" t="str">
            <v>Alcantud</v>
          </cell>
          <cell r="I587" t="str">
            <v>16009</v>
          </cell>
        </row>
        <row r="588">
          <cell r="H588" t="str">
            <v>Alcañices</v>
          </cell>
          <cell r="I588" t="str">
            <v>49003</v>
          </cell>
        </row>
        <row r="589">
          <cell r="H589" t="str">
            <v>Alcañizo</v>
          </cell>
          <cell r="I589" t="str">
            <v>45005</v>
          </cell>
        </row>
        <row r="590">
          <cell r="H590" t="str">
            <v>Alcaracejos</v>
          </cell>
          <cell r="I590" t="str">
            <v>14003</v>
          </cell>
        </row>
        <row r="591">
          <cell r="H591" t="str">
            <v>Alcaraz</v>
          </cell>
          <cell r="I591" t="str">
            <v>02008</v>
          </cell>
        </row>
        <row r="592">
          <cell r="H592" t="str">
            <v>Alcarràs</v>
          </cell>
          <cell r="I592" t="str">
            <v>25011</v>
          </cell>
        </row>
        <row r="593">
          <cell r="H593" t="str">
            <v>Alcàsser</v>
          </cell>
          <cell r="I593" t="str">
            <v>46015</v>
          </cell>
        </row>
        <row r="594">
          <cell r="H594" t="str">
            <v>Alcaucín</v>
          </cell>
          <cell r="I594" t="str">
            <v>29002</v>
          </cell>
        </row>
        <row r="595">
          <cell r="H595" t="str">
            <v>Alcaudete</v>
          </cell>
          <cell r="I595" t="str">
            <v>23003</v>
          </cell>
        </row>
        <row r="596">
          <cell r="H596" t="str">
            <v>Alcaudete de la Jara</v>
          </cell>
          <cell r="I596" t="str">
            <v>45006</v>
          </cell>
        </row>
        <row r="597">
          <cell r="H597" t="str">
            <v>Alcázar de San Juan</v>
          </cell>
          <cell r="I597" t="str">
            <v>13005</v>
          </cell>
        </row>
        <row r="598">
          <cell r="H598" t="str">
            <v>Alcázar del Rey</v>
          </cell>
          <cell r="I598" t="str">
            <v>16010</v>
          </cell>
        </row>
        <row r="599">
          <cell r="H599" t="str">
            <v>Alcazarén</v>
          </cell>
          <cell r="I599" t="str">
            <v>47005</v>
          </cell>
        </row>
        <row r="600">
          <cell r="H600" t="str">
            <v>Alcázares, Los</v>
          </cell>
          <cell r="I600" t="str">
            <v>30902</v>
          </cell>
        </row>
        <row r="601">
          <cell r="H601" t="str">
            <v>Alcoba</v>
          </cell>
          <cell r="I601" t="str">
            <v>13006</v>
          </cell>
        </row>
        <row r="602">
          <cell r="H602" t="str">
            <v>Alcobendas</v>
          </cell>
          <cell r="I602" t="str">
            <v>28006</v>
          </cell>
        </row>
        <row r="603">
          <cell r="H603" t="str">
            <v>Alcocer</v>
          </cell>
          <cell r="I603" t="str">
            <v>19009</v>
          </cell>
        </row>
        <row r="604">
          <cell r="H604" t="str">
            <v>Alcocero de Mola</v>
          </cell>
          <cell r="I604" t="str">
            <v>09010</v>
          </cell>
        </row>
        <row r="605">
          <cell r="H605" t="str">
            <v>Alcohujate</v>
          </cell>
          <cell r="I605" t="str">
            <v>16011</v>
          </cell>
        </row>
        <row r="606">
          <cell r="H606" t="str">
            <v>Alcoi/Alcoy</v>
          </cell>
          <cell r="I606" t="str">
            <v>03009</v>
          </cell>
        </row>
        <row r="607">
          <cell r="H607" t="str">
            <v>Alcolea</v>
          </cell>
          <cell r="I607" t="str">
            <v>04007</v>
          </cell>
        </row>
        <row r="608">
          <cell r="H608" t="str">
            <v>Alcolea de Calatrava</v>
          </cell>
          <cell r="I608" t="str">
            <v>13007</v>
          </cell>
        </row>
        <row r="609">
          <cell r="H609" t="str">
            <v>Alcolea de Cinca</v>
          </cell>
          <cell r="I609" t="str">
            <v>22017</v>
          </cell>
        </row>
        <row r="610">
          <cell r="H610" t="str">
            <v>Alcolea de las Peñas</v>
          </cell>
          <cell r="I610" t="str">
            <v>19010</v>
          </cell>
        </row>
        <row r="611">
          <cell r="H611" t="str">
            <v>Alcolea de Tajo</v>
          </cell>
          <cell r="I611" t="str">
            <v>45007</v>
          </cell>
        </row>
        <row r="612">
          <cell r="H612" t="str">
            <v>Alcolea del Pinar</v>
          </cell>
          <cell r="I612" t="str">
            <v>19011</v>
          </cell>
        </row>
        <row r="613">
          <cell r="H613" t="str">
            <v>Alcolea del Río</v>
          </cell>
          <cell r="I613" t="str">
            <v>41006</v>
          </cell>
        </row>
        <row r="614">
          <cell r="H614" t="str">
            <v>Alcoleja</v>
          </cell>
          <cell r="I614" t="str">
            <v>03008</v>
          </cell>
        </row>
        <row r="615">
          <cell r="H615" t="str">
            <v>Alcoletge</v>
          </cell>
          <cell r="I615" t="str">
            <v>25012</v>
          </cell>
        </row>
        <row r="616">
          <cell r="H616" t="str">
            <v>Alcollarín</v>
          </cell>
          <cell r="I616" t="str">
            <v>10009</v>
          </cell>
        </row>
        <row r="617">
          <cell r="H617" t="str">
            <v>Alconaba</v>
          </cell>
          <cell r="I617" t="str">
            <v>42006</v>
          </cell>
        </row>
        <row r="618">
          <cell r="H618" t="str">
            <v>Alconada</v>
          </cell>
          <cell r="I618" t="str">
            <v>37012</v>
          </cell>
        </row>
        <row r="619">
          <cell r="H619" t="str">
            <v>Alconada de Maderuelo</v>
          </cell>
          <cell r="I619" t="str">
            <v>40005</v>
          </cell>
        </row>
        <row r="620">
          <cell r="H620" t="str">
            <v>Alconchel</v>
          </cell>
          <cell r="I620" t="str">
            <v>06007</v>
          </cell>
        </row>
        <row r="621">
          <cell r="H621" t="str">
            <v>Alconchel de Ariza</v>
          </cell>
          <cell r="I621" t="str">
            <v>50015</v>
          </cell>
        </row>
        <row r="622">
          <cell r="H622" t="str">
            <v>Alconchel de la Estrella</v>
          </cell>
          <cell r="I622" t="str">
            <v>16012</v>
          </cell>
        </row>
        <row r="623">
          <cell r="H623" t="str">
            <v>Alconera</v>
          </cell>
          <cell r="I623" t="str">
            <v>06008</v>
          </cell>
        </row>
        <row r="624">
          <cell r="H624" t="str">
            <v>Alcóntar</v>
          </cell>
          <cell r="I624" t="str">
            <v>04008</v>
          </cell>
        </row>
        <row r="625">
          <cell r="H625" t="str">
            <v>Alcora, l'</v>
          </cell>
          <cell r="I625" t="str">
            <v>12005</v>
          </cell>
        </row>
        <row r="626">
          <cell r="H626" t="str">
            <v>Alcorcón</v>
          </cell>
          <cell r="I626" t="str">
            <v>28007</v>
          </cell>
        </row>
        <row r="627">
          <cell r="H627" t="str">
            <v>Alcoroches</v>
          </cell>
          <cell r="I627" t="str">
            <v>19013</v>
          </cell>
        </row>
        <row r="628">
          <cell r="H628" t="str">
            <v>Alcosser</v>
          </cell>
          <cell r="I628" t="str">
            <v>03007</v>
          </cell>
        </row>
        <row r="629">
          <cell r="H629" t="str">
            <v>Alcover</v>
          </cell>
          <cell r="I629" t="str">
            <v>43005</v>
          </cell>
        </row>
        <row r="630">
          <cell r="H630" t="str">
            <v>Alcubierre</v>
          </cell>
          <cell r="I630" t="str">
            <v>22018</v>
          </cell>
        </row>
        <row r="631">
          <cell r="H631" t="str">
            <v>Alcubilla de Avellaneda</v>
          </cell>
          <cell r="I631" t="str">
            <v>42007</v>
          </cell>
        </row>
        <row r="632">
          <cell r="H632" t="str">
            <v>Alcubilla de las Peñas</v>
          </cell>
          <cell r="I632" t="str">
            <v>42008</v>
          </cell>
        </row>
        <row r="633">
          <cell r="H633" t="str">
            <v>Alcubilla de Nogales</v>
          </cell>
          <cell r="I633" t="str">
            <v>49004</v>
          </cell>
        </row>
        <row r="634">
          <cell r="H634" t="str">
            <v>Alcubillas</v>
          </cell>
          <cell r="I634" t="str">
            <v>13008</v>
          </cell>
        </row>
        <row r="635">
          <cell r="H635" t="str">
            <v>Alcublas</v>
          </cell>
          <cell r="I635" t="str">
            <v>46018</v>
          </cell>
        </row>
        <row r="636">
          <cell r="H636" t="str">
            <v>Alcúdia de Crespins, l'</v>
          </cell>
          <cell r="I636" t="str">
            <v>46020</v>
          </cell>
        </row>
        <row r="637">
          <cell r="H637" t="str">
            <v>Alcudia de Monteagud</v>
          </cell>
          <cell r="I637" t="str">
            <v>04009</v>
          </cell>
        </row>
        <row r="638">
          <cell r="H638" t="str">
            <v>Alcudia de Veo</v>
          </cell>
          <cell r="I638" t="str">
            <v>12006</v>
          </cell>
        </row>
        <row r="639">
          <cell r="H639" t="str">
            <v>Alcúdia, l'</v>
          </cell>
          <cell r="I639" t="str">
            <v>46019</v>
          </cell>
        </row>
        <row r="640">
          <cell r="H640" t="str">
            <v>Alcuéscar</v>
          </cell>
          <cell r="I640" t="str">
            <v>10010</v>
          </cell>
        </row>
        <row r="641">
          <cell r="H641" t="str">
            <v>Aldaia</v>
          </cell>
          <cell r="I641" t="str">
            <v>46021</v>
          </cell>
        </row>
        <row r="642">
          <cell r="H642" t="str">
            <v>Aldea de San Miguel</v>
          </cell>
          <cell r="I642" t="str">
            <v>47006</v>
          </cell>
        </row>
        <row r="643">
          <cell r="H643" t="str">
            <v>Aldea de San Nicolás, La</v>
          </cell>
          <cell r="I643" t="str">
            <v>35020</v>
          </cell>
        </row>
        <row r="644">
          <cell r="H644" t="str">
            <v>Aldea del Cano</v>
          </cell>
          <cell r="I644" t="str">
            <v>10012</v>
          </cell>
        </row>
        <row r="645">
          <cell r="H645" t="str">
            <v>Aldea del Fresno</v>
          </cell>
          <cell r="I645" t="str">
            <v>28008</v>
          </cell>
        </row>
        <row r="646">
          <cell r="H646" t="str">
            <v>Aldea del Obispo</v>
          </cell>
          <cell r="I646" t="str">
            <v>37015</v>
          </cell>
        </row>
        <row r="647">
          <cell r="H647" t="str">
            <v>Aldea del Obispo, La</v>
          </cell>
          <cell r="I647" t="str">
            <v>10013</v>
          </cell>
        </row>
        <row r="648">
          <cell r="H648" t="str">
            <v>Aldea del Rey</v>
          </cell>
          <cell r="I648" t="str">
            <v>13009</v>
          </cell>
        </row>
        <row r="649">
          <cell r="H649" t="str">
            <v>Aldea en Cabo</v>
          </cell>
          <cell r="I649" t="str">
            <v>45008</v>
          </cell>
        </row>
        <row r="650">
          <cell r="H650" t="str">
            <v>Aldea Real</v>
          </cell>
          <cell r="I650" t="str">
            <v>40012</v>
          </cell>
        </row>
        <row r="651">
          <cell r="H651" t="str">
            <v>Aldea, L'</v>
          </cell>
          <cell r="I651" t="str">
            <v>43904</v>
          </cell>
        </row>
        <row r="652">
          <cell r="H652" t="str">
            <v>Aldeacentenera</v>
          </cell>
          <cell r="I652" t="str">
            <v>10011</v>
          </cell>
        </row>
        <row r="653">
          <cell r="H653" t="str">
            <v>Aldeacipreste</v>
          </cell>
          <cell r="I653" t="str">
            <v>37013</v>
          </cell>
        </row>
        <row r="654">
          <cell r="H654" t="str">
            <v>Aldeadávila de la Ribera</v>
          </cell>
          <cell r="I654" t="str">
            <v>37014</v>
          </cell>
        </row>
        <row r="655">
          <cell r="H655" t="str">
            <v>Aldealafuente</v>
          </cell>
          <cell r="I655" t="str">
            <v>42009</v>
          </cell>
        </row>
        <row r="656">
          <cell r="H656" t="str">
            <v>Aldealcorvo</v>
          </cell>
          <cell r="I656" t="str">
            <v>40006</v>
          </cell>
        </row>
        <row r="657">
          <cell r="H657" t="str">
            <v>Aldealengua</v>
          </cell>
          <cell r="I657" t="str">
            <v>37016</v>
          </cell>
        </row>
        <row r="658">
          <cell r="H658" t="str">
            <v>Aldealengua de Pedraza</v>
          </cell>
          <cell r="I658" t="str">
            <v>40007</v>
          </cell>
        </row>
        <row r="659">
          <cell r="H659" t="str">
            <v>Aldealengua de Santa María</v>
          </cell>
          <cell r="I659" t="str">
            <v>40008</v>
          </cell>
        </row>
        <row r="660">
          <cell r="H660" t="str">
            <v>Aldealices</v>
          </cell>
          <cell r="I660" t="str">
            <v>42010</v>
          </cell>
        </row>
        <row r="661">
          <cell r="H661" t="str">
            <v>Aldealpozo</v>
          </cell>
          <cell r="I661" t="str">
            <v>42011</v>
          </cell>
        </row>
        <row r="662">
          <cell r="H662" t="str">
            <v>Aldealseñor</v>
          </cell>
          <cell r="I662" t="str">
            <v>42012</v>
          </cell>
        </row>
        <row r="663">
          <cell r="H663" t="str">
            <v>Aldeamayor de San Martín</v>
          </cell>
          <cell r="I663" t="str">
            <v>47007</v>
          </cell>
        </row>
        <row r="664">
          <cell r="H664" t="str">
            <v>Aldeanueva de Barbarroya</v>
          </cell>
          <cell r="I664" t="str">
            <v>45009</v>
          </cell>
        </row>
        <row r="665">
          <cell r="H665" t="str">
            <v>Aldeanueva de Ebro</v>
          </cell>
          <cell r="I665" t="str">
            <v>26008</v>
          </cell>
        </row>
        <row r="666">
          <cell r="H666" t="str">
            <v>Aldeanueva de Figueroa</v>
          </cell>
          <cell r="I666" t="str">
            <v>37017</v>
          </cell>
        </row>
        <row r="667">
          <cell r="H667" t="str">
            <v>Aldeanueva de Guadalajara</v>
          </cell>
          <cell r="I667" t="str">
            <v>19015</v>
          </cell>
        </row>
        <row r="668">
          <cell r="H668" t="str">
            <v>Aldeanueva de la Serrezuela</v>
          </cell>
          <cell r="I668" t="str">
            <v>40009</v>
          </cell>
        </row>
        <row r="669">
          <cell r="H669" t="str">
            <v>Aldeanueva de la Sierra</v>
          </cell>
          <cell r="I669" t="str">
            <v>37018</v>
          </cell>
        </row>
        <row r="670">
          <cell r="H670" t="str">
            <v>Aldeanueva de la Vera</v>
          </cell>
          <cell r="I670" t="str">
            <v>10014</v>
          </cell>
        </row>
        <row r="671">
          <cell r="H671" t="str">
            <v>Aldeanueva de San Bartolomé</v>
          </cell>
          <cell r="I671" t="str">
            <v>45010</v>
          </cell>
        </row>
        <row r="672">
          <cell r="H672" t="str">
            <v>Aldeanueva de Santa Cruz</v>
          </cell>
          <cell r="I672" t="str">
            <v>05007</v>
          </cell>
        </row>
        <row r="673">
          <cell r="H673" t="str">
            <v>Aldeanueva del Camino</v>
          </cell>
          <cell r="I673" t="str">
            <v>10015</v>
          </cell>
        </row>
        <row r="674">
          <cell r="H674" t="str">
            <v>Aldeanueva del Codonal</v>
          </cell>
          <cell r="I674" t="str">
            <v>40010</v>
          </cell>
        </row>
        <row r="675">
          <cell r="H675" t="str">
            <v>Aldeaquemada</v>
          </cell>
          <cell r="I675" t="str">
            <v>23004</v>
          </cell>
        </row>
        <row r="676">
          <cell r="H676" t="str">
            <v>Aldearrodrigo</v>
          </cell>
          <cell r="I676" t="str">
            <v>37019</v>
          </cell>
        </row>
        <row r="677">
          <cell r="H677" t="str">
            <v>Aldearrubia</v>
          </cell>
          <cell r="I677" t="str">
            <v>37020</v>
          </cell>
        </row>
        <row r="678">
          <cell r="H678" t="str">
            <v>Aldeaseca</v>
          </cell>
          <cell r="I678" t="str">
            <v>05008</v>
          </cell>
        </row>
        <row r="679">
          <cell r="H679" t="str">
            <v>Aldeaseca de Alba</v>
          </cell>
          <cell r="I679" t="str">
            <v>37021</v>
          </cell>
        </row>
        <row r="680">
          <cell r="H680" t="str">
            <v>Aldeaseca de la Frontera</v>
          </cell>
          <cell r="I680" t="str">
            <v>37022</v>
          </cell>
        </row>
        <row r="681">
          <cell r="H681" t="str">
            <v>Aldeasoña</v>
          </cell>
          <cell r="I681" t="str">
            <v>40013</v>
          </cell>
        </row>
        <row r="682">
          <cell r="H682" t="str">
            <v>Aldeatejada</v>
          </cell>
          <cell r="I682" t="str">
            <v>37023</v>
          </cell>
        </row>
        <row r="683">
          <cell r="H683" t="str">
            <v>Aldeavieja de Tormes</v>
          </cell>
          <cell r="I683" t="str">
            <v>37024</v>
          </cell>
        </row>
        <row r="684">
          <cell r="H684" t="str">
            <v>Aldehorno</v>
          </cell>
          <cell r="I684" t="str">
            <v>40014</v>
          </cell>
        </row>
        <row r="685">
          <cell r="H685" t="str">
            <v>Aldehuela de Jerte</v>
          </cell>
          <cell r="I685" t="str">
            <v>10016</v>
          </cell>
        </row>
        <row r="686">
          <cell r="H686" t="str">
            <v>Aldehuela de la Bóveda</v>
          </cell>
          <cell r="I686" t="str">
            <v>37025</v>
          </cell>
        </row>
        <row r="687">
          <cell r="H687" t="str">
            <v>Aldehuela de Liestos</v>
          </cell>
          <cell r="I687" t="str">
            <v>50016</v>
          </cell>
        </row>
        <row r="688">
          <cell r="H688" t="str">
            <v>Aldehuela de Periáñez</v>
          </cell>
          <cell r="I688" t="str">
            <v>42013</v>
          </cell>
        </row>
        <row r="689">
          <cell r="H689" t="str">
            <v>Aldehuela de Yeltes</v>
          </cell>
          <cell r="I689" t="str">
            <v>37026</v>
          </cell>
        </row>
        <row r="690">
          <cell r="H690" t="str">
            <v>Aldehuela del Codonal</v>
          </cell>
          <cell r="I690" t="str">
            <v>40015</v>
          </cell>
        </row>
        <row r="691">
          <cell r="H691" t="str">
            <v>Aldehuela, La</v>
          </cell>
          <cell r="I691" t="str">
            <v>05010</v>
          </cell>
        </row>
        <row r="692">
          <cell r="H692" t="str">
            <v>Aldehuelas, Las</v>
          </cell>
          <cell r="I692" t="str">
            <v>42014</v>
          </cell>
        </row>
        <row r="693">
          <cell r="H693" t="str">
            <v>Aldeire</v>
          </cell>
          <cell r="I693" t="str">
            <v>18010</v>
          </cell>
        </row>
        <row r="694">
          <cell r="H694" t="str">
            <v>Aldeonte</v>
          </cell>
          <cell r="I694" t="str">
            <v>40016</v>
          </cell>
        </row>
        <row r="695">
          <cell r="H695" t="str">
            <v>Aldover</v>
          </cell>
          <cell r="I695" t="str">
            <v>43006</v>
          </cell>
        </row>
        <row r="696">
          <cell r="H696" t="str">
            <v>Aledo</v>
          </cell>
          <cell r="I696" t="str">
            <v>30006</v>
          </cell>
        </row>
        <row r="697">
          <cell r="H697" t="str">
            <v>Alegia</v>
          </cell>
          <cell r="I697" t="str">
            <v>20005</v>
          </cell>
        </row>
        <row r="698">
          <cell r="H698" t="str">
            <v>Alegría-Dulantzi</v>
          </cell>
          <cell r="I698" t="str">
            <v>01001</v>
          </cell>
        </row>
        <row r="699">
          <cell r="H699" t="str">
            <v>Aleixar, L'</v>
          </cell>
          <cell r="I699" t="str">
            <v>43007</v>
          </cell>
        </row>
        <row r="700">
          <cell r="H700" t="str">
            <v>Alella</v>
          </cell>
          <cell r="I700" t="str">
            <v>08003</v>
          </cell>
        </row>
        <row r="701">
          <cell r="H701" t="str">
            <v>Alentisque</v>
          </cell>
          <cell r="I701" t="str">
            <v>42015</v>
          </cell>
        </row>
        <row r="702">
          <cell r="H702" t="str">
            <v>Alerre</v>
          </cell>
          <cell r="I702" t="str">
            <v>22019</v>
          </cell>
        </row>
        <row r="703">
          <cell r="H703" t="str">
            <v>Alesanco</v>
          </cell>
          <cell r="I703" t="str">
            <v>26009</v>
          </cell>
        </row>
        <row r="704">
          <cell r="H704" t="str">
            <v>Alesón</v>
          </cell>
          <cell r="I704" t="str">
            <v>26010</v>
          </cell>
        </row>
        <row r="705">
          <cell r="H705" t="str">
            <v>Alfacar</v>
          </cell>
          <cell r="I705" t="str">
            <v>18011</v>
          </cell>
        </row>
        <row r="706">
          <cell r="H706" t="str">
            <v>Alfafar</v>
          </cell>
          <cell r="I706" t="str">
            <v>46022</v>
          </cell>
        </row>
        <row r="707">
          <cell r="H707" t="str">
            <v>Alfafara</v>
          </cell>
          <cell r="I707" t="str">
            <v>03010</v>
          </cell>
        </row>
        <row r="708">
          <cell r="H708" t="str">
            <v>Alfajarín</v>
          </cell>
          <cell r="I708" t="str">
            <v>50017</v>
          </cell>
        </row>
        <row r="709">
          <cell r="H709" t="str">
            <v>Alfambra</v>
          </cell>
          <cell r="I709" t="str">
            <v>44016</v>
          </cell>
        </row>
        <row r="710">
          <cell r="H710" t="str">
            <v>Alfamén</v>
          </cell>
          <cell r="I710" t="str">
            <v>50018</v>
          </cell>
        </row>
        <row r="711">
          <cell r="H711" t="str">
            <v>Alfántega</v>
          </cell>
          <cell r="I711" t="str">
            <v>22020</v>
          </cell>
        </row>
        <row r="712">
          <cell r="H712" t="str">
            <v>Alfara de Carles</v>
          </cell>
          <cell r="I712" t="str">
            <v>43008</v>
          </cell>
        </row>
        <row r="713">
          <cell r="H713" t="str">
            <v>Alfara de la Baronia</v>
          </cell>
          <cell r="I713" t="str">
            <v>46024</v>
          </cell>
        </row>
        <row r="714">
          <cell r="H714" t="str">
            <v>Alfara del Patriarca</v>
          </cell>
          <cell r="I714" t="str">
            <v>46025</v>
          </cell>
        </row>
        <row r="715">
          <cell r="H715" t="str">
            <v>Alfaraz de Sayago</v>
          </cell>
          <cell r="I715" t="str">
            <v>49005</v>
          </cell>
        </row>
        <row r="716">
          <cell r="H716" t="str">
            <v>Alfarb</v>
          </cell>
          <cell r="I716" t="str">
            <v>46026</v>
          </cell>
        </row>
        <row r="717">
          <cell r="H717" t="str">
            <v>Alfarnate</v>
          </cell>
          <cell r="I717" t="str">
            <v>29003</v>
          </cell>
        </row>
        <row r="718">
          <cell r="H718" t="str">
            <v>Alfarnatejo</v>
          </cell>
          <cell r="I718" t="str">
            <v>29004</v>
          </cell>
        </row>
        <row r="719">
          <cell r="H719" t="str">
            <v>Alfaro</v>
          </cell>
          <cell r="I719" t="str">
            <v>26011</v>
          </cell>
        </row>
        <row r="720">
          <cell r="H720" t="str">
            <v>Alfarràs</v>
          </cell>
          <cell r="I720" t="str">
            <v>25013</v>
          </cell>
        </row>
        <row r="721">
          <cell r="H721" t="str">
            <v>Alfarrasí</v>
          </cell>
          <cell r="I721" t="str">
            <v>46027</v>
          </cell>
        </row>
        <row r="722">
          <cell r="H722" t="str">
            <v>Alfàs del Pi, l'</v>
          </cell>
          <cell r="I722" t="str">
            <v>03011</v>
          </cell>
        </row>
        <row r="723">
          <cell r="H723" t="str">
            <v>Alfauir</v>
          </cell>
          <cell r="I723" t="str">
            <v>46023</v>
          </cell>
        </row>
        <row r="724">
          <cell r="H724" t="str">
            <v>Alfés</v>
          </cell>
          <cell r="I724" t="str">
            <v>25014</v>
          </cell>
        </row>
        <row r="725">
          <cell r="H725" t="str">
            <v>Alfondeguilla</v>
          </cell>
          <cell r="I725" t="str">
            <v>12007</v>
          </cell>
        </row>
        <row r="726">
          <cell r="H726" t="str">
            <v>Alforja</v>
          </cell>
          <cell r="I726" t="str">
            <v>43009</v>
          </cell>
        </row>
        <row r="727">
          <cell r="H727" t="str">
            <v>Alforque</v>
          </cell>
          <cell r="I727" t="str">
            <v>50019</v>
          </cell>
        </row>
        <row r="728">
          <cell r="H728" t="str">
            <v>Alfoz</v>
          </cell>
          <cell r="I728" t="str">
            <v>27002</v>
          </cell>
        </row>
        <row r="729">
          <cell r="H729" t="str">
            <v>Alfoz de Bricia</v>
          </cell>
          <cell r="I729" t="str">
            <v>09011</v>
          </cell>
        </row>
        <row r="730">
          <cell r="H730" t="str">
            <v>Alfoz de Lloredo</v>
          </cell>
          <cell r="I730" t="str">
            <v>39001</v>
          </cell>
        </row>
        <row r="731">
          <cell r="H731" t="str">
            <v>Alfoz de Quintanadueñas</v>
          </cell>
          <cell r="I731" t="str">
            <v>09907</v>
          </cell>
        </row>
        <row r="732">
          <cell r="H732" t="str">
            <v>Alfoz de Santa Gadea</v>
          </cell>
          <cell r="I732" t="str">
            <v>09012</v>
          </cell>
        </row>
        <row r="733">
          <cell r="H733" t="str">
            <v>Algaba, La</v>
          </cell>
          <cell r="I733" t="str">
            <v>41007</v>
          </cell>
        </row>
        <row r="734">
          <cell r="H734" t="str">
            <v>Algadefe</v>
          </cell>
          <cell r="I734" t="str">
            <v>24002</v>
          </cell>
        </row>
        <row r="735">
          <cell r="H735" t="str">
            <v>Algaida</v>
          </cell>
          <cell r="I735" t="str">
            <v>07004</v>
          </cell>
        </row>
        <row r="736">
          <cell r="H736" t="str">
            <v>Algámitas</v>
          </cell>
          <cell r="I736" t="str">
            <v>41008</v>
          </cell>
        </row>
        <row r="737">
          <cell r="H737" t="str">
            <v>Algar</v>
          </cell>
          <cell r="I737" t="str">
            <v>11003</v>
          </cell>
        </row>
        <row r="738">
          <cell r="H738" t="str">
            <v>Algar de Mesa</v>
          </cell>
          <cell r="I738" t="str">
            <v>19016</v>
          </cell>
        </row>
        <row r="739">
          <cell r="H739" t="str">
            <v>Algar de Palància</v>
          </cell>
          <cell r="I739" t="str">
            <v>46028</v>
          </cell>
        </row>
        <row r="740">
          <cell r="H740" t="str">
            <v>Algarinejo</v>
          </cell>
          <cell r="I740" t="str">
            <v>18012</v>
          </cell>
        </row>
        <row r="741">
          <cell r="H741" t="str">
            <v>Algarra</v>
          </cell>
          <cell r="I741" t="str">
            <v>16013</v>
          </cell>
        </row>
        <row r="742">
          <cell r="H742" t="str">
            <v>Algarrobo</v>
          </cell>
          <cell r="I742" t="str">
            <v>29005</v>
          </cell>
        </row>
        <row r="743">
          <cell r="H743" t="str">
            <v>Algatocín</v>
          </cell>
          <cell r="I743" t="str">
            <v>29006</v>
          </cell>
        </row>
        <row r="744">
          <cell r="H744" t="str">
            <v>Algemesí</v>
          </cell>
          <cell r="I744" t="str">
            <v>46029</v>
          </cell>
        </row>
        <row r="745">
          <cell r="H745" t="str">
            <v>Algerri</v>
          </cell>
          <cell r="I745" t="str">
            <v>25015</v>
          </cell>
        </row>
        <row r="746">
          <cell r="H746" t="str">
            <v>Algete</v>
          </cell>
          <cell r="I746" t="str">
            <v>28009</v>
          </cell>
        </row>
        <row r="747">
          <cell r="H747" t="str">
            <v>Algímia d'Alfara</v>
          </cell>
          <cell r="I747" t="str">
            <v>46030</v>
          </cell>
        </row>
        <row r="748">
          <cell r="H748" t="str">
            <v>Algimia de Almonacid</v>
          </cell>
          <cell r="I748" t="str">
            <v>12008</v>
          </cell>
        </row>
        <row r="749">
          <cell r="H749" t="str">
            <v>Alginet</v>
          </cell>
          <cell r="I749" t="str">
            <v>46031</v>
          </cell>
        </row>
        <row r="750">
          <cell r="H750" t="str">
            <v>Algodonales</v>
          </cell>
          <cell r="I750" t="str">
            <v>11005</v>
          </cell>
        </row>
        <row r="751">
          <cell r="H751" t="str">
            <v>Algodre</v>
          </cell>
          <cell r="I751" t="str">
            <v>49006</v>
          </cell>
        </row>
        <row r="752">
          <cell r="H752" t="str">
            <v>Algora</v>
          </cell>
          <cell r="I752" t="str">
            <v>19017</v>
          </cell>
        </row>
        <row r="753">
          <cell r="H753" t="str">
            <v>Algorfa</v>
          </cell>
          <cell r="I753" t="str">
            <v>03012</v>
          </cell>
        </row>
        <row r="754">
          <cell r="H754" t="str">
            <v>Alguaire</v>
          </cell>
          <cell r="I754" t="str">
            <v>25016</v>
          </cell>
        </row>
        <row r="755">
          <cell r="H755" t="str">
            <v>Alguazas</v>
          </cell>
          <cell r="I755" t="str">
            <v>30007</v>
          </cell>
        </row>
        <row r="756">
          <cell r="H756" t="str">
            <v>Algueña</v>
          </cell>
          <cell r="I756" t="str">
            <v>03013</v>
          </cell>
        </row>
        <row r="757">
          <cell r="H757" t="str">
            <v>Alhabia</v>
          </cell>
          <cell r="I757" t="str">
            <v>04010</v>
          </cell>
        </row>
        <row r="758">
          <cell r="H758" t="str">
            <v>Alhama de Almería</v>
          </cell>
          <cell r="I758" t="str">
            <v>04011</v>
          </cell>
        </row>
        <row r="759">
          <cell r="H759" t="str">
            <v>Alhama de Aragón</v>
          </cell>
          <cell r="I759" t="str">
            <v>50020</v>
          </cell>
        </row>
        <row r="760">
          <cell r="H760" t="str">
            <v>Alhama de Granada</v>
          </cell>
          <cell r="I760" t="str">
            <v>18013</v>
          </cell>
        </row>
        <row r="761">
          <cell r="H761" t="str">
            <v>Alhama de Murcia</v>
          </cell>
          <cell r="I761" t="str">
            <v>30008</v>
          </cell>
        </row>
        <row r="762">
          <cell r="H762" t="str">
            <v>Alhambra</v>
          </cell>
          <cell r="I762" t="str">
            <v>13010</v>
          </cell>
        </row>
        <row r="763">
          <cell r="H763" t="str">
            <v>Alhaurín de la Torre</v>
          </cell>
          <cell r="I763" t="str">
            <v>29007</v>
          </cell>
        </row>
        <row r="764">
          <cell r="H764" t="str">
            <v>Alhaurín el Grande</v>
          </cell>
          <cell r="I764" t="str">
            <v>29008</v>
          </cell>
        </row>
        <row r="765">
          <cell r="H765" t="str">
            <v>Alhendín</v>
          </cell>
          <cell r="I765" t="str">
            <v>18014</v>
          </cell>
        </row>
        <row r="766">
          <cell r="H766" t="str">
            <v>Alhóndiga</v>
          </cell>
          <cell r="I766" t="str">
            <v>19018</v>
          </cell>
        </row>
        <row r="767">
          <cell r="H767" t="str">
            <v>Alía</v>
          </cell>
          <cell r="I767" t="str">
            <v>10017</v>
          </cell>
        </row>
        <row r="768">
          <cell r="H768" t="str">
            <v>Aliaguilla</v>
          </cell>
          <cell r="I768" t="str">
            <v>16014</v>
          </cell>
        </row>
        <row r="769">
          <cell r="H769" t="str">
            <v>Alicún</v>
          </cell>
          <cell r="I769" t="str">
            <v>04012</v>
          </cell>
        </row>
        <row r="770">
          <cell r="H770" t="str">
            <v>Alicún de Ortega</v>
          </cell>
          <cell r="I770" t="str">
            <v>18015</v>
          </cell>
        </row>
        <row r="771">
          <cell r="H771" t="str">
            <v>Alija del Infantado</v>
          </cell>
          <cell r="I771" t="str">
            <v>24003</v>
          </cell>
        </row>
        <row r="772">
          <cell r="H772" t="str">
            <v>Alins</v>
          </cell>
          <cell r="I772" t="str">
            <v>25017</v>
          </cell>
        </row>
        <row r="773">
          <cell r="H773" t="str">
            <v>Alió</v>
          </cell>
          <cell r="I773" t="str">
            <v>43010</v>
          </cell>
        </row>
        <row r="774">
          <cell r="H774" t="str">
            <v>Alique</v>
          </cell>
          <cell r="I774" t="str">
            <v>19019</v>
          </cell>
        </row>
        <row r="775">
          <cell r="H775" t="str">
            <v>Aliseda</v>
          </cell>
          <cell r="I775" t="str">
            <v>10018</v>
          </cell>
        </row>
        <row r="776">
          <cell r="H776" t="str">
            <v>Aliud</v>
          </cell>
          <cell r="I776" t="str">
            <v>42016</v>
          </cell>
        </row>
        <row r="777">
          <cell r="H777" t="str">
            <v>Aljaraque</v>
          </cell>
          <cell r="I777" t="str">
            <v>21002</v>
          </cell>
        </row>
        <row r="778">
          <cell r="H778" t="str">
            <v>Aljucén</v>
          </cell>
          <cell r="I778" t="str">
            <v>06009</v>
          </cell>
        </row>
        <row r="779">
          <cell r="H779" t="str">
            <v>Alkiza</v>
          </cell>
          <cell r="I779" t="str">
            <v>20006</v>
          </cell>
        </row>
        <row r="780">
          <cell r="H780" t="str">
            <v>Allariz</v>
          </cell>
          <cell r="I780" t="str">
            <v>32001</v>
          </cell>
        </row>
        <row r="781">
          <cell r="H781" t="str">
            <v>Allepuz</v>
          </cell>
          <cell r="I781" t="str">
            <v>44021</v>
          </cell>
        </row>
        <row r="782">
          <cell r="H782" t="str">
            <v>Allín/Allin</v>
          </cell>
          <cell r="I782" t="str">
            <v>31011</v>
          </cell>
        </row>
        <row r="783">
          <cell r="H783" t="str">
            <v>Allo</v>
          </cell>
          <cell r="I783" t="str">
            <v>31012</v>
          </cell>
        </row>
        <row r="784">
          <cell r="H784" t="str">
            <v>Allueva</v>
          </cell>
          <cell r="I784" t="str">
            <v>44023</v>
          </cell>
        </row>
        <row r="785">
          <cell r="H785" t="str">
            <v>Almacelles</v>
          </cell>
          <cell r="I785" t="str">
            <v>25019</v>
          </cell>
        </row>
        <row r="786">
          <cell r="H786" t="str">
            <v>Almáchar</v>
          </cell>
          <cell r="I786" t="str">
            <v>29009</v>
          </cell>
        </row>
        <row r="787">
          <cell r="H787" t="str">
            <v>Almadén</v>
          </cell>
          <cell r="I787" t="str">
            <v>13011</v>
          </cell>
        </row>
        <row r="788">
          <cell r="H788" t="str">
            <v>Almadén de la Plata</v>
          </cell>
          <cell r="I788" t="str">
            <v>41009</v>
          </cell>
        </row>
        <row r="789">
          <cell r="H789" t="str">
            <v>Almadenejos</v>
          </cell>
          <cell r="I789" t="str">
            <v>13012</v>
          </cell>
        </row>
        <row r="790">
          <cell r="H790" t="str">
            <v>Almadrones</v>
          </cell>
          <cell r="I790" t="str">
            <v>19020</v>
          </cell>
        </row>
        <row r="791">
          <cell r="H791" t="str">
            <v>Almagro</v>
          </cell>
          <cell r="I791" t="str">
            <v>13013</v>
          </cell>
        </row>
        <row r="792">
          <cell r="H792" t="str">
            <v>Almajano</v>
          </cell>
          <cell r="I792" t="str">
            <v>42017</v>
          </cell>
        </row>
        <row r="793">
          <cell r="H793" t="str">
            <v>Almaluez</v>
          </cell>
          <cell r="I793" t="str">
            <v>42018</v>
          </cell>
        </row>
        <row r="794">
          <cell r="H794" t="str">
            <v>Almansa</v>
          </cell>
          <cell r="I794" t="str">
            <v>02009</v>
          </cell>
        </row>
        <row r="795">
          <cell r="H795" t="str">
            <v>Almaraz</v>
          </cell>
          <cell r="I795" t="str">
            <v>10019</v>
          </cell>
        </row>
        <row r="796">
          <cell r="H796" t="str">
            <v>Almaraz de Duero</v>
          </cell>
          <cell r="I796" t="str">
            <v>49007</v>
          </cell>
        </row>
        <row r="797">
          <cell r="H797" t="str">
            <v>Almarcha, La</v>
          </cell>
          <cell r="I797" t="str">
            <v>16015</v>
          </cell>
        </row>
        <row r="798">
          <cell r="H798" t="str">
            <v>Almargen</v>
          </cell>
          <cell r="I798" t="str">
            <v>29010</v>
          </cell>
        </row>
        <row r="799">
          <cell r="H799" t="str">
            <v>Almarza</v>
          </cell>
          <cell r="I799" t="str">
            <v>42019</v>
          </cell>
        </row>
        <row r="800">
          <cell r="H800" t="str">
            <v>Almarza de Cameros</v>
          </cell>
          <cell r="I800" t="str">
            <v>26012</v>
          </cell>
        </row>
        <row r="801">
          <cell r="H801" t="str">
            <v>Almàssera</v>
          </cell>
          <cell r="I801" t="str">
            <v>46032</v>
          </cell>
        </row>
        <row r="802">
          <cell r="H802" t="str">
            <v>Almassora</v>
          </cell>
          <cell r="I802" t="str">
            <v>12009</v>
          </cell>
        </row>
        <row r="803">
          <cell r="H803" t="str">
            <v>Almatret</v>
          </cell>
          <cell r="I803" t="str">
            <v>25020</v>
          </cell>
        </row>
        <row r="804">
          <cell r="H804" t="str">
            <v>Almazán</v>
          </cell>
          <cell r="I804" t="str">
            <v>42020</v>
          </cell>
        </row>
        <row r="805">
          <cell r="H805" t="str">
            <v>Almazul</v>
          </cell>
          <cell r="I805" t="str">
            <v>42021</v>
          </cell>
        </row>
        <row r="806">
          <cell r="H806" t="str">
            <v>Almedíjar</v>
          </cell>
          <cell r="I806" t="str">
            <v>12010</v>
          </cell>
        </row>
        <row r="807">
          <cell r="H807" t="str">
            <v>Almedina</v>
          </cell>
          <cell r="I807" t="str">
            <v>13014</v>
          </cell>
        </row>
        <row r="808">
          <cell r="H808" t="str">
            <v>Almedinilla</v>
          </cell>
          <cell r="I808" t="str">
            <v>14004</v>
          </cell>
        </row>
        <row r="809">
          <cell r="H809" t="str">
            <v>Almegíjar</v>
          </cell>
          <cell r="I809" t="str">
            <v>18016</v>
          </cell>
        </row>
        <row r="810">
          <cell r="H810" t="str">
            <v>Almeida de Sayago</v>
          </cell>
          <cell r="I810" t="str">
            <v>49008</v>
          </cell>
        </row>
        <row r="811">
          <cell r="H811" t="str">
            <v>Almenar</v>
          </cell>
          <cell r="I811" t="str">
            <v>25021</v>
          </cell>
        </row>
        <row r="812">
          <cell r="H812" t="str">
            <v>Almenar de Soria</v>
          </cell>
          <cell r="I812" t="str">
            <v>42022</v>
          </cell>
        </row>
        <row r="813">
          <cell r="H813" t="str">
            <v>Almenara</v>
          </cell>
          <cell r="I813" t="str">
            <v>12011</v>
          </cell>
        </row>
        <row r="814">
          <cell r="H814" t="str">
            <v>Almenara de Adaja</v>
          </cell>
          <cell r="I814" t="str">
            <v>47008</v>
          </cell>
        </row>
        <row r="815">
          <cell r="H815" t="str">
            <v>Almenara de Tormes</v>
          </cell>
          <cell r="I815" t="str">
            <v>37027</v>
          </cell>
        </row>
        <row r="816">
          <cell r="H816" t="str">
            <v>Almendra</v>
          </cell>
          <cell r="I816" t="str">
            <v>37028</v>
          </cell>
        </row>
        <row r="817">
          <cell r="H817" t="str">
            <v>Almendral</v>
          </cell>
          <cell r="I817" t="str">
            <v>06010</v>
          </cell>
        </row>
        <row r="818">
          <cell r="H818" t="str">
            <v>Almendral de la Cañada</v>
          </cell>
          <cell r="I818" t="str">
            <v>45011</v>
          </cell>
        </row>
        <row r="819">
          <cell r="H819" t="str">
            <v>Almendralejo</v>
          </cell>
          <cell r="I819" t="str">
            <v>06011</v>
          </cell>
        </row>
        <row r="820">
          <cell r="H820" t="str">
            <v>Almendro, El</v>
          </cell>
          <cell r="I820" t="str">
            <v>21003</v>
          </cell>
        </row>
        <row r="821">
          <cell r="H821" t="str">
            <v>Almendros</v>
          </cell>
          <cell r="I821" t="str">
            <v>16016</v>
          </cell>
        </row>
        <row r="822">
          <cell r="H822" t="str">
            <v>Almensilla</v>
          </cell>
          <cell r="I822" t="str">
            <v>41010</v>
          </cell>
        </row>
        <row r="823">
          <cell r="H823" t="str">
            <v>Almería</v>
          </cell>
          <cell r="I823" t="str">
            <v>04013</v>
          </cell>
        </row>
        <row r="824">
          <cell r="H824" t="str">
            <v>Almiserà</v>
          </cell>
          <cell r="I824" t="str">
            <v>46033</v>
          </cell>
        </row>
        <row r="825">
          <cell r="H825" t="str">
            <v>Almochuel</v>
          </cell>
          <cell r="I825" t="str">
            <v>50021</v>
          </cell>
        </row>
        <row r="826">
          <cell r="H826" t="str">
            <v>Almócita</v>
          </cell>
          <cell r="I826" t="str">
            <v>04014</v>
          </cell>
        </row>
        <row r="827">
          <cell r="H827" t="str">
            <v>Almodóvar del Campo</v>
          </cell>
          <cell r="I827" t="str">
            <v>13015</v>
          </cell>
        </row>
        <row r="828">
          <cell r="H828" t="str">
            <v>Almodóvar del Pinar</v>
          </cell>
          <cell r="I828" t="str">
            <v>16017</v>
          </cell>
        </row>
        <row r="829">
          <cell r="H829" t="str">
            <v>Almodóvar del Río</v>
          </cell>
          <cell r="I829" t="str">
            <v>14005</v>
          </cell>
        </row>
        <row r="830">
          <cell r="H830" t="str">
            <v>Almogía</v>
          </cell>
          <cell r="I830" t="str">
            <v>29011</v>
          </cell>
        </row>
        <row r="831">
          <cell r="H831" t="str">
            <v>Almohaja</v>
          </cell>
          <cell r="I831" t="str">
            <v>44018</v>
          </cell>
        </row>
        <row r="832">
          <cell r="H832" t="str">
            <v>Almoharín</v>
          </cell>
          <cell r="I832" t="str">
            <v>10020</v>
          </cell>
        </row>
        <row r="833">
          <cell r="H833" t="str">
            <v>Almoines</v>
          </cell>
          <cell r="I833" t="str">
            <v>46034</v>
          </cell>
        </row>
        <row r="834">
          <cell r="H834" t="str">
            <v>Almolda, La</v>
          </cell>
          <cell r="I834" t="str">
            <v>50022</v>
          </cell>
        </row>
        <row r="835">
          <cell r="H835" t="str">
            <v>Almonacid de la Cuba</v>
          </cell>
          <cell r="I835" t="str">
            <v>50023</v>
          </cell>
        </row>
        <row r="836">
          <cell r="H836" t="str">
            <v>Almonacid de la Sierra</v>
          </cell>
          <cell r="I836" t="str">
            <v>50024</v>
          </cell>
        </row>
        <row r="837">
          <cell r="H837" t="str">
            <v>Almonacid de Toledo</v>
          </cell>
          <cell r="I837" t="str">
            <v>45012</v>
          </cell>
        </row>
        <row r="838">
          <cell r="H838" t="str">
            <v>Almonacid del Marquesado</v>
          </cell>
          <cell r="I838" t="str">
            <v>16018</v>
          </cell>
        </row>
        <row r="839">
          <cell r="H839" t="str">
            <v>Almonaster la Real</v>
          </cell>
          <cell r="I839" t="str">
            <v>21004</v>
          </cell>
        </row>
        <row r="840">
          <cell r="H840" t="str">
            <v>Almonte</v>
          </cell>
          <cell r="I840" t="str">
            <v>21005</v>
          </cell>
        </row>
        <row r="841">
          <cell r="H841" t="str">
            <v>Almoradí</v>
          </cell>
          <cell r="I841" t="str">
            <v>03015</v>
          </cell>
        </row>
        <row r="842">
          <cell r="H842" t="str">
            <v>Almorox</v>
          </cell>
          <cell r="I842" t="str">
            <v>45013</v>
          </cell>
        </row>
        <row r="843">
          <cell r="H843" t="str">
            <v>Almoster</v>
          </cell>
          <cell r="I843" t="str">
            <v>43011</v>
          </cell>
        </row>
        <row r="844">
          <cell r="H844" t="str">
            <v>Almudaina</v>
          </cell>
          <cell r="I844" t="str">
            <v>03016</v>
          </cell>
        </row>
        <row r="845">
          <cell r="H845" t="str">
            <v>Almudévar</v>
          </cell>
          <cell r="I845" t="str">
            <v>22021</v>
          </cell>
        </row>
        <row r="846">
          <cell r="H846" t="str">
            <v>Almunia de Doña Godina, La</v>
          </cell>
          <cell r="I846" t="str">
            <v>50025</v>
          </cell>
        </row>
        <row r="847">
          <cell r="H847" t="str">
            <v>Almunia de San Juan</v>
          </cell>
          <cell r="I847" t="str">
            <v>22022</v>
          </cell>
        </row>
        <row r="848">
          <cell r="H848" t="str">
            <v>Almuniente</v>
          </cell>
          <cell r="I848" t="str">
            <v>22023</v>
          </cell>
        </row>
        <row r="849">
          <cell r="H849" t="str">
            <v>Almuñécar</v>
          </cell>
          <cell r="I849" t="str">
            <v>18017</v>
          </cell>
        </row>
        <row r="850">
          <cell r="H850" t="str">
            <v>Almuradiel</v>
          </cell>
          <cell r="I850" t="str">
            <v>13016</v>
          </cell>
        </row>
        <row r="851">
          <cell r="H851" t="str">
            <v>Almussafes</v>
          </cell>
          <cell r="I851" t="str">
            <v>46035</v>
          </cell>
        </row>
        <row r="852">
          <cell r="H852" t="str">
            <v>Alobras</v>
          </cell>
          <cell r="I852" t="str">
            <v>44019</v>
          </cell>
        </row>
        <row r="853">
          <cell r="H853" t="str">
            <v>Alocén</v>
          </cell>
          <cell r="I853" t="str">
            <v>19023</v>
          </cell>
        </row>
        <row r="854">
          <cell r="H854" t="str">
            <v>Alonsotegi</v>
          </cell>
          <cell r="I854" t="str">
            <v>48912</v>
          </cell>
        </row>
        <row r="855">
          <cell r="H855" t="str">
            <v>Álora</v>
          </cell>
          <cell r="I855" t="str">
            <v>29012</v>
          </cell>
        </row>
        <row r="856">
          <cell r="H856" t="str">
            <v>Alòs de Balaguer</v>
          </cell>
          <cell r="I856" t="str">
            <v>25022</v>
          </cell>
        </row>
        <row r="857">
          <cell r="H857" t="str">
            <v>Alosno</v>
          </cell>
          <cell r="I857" t="str">
            <v>21006</v>
          </cell>
        </row>
        <row r="858">
          <cell r="H858" t="str">
            <v>Alovera</v>
          </cell>
          <cell r="I858" t="str">
            <v>19024</v>
          </cell>
        </row>
        <row r="859">
          <cell r="H859" t="str">
            <v>Alozaina</v>
          </cell>
          <cell r="I859" t="str">
            <v>29013</v>
          </cell>
        </row>
        <row r="860">
          <cell r="H860" t="str">
            <v>Alp</v>
          </cell>
          <cell r="I860" t="str">
            <v>17006</v>
          </cell>
        </row>
        <row r="861">
          <cell r="H861" t="str">
            <v>Alpandeire</v>
          </cell>
          <cell r="I861" t="str">
            <v>29014</v>
          </cell>
        </row>
        <row r="862">
          <cell r="H862" t="str">
            <v>Alpanseque</v>
          </cell>
          <cell r="I862" t="str">
            <v>42023</v>
          </cell>
        </row>
        <row r="863">
          <cell r="H863" t="str">
            <v>Alpartir</v>
          </cell>
          <cell r="I863" t="str">
            <v>50026</v>
          </cell>
        </row>
        <row r="864">
          <cell r="H864" t="str">
            <v>Alpedrete</v>
          </cell>
          <cell r="I864" t="str">
            <v>28010</v>
          </cell>
        </row>
        <row r="865">
          <cell r="H865" t="str">
            <v>Alpens</v>
          </cell>
          <cell r="I865" t="str">
            <v>08004</v>
          </cell>
        </row>
        <row r="866">
          <cell r="H866" t="str">
            <v>Alpera</v>
          </cell>
          <cell r="I866" t="str">
            <v>02010</v>
          </cell>
        </row>
        <row r="867">
          <cell r="H867" t="str">
            <v>Alpicat</v>
          </cell>
          <cell r="I867" t="str">
            <v>25023</v>
          </cell>
        </row>
        <row r="868">
          <cell r="H868" t="str">
            <v>Alpuente</v>
          </cell>
          <cell r="I868" t="str">
            <v>46036</v>
          </cell>
        </row>
        <row r="869">
          <cell r="H869" t="str">
            <v>Alpujarra de la Sierra</v>
          </cell>
          <cell r="I869" t="str">
            <v>18904</v>
          </cell>
        </row>
        <row r="870">
          <cell r="H870" t="str">
            <v>Alqueria d'Asnar, l'</v>
          </cell>
          <cell r="I870" t="str">
            <v>03017</v>
          </cell>
        </row>
        <row r="871">
          <cell r="H871" t="str">
            <v>Alqueria de la Comtessa, l'</v>
          </cell>
          <cell r="I871" t="str">
            <v>46037</v>
          </cell>
        </row>
        <row r="872">
          <cell r="H872" t="str">
            <v>Alqueries, les/Alquerías del Niño Perdido</v>
          </cell>
          <cell r="I872" t="str">
            <v>12901</v>
          </cell>
        </row>
        <row r="873">
          <cell r="H873" t="str">
            <v>Alquézar</v>
          </cell>
          <cell r="I873" t="str">
            <v>22024</v>
          </cell>
        </row>
        <row r="874">
          <cell r="H874" t="str">
            <v>Alquife</v>
          </cell>
          <cell r="I874" t="str">
            <v>18018</v>
          </cell>
        </row>
        <row r="875">
          <cell r="H875" t="str">
            <v>Alsodux</v>
          </cell>
          <cell r="I875" t="str">
            <v>04015</v>
          </cell>
        </row>
        <row r="876">
          <cell r="H876" t="str">
            <v>Alt Àneu</v>
          </cell>
          <cell r="I876" t="str">
            <v>25024</v>
          </cell>
        </row>
        <row r="877">
          <cell r="H877" t="str">
            <v>Altable</v>
          </cell>
          <cell r="I877" t="str">
            <v>09013</v>
          </cell>
        </row>
        <row r="878">
          <cell r="H878" t="str">
            <v>Altafulla</v>
          </cell>
          <cell r="I878" t="str">
            <v>43012</v>
          </cell>
        </row>
        <row r="879">
          <cell r="H879" t="str">
            <v>Altarejos</v>
          </cell>
          <cell r="I879" t="str">
            <v>16019</v>
          </cell>
        </row>
        <row r="880">
          <cell r="H880" t="str">
            <v>Altea</v>
          </cell>
          <cell r="I880" t="str">
            <v>03018</v>
          </cell>
        </row>
        <row r="881">
          <cell r="H881" t="str">
            <v>Altorricón</v>
          </cell>
          <cell r="I881" t="str">
            <v>22025</v>
          </cell>
        </row>
        <row r="882">
          <cell r="H882" t="str">
            <v>Altos, Los</v>
          </cell>
          <cell r="I882" t="str">
            <v>09014</v>
          </cell>
        </row>
        <row r="883">
          <cell r="H883" t="str">
            <v>Altsasu/Alsasua</v>
          </cell>
          <cell r="I883" t="str">
            <v>31010</v>
          </cell>
        </row>
        <row r="884">
          <cell r="H884" t="str">
            <v>Altura</v>
          </cell>
          <cell r="I884" t="str">
            <v>12012</v>
          </cell>
        </row>
        <row r="885">
          <cell r="H885" t="str">
            <v>Altzaga</v>
          </cell>
          <cell r="I885" t="str">
            <v>20906</v>
          </cell>
        </row>
        <row r="886">
          <cell r="H886" t="str">
            <v>Altzo</v>
          </cell>
          <cell r="I886" t="str">
            <v>20007</v>
          </cell>
        </row>
        <row r="887">
          <cell r="H887" t="str">
            <v>Alustante</v>
          </cell>
          <cell r="I887" t="str">
            <v>19027</v>
          </cell>
        </row>
        <row r="888">
          <cell r="H888" t="str">
            <v>Alzira</v>
          </cell>
          <cell r="I888" t="str">
            <v>46017</v>
          </cell>
        </row>
        <row r="889">
          <cell r="H889" t="str">
            <v>Amavida</v>
          </cell>
          <cell r="I889" t="str">
            <v>05012</v>
          </cell>
        </row>
        <row r="890">
          <cell r="H890" t="str">
            <v>Amayuelas de Arriba</v>
          </cell>
          <cell r="I890" t="str">
            <v>34009</v>
          </cell>
        </row>
        <row r="891">
          <cell r="H891" t="str">
            <v>Ambel</v>
          </cell>
          <cell r="I891" t="str">
            <v>50027</v>
          </cell>
        </row>
        <row r="892">
          <cell r="H892" t="str">
            <v>Ambite</v>
          </cell>
          <cell r="I892" t="str">
            <v>28011</v>
          </cell>
        </row>
        <row r="893">
          <cell r="H893" t="str">
            <v>Amer</v>
          </cell>
          <cell r="I893" t="str">
            <v>17007</v>
          </cell>
        </row>
        <row r="894">
          <cell r="H894" t="str">
            <v>Ames</v>
          </cell>
          <cell r="I894" t="str">
            <v>15002</v>
          </cell>
        </row>
        <row r="895">
          <cell r="H895" t="str">
            <v>Améscoa Baja</v>
          </cell>
          <cell r="I895" t="str">
            <v>31013</v>
          </cell>
        </row>
        <row r="896">
          <cell r="H896" t="str">
            <v>Ametlla de Mar, L'</v>
          </cell>
          <cell r="I896" t="str">
            <v>43013</v>
          </cell>
        </row>
        <row r="897">
          <cell r="H897" t="str">
            <v>Ametlla del Vallès, L'</v>
          </cell>
          <cell r="I897" t="str">
            <v>08005</v>
          </cell>
        </row>
        <row r="898">
          <cell r="H898" t="str">
            <v>Amezketa</v>
          </cell>
          <cell r="I898" t="str">
            <v>20008</v>
          </cell>
        </row>
        <row r="899">
          <cell r="H899" t="str">
            <v>Amieva</v>
          </cell>
          <cell r="I899" t="str">
            <v>33003</v>
          </cell>
        </row>
        <row r="900">
          <cell r="H900" t="str">
            <v>Amoeiro</v>
          </cell>
          <cell r="I900" t="str">
            <v>32002</v>
          </cell>
        </row>
        <row r="901">
          <cell r="H901" t="str">
            <v>Amorebieta-Etxano</v>
          </cell>
          <cell r="I901" t="str">
            <v>48003</v>
          </cell>
        </row>
        <row r="902">
          <cell r="H902" t="str">
            <v>Amoroto</v>
          </cell>
          <cell r="I902" t="str">
            <v>48004</v>
          </cell>
        </row>
        <row r="903">
          <cell r="H903" t="str">
            <v>Ampolla, L'</v>
          </cell>
          <cell r="I903" t="str">
            <v>43906</v>
          </cell>
        </row>
        <row r="904">
          <cell r="H904" t="str">
            <v>Amposta</v>
          </cell>
          <cell r="I904" t="str">
            <v>43014</v>
          </cell>
        </row>
        <row r="905">
          <cell r="H905" t="str">
            <v>Ampudia</v>
          </cell>
          <cell r="I905" t="str">
            <v>34010</v>
          </cell>
        </row>
        <row r="906">
          <cell r="H906" t="str">
            <v>Ampuero</v>
          </cell>
          <cell r="I906" t="str">
            <v>39002</v>
          </cell>
        </row>
        <row r="907">
          <cell r="H907" t="str">
            <v>Amurrio</v>
          </cell>
          <cell r="I907" t="str">
            <v>01002</v>
          </cell>
        </row>
        <row r="908">
          <cell r="H908" t="str">
            <v>Amusco</v>
          </cell>
          <cell r="I908" t="str">
            <v>34011</v>
          </cell>
        </row>
        <row r="909">
          <cell r="H909" t="str">
            <v>Amusquillo</v>
          </cell>
          <cell r="I909" t="str">
            <v>47009</v>
          </cell>
        </row>
        <row r="910">
          <cell r="H910" t="str">
            <v>Anaya</v>
          </cell>
          <cell r="I910" t="str">
            <v>40017</v>
          </cell>
        </row>
        <row r="911">
          <cell r="H911" t="str">
            <v>Anaya de Alba</v>
          </cell>
          <cell r="I911" t="str">
            <v>37029</v>
          </cell>
        </row>
        <row r="912">
          <cell r="H912" t="str">
            <v>Anchuelo</v>
          </cell>
          <cell r="I912" t="str">
            <v>28012</v>
          </cell>
        </row>
        <row r="913">
          <cell r="H913" t="str">
            <v>Anchuras</v>
          </cell>
          <cell r="I913" t="str">
            <v>13017</v>
          </cell>
        </row>
        <row r="914">
          <cell r="H914" t="str">
            <v>Ancín/Antzin</v>
          </cell>
          <cell r="I914" t="str">
            <v>31014</v>
          </cell>
        </row>
        <row r="915">
          <cell r="H915" t="str">
            <v>Andavías</v>
          </cell>
          <cell r="I915" t="str">
            <v>49009</v>
          </cell>
        </row>
        <row r="916">
          <cell r="H916" t="str">
            <v>Andilla</v>
          </cell>
          <cell r="I916" t="str">
            <v>46038</v>
          </cell>
        </row>
        <row r="917">
          <cell r="H917" t="str">
            <v>Andoain</v>
          </cell>
          <cell r="I917" t="str">
            <v>20009</v>
          </cell>
        </row>
        <row r="918">
          <cell r="H918" t="str">
            <v>Andosilla</v>
          </cell>
          <cell r="I918" t="str">
            <v>31015</v>
          </cell>
        </row>
        <row r="919">
          <cell r="H919" t="str">
            <v>Andratx</v>
          </cell>
          <cell r="I919" t="str">
            <v>07005</v>
          </cell>
        </row>
        <row r="920">
          <cell r="H920" t="str">
            <v>Andújar</v>
          </cell>
          <cell r="I920" t="str">
            <v>23005</v>
          </cell>
        </row>
        <row r="921">
          <cell r="H921" t="str">
            <v>Anento</v>
          </cell>
          <cell r="I921" t="str">
            <v>50028</v>
          </cell>
        </row>
        <row r="922">
          <cell r="H922" t="str">
            <v>Anglès</v>
          </cell>
          <cell r="I922" t="str">
            <v>17008</v>
          </cell>
        </row>
        <row r="923">
          <cell r="H923" t="str">
            <v>Anglesola</v>
          </cell>
          <cell r="I923" t="str">
            <v>25027</v>
          </cell>
        </row>
        <row r="924">
          <cell r="H924" t="str">
            <v>Angón</v>
          </cell>
          <cell r="I924" t="str">
            <v>19031</v>
          </cell>
        </row>
        <row r="925">
          <cell r="H925" t="str">
            <v>Anguciana</v>
          </cell>
          <cell r="I925" t="str">
            <v>26013</v>
          </cell>
        </row>
        <row r="926">
          <cell r="H926" t="str">
            <v>Angüés</v>
          </cell>
          <cell r="I926" t="str">
            <v>22027</v>
          </cell>
        </row>
        <row r="927">
          <cell r="H927" t="str">
            <v>Anguiano</v>
          </cell>
          <cell r="I927" t="str">
            <v>26014</v>
          </cell>
        </row>
        <row r="928">
          <cell r="H928" t="str">
            <v>Anguita</v>
          </cell>
          <cell r="I928" t="str">
            <v>19032</v>
          </cell>
        </row>
        <row r="929">
          <cell r="H929" t="str">
            <v>Anguix</v>
          </cell>
          <cell r="I929" t="str">
            <v>09017</v>
          </cell>
        </row>
        <row r="930">
          <cell r="H930" t="str">
            <v>Anievas</v>
          </cell>
          <cell r="I930" t="str">
            <v>39003</v>
          </cell>
        </row>
        <row r="931">
          <cell r="H931" t="str">
            <v>Aniñón</v>
          </cell>
          <cell r="I931" t="str">
            <v>50029</v>
          </cell>
        </row>
        <row r="932">
          <cell r="H932" t="str">
            <v>Anna</v>
          </cell>
          <cell r="I932" t="str">
            <v>46039</v>
          </cell>
        </row>
        <row r="933">
          <cell r="H933" t="str">
            <v>Anoeta</v>
          </cell>
          <cell r="I933" t="str">
            <v>20010</v>
          </cell>
        </row>
        <row r="934">
          <cell r="H934" t="str">
            <v>Anquela del Ducado</v>
          </cell>
          <cell r="I934" t="str">
            <v>19033</v>
          </cell>
        </row>
        <row r="935">
          <cell r="H935" t="str">
            <v>Anquela del Pedregal</v>
          </cell>
          <cell r="I935" t="str">
            <v>19034</v>
          </cell>
        </row>
        <row r="936">
          <cell r="H936" t="str">
            <v>Ansó</v>
          </cell>
          <cell r="I936" t="str">
            <v>22028</v>
          </cell>
        </row>
        <row r="937">
          <cell r="H937" t="str">
            <v>Ansoáin/Antsoain</v>
          </cell>
          <cell r="I937" t="str">
            <v>31016</v>
          </cell>
        </row>
        <row r="938">
          <cell r="H938" t="str">
            <v>Antas</v>
          </cell>
          <cell r="I938" t="str">
            <v>04016</v>
          </cell>
        </row>
        <row r="939">
          <cell r="H939" t="str">
            <v>Antas de Ulla</v>
          </cell>
          <cell r="I939" t="str">
            <v>27003</v>
          </cell>
        </row>
        <row r="940">
          <cell r="H940" t="str">
            <v>Antella</v>
          </cell>
          <cell r="I940" t="str">
            <v>46040</v>
          </cell>
        </row>
        <row r="941">
          <cell r="H941" t="str">
            <v>Antequera</v>
          </cell>
          <cell r="I941" t="str">
            <v>29015</v>
          </cell>
        </row>
        <row r="942">
          <cell r="H942" t="str">
            <v>Antigua</v>
          </cell>
          <cell r="I942" t="str">
            <v>35003</v>
          </cell>
        </row>
        <row r="943">
          <cell r="H943" t="str">
            <v>Antigua, La</v>
          </cell>
          <cell r="I943" t="str">
            <v>24005</v>
          </cell>
        </row>
        <row r="944">
          <cell r="H944" t="str">
            <v>Antigüedad</v>
          </cell>
          <cell r="I944" t="str">
            <v>34012</v>
          </cell>
        </row>
        <row r="945">
          <cell r="H945" t="str">
            <v>Antillón</v>
          </cell>
          <cell r="I945" t="str">
            <v>22029</v>
          </cell>
        </row>
        <row r="946">
          <cell r="H946" t="str">
            <v>Antzuola</v>
          </cell>
          <cell r="I946" t="str">
            <v>20011</v>
          </cell>
        </row>
        <row r="947">
          <cell r="H947" t="str">
            <v>Anue</v>
          </cell>
          <cell r="I947" t="str">
            <v>31017</v>
          </cell>
        </row>
        <row r="948">
          <cell r="H948" t="str">
            <v>Añana</v>
          </cell>
          <cell r="I948" t="str">
            <v>01049</v>
          </cell>
        </row>
        <row r="949">
          <cell r="H949" t="str">
            <v>Añe</v>
          </cell>
          <cell r="I949" t="str">
            <v>40018</v>
          </cell>
        </row>
        <row r="950">
          <cell r="H950" t="str">
            <v>Añón de Moncayo</v>
          </cell>
          <cell r="I950" t="str">
            <v>50030</v>
          </cell>
        </row>
        <row r="951">
          <cell r="H951" t="str">
            <v>Añora</v>
          </cell>
          <cell r="I951" t="str">
            <v>14006</v>
          </cell>
        </row>
        <row r="952">
          <cell r="H952" t="str">
            <v>Añorbe</v>
          </cell>
          <cell r="I952" t="str">
            <v>31018</v>
          </cell>
        </row>
        <row r="953">
          <cell r="H953" t="str">
            <v>Añover de Tajo</v>
          </cell>
          <cell r="I953" t="str">
            <v>45014</v>
          </cell>
        </row>
        <row r="954">
          <cell r="H954" t="str">
            <v>Añover de Tormes</v>
          </cell>
          <cell r="I954" t="str">
            <v>37030</v>
          </cell>
        </row>
        <row r="955">
          <cell r="H955" t="str">
            <v>Aoiz/Agoitz</v>
          </cell>
          <cell r="I955" t="str">
            <v>31019</v>
          </cell>
        </row>
        <row r="956">
          <cell r="H956" t="str">
            <v>Arabayona de Mógica</v>
          </cell>
          <cell r="I956" t="str">
            <v>37031</v>
          </cell>
        </row>
        <row r="957">
          <cell r="H957" t="str">
            <v>Aracena</v>
          </cell>
          <cell r="I957" t="str">
            <v>21007</v>
          </cell>
        </row>
        <row r="958">
          <cell r="H958" t="str">
            <v>Arafo</v>
          </cell>
          <cell r="I958" t="str">
            <v>38004</v>
          </cell>
        </row>
        <row r="959">
          <cell r="H959" t="str">
            <v>Aragüés del Puerto</v>
          </cell>
          <cell r="I959" t="str">
            <v>22032</v>
          </cell>
        </row>
        <row r="960">
          <cell r="H960" t="str">
            <v>Arahal</v>
          </cell>
          <cell r="I960" t="str">
            <v>41011</v>
          </cell>
        </row>
        <row r="961">
          <cell r="H961" t="str">
            <v>Arahuetes</v>
          </cell>
          <cell r="I961" t="str">
            <v>40019</v>
          </cell>
        </row>
        <row r="962">
          <cell r="H962" t="str">
            <v>Araitz</v>
          </cell>
          <cell r="I962" t="str">
            <v>31020</v>
          </cell>
        </row>
        <row r="963">
          <cell r="H963" t="str">
            <v>Arakaldo</v>
          </cell>
          <cell r="I963" t="str">
            <v>48005</v>
          </cell>
        </row>
        <row r="964">
          <cell r="H964" t="str">
            <v>Arakil</v>
          </cell>
          <cell r="I964" t="str">
            <v>31025</v>
          </cell>
        </row>
        <row r="965">
          <cell r="H965" t="str">
            <v>Arama</v>
          </cell>
          <cell r="I965" t="str">
            <v>20012</v>
          </cell>
        </row>
        <row r="966">
          <cell r="H966" t="str">
            <v>Aramaio</v>
          </cell>
          <cell r="I966" t="str">
            <v>01003</v>
          </cell>
        </row>
        <row r="967">
          <cell r="H967" t="str">
            <v>Aranarache/Aranaratxe</v>
          </cell>
          <cell r="I967" t="str">
            <v>31021</v>
          </cell>
        </row>
        <row r="968">
          <cell r="H968" t="str">
            <v>Arancón</v>
          </cell>
          <cell r="I968" t="str">
            <v>42024</v>
          </cell>
        </row>
        <row r="969">
          <cell r="H969" t="str">
            <v>Aranda de Duero</v>
          </cell>
          <cell r="I969" t="str">
            <v>09018</v>
          </cell>
        </row>
        <row r="970">
          <cell r="H970" t="str">
            <v>Aranda de Moncayo</v>
          </cell>
          <cell r="I970" t="str">
            <v>50031</v>
          </cell>
        </row>
        <row r="971">
          <cell r="H971" t="str">
            <v>Arándiga</v>
          </cell>
          <cell r="I971" t="str">
            <v>50032</v>
          </cell>
        </row>
        <row r="972">
          <cell r="H972" t="str">
            <v>Arandilla</v>
          </cell>
          <cell r="I972" t="str">
            <v>09019</v>
          </cell>
        </row>
        <row r="973">
          <cell r="H973" t="str">
            <v>Arandilla del Arroyo</v>
          </cell>
          <cell r="I973" t="str">
            <v>16020</v>
          </cell>
        </row>
        <row r="974">
          <cell r="H974" t="str">
            <v>Aranga</v>
          </cell>
          <cell r="I974" t="str">
            <v>15003</v>
          </cell>
        </row>
        <row r="975">
          <cell r="H975" t="str">
            <v>Aranguren</v>
          </cell>
          <cell r="I975" t="str">
            <v>31023</v>
          </cell>
        </row>
        <row r="976">
          <cell r="H976" t="str">
            <v>Aranjuez</v>
          </cell>
          <cell r="I976" t="str">
            <v>28013</v>
          </cell>
        </row>
        <row r="977">
          <cell r="H977" t="str">
            <v>Arano</v>
          </cell>
          <cell r="I977" t="str">
            <v>31024</v>
          </cell>
        </row>
        <row r="978">
          <cell r="H978" t="str">
            <v>Arantza</v>
          </cell>
          <cell r="I978" t="str">
            <v>31022</v>
          </cell>
        </row>
        <row r="979">
          <cell r="H979" t="str">
            <v>Arantzazu</v>
          </cell>
          <cell r="I979" t="str">
            <v>48006</v>
          </cell>
        </row>
        <row r="980">
          <cell r="H980" t="str">
            <v>Aranzueque</v>
          </cell>
          <cell r="I980" t="str">
            <v>19036</v>
          </cell>
        </row>
        <row r="981">
          <cell r="H981" t="str">
            <v>Arañuel</v>
          </cell>
          <cell r="I981" t="str">
            <v>12013</v>
          </cell>
        </row>
        <row r="982">
          <cell r="H982" t="str">
            <v>Arapiles</v>
          </cell>
          <cell r="I982" t="str">
            <v>37032</v>
          </cell>
        </row>
        <row r="983">
          <cell r="H983" t="str">
            <v>Aras</v>
          </cell>
          <cell r="I983" t="str">
            <v>31026</v>
          </cell>
        </row>
        <row r="984">
          <cell r="H984" t="str">
            <v>Aras de los Olmos</v>
          </cell>
          <cell r="I984" t="str">
            <v>46041</v>
          </cell>
        </row>
        <row r="985">
          <cell r="H985" t="str">
            <v>Arauzo de Miel</v>
          </cell>
          <cell r="I985" t="str">
            <v>09020</v>
          </cell>
        </row>
        <row r="986">
          <cell r="H986" t="str">
            <v>Arauzo de Salce</v>
          </cell>
          <cell r="I986" t="str">
            <v>09021</v>
          </cell>
        </row>
        <row r="987">
          <cell r="H987" t="str">
            <v>Arauzo de Torre</v>
          </cell>
          <cell r="I987" t="str">
            <v>09022</v>
          </cell>
        </row>
        <row r="988">
          <cell r="H988" t="str">
            <v>Arbancón</v>
          </cell>
          <cell r="I988" t="str">
            <v>19037</v>
          </cell>
        </row>
        <row r="989">
          <cell r="H989" t="str">
            <v>Arbeca</v>
          </cell>
          <cell r="I989" t="str">
            <v>25029</v>
          </cell>
        </row>
        <row r="990">
          <cell r="H990" t="str">
            <v>Arbeteta</v>
          </cell>
          <cell r="I990" t="str">
            <v>19038</v>
          </cell>
        </row>
        <row r="991">
          <cell r="H991" t="str">
            <v>Arbizu</v>
          </cell>
          <cell r="I991" t="str">
            <v>31027</v>
          </cell>
        </row>
        <row r="992">
          <cell r="H992" t="str">
            <v>Arbo</v>
          </cell>
          <cell r="I992" t="str">
            <v>36001</v>
          </cell>
        </row>
        <row r="993">
          <cell r="H993" t="str">
            <v>Arboç, L'</v>
          </cell>
          <cell r="I993" t="str">
            <v>43016</v>
          </cell>
        </row>
        <row r="994">
          <cell r="H994" t="str">
            <v>Arboleas</v>
          </cell>
          <cell r="I994" t="str">
            <v>04017</v>
          </cell>
        </row>
        <row r="995">
          <cell r="H995" t="str">
            <v>Arbolí</v>
          </cell>
          <cell r="I995" t="str">
            <v>43015</v>
          </cell>
        </row>
        <row r="996">
          <cell r="H996" t="str">
            <v>Arbúcies</v>
          </cell>
          <cell r="I996" t="str">
            <v>17009</v>
          </cell>
        </row>
        <row r="997">
          <cell r="H997" t="str">
            <v>Arcas</v>
          </cell>
          <cell r="I997" t="str">
            <v>16905</v>
          </cell>
        </row>
        <row r="998">
          <cell r="H998" t="str">
            <v>Arce/Artzi</v>
          </cell>
          <cell r="I998" t="str">
            <v>31028</v>
          </cell>
        </row>
        <row r="999">
          <cell r="H999" t="str">
            <v>Arcediano</v>
          </cell>
          <cell r="I999" t="str">
            <v>37033</v>
          </cell>
        </row>
        <row r="1000">
          <cell r="H1000" t="str">
            <v>Arcenillas</v>
          </cell>
          <cell r="I1000" t="str">
            <v>49010</v>
          </cell>
        </row>
        <row r="1001">
          <cell r="H1001" t="str">
            <v>Archena</v>
          </cell>
          <cell r="I1001" t="str">
            <v>30009</v>
          </cell>
        </row>
        <row r="1002">
          <cell r="H1002" t="str">
            <v>Árchez</v>
          </cell>
          <cell r="I1002" t="str">
            <v>29016</v>
          </cell>
        </row>
        <row r="1003">
          <cell r="H1003" t="str">
            <v>Archidona</v>
          </cell>
          <cell r="I1003" t="str">
            <v>29017</v>
          </cell>
        </row>
        <row r="1004">
          <cell r="H1004" t="str">
            <v>Arcicóllar</v>
          </cell>
          <cell r="I1004" t="str">
            <v>45015</v>
          </cell>
        </row>
        <row r="1005">
          <cell r="H1005" t="str">
            <v>Arco, El</v>
          </cell>
          <cell r="I1005" t="str">
            <v>37034</v>
          </cell>
        </row>
        <row r="1006">
          <cell r="H1006" t="str">
            <v>Arconada</v>
          </cell>
          <cell r="I1006" t="str">
            <v>34015</v>
          </cell>
        </row>
        <row r="1007">
          <cell r="H1007" t="str">
            <v>Arcones</v>
          </cell>
          <cell r="I1007" t="str">
            <v>40020</v>
          </cell>
        </row>
        <row r="1008">
          <cell r="H1008" t="str">
            <v>Arcos</v>
          </cell>
          <cell r="I1008" t="str">
            <v>09023</v>
          </cell>
        </row>
        <row r="1009">
          <cell r="H1009" t="str">
            <v>Arcos de Jalón</v>
          </cell>
          <cell r="I1009" t="str">
            <v>42025</v>
          </cell>
        </row>
        <row r="1010">
          <cell r="H1010" t="str">
            <v>Arcos de la Frontera</v>
          </cell>
          <cell r="I1010" t="str">
            <v>11006</v>
          </cell>
        </row>
        <row r="1011">
          <cell r="H1011" t="str">
            <v>Arcos de la Polvorosa</v>
          </cell>
          <cell r="I1011" t="str">
            <v>49011</v>
          </cell>
        </row>
        <row r="1012">
          <cell r="H1012" t="str">
            <v>Arcos de la Sierra</v>
          </cell>
          <cell r="I1012" t="str">
            <v>16022</v>
          </cell>
        </row>
        <row r="1013">
          <cell r="H1013" t="str">
            <v>Arcos de las Salinas</v>
          </cell>
          <cell r="I1013" t="str">
            <v>44026</v>
          </cell>
        </row>
        <row r="1014">
          <cell r="H1014" t="str">
            <v>Arcos, Los</v>
          </cell>
          <cell r="I1014" t="str">
            <v>31029</v>
          </cell>
        </row>
        <row r="1015">
          <cell r="H1015" t="str">
            <v>Ardales</v>
          </cell>
          <cell r="I1015" t="str">
            <v>29018</v>
          </cell>
        </row>
        <row r="1016">
          <cell r="H1016" t="str">
            <v>Ardisa</v>
          </cell>
          <cell r="I1016" t="str">
            <v>50033</v>
          </cell>
        </row>
        <row r="1017">
          <cell r="H1017" t="str">
            <v>Ardón</v>
          </cell>
          <cell r="I1017" t="str">
            <v>24006</v>
          </cell>
        </row>
        <row r="1018">
          <cell r="H1018" t="str">
            <v>Areatza</v>
          </cell>
          <cell r="I1018" t="str">
            <v>48093</v>
          </cell>
        </row>
        <row r="1019">
          <cell r="H1019" t="str">
            <v>Arellano</v>
          </cell>
          <cell r="I1019" t="str">
            <v>31030</v>
          </cell>
        </row>
        <row r="1020">
          <cell r="H1020" t="str">
            <v>Arén</v>
          </cell>
          <cell r="I1020" t="str">
            <v>22035</v>
          </cell>
        </row>
        <row r="1021">
          <cell r="H1021" t="str">
            <v>Arenal, El</v>
          </cell>
          <cell r="I1021" t="str">
            <v>05013</v>
          </cell>
        </row>
        <row r="1022">
          <cell r="H1022" t="str">
            <v>Arenales de San Gregorio</v>
          </cell>
          <cell r="I1022" t="str">
            <v>13903</v>
          </cell>
        </row>
        <row r="1023">
          <cell r="H1023" t="str">
            <v>Arenas</v>
          </cell>
          <cell r="I1023" t="str">
            <v>29019</v>
          </cell>
        </row>
        <row r="1024">
          <cell r="H1024" t="str">
            <v>Arenas de Iguña</v>
          </cell>
          <cell r="I1024" t="str">
            <v>39004</v>
          </cell>
        </row>
        <row r="1025">
          <cell r="H1025" t="str">
            <v>Arenas de San Juan</v>
          </cell>
          <cell r="I1025" t="str">
            <v>13018</v>
          </cell>
        </row>
        <row r="1026">
          <cell r="H1026" t="str">
            <v>Arenas de San Pedro</v>
          </cell>
          <cell r="I1026" t="str">
            <v>05014</v>
          </cell>
        </row>
        <row r="1027">
          <cell r="H1027" t="str">
            <v>Arenas del Rey</v>
          </cell>
          <cell r="I1027" t="str">
            <v>18020</v>
          </cell>
        </row>
        <row r="1028">
          <cell r="H1028" t="str">
            <v>Arenillas</v>
          </cell>
          <cell r="I1028" t="str">
            <v>42026</v>
          </cell>
        </row>
        <row r="1029">
          <cell r="H1029" t="str">
            <v>Arenillas de Riopisuerga</v>
          </cell>
          <cell r="I1029" t="str">
            <v>09024</v>
          </cell>
        </row>
        <row r="1030">
          <cell r="H1030" t="str">
            <v>Arens de Lledó</v>
          </cell>
          <cell r="I1030" t="str">
            <v>44027</v>
          </cell>
        </row>
        <row r="1031">
          <cell r="H1031" t="str">
            <v>Arenys de Mar</v>
          </cell>
          <cell r="I1031" t="str">
            <v>08006</v>
          </cell>
        </row>
        <row r="1032">
          <cell r="H1032" t="str">
            <v>Arenys de Munt</v>
          </cell>
          <cell r="I1032" t="str">
            <v>08007</v>
          </cell>
        </row>
        <row r="1033">
          <cell r="H1033" t="str">
            <v>Arenzana de Abajo</v>
          </cell>
          <cell r="I1033" t="str">
            <v>26015</v>
          </cell>
        </row>
        <row r="1034">
          <cell r="H1034" t="str">
            <v>Arenzana de Arriba</v>
          </cell>
          <cell r="I1034" t="str">
            <v>26016</v>
          </cell>
        </row>
        <row r="1035">
          <cell r="H1035" t="str">
            <v>Ares</v>
          </cell>
          <cell r="I1035" t="str">
            <v>15004</v>
          </cell>
        </row>
        <row r="1036">
          <cell r="H1036" t="str">
            <v>Ares del Maestrat</v>
          </cell>
          <cell r="I1036" t="str">
            <v>12014</v>
          </cell>
        </row>
        <row r="1037">
          <cell r="H1037" t="str">
            <v>Areso</v>
          </cell>
          <cell r="I1037" t="str">
            <v>31031</v>
          </cell>
        </row>
        <row r="1038">
          <cell r="H1038" t="str">
            <v>Aretxabaleta</v>
          </cell>
          <cell r="I1038" t="str">
            <v>20013</v>
          </cell>
        </row>
        <row r="1039">
          <cell r="H1039" t="str">
            <v>Arevalillo</v>
          </cell>
          <cell r="I1039" t="str">
            <v>05015</v>
          </cell>
        </row>
        <row r="1040">
          <cell r="H1040" t="str">
            <v>Arevalillo de Cega</v>
          </cell>
          <cell r="I1040" t="str">
            <v>40021</v>
          </cell>
        </row>
        <row r="1041">
          <cell r="H1041" t="str">
            <v>Arévalo</v>
          </cell>
          <cell r="I1041" t="str">
            <v>05016</v>
          </cell>
        </row>
        <row r="1042">
          <cell r="H1042" t="str">
            <v>Arévalo de la Sierra</v>
          </cell>
          <cell r="I1042" t="str">
            <v>42027</v>
          </cell>
        </row>
        <row r="1043">
          <cell r="H1043" t="str">
            <v>Argamasilla de Alba</v>
          </cell>
          <cell r="I1043" t="str">
            <v>13019</v>
          </cell>
        </row>
        <row r="1044">
          <cell r="H1044" t="str">
            <v>Argamasilla de Calatrava</v>
          </cell>
          <cell r="I1044" t="str">
            <v>13020</v>
          </cell>
        </row>
        <row r="1045">
          <cell r="H1045" t="str">
            <v>Arganda del Rey</v>
          </cell>
          <cell r="I1045" t="str">
            <v>28014</v>
          </cell>
        </row>
        <row r="1046">
          <cell r="H1046" t="str">
            <v>Argañín</v>
          </cell>
          <cell r="I1046" t="str">
            <v>49012</v>
          </cell>
        </row>
        <row r="1047">
          <cell r="H1047" t="str">
            <v>Argavieso</v>
          </cell>
          <cell r="I1047" t="str">
            <v>22036</v>
          </cell>
        </row>
        <row r="1048">
          <cell r="H1048" t="str">
            <v>Argecilla</v>
          </cell>
          <cell r="I1048" t="str">
            <v>19039</v>
          </cell>
        </row>
        <row r="1049">
          <cell r="H1049" t="str">
            <v>Argelaguer</v>
          </cell>
          <cell r="I1049" t="str">
            <v>17010</v>
          </cell>
        </row>
        <row r="1050">
          <cell r="H1050" t="str">
            <v>Argelita</v>
          </cell>
          <cell r="I1050" t="str">
            <v>12015</v>
          </cell>
        </row>
        <row r="1051">
          <cell r="H1051" t="str">
            <v>Argençola</v>
          </cell>
          <cell r="I1051" t="str">
            <v>08008</v>
          </cell>
        </row>
        <row r="1052">
          <cell r="H1052" t="str">
            <v>Argente</v>
          </cell>
          <cell r="I1052" t="str">
            <v>44028</v>
          </cell>
        </row>
        <row r="1053">
          <cell r="H1053" t="str">
            <v>Argentera, L'</v>
          </cell>
          <cell r="I1053" t="str">
            <v>43017</v>
          </cell>
        </row>
        <row r="1054">
          <cell r="H1054" t="str">
            <v>Argentona</v>
          </cell>
          <cell r="I1054" t="str">
            <v>08009</v>
          </cell>
        </row>
        <row r="1055">
          <cell r="H1055" t="str">
            <v>Argés</v>
          </cell>
          <cell r="I1055" t="str">
            <v>45016</v>
          </cell>
        </row>
        <row r="1056">
          <cell r="H1056" t="str">
            <v>Argoños</v>
          </cell>
          <cell r="I1056" t="str">
            <v>39005</v>
          </cell>
        </row>
        <row r="1057">
          <cell r="H1057" t="str">
            <v>Arguedas</v>
          </cell>
          <cell r="I1057" t="str">
            <v>31032</v>
          </cell>
        </row>
        <row r="1058">
          <cell r="H1058" t="str">
            <v>Arguis</v>
          </cell>
          <cell r="I1058" t="str">
            <v>22037</v>
          </cell>
        </row>
        <row r="1059">
          <cell r="H1059" t="str">
            <v>Arguisuelas</v>
          </cell>
          <cell r="I1059" t="str">
            <v>16024</v>
          </cell>
        </row>
        <row r="1060">
          <cell r="H1060" t="str">
            <v>Argujillo</v>
          </cell>
          <cell r="I1060" t="str">
            <v>49013</v>
          </cell>
        </row>
        <row r="1061">
          <cell r="H1061" t="str">
            <v>Aria</v>
          </cell>
          <cell r="I1061" t="str">
            <v>31033</v>
          </cell>
        </row>
        <row r="1062">
          <cell r="H1062" t="str">
            <v>Aribe</v>
          </cell>
          <cell r="I1062" t="str">
            <v>31034</v>
          </cell>
        </row>
        <row r="1063">
          <cell r="H1063" t="str">
            <v>Arico</v>
          </cell>
          <cell r="I1063" t="str">
            <v>38005</v>
          </cell>
        </row>
        <row r="1064">
          <cell r="H1064" t="str">
            <v>Arija</v>
          </cell>
          <cell r="I1064" t="str">
            <v>09025</v>
          </cell>
        </row>
        <row r="1065">
          <cell r="H1065" t="str">
            <v>Ariza</v>
          </cell>
          <cell r="I1065" t="str">
            <v>50034</v>
          </cell>
        </row>
        <row r="1066">
          <cell r="H1066" t="str">
            <v>Arjona</v>
          </cell>
          <cell r="I1066" t="str">
            <v>23006</v>
          </cell>
        </row>
        <row r="1067">
          <cell r="H1067" t="str">
            <v>Arjonilla</v>
          </cell>
          <cell r="I1067" t="str">
            <v>23007</v>
          </cell>
        </row>
        <row r="1068">
          <cell r="H1068" t="str">
            <v>Arlanzón</v>
          </cell>
          <cell r="I1068" t="str">
            <v>09026</v>
          </cell>
        </row>
        <row r="1069">
          <cell r="H1069" t="str">
            <v>Armallones</v>
          </cell>
          <cell r="I1069" t="str">
            <v>19040</v>
          </cell>
        </row>
        <row r="1070">
          <cell r="H1070" t="str">
            <v>Armañanzas</v>
          </cell>
          <cell r="I1070" t="str">
            <v>31035</v>
          </cell>
        </row>
        <row r="1071">
          <cell r="H1071" t="str">
            <v>Armentera, L'</v>
          </cell>
          <cell r="I1071" t="str">
            <v>17011</v>
          </cell>
        </row>
        <row r="1072">
          <cell r="H1072" t="str">
            <v>Armenteros</v>
          </cell>
          <cell r="I1072" t="str">
            <v>37035</v>
          </cell>
        </row>
        <row r="1073">
          <cell r="H1073" t="str">
            <v>Armilla</v>
          </cell>
          <cell r="I1073" t="str">
            <v>18021</v>
          </cell>
        </row>
        <row r="1074">
          <cell r="H1074" t="str">
            <v>Armiñón</v>
          </cell>
          <cell r="I1074" t="str">
            <v>01006</v>
          </cell>
        </row>
        <row r="1075">
          <cell r="H1075" t="str">
            <v>Armuña</v>
          </cell>
          <cell r="I1075" t="str">
            <v>40022</v>
          </cell>
        </row>
        <row r="1076">
          <cell r="H1076" t="str">
            <v>Armuña de Almanzora</v>
          </cell>
          <cell r="I1076" t="str">
            <v>04018</v>
          </cell>
        </row>
        <row r="1077">
          <cell r="H1077" t="str">
            <v>Armuña de Tajuña</v>
          </cell>
          <cell r="I1077" t="str">
            <v>19041</v>
          </cell>
        </row>
        <row r="1078">
          <cell r="H1078" t="str">
            <v>Arnedillo</v>
          </cell>
          <cell r="I1078" t="str">
            <v>26017</v>
          </cell>
        </row>
        <row r="1079">
          <cell r="H1079" t="str">
            <v>Arnedo</v>
          </cell>
          <cell r="I1079" t="str">
            <v>26018</v>
          </cell>
        </row>
        <row r="1080">
          <cell r="H1080" t="str">
            <v>Arnes</v>
          </cell>
          <cell r="I1080" t="str">
            <v>43018</v>
          </cell>
        </row>
        <row r="1081">
          <cell r="H1081" t="str">
            <v>Arnoia, A</v>
          </cell>
          <cell r="I1081" t="str">
            <v>32003</v>
          </cell>
        </row>
        <row r="1082">
          <cell r="H1082" t="str">
            <v>Arnuero</v>
          </cell>
          <cell r="I1082" t="str">
            <v>39006</v>
          </cell>
        </row>
        <row r="1083">
          <cell r="H1083" t="str">
            <v>Aroche</v>
          </cell>
          <cell r="I1083" t="str">
            <v>21008</v>
          </cell>
        </row>
        <row r="1084">
          <cell r="H1084" t="str">
            <v>Arona</v>
          </cell>
          <cell r="I1084" t="str">
            <v>38006</v>
          </cell>
        </row>
        <row r="1085">
          <cell r="H1085" t="str">
            <v>Arquillinos</v>
          </cell>
          <cell r="I1085" t="str">
            <v>49014</v>
          </cell>
        </row>
        <row r="1086">
          <cell r="H1086" t="str">
            <v>Arquillos</v>
          </cell>
          <cell r="I1086" t="str">
            <v>23008</v>
          </cell>
        </row>
        <row r="1087">
          <cell r="H1087" t="str">
            <v>Arrabalde</v>
          </cell>
          <cell r="I1087" t="str">
            <v>49015</v>
          </cell>
        </row>
        <row r="1088">
          <cell r="H1088" t="str">
            <v>Arraia-Maeztu</v>
          </cell>
          <cell r="I1088" t="str">
            <v>01037</v>
          </cell>
        </row>
        <row r="1089">
          <cell r="H1089" t="str">
            <v>Arrancacepas</v>
          </cell>
          <cell r="I1089" t="str">
            <v>16025</v>
          </cell>
        </row>
        <row r="1090">
          <cell r="H1090" t="str">
            <v>Arrankudiaga-Zollo</v>
          </cell>
          <cell r="I1090" t="str">
            <v>48009</v>
          </cell>
        </row>
        <row r="1091">
          <cell r="H1091" t="str">
            <v>Arrasate/Mondragón</v>
          </cell>
          <cell r="I1091" t="str">
            <v>20055</v>
          </cell>
        </row>
        <row r="1092">
          <cell r="H1092" t="str">
            <v>Arratzu</v>
          </cell>
          <cell r="I1092" t="str">
            <v>48914</v>
          </cell>
        </row>
        <row r="1093">
          <cell r="H1093" t="str">
            <v>Arratzua-Ubarrundia</v>
          </cell>
          <cell r="I1093" t="str">
            <v>01008</v>
          </cell>
        </row>
        <row r="1094">
          <cell r="H1094" t="str">
            <v>Arraya de Oca</v>
          </cell>
          <cell r="I1094" t="str">
            <v>09027</v>
          </cell>
        </row>
        <row r="1095">
          <cell r="H1095" t="str">
            <v>Arrecife</v>
          </cell>
          <cell r="I1095" t="str">
            <v>35004</v>
          </cell>
        </row>
        <row r="1096">
          <cell r="H1096" t="str">
            <v>Arredondo</v>
          </cell>
          <cell r="I1096" t="str">
            <v>39007</v>
          </cell>
        </row>
        <row r="1097">
          <cell r="H1097" t="str">
            <v>Arres</v>
          </cell>
          <cell r="I1097" t="str">
            <v>25031</v>
          </cell>
        </row>
        <row r="1098">
          <cell r="H1098" t="str">
            <v>Arriate</v>
          </cell>
          <cell r="I1098" t="str">
            <v>29020</v>
          </cell>
        </row>
        <row r="1099">
          <cell r="H1099" t="str">
            <v>Arrieta</v>
          </cell>
          <cell r="I1099" t="str">
            <v>48010</v>
          </cell>
        </row>
        <row r="1100">
          <cell r="H1100" t="str">
            <v>Arrigorriaga</v>
          </cell>
          <cell r="I1100" t="str">
            <v>48011</v>
          </cell>
        </row>
        <row r="1101">
          <cell r="H1101" t="str">
            <v>Arroba de los Montes</v>
          </cell>
          <cell r="I1101" t="str">
            <v>13021</v>
          </cell>
        </row>
        <row r="1102">
          <cell r="H1102" t="str">
            <v>Arróniz</v>
          </cell>
          <cell r="I1102" t="str">
            <v>31036</v>
          </cell>
        </row>
        <row r="1103">
          <cell r="H1103" t="str">
            <v>Arroyo de la Encomienda</v>
          </cell>
          <cell r="I1103" t="str">
            <v>47010</v>
          </cell>
        </row>
        <row r="1104">
          <cell r="H1104" t="str">
            <v>Arroyo de la Luz</v>
          </cell>
          <cell r="I1104" t="str">
            <v>10021</v>
          </cell>
        </row>
        <row r="1105">
          <cell r="H1105" t="str">
            <v>Arroyo de las Fraguas</v>
          </cell>
          <cell r="I1105" t="str">
            <v>19042</v>
          </cell>
        </row>
        <row r="1106">
          <cell r="H1106" t="str">
            <v>Arroyo de San Serván</v>
          </cell>
          <cell r="I1106" t="str">
            <v>06012</v>
          </cell>
        </row>
        <row r="1107">
          <cell r="H1107" t="str">
            <v>Arroyo del Ojanco</v>
          </cell>
          <cell r="I1107" t="str">
            <v>23905</v>
          </cell>
        </row>
        <row r="1108">
          <cell r="H1108" t="str">
            <v>Arroyomolinos</v>
          </cell>
          <cell r="I1108" t="str">
            <v>10023</v>
          </cell>
        </row>
        <row r="1109">
          <cell r="H1109" t="str">
            <v>Arroyomolinos</v>
          </cell>
          <cell r="I1109" t="str">
            <v>28015</v>
          </cell>
        </row>
        <row r="1110">
          <cell r="H1110" t="str">
            <v>Arroyomolinos de la Vera</v>
          </cell>
          <cell r="I1110" t="str">
            <v>10022</v>
          </cell>
        </row>
        <row r="1111">
          <cell r="H1111" t="str">
            <v>Arroyomolinos de León</v>
          </cell>
          <cell r="I1111" t="str">
            <v>21009</v>
          </cell>
        </row>
        <row r="1112">
          <cell r="H1112" t="str">
            <v>Arruazu</v>
          </cell>
          <cell r="I1112" t="str">
            <v>31037</v>
          </cell>
        </row>
        <row r="1113">
          <cell r="H1113" t="str">
            <v>Arrúbal</v>
          </cell>
          <cell r="I1113" t="str">
            <v>26019</v>
          </cell>
        </row>
        <row r="1114">
          <cell r="H1114" t="str">
            <v>Arsèguel</v>
          </cell>
          <cell r="I1114" t="str">
            <v>25032</v>
          </cell>
        </row>
        <row r="1115">
          <cell r="H1115" t="str">
            <v>Artà</v>
          </cell>
          <cell r="I1115" t="str">
            <v>07006</v>
          </cell>
        </row>
        <row r="1116">
          <cell r="H1116" t="str">
            <v>Artajona</v>
          </cell>
          <cell r="I1116" t="str">
            <v>31038</v>
          </cell>
        </row>
        <row r="1117">
          <cell r="H1117" t="str">
            <v>Artana</v>
          </cell>
          <cell r="I1117" t="str">
            <v>12016</v>
          </cell>
        </row>
        <row r="1118">
          <cell r="H1118" t="str">
            <v>Artazu</v>
          </cell>
          <cell r="I1118" t="str">
            <v>31039</v>
          </cell>
        </row>
        <row r="1119">
          <cell r="H1119" t="str">
            <v>Artea</v>
          </cell>
          <cell r="I1119" t="str">
            <v>48023</v>
          </cell>
        </row>
        <row r="1120">
          <cell r="H1120" t="str">
            <v>Arteixo</v>
          </cell>
          <cell r="I1120" t="str">
            <v>15005</v>
          </cell>
        </row>
        <row r="1121">
          <cell r="H1121" t="str">
            <v>Artenara</v>
          </cell>
          <cell r="I1121" t="str">
            <v>35005</v>
          </cell>
        </row>
        <row r="1122">
          <cell r="H1122" t="str">
            <v>Artés</v>
          </cell>
          <cell r="I1122" t="str">
            <v>08010</v>
          </cell>
        </row>
        <row r="1123">
          <cell r="H1123" t="str">
            <v>Artesa de Lleida</v>
          </cell>
          <cell r="I1123" t="str">
            <v>25033</v>
          </cell>
        </row>
        <row r="1124">
          <cell r="H1124" t="str">
            <v>Artesa de Segre</v>
          </cell>
          <cell r="I1124" t="str">
            <v>25034</v>
          </cell>
        </row>
        <row r="1125">
          <cell r="H1125" t="str">
            <v>Artieda</v>
          </cell>
          <cell r="I1125" t="str">
            <v>50035</v>
          </cell>
        </row>
        <row r="1126">
          <cell r="H1126" t="str">
            <v>Artzentales</v>
          </cell>
          <cell r="I1126" t="str">
            <v>48008</v>
          </cell>
        </row>
        <row r="1127">
          <cell r="H1127" t="str">
            <v>Artziniega</v>
          </cell>
          <cell r="I1127" t="str">
            <v>01004</v>
          </cell>
        </row>
        <row r="1128">
          <cell r="H1128" t="str">
            <v>Arucas</v>
          </cell>
          <cell r="I1128" t="str">
            <v>35006</v>
          </cell>
        </row>
        <row r="1129">
          <cell r="H1129" t="str">
            <v>Arzúa</v>
          </cell>
          <cell r="I1129" t="str">
            <v>15006</v>
          </cell>
        </row>
        <row r="1130">
          <cell r="H1130" t="str">
            <v>Ascó</v>
          </cell>
          <cell r="I1130" t="str">
            <v>43019</v>
          </cell>
        </row>
        <row r="1131">
          <cell r="H1131" t="str">
            <v>Asín</v>
          </cell>
          <cell r="I1131" t="str">
            <v>50036</v>
          </cell>
        </row>
        <row r="1132">
          <cell r="H1132" t="str">
            <v>Aspa</v>
          </cell>
          <cell r="I1132" t="str">
            <v>25036</v>
          </cell>
        </row>
        <row r="1133">
          <cell r="H1133" t="str">
            <v>Aspariegos</v>
          </cell>
          <cell r="I1133" t="str">
            <v>49016</v>
          </cell>
        </row>
        <row r="1134">
          <cell r="H1134" t="str">
            <v>Asparrena</v>
          </cell>
          <cell r="I1134" t="str">
            <v>01009</v>
          </cell>
        </row>
        <row r="1135">
          <cell r="H1135" t="str">
            <v>Aspe</v>
          </cell>
          <cell r="I1135" t="str">
            <v>03019</v>
          </cell>
        </row>
        <row r="1136">
          <cell r="H1136" t="str">
            <v>Asteasu</v>
          </cell>
          <cell r="I1136" t="str">
            <v>20014</v>
          </cell>
        </row>
        <row r="1137">
          <cell r="H1137" t="str">
            <v>Astigarraga</v>
          </cell>
          <cell r="I1137" t="str">
            <v>20903</v>
          </cell>
        </row>
        <row r="1138">
          <cell r="H1138" t="str">
            <v>Astillero, El</v>
          </cell>
          <cell r="I1138" t="str">
            <v>39008</v>
          </cell>
        </row>
        <row r="1139">
          <cell r="H1139" t="str">
            <v>Astorga</v>
          </cell>
          <cell r="I1139" t="str">
            <v>24008</v>
          </cell>
        </row>
        <row r="1140">
          <cell r="H1140" t="str">
            <v>Astudillo</v>
          </cell>
          <cell r="I1140" t="str">
            <v>34017</v>
          </cell>
        </row>
        <row r="1141">
          <cell r="H1141" t="str">
            <v>Asturianos</v>
          </cell>
          <cell r="I1141" t="str">
            <v>49017</v>
          </cell>
        </row>
        <row r="1142">
          <cell r="H1142" t="str">
            <v>Atajate</v>
          </cell>
          <cell r="I1142" t="str">
            <v>29021</v>
          </cell>
        </row>
        <row r="1143">
          <cell r="H1143" t="str">
            <v>Atalaya</v>
          </cell>
          <cell r="I1143" t="str">
            <v>06013</v>
          </cell>
        </row>
        <row r="1144">
          <cell r="H1144" t="str">
            <v>Atalaya del Cañavate</v>
          </cell>
          <cell r="I1144" t="str">
            <v>16026</v>
          </cell>
        </row>
        <row r="1145">
          <cell r="H1145" t="str">
            <v>Atalaya, La</v>
          </cell>
          <cell r="I1145" t="str">
            <v>37037</v>
          </cell>
        </row>
        <row r="1146">
          <cell r="H1146" t="str">
            <v>Atanzón</v>
          </cell>
          <cell r="I1146" t="str">
            <v>19043</v>
          </cell>
        </row>
        <row r="1147">
          <cell r="H1147" t="str">
            <v>Atapuerca</v>
          </cell>
          <cell r="I1147" t="str">
            <v>09029</v>
          </cell>
        </row>
        <row r="1148">
          <cell r="H1148" t="str">
            <v>Ataquines</v>
          </cell>
          <cell r="I1148" t="str">
            <v>47011</v>
          </cell>
        </row>
        <row r="1149">
          <cell r="H1149" t="str">
            <v>Atarfe</v>
          </cell>
          <cell r="I1149" t="str">
            <v>18022</v>
          </cell>
        </row>
        <row r="1150">
          <cell r="H1150" t="str">
            <v>Ataun</v>
          </cell>
          <cell r="I1150" t="str">
            <v>20015</v>
          </cell>
        </row>
        <row r="1151">
          <cell r="H1151" t="str">
            <v>Atazar, El</v>
          </cell>
          <cell r="I1151" t="str">
            <v>28016</v>
          </cell>
        </row>
        <row r="1152">
          <cell r="H1152" t="str">
            <v>Atea</v>
          </cell>
          <cell r="I1152" t="str">
            <v>50037</v>
          </cell>
        </row>
        <row r="1153">
          <cell r="H1153" t="str">
            <v>Ateca</v>
          </cell>
          <cell r="I1153" t="str">
            <v>50038</v>
          </cell>
        </row>
        <row r="1154">
          <cell r="H1154" t="str">
            <v>Atetz</v>
          </cell>
          <cell r="I1154" t="str">
            <v>31040</v>
          </cell>
        </row>
        <row r="1155">
          <cell r="H1155" t="str">
            <v>Atienza</v>
          </cell>
          <cell r="I1155" t="str">
            <v>19044</v>
          </cell>
        </row>
        <row r="1156">
          <cell r="H1156" t="str">
            <v>Atxondo</v>
          </cell>
          <cell r="I1156" t="str">
            <v>48091</v>
          </cell>
        </row>
        <row r="1157">
          <cell r="H1157" t="str">
            <v>Atzeneta d'Albaida</v>
          </cell>
          <cell r="I1157" t="str">
            <v>46003</v>
          </cell>
        </row>
        <row r="1158">
          <cell r="H1158" t="str">
            <v>Atzeneta del Maestrat</v>
          </cell>
          <cell r="I1158" t="str">
            <v>12001</v>
          </cell>
        </row>
        <row r="1159">
          <cell r="H1159" t="str">
            <v>Atzúbia, l'</v>
          </cell>
          <cell r="I1159" t="str">
            <v>03001</v>
          </cell>
        </row>
        <row r="1160">
          <cell r="H1160" t="str">
            <v>Aulesti</v>
          </cell>
          <cell r="I1160" t="str">
            <v>48070</v>
          </cell>
        </row>
        <row r="1161">
          <cell r="H1161" t="str">
            <v>Auñón</v>
          </cell>
          <cell r="I1161" t="str">
            <v>19045</v>
          </cell>
        </row>
        <row r="1162">
          <cell r="H1162" t="str">
            <v>Auritz/Burguete</v>
          </cell>
          <cell r="I1162" t="str">
            <v>31058</v>
          </cell>
        </row>
        <row r="1163">
          <cell r="H1163" t="str">
            <v>Ausejo</v>
          </cell>
          <cell r="I1163" t="str">
            <v>26020</v>
          </cell>
        </row>
        <row r="1164">
          <cell r="H1164" t="str">
            <v>Ausejo de la Sierra</v>
          </cell>
          <cell r="I1164" t="str">
            <v>42028</v>
          </cell>
        </row>
        <row r="1165">
          <cell r="H1165" t="str">
            <v>Ausines, Los</v>
          </cell>
          <cell r="I1165" t="str">
            <v>09030</v>
          </cell>
        </row>
        <row r="1166">
          <cell r="H1166" t="str">
            <v>Autilla del Pino</v>
          </cell>
          <cell r="I1166" t="str">
            <v>34018</v>
          </cell>
        </row>
        <row r="1167">
          <cell r="H1167" t="str">
            <v>Autillo de Campos</v>
          </cell>
          <cell r="I1167" t="str">
            <v>34019</v>
          </cell>
        </row>
        <row r="1168">
          <cell r="H1168" t="str">
            <v>Autol</v>
          </cell>
          <cell r="I1168" t="str">
            <v>26021</v>
          </cell>
        </row>
        <row r="1169">
          <cell r="H1169" t="str">
            <v>Aveinte</v>
          </cell>
          <cell r="I1169" t="str">
            <v>05017</v>
          </cell>
        </row>
        <row r="1170">
          <cell r="H1170" t="str">
            <v>Avellaneda</v>
          </cell>
          <cell r="I1170" t="str">
            <v>05018</v>
          </cell>
        </row>
        <row r="1171">
          <cell r="H1171" t="str">
            <v>Avellanes i Santa Linya, Les</v>
          </cell>
          <cell r="I1171" t="str">
            <v>25037</v>
          </cell>
        </row>
        <row r="1172">
          <cell r="H1172" t="str">
            <v>Avellanosa de Muñó</v>
          </cell>
          <cell r="I1172" t="str">
            <v>09032</v>
          </cell>
        </row>
        <row r="1173">
          <cell r="H1173" t="str">
            <v>Avià</v>
          </cell>
          <cell r="I1173" t="str">
            <v>08011</v>
          </cell>
        </row>
        <row r="1174">
          <cell r="H1174" t="str">
            <v>Ávila</v>
          </cell>
          <cell r="I1174" t="str">
            <v>05019</v>
          </cell>
        </row>
        <row r="1175">
          <cell r="H1175" t="str">
            <v>Avinyó</v>
          </cell>
          <cell r="I1175" t="str">
            <v>08012</v>
          </cell>
        </row>
        <row r="1176">
          <cell r="H1176" t="str">
            <v>Avinyonet de Puigventós</v>
          </cell>
          <cell r="I1176" t="str">
            <v>17012</v>
          </cell>
        </row>
        <row r="1177">
          <cell r="H1177" t="str">
            <v>Avinyonet del Penedès</v>
          </cell>
          <cell r="I1177" t="str">
            <v>08013</v>
          </cell>
        </row>
        <row r="1178">
          <cell r="H1178" t="str">
            <v>Avión</v>
          </cell>
          <cell r="I1178" t="str">
            <v>32004</v>
          </cell>
        </row>
        <row r="1179">
          <cell r="H1179" t="str">
            <v>Ayala/Aiara</v>
          </cell>
          <cell r="I1179" t="str">
            <v>01010</v>
          </cell>
        </row>
        <row r="1180">
          <cell r="H1180" t="str">
            <v>Ayamonte</v>
          </cell>
          <cell r="I1180" t="str">
            <v>21010</v>
          </cell>
        </row>
        <row r="1181">
          <cell r="H1181" t="str">
            <v>Ayegui/Aiegi</v>
          </cell>
          <cell r="I1181" t="str">
            <v>31041</v>
          </cell>
        </row>
        <row r="1182">
          <cell r="H1182" t="str">
            <v>Ayerbe</v>
          </cell>
          <cell r="I1182" t="str">
            <v>22039</v>
          </cell>
        </row>
        <row r="1183">
          <cell r="H1183" t="str">
            <v>Ayllón</v>
          </cell>
          <cell r="I1183" t="str">
            <v>40024</v>
          </cell>
        </row>
        <row r="1184">
          <cell r="H1184" t="str">
            <v>Ayna</v>
          </cell>
          <cell r="I1184" t="str">
            <v>02011</v>
          </cell>
        </row>
        <row r="1185">
          <cell r="H1185" t="str">
            <v>Ayódar</v>
          </cell>
          <cell r="I1185" t="str">
            <v>12017</v>
          </cell>
        </row>
        <row r="1186">
          <cell r="H1186" t="str">
            <v>Ayoó de Vidriales</v>
          </cell>
          <cell r="I1186" t="str">
            <v>49018</v>
          </cell>
        </row>
        <row r="1187">
          <cell r="H1187" t="str">
            <v>Ayora</v>
          </cell>
          <cell r="I1187" t="str">
            <v>46044</v>
          </cell>
        </row>
        <row r="1188">
          <cell r="H1188" t="str">
            <v>Ayuela</v>
          </cell>
          <cell r="I1188" t="str">
            <v>34020</v>
          </cell>
        </row>
        <row r="1189">
          <cell r="H1189" t="str">
            <v>Azagra</v>
          </cell>
          <cell r="I1189" t="str">
            <v>31042</v>
          </cell>
        </row>
        <row r="1190">
          <cell r="H1190" t="str">
            <v>Azanuy-Alins</v>
          </cell>
          <cell r="I1190" t="str">
            <v>22040</v>
          </cell>
        </row>
        <row r="1191">
          <cell r="H1191" t="str">
            <v>Azara</v>
          </cell>
          <cell r="I1191" t="str">
            <v>22041</v>
          </cell>
        </row>
        <row r="1192">
          <cell r="H1192" t="str">
            <v>Azkoitia</v>
          </cell>
          <cell r="I1192" t="str">
            <v>20017</v>
          </cell>
        </row>
        <row r="1193">
          <cell r="H1193" t="str">
            <v>Azlor</v>
          </cell>
          <cell r="I1193" t="str">
            <v>22042</v>
          </cell>
        </row>
        <row r="1194">
          <cell r="H1194" t="str">
            <v>Aznalcázar</v>
          </cell>
          <cell r="I1194" t="str">
            <v>41012</v>
          </cell>
        </row>
        <row r="1195">
          <cell r="H1195" t="str">
            <v>Aznalcóllar</v>
          </cell>
          <cell r="I1195" t="str">
            <v>41013</v>
          </cell>
        </row>
        <row r="1196">
          <cell r="H1196" t="str">
            <v>Azofra</v>
          </cell>
          <cell r="I1196" t="str">
            <v>26022</v>
          </cell>
        </row>
        <row r="1197">
          <cell r="H1197" t="str">
            <v>Azpeitia</v>
          </cell>
          <cell r="I1197" t="str">
            <v>20018</v>
          </cell>
        </row>
        <row r="1198">
          <cell r="H1198" t="str">
            <v>Azuaga</v>
          </cell>
          <cell r="I1198" t="str">
            <v>06014</v>
          </cell>
        </row>
        <row r="1199">
          <cell r="H1199" t="str">
            <v>Azuara</v>
          </cell>
          <cell r="I1199" t="str">
            <v>50039</v>
          </cell>
        </row>
        <row r="1200">
          <cell r="H1200" t="str">
            <v>Azuébar</v>
          </cell>
          <cell r="I1200" t="str">
            <v>12018</v>
          </cell>
        </row>
        <row r="1201">
          <cell r="H1201" t="str">
            <v>Azuelo</v>
          </cell>
          <cell r="I1201" t="str">
            <v>31043</v>
          </cell>
        </row>
        <row r="1202">
          <cell r="H1202" t="str">
            <v>Azuqueca de Henares</v>
          </cell>
          <cell r="I1202" t="str">
            <v>19046</v>
          </cell>
        </row>
        <row r="1203">
          <cell r="H1203" t="str">
            <v>Azután</v>
          </cell>
          <cell r="I1203" t="str">
            <v>45017</v>
          </cell>
        </row>
        <row r="1204">
          <cell r="H1204" t="str">
            <v>Babilafuente</v>
          </cell>
          <cell r="I1204" t="str">
            <v>37038</v>
          </cell>
        </row>
        <row r="1205">
          <cell r="H1205" t="str">
            <v>Bacares</v>
          </cell>
          <cell r="I1205" t="str">
            <v>04019</v>
          </cell>
        </row>
        <row r="1206">
          <cell r="H1206" t="str">
            <v>Badajoz</v>
          </cell>
          <cell r="I1206" t="str">
            <v>06015</v>
          </cell>
        </row>
        <row r="1207">
          <cell r="H1207" t="str">
            <v>Badalona</v>
          </cell>
          <cell r="I1207" t="str">
            <v>08015</v>
          </cell>
        </row>
        <row r="1208">
          <cell r="H1208" t="str">
            <v>Badarán</v>
          </cell>
          <cell r="I1208" t="str">
            <v>26023</v>
          </cell>
        </row>
        <row r="1209">
          <cell r="H1209" t="str">
            <v>Bádenas</v>
          </cell>
          <cell r="I1209" t="str">
            <v>44032</v>
          </cell>
        </row>
        <row r="1210">
          <cell r="H1210" t="str">
            <v>Badia del Vallès</v>
          </cell>
          <cell r="I1210" t="str">
            <v>08904</v>
          </cell>
        </row>
        <row r="1211">
          <cell r="H1211" t="str">
            <v>Badolatosa</v>
          </cell>
          <cell r="I1211" t="str">
            <v>41014</v>
          </cell>
        </row>
        <row r="1212">
          <cell r="H1212" t="str">
            <v>Badules</v>
          </cell>
          <cell r="I1212" t="str">
            <v>50040</v>
          </cell>
        </row>
        <row r="1213">
          <cell r="H1213" t="str">
            <v>Baélls</v>
          </cell>
          <cell r="I1213" t="str">
            <v>22043</v>
          </cell>
        </row>
        <row r="1214">
          <cell r="H1214" t="str">
            <v>Baena</v>
          </cell>
          <cell r="I1214" t="str">
            <v>14007</v>
          </cell>
        </row>
        <row r="1215">
          <cell r="H1215" t="str">
            <v>Baeza</v>
          </cell>
          <cell r="I1215" t="str">
            <v>23009</v>
          </cell>
        </row>
        <row r="1216">
          <cell r="H1216" t="str">
            <v>Bagà</v>
          </cell>
          <cell r="I1216" t="str">
            <v>08016</v>
          </cell>
        </row>
        <row r="1217">
          <cell r="H1217" t="str">
            <v>Báguena</v>
          </cell>
          <cell r="I1217" t="str">
            <v>44033</v>
          </cell>
        </row>
        <row r="1218">
          <cell r="H1218" t="str">
            <v>Bagüés</v>
          </cell>
          <cell r="I1218" t="str">
            <v>50041</v>
          </cell>
        </row>
        <row r="1219">
          <cell r="H1219" t="str">
            <v>Bahabón</v>
          </cell>
          <cell r="I1219" t="str">
            <v>47012</v>
          </cell>
        </row>
        <row r="1220">
          <cell r="H1220" t="str">
            <v>Bahabón de Esgueva</v>
          </cell>
          <cell r="I1220" t="str">
            <v>09033</v>
          </cell>
        </row>
        <row r="1221">
          <cell r="H1221" t="str">
            <v>Baides</v>
          </cell>
          <cell r="I1221" t="str">
            <v>19047</v>
          </cell>
        </row>
        <row r="1222">
          <cell r="H1222" t="str">
            <v>Bailén</v>
          </cell>
          <cell r="I1222" t="str">
            <v>23010</v>
          </cell>
        </row>
        <row r="1223">
          <cell r="H1223" t="str">
            <v>Bailo</v>
          </cell>
          <cell r="I1223" t="str">
            <v>22044</v>
          </cell>
        </row>
        <row r="1224">
          <cell r="H1224" t="str">
            <v>Baiona</v>
          </cell>
          <cell r="I1224" t="str">
            <v>36003</v>
          </cell>
        </row>
        <row r="1225">
          <cell r="H1225" t="str">
            <v>Baix Pallars</v>
          </cell>
          <cell r="I1225" t="str">
            <v>25039</v>
          </cell>
        </row>
        <row r="1226">
          <cell r="H1226" t="str">
            <v>Bakaiku</v>
          </cell>
          <cell r="I1226" t="str">
            <v>31044</v>
          </cell>
        </row>
        <row r="1227">
          <cell r="H1227" t="str">
            <v>Bakio</v>
          </cell>
          <cell r="I1227" t="str">
            <v>48012</v>
          </cell>
        </row>
        <row r="1228">
          <cell r="H1228" t="str">
            <v>Balaguer</v>
          </cell>
          <cell r="I1228" t="str">
            <v>25040</v>
          </cell>
        </row>
        <row r="1229">
          <cell r="H1229" t="str">
            <v>Balanegra</v>
          </cell>
          <cell r="I1229" t="str">
            <v>04904</v>
          </cell>
        </row>
        <row r="1230">
          <cell r="H1230" t="str">
            <v>Balazote</v>
          </cell>
          <cell r="I1230" t="str">
            <v>02012</v>
          </cell>
        </row>
        <row r="1231">
          <cell r="H1231" t="str">
            <v>Balbases, Los</v>
          </cell>
          <cell r="I1231" t="str">
            <v>09034</v>
          </cell>
        </row>
        <row r="1232">
          <cell r="H1232" t="str">
            <v>Balconchán</v>
          </cell>
          <cell r="I1232" t="str">
            <v>50042</v>
          </cell>
        </row>
        <row r="1233">
          <cell r="H1233" t="str">
            <v>Baldellou</v>
          </cell>
          <cell r="I1233" t="str">
            <v>22045</v>
          </cell>
        </row>
        <row r="1234">
          <cell r="H1234" t="str">
            <v>Baleira</v>
          </cell>
          <cell r="I1234" t="str">
            <v>27004</v>
          </cell>
        </row>
        <row r="1235">
          <cell r="H1235" t="str">
            <v>Balenyà</v>
          </cell>
          <cell r="I1235" t="str">
            <v>08017</v>
          </cell>
        </row>
        <row r="1236">
          <cell r="H1236" t="str">
            <v>Baliarrain</v>
          </cell>
          <cell r="I1236" t="str">
            <v>20904</v>
          </cell>
        </row>
        <row r="1237">
          <cell r="H1237" t="str">
            <v>Ballestero, El</v>
          </cell>
          <cell r="I1237" t="str">
            <v>02014</v>
          </cell>
        </row>
        <row r="1238">
          <cell r="H1238" t="str">
            <v>Ballesteros de Calatrava</v>
          </cell>
          <cell r="I1238" t="str">
            <v>13022</v>
          </cell>
        </row>
        <row r="1239">
          <cell r="H1239" t="str">
            <v>Ballobar</v>
          </cell>
          <cell r="I1239" t="str">
            <v>22046</v>
          </cell>
        </row>
        <row r="1240">
          <cell r="H1240" t="str">
            <v>Balmaseda</v>
          </cell>
          <cell r="I1240" t="str">
            <v>48090</v>
          </cell>
        </row>
        <row r="1241">
          <cell r="H1241" t="str">
            <v>Balones</v>
          </cell>
          <cell r="I1241" t="str">
            <v>03020</v>
          </cell>
        </row>
        <row r="1242">
          <cell r="H1242" t="str">
            <v>Balsa de Ves</v>
          </cell>
          <cell r="I1242" t="str">
            <v>02013</v>
          </cell>
        </row>
        <row r="1243">
          <cell r="H1243" t="str">
            <v>Balsareny</v>
          </cell>
          <cell r="I1243" t="str">
            <v>08018</v>
          </cell>
        </row>
        <row r="1244">
          <cell r="H1244" t="str">
            <v>Baltanás</v>
          </cell>
          <cell r="I1244" t="str">
            <v>34022</v>
          </cell>
        </row>
        <row r="1245">
          <cell r="H1245" t="str">
            <v>Baltar</v>
          </cell>
          <cell r="I1245" t="str">
            <v>32005</v>
          </cell>
        </row>
        <row r="1246">
          <cell r="H1246" t="str">
            <v>Banastás</v>
          </cell>
          <cell r="I1246" t="str">
            <v>22047</v>
          </cell>
        </row>
        <row r="1247">
          <cell r="H1247" t="str">
            <v>Bande</v>
          </cell>
          <cell r="I1247" t="str">
            <v>32006</v>
          </cell>
        </row>
        <row r="1248">
          <cell r="H1248" t="str">
            <v>Banyalbufar</v>
          </cell>
          <cell r="I1248" t="str">
            <v>07007</v>
          </cell>
        </row>
        <row r="1249">
          <cell r="H1249" t="str">
            <v>Banyeres de Mariola</v>
          </cell>
          <cell r="I1249" t="str">
            <v>03021</v>
          </cell>
        </row>
        <row r="1250">
          <cell r="H1250" t="str">
            <v>Banyeres del Penedès</v>
          </cell>
          <cell r="I1250" t="str">
            <v>43020</v>
          </cell>
        </row>
        <row r="1251">
          <cell r="H1251" t="str">
            <v>Banyoles</v>
          </cell>
          <cell r="I1251" t="str">
            <v>17015</v>
          </cell>
        </row>
        <row r="1252">
          <cell r="H1252" t="str">
            <v>Baña, A</v>
          </cell>
          <cell r="I1252" t="str">
            <v>15007</v>
          </cell>
        </row>
        <row r="1253">
          <cell r="H1253" t="str">
            <v>Bañares</v>
          </cell>
          <cell r="I1253" t="str">
            <v>26024</v>
          </cell>
        </row>
        <row r="1254">
          <cell r="H1254" t="str">
            <v>Bañeza, La</v>
          </cell>
          <cell r="I1254" t="str">
            <v>24010</v>
          </cell>
        </row>
        <row r="1255">
          <cell r="H1255" t="str">
            <v>Bañobárez</v>
          </cell>
          <cell r="I1255" t="str">
            <v>37039</v>
          </cell>
        </row>
        <row r="1256">
          <cell r="H1256" t="str">
            <v>Bañón</v>
          </cell>
          <cell r="I1256" t="str">
            <v>44034</v>
          </cell>
        </row>
        <row r="1257">
          <cell r="H1257" t="str">
            <v>Baños de Ebro/Mañueta</v>
          </cell>
          <cell r="I1257" t="str">
            <v>01011</v>
          </cell>
        </row>
        <row r="1258">
          <cell r="H1258" t="str">
            <v>Baños de la Encina</v>
          </cell>
          <cell r="I1258" t="str">
            <v>23011</v>
          </cell>
        </row>
        <row r="1259">
          <cell r="H1259" t="str">
            <v>Baños de Molgas</v>
          </cell>
          <cell r="I1259" t="str">
            <v>32007</v>
          </cell>
        </row>
        <row r="1260">
          <cell r="H1260" t="str">
            <v>Baños de Montemayor</v>
          </cell>
          <cell r="I1260" t="str">
            <v>10024</v>
          </cell>
        </row>
        <row r="1261">
          <cell r="H1261" t="str">
            <v>Baños de Río Tobía</v>
          </cell>
          <cell r="I1261" t="str">
            <v>26026</v>
          </cell>
        </row>
        <row r="1262">
          <cell r="H1262" t="str">
            <v>Baños de Rioja</v>
          </cell>
          <cell r="I1262" t="str">
            <v>26025</v>
          </cell>
        </row>
        <row r="1263">
          <cell r="H1263" t="str">
            <v>Baños de Tajo</v>
          </cell>
          <cell r="I1263" t="str">
            <v>19048</v>
          </cell>
        </row>
        <row r="1264">
          <cell r="H1264" t="str">
            <v>Baños de Valdearados</v>
          </cell>
          <cell r="I1264" t="str">
            <v>09035</v>
          </cell>
        </row>
        <row r="1265">
          <cell r="H1265" t="str">
            <v>Bañuelos</v>
          </cell>
          <cell r="I1265" t="str">
            <v>19049</v>
          </cell>
        </row>
        <row r="1266">
          <cell r="H1266" t="str">
            <v>Bañuelos de Bureba</v>
          </cell>
          <cell r="I1266" t="str">
            <v>09036</v>
          </cell>
        </row>
        <row r="1267">
          <cell r="H1267" t="str">
            <v>Baquerín de Campos</v>
          </cell>
          <cell r="I1267" t="str">
            <v>34024</v>
          </cell>
        </row>
        <row r="1268">
          <cell r="H1268" t="str">
            <v>Barajas de Melo</v>
          </cell>
          <cell r="I1268" t="str">
            <v>16027</v>
          </cell>
        </row>
        <row r="1269">
          <cell r="H1269" t="str">
            <v>Barakaldo</v>
          </cell>
          <cell r="I1269" t="str">
            <v>48013</v>
          </cell>
        </row>
        <row r="1270">
          <cell r="H1270" t="str">
            <v>Baralla</v>
          </cell>
          <cell r="I1270" t="str">
            <v>27901</v>
          </cell>
        </row>
        <row r="1271">
          <cell r="H1271" t="str">
            <v>Barañáin/Barañain</v>
          </cell>
          <cell r="I1271" t="str">
            <v>31901</v>
          </cell>
        </row>
        <row r="1272">
          <cell r="H1272" t="str">
            <v>Baraona</v>
          </cell>
          <cell r="I1272" t="str">
            <v>42029</v>
          </cell>
        </row>
        <row r="1273">
          <cell r="H1273" t="str">
            <v>Barásoain</v>
          </cell>
          <cell r="I1273" t="str">
            <v>31045</v>
          </cell>
        </row>
        <row r="1274">
          <cell r="H1274" t="str">
            <v>Barbadás</v>
          </cell>
          <cell r="I1274" t="str">
            <v>32008</v>
          </cell>
        </row>
        <row r="1275">
          <cell r="H1275" t="str">
            <v>Barbadillo</v>
          </cell>
          <cell r="I1275" t="str">
            <v>37040</v>
          </cell>
        </row>
        <row r="1276">
          <cell r="H1276" t="str">
            <v>Barbadillo de Herreros</v>
          </cell>
          <cell r="I1276" t="str">
            <v>09037</v>
          </cell>
        </row>
        <row r="1277">
          <cell r="H1277" t="str">
            <v>Barbadillo del Mercado</v>
          </cell>
          <cell r="I1277" t="str">
            <v>09038</v>
          </cell>
        </row>
        <row r="1278">
          <cell r="H1278" t="str">
            <v>Barbadillo del Pez</v>
          </cell>
          <cell r="I1278" t="str">
            <v>09039</v>
          </cell>
        </row>
        <row r="1279">
          <cell r="H1279" t="str">
            <v>Barbalos</v>
          </cell>
          <cell r="I1279" t="str">
            <v>37041</v>
          </cell>
        </row>
        <row r="1280">
          <cell r="H1280" t="str">
            <v>Barbarin</v>
          </cell>
          <cell r="I1280" t="str">
            <v>31046</v>
          </cell>
        </row>
        <row r="1281">
          <cell r="H1281" t="str">
            <v>Barbastro</v>
          </cell>
          <cell r="I1281" t="str">
            <v>22048</v>
          </cell>
        </row>
        <row r="1282">
          <cell r="H1282" t="str">
            <v>Barbate</v>
          </cell>
          <cell r="I1282" t="str">
            <v>11007</v>
          </cell>
        </row>
        <row r="1283">
          <cell r="H1283" t="str">
            <v>Barbens</v>
          </cell>
          <cell r="I1283" t="str">
            <v>25041</v>
          </cell>
        </row>
        <row r="1284">
          <cell r="H1284" t="str">
            <v>Barberà de la Conca</v>
          </cell>
          <cell r="I1284" t="str">
            <v>43021</v>
          </cell>
        </row>
        <row r="1285">
          <cell r="H1285" t="str">
            <v>Barberà del Vallès</v>
          </cell>
          <cell r="I1285" t="str">
            <v>08252</v>
          </cell>
        </row>
        <row r="1286">
          <cell r="H1286" t="str">
            <v>Bárboles</v>
          </cell>
          <cell r="I1286" t="str">
            <v>50043</v>
          </cell>
        </row>
        <row r="1287">
          <cell r="H1287" t="str">
            <v>Barbolla</v>
          </cell>
          <cell r="I1287" t="str">
            <v>40025</v>
          </cell>
        </row>
        <row r="1288">
          <cell r="H1288" t="str">
            <v>Barbués</v>
          </cell>
          <cell r="I1288" t="str">
            <v>22049</v>
          </cell>
        </row>
        <row r="1289">
          <cell r="H1289" t="str">
            <v>Barbuñales</v>
          </cell>
          <cell r="I1289" t="str">
            <v>22050</v>
          </cell>
        </row>
        <row r="1290">
          <cell r="H1290" t="str">
            <v>Barca</v>
          </cell>
          <cell r="I1290" t="str">
            <v>42030</v>
          </cell>
        </row>
        <row r="1291">
          <cell r="H1291" t="str">
            <v>Bárcabo</v>
          </cell>
          <cell r="I1291" t="str">
            <v>22051</v>
          </cell>
        </row>
        <row r="1292">
          <cell r="H1292" t="str">
            <v>Barcarrota</v>
          </cell>
          <cell r="I1292" t="str">
            <v>06016</v>
          </cell>
        </row>
        <row r="1293">
          <cell r="H1293" t="str">
            <v>Barcelona</v>
          </cell>
          <cell r="I1293" t="str">
            <v>08019</v>
          </cell>
        </row>
        <row r="1294">
          <cell r="H1294" t="str">
            <v>Bárcena de Campos</v>
          </cell>
          <cell r="I1294" t="str">
            <v>34025</v>
          </cell>
        </row>
        <row r="1295">
          <cell r="H1295" t="str">
            <v>Bárcena de Cicero</v>
          </cell>
          <cell r="I1295" t="str">
            <v>39009</v>
          </cell>
        </row>
        <row r="1296">
          <cell r="H1296" t="str">
            <v>Bárcena de Pie de Concha</v>
          </cell>
          <cell r="I1296" t="str">
            <v>39010</v>
          </cell>
        </row>
        <row r="1297">
          <cell r="H1297" t="str">
            <v>Barceo</v>
          </cell>
          <cell r="I1297" t="str">
            <v>37042</v>
          </cell>
        </row>
        <row r="1298">
          <cell r="H1298" t="str">
            <v>Barchín del Hoyo</v>
          </cell>
          <cell r="I1298" t="str">
            <v>16029</v>
          </cell>
        </row>
        <row r="1299">
          <cell r="H1299" t="str">
            <v>Barcial de la Loma</v>
          </cell>
          <cell r="I1299" t="str">
            <v>47013</v>
          </cell>
        </row>
        <row r="1300">
          <cell r="H1300" t="str">
            <v>Barcial del Barco</v>
          </cell>
          <cell r="I1300" t="str">
            <v>49019</v>
          </cell>
        </row>
        <row r="1301">
          <cell r="H1301" t="str">
            <v>Barcience</v>
          </cell>
          <cell r="I1301" t="str">
            <v>45018</v>
          </cell>
        </row>
        <row r="1302">
          <cell r="H1302" t="str">
            <v>Barco de Ávila, El</v>
          </cell>
          <cell r="I1302" t="str">
            <v>05021</v>
          </cell>
        </row>
        <row r="1303">
          <cell r="H1303" t="str">
            <v>Barco de Valdeorras, O</v>
          </cell>
          <cell r="I1303" t="str">
            <v>32009</v>
          </cell>
        </row>
        <row r="1304">
          <cell r="H1304" t="str">
            <v>Barcones</v>
          </cell>
          <cell r="I1304" t="str">
            <v>42031</v>
          </cell>
        </row>
        <row r="1305">
          <cell r="H1305" t="str">
            <v>Bardallur</v>
          </cell>
          <cell r="I1305" t="str">
            <v>50044</v>
          </cell>
        </row>
        <row r="1306">
          <cell r="H1306" t="str">
            <v>Bareyo</v>
          </cell>
          <cell r="I1306" t="str">
            <v>39011</v>
          </cell>
        </row>
        <row r="1307">
          <cell r="H1307" t="str">
            <v>Bargas</v>
          </cell>
          <cell r="I1307" t="str">
            <v>45019</v>
          </cell>
        </row>
        <row r="1308">
          <cell r="H1308" t="str">
            <v>Bargota</v>
          </cell>
          <cell r="I1308" t="str">
            <v>31047</v>
          </cell>
        </row>
        <row r="1309">
          <cell r="H1309" t="str">
            <v>Barillas</v>
          </cell>
          <cell r="I1309" t="str">
            <v>31048</v>
          </cell>
        </row>
        <row r="1310">
          <cell r="H1310" t="str">
            <v>Barlovento</v>
          </cell>
          <cell r="I1310" t="str">
            <v>38007</v>
          </cell>
        </row>
        <row r="1311">
          <cell r="H1311" t="str">
            <v>Baronia de Rialb, La</v>
          </cell>
          <cell r="I1311" t="str">
            <v>25042</v>
          </cell>
        </row>
        <row r="1312">
          <cell r="H1312" t="str">
            <v>Barracas</v>
          </cell>
          <cell r="I1312" t="str">
            <v>12020</v>
          </cell>
        </row>
        <row r="1313">
          <cell r="H1313" t="str">
            <v>Barrachina</v>
          </cell>
          <cell r="I1313" t="str">
            <v>44035</v>
          </cell>
        </row>
        <row r="1314">
          <cell r="H1314" t="str">
            <v>Barraco, El</v>
          </cell>
          <cell r="I1314" t="str">
            <v>05022</v>
          </cell>
        </row>
        <row r="1315">
          <cell r="H1315" t="str">
            <v>Barrado</v>
          </cell>
          <cell r="I1315" t="str">
            <v>10025</v>
          </cell>
        </row>
        <row r="1316">
          <cell r="H1316" t="str">
            <v>Barrax</v>
          </cell>
          <cell r="I1316" t="str">
            <v>02015</v>
          </cell>
        </row>
        <row r="1317">
          <cell r="H1317" t="str">
            <v>Barreiros</v>
          </cell>
          <cell r="I1317" t="str">
            <v>27005</v>
          </cell>
        </row>
        <row r="1318">
          <cell r="H1318" t="str">
            <v>Barrika</v>
          </cell>
          <cell r="I1318" t="str">
            <v>48014</v>
          </cell>
        </row>
        <row r="1319">
          <cell r="H1319" t="str">
            <v>Barrio de Muñó</v>
          </cell>
          <cell r="I1319" t="str">
            <v>09041</v>
          </cell>
        </row>
        <row r="1320">
          <cell r="H1320" t="str">
            <v>Barriopedro</v>
          </cell>
          <cell r="I1320" t="str">
            <v>19050</v>
          </cell>
        </row>
        <row r="1321">
          <cell r="H1321" t="str">
            <v>Barrios de Bureba, Los</v>
          </cell>
          <cell r="I1321" t="str">
            <v>09043</v>
          </cell>
        </row>
        <row r="1322">
          <cell r="H1322" t="str">
            <v>Barrios de Colina</v>
          </cell>
          <cell r="I1322" t="str">
            <v>09044</v>
          </cell>
        </row>
        <row r="1323">
          <cell r="H1323" t="str">
            <v>Barro</v>
          </cell>
          <cell r="I1323" t="str">
            <v>36002</v>
          </cell>
        </row>
        <row r="1324">
          <cell r="H1324" t="str">
            <v>Barromán</v>
          </cell>
          <cell r="I1324" t="str">
            <v>05023</v>
          </cell>
        </row>
        <row r="1325">
          <cell r="H1325" t="str">
            <v>Barruecopardo</v>
          </cell>
          <cell r="I1325" t="str">
            <v>37044</v>
          </cell>
        </row>
        <row r="1326">
          <cell r="H1326" t="str">
            <v>Barruelo del Valle</v>
          </cell>
          <cell r="I1326" t="str">
            <v>47014</v>
          </cell>
        </row>
        <row r="1327">
          <cell r="H1327" t="str">
            <v>Barrundia</v>
          </cell>
          <cell r="I1327" t="str">
            <v>01013</v>
          </cell>
        </row>
        <row r="1328">
          <cell r="H1328" t="str">
            <v>Barx</v>
          </cell>
          <cell r="I1328" t="str">
            <v>46046</v>
          </cell>
        </row>
        <row r="1329">
          <cell r="H1329" t="str">
            <v>Barxeta</v>
          </cell>
          <cell r="I1329" t="str">
            <v>46045</v>
          </cell>
        </row>
        <row r="1330">
          <cell r="H1330" t="str">
            <v>Basaburua</v>
          </cell>
          <cell r="I1330" t="str">
            <v>31049</v>
          </cell>
        </row>
        <row r="1331">
          <cell r="H1331" t="str">
            <v>Basardilla</v>
          </cell>
          <cell r="I1331" t="str">
            <v>40026</v>
          </cell>
        </row>
        <row r="1332">
          <cell r="H1332" t="str">
            <v>Basauri</v>
          </cell>
          <cell r="I1332" t="str">
            <v>48015</v>
          </cell>
        </row>
        <row r="1333">
          <cell r="H1333" t="str">
            <v>Bàscara</v>
          </cell>
          <cell r="I1333" t="str">
            <v>17016</v>
          </cell>
        </row>
        <row r="1334">
          <cell r="H1334" t="str">
            <v>Basconcillos del Tozo</v>
          </cell>
          <cell r="I1334" t="str">
            <v>09045</v>
          </cell>
        </row>
        <row r="1335">
          <cell r="H1335" t="str">
            <v>Báscones de Ojeda</v>
          </cell>
          <cell r="I1335" t="str">
            <v>34028</v>
          </cell>
        </row>
        <row r="1336">
          <cell r="H1336" t="str">
            <v>Bascuñana</v>
          </cell>
          <cell r="I1336" t="str">
            <v>09046</v>
          </cell>
        </row>
        <row r="1337">
          <cell r="H1337" t="str">
            <v>Bascuñana de San Pedro</v>
          </cell>
          <cell r="I1337" t="str">
            <v>16030</v>
          </cell>
        </row>
        <row r="1338">
          <cell r="H1338" t="str">
            <v>Bassella</v>
          </cell>
          <cell r="I1338" t="str">
            <v>25044</v>
          </cell>
        </row>
        <row r="1339">
          <cell r="H1339" t="str">
            <v>Bastida, La</v>
          </cell>
          <cell r="I1339" t="str">
            <v>37045</v>
          </cell>
        </row>
        <row r="1340">
          <cell r="H1340" t="str">
            <v>Batea</v>
          </cell>
          <cell r="I1340" t="str">
            <v>43022</v>
          </cell>
        </row>
        <row r="1341">
          <cell r="H1341" t="str">
            <v>Baterno</v>
          </cell>
          <cell r="I1341" t="str">
            <v>06017</v>
          </cell>
        </row>
        <row r="1342">
          <cell r="H1342" t="str">
            <v>Batres</v>
          </cell>
          <cell r="I1342" t="str">
            <v>28017</v>
          </cell>
        </row>
        <row r="1343">
          <cell r="H1343" t="str">
            <v>Bausen</v>
          </cell>
          <cell r="I1343" t="str">
            <v>25045</v>
          </cell>
        </row>
        <row r="1344">
          <cell r="H1344" t="str">
            <v>Bayárcal</v>
          </cell>
          <cell r="I1344" t="str">
            <v>04020</v>
          </cell>
        </row>
        <row r="1345">
          <cell r="H1345" t="str">
            <v>Bayarque</v>
          </cell>
          <cell r="I1345" t="str">
            <v>04021</v>
          </cell>
        </row>
        <row r="1346">
          <cell r="H1346" t="str">
            <v>Bayubas de Abajo</v>
          </cell>
          <cell r="I1346" t="str">
            <v>42032</v>
          </cell>
        </row>
        <row r="1347">
          <cell r="H1347" t="str">
            <v>Bayubas de Arriba</v>
          </cell>
          <cell r="I1347" t="str">
            <v>42033</v>
          </cell>
        </row>
        <row r="1348">
          <cell r="H1348" t="str">
            <v>Baza</v>
          </cell>
          <cell r="I1348" t="str">
            <v>18023</v>
          </cell>
        </row>
        <row r="1349">
          <cell r="H1349" t="str">
            <v>Baztan</v>
          </cell>
          <cell r="I1349" t="str">
            <v>31050</v>
          </cell>
        </row>
        <row r="1350">
          <cell r="H1350" t="str">
            <v>Bea</v>
          </cell>
          <cell r="I1350" t="str">
            <v>44036</v>
          </cell>
        </row>
        <row r="1351">
          <cell r="H1351" t="str">
            <v>Beade</v>
          </cell>
          <cell r="I1351" t="str">
            <v>32010</v>
          </cell>
        </row>
        <row r="1352">
          <cell r="H1352" t="str">
            <v>Beamud</v>
          </cell>
          <cell r="I1352" t="str">
            <v>16031</v>
          </cell>
        </row>
        <row r="1353">
          <cell r="H1353" t="str">
            <v>Beariz</v>
          </cell>
          <cell r="I1353" t="str">
            <v>32011</v>
          </cell>
        </row>
        <row r="1354">
          <cell r="H1354" t="str">
            <v>Beas</v>
          </cell>
          <cell r="I1354" t="str">
            <v>21011</v>
          </cell>
        </row>
        <row r="1355">
          <cell r="H1355" t="str">
            <v>Beas de Granada</v>
          </cell>
          <cell r="I1355" t="str">
            <v>18024</v>
          </cell>
        </row>
        <row r="1356">
          <cell r="H1356" t="str">
            <v>Beas de Guadix</v>
          </cell>
          <cell r="I1356" t="str">
            <v>18025</v>
          </cell>
        </row>
        <row r="1357">
          <cell r="H1357" t="str">
            <v>Beas de Segura</v>
          </cell>
          <cell r="I1357" t="str">
            <v>23012</v>
          </cell>
        </row>
        <row r="1358">
          <cell r="H1358" t="str">
            <v>Beasain</v>
          </cell>
          <cell r="I1358" t="str">
            <v>20019</v>
          </cell>
        </row>
        <row r="1359">
          <cell r="H1359" t="str">
            <v>Becedas</v>
          </cell>
          <cell r="I1359" t="str">
            <v>05024</v>
          </cell>
        </row>
        <row r="1360">
          <cell r="H1360" t="str">
            <v>Becedillas</v>
          </cell>
          <cell r="I1360" t="str">
            <v>05025</v>
          </cell>
        </row>
        <row r="1361">
          <cell r="H1361" t="str">
            <v>Beceite</v>
          </cell>
          <cell r="I1361" t="str">
            <v>44037</v>
          </cell>
        </row>
        <row r="1362">
          <cell r="H1362" t="str">
            <v>Becerreá</v>
          </cell>
          <cell r="I1362" t="str">
            <v>27006</v>
          </cell>
        </row>
        <row r="1363">
          <cell r="H1363" t="str">
            <v>Becerril de Campos</v>
          </cell>
          <cell r="I1363" t="str">
            <v>34029</v>
          </cell>
        </row>
        <row r="1364">
          <cell r="H1364" t="str">
            <v>Becerril de la Sierra</v>
          </cell>
          <cell r="I1364" t="str">
            <v>28018</v>
          </cell>
        </row>
        <row r="1365">
          <cell r="H1365" t="str">
            <v>Becilla de Valderaduey</v>
          </cell>
          <cell r="I1365" t="str">
            <v>47015</v>
          </cell>
        </row>
        <row r="1366">
          <cell r="H1366" t="str">
            <v>Bédar</v>
          </cell>
          <cell r="I1366" t="str">
            <v>04022</v>
          </cell>
        </row>
        <row r="1367">
          <cell r="H1367" t="str">
            <v>Bedia</v>
          </cell>
          <cell r="I1367" t="str">
            <v>48092</v>
          </cell>
        </row>
        <row r="1368">
          <cell r="H1368" t="str">
            <v>Bedmar y Garcíez</v>
          </cell>
          <cell r="I1368" t="str">
            <v>23902</v>
          </cell>
        </row>
        <row r="1369">
          <cell r="H1369" t="str">
            <v>Begíjar</v>
          </cell>
          <cell r="I1369" t="str">
            <v>23014</v>
          </cell>
        </row>
        <row r="1370">
          <cell r="H1370" t="str">
            <v>Begonte</v>
          </cell>
          <cell r="I1370" t="str">
            <v>27007</v>
          </cell>
        </row>
        <row r="1371">
          <cell r="H1371" t="str">
            <v>Begues</v>
          </cell>
          <cell r="I1371" t="str">
            <v>08020</v>
          </cell>
        </row>
        <row r="1372">
          <cell r="H1372" t="str">
            <v>Begur</v>
          </cell>
          <cell r="I1372" t="str">
            <v>17013</v>
          </cell>
        </row>
        <row r="1373">
          <cell r="H1373" t="str">
            <v>Beintza-Labaien</v>
          </cell>
          <cell r="I1373" t="str">
            <v>31137</v>
          </cell>
        </row>
        <row r="1374">
          <cell r="H1374" t="str">
            <v>Beire</v>
          </cell>
          <cell r="I1374" t="str">
            <v>31051</v>
          </cell>
        </row>
        <row r="1375">
          <cell r="H1375" t="str">
            <v>Beires</v>
          </cell>
          <cell r="I1375" t="str">
            <v>04023</v>
          </cell>
        </row>
        <row r="1376">
          <cell r="H1376" t="str">
            <v>Beizama</v>
          </cell>
          <cell r="I1376" t="str">
            <v>20020</v>
          </cell>
        </row>
        <row r="1377">
          <cell r="H1377" t="str">
            <v>Béjar</v>
          </cell>
          <cell r="I1377" t="str">
            <v>37046</v>
          </cell>
        </row>
        <row r="1378">
          <cell r="H1378" t="str">
            <v>Bejís</v>
          </cell>
          <cell r="I1378" t="str">
            <v>12022</v>
          </cell>
        </row>
        <row r="1379">
          <cell r="H1379" t="str">
            <v>Belalcázar</v>
          </cell>
          <cell r="I1379" t="str">
            <v>14008</v>
          </cell>
        </row>
        <row r="1380">
          <cell r="H1380" t="str">
            <v>Belascoáin</v>
          </cell>
          <cell r="I1380" t="str">
            <v>31052</v>
          </cell>
        </row>
        <row r="1381">
          <cell r="H1381" t="str">
            <v>Belauntza</v>
          </cell>
          <cell r="I1381" t="str">
            <v>20021</v>
          </cell>
        </row>
        <row r="1382">
          <cell r="H1382" t="str">
            <v>Belbimbre</v>
          </cell>
          <cell r="I1382" t="str">
            <v>09047</v>
          </cell>
        </row>
        <row r="1383">
          <cell r="H1383" t="str">
            <v>Belchite</v>
          </cell>
          <cell r="I1383" t="str">
            <v>50045</v>
          </cell>
        </row>
        <row r="1384">
          <cell r="H1384" t="str">
            <v>Beleña</v>
          </cell>
          <cell r="I1384" t="str">
            <v>37047</v>
          </cell>
        </row>
        <row r="1385">
          <cell r="H1385" t="str">
            <v>Bèlgida</v>
          </cell>
          <cell r="I1385" t="str">
            <v>46047</v>
          </cell>
        </row>
        <row r="1386">
          <cell r="H1386" t="str">
            <v>Belianes</v>
          </cell>
          <cell r="I1386" t="str">
            <v>25046</v>
          </cell>
        </row>
        <row r="1387">
          <cell r="H1387" t="str">
            <v>Belinchón</v>
          </cell>
          <cell r="I1387" t="str">
            <v>16032</v>
          </cell>
        </row>
        <row r="1388">
          <cell r="H1388" t="str">
            <v>Bellaguarda</v>
          </cell>
          <cell r="I1388" t="str">
            <v>25170</v>
          </cell>
        </row>
        <row r="1389">
          <cell r="H1389" t="str">
            <v>Bellcaire d'Empordà</v>
          </cell>
          <cell r="I1389" t="str">
            <v>17018</v>
          </cell>
        </row>
        <row r="1390">
          <cell r="H1390" t="str">
            <v>Bellcaire d'Urgell</v>
          </cell>
          <cell r="I1390" t="str">
            <v>25047</v>
          </cell>
        </row>
        <row r="1391">
          <cell r="H1391" t="str">
            <v>Bell-lloc d'Urgell</v>
          </cell>
          <cell r="I1391" t="str">
            <v>25048</v>
          </cell>
        </row>
        <row r="1392">
          <cell r="H1392" t="str">
            <v>Bellmunt del Priorat</v>
          </cell>
          <cell r="I1392" t="str">
            <v>43023</v>
          </cell>
        </row>
        <row r="1393">
          <cell r="H1393" t="str">
            <v>Bellmunt d'Urgell</v>
          </cell>
          <cell r="I1393" t="str">
            <v>25049</v>
          </cell>
        </row>
        <row r="1394">
          <cell r="H1394" t="str">
            <v>Bello</v>
          </cell>
          <cell r="I1394" t="str">
            <v>44039</v>
          </cell>
        </row>
        <row r="1395">
          <cell r="H1395" t="str">
            <v>Bellprat</v>
          </cell>
          <cell r="I1395" t="str">
            <v>08021</v>
          </cell>
        </row>
        <row r="1396">
          <cell r="H1396" t="str">
            <v>Bellpuig</v>
          </cell>
          <cell r="I1396" t="str">
            <v>25050</v>
          </cell>
        </row>
        <row r="1397">
          <cell r="H1397" t="str">
            <v>Bellreguard</v>
          </cell>
          <cell r="I1397" t="str">
            <v>46048</v>
          </cell>
        </row>
        <row r="1398">
          <cell r="H1398" t="str">
            <v>Bellús</v>
          </cell>
          <cell r="I1398" t="str">
            <v>46049</v>
          </cell>
        </row>
        <row r="1399">
          <cell r="H1399" t="str">
            <v>Bellvei</v>
          </cell>
          <cell r="I1399" t="str">
            <v>43024</v>
          </cell>
        </row>
        <row r="1400">
          <cell r="H1400" t="str">
            <v>Bellver de Cerdanya</v>
          </cell>
          <cell r="I1400" t="str">
            <v>25051</v>
          </cell>
        </row>
        <row r="1401">
          <cell r="H1401" t="str">
            <v>Bellvís</v>
          </cell>
          <cell r="I1401" t="str">
            <v>25052</v>
          </cell>
        </row>
        <row r="1402">
          <cell r="H1402" t="str">
            <v>Bélmez de la Moraleda</v>
          </cell>
          <cell r="I1402" t="str">
            <v>23015</v>
          </cell>
        </row>
        <row r="1403">
          <cell r="H1403" t="str">
            <v>Belmonte</v>
          </cell>
          <cell r="I1403" t="str">
            <v>16033</v>
          </cell>
        </row>
        <row r="1404">
          <cell r="H1404" t="str">
            <v>Belmonte de Campos</v>
          </cell>
          <cell r="I1404" t="str">
            <v>34031</v>
          </cell>
        </row>
        <row r="1405">
          <cell r="H1405" t="str">
            <v>Belmonte de Gracián</v>
          </cell>
          <cell r="I1405" t="str">
            <v>50046</v>
          </cell>
        </row>
        <row r="1406">
          <cell r="H1406" t="str">
            <v>Belmonte de Tajo</v>
          </cell>
          <cell r="I1406" t="str">
            <v>28019</v>
          </cell>
        </row>
        <row r="1407">
          <cell r="H1407" t="str">
            <v>Belmontejo</v>
          </cell>
          <cell r="I1407" t="str">
            <v>16034</v>
          </cell>
        </row>
        <row r="1408">
          <cell r="H1408" t="str">
            <v>Belorado</v>
          </cell>
          <cell r="I1408" t="str">
            <v>09048</v>
          </cell>
        </row>
        <row r="1409">
          <cell r="H1409" t="str">
            <v>Belver de Cinca</v>
          </cell>
          <cell r="I1409" t="str">
            <v>22052</v>
          </cell>
        </row>
        <row r="1410">
          <cell r="H1410" t="str">
            <v>Belver de los Montes</v>
          </cell>
          <cell r="I1410" t="str">
            <v>49020</v>
          </cell>
        </row>
        <row r="1411">
          <cell r="H1411" t="str">
            <v>Belvís de la Jara</v>
          </cell>
          <cell r="I1411" t="str">
            <v>45020</v>
          </cell>
        </row>
        <row r="1412">
          <cell r="H1412" t="str">
            <v>Belvís de Monroy</v>
          </cell>
          <cell r="I1412" t="str">
            <v>10026</v>
          </cell>
        </row>
        <row r="1413">
          <cell r="H1413" t="str">
            <v>Benabarre</v>
          </cell>
          <cell r="I1413" t="str">
            <v>22053</v>
          </cell>
        </row>
        <row r="1414">
          <cell r="H1414" t="str">
            <v>Benacazón</v>
          </cell>
          <cell r="I1414" t="str">
            <v>41015</v>
          </cell>
        </row>
        <row r="1415">
          <cell r="H1415" t="str">
            <v>Benadalid</v>
          </cell>
          <cell r="I1415" t="str">
            <v>29022</v>
          </cell>
        </row>
        <row r="1416">
          <cell r="H1416" t="str">
            <v>Benafarces</v>
          </cell>
          <cell r="I1416" t="str">
            <v>47016</v>
          </cell>
        </row>
        <row r="1417">
          <cell r="H1417" t="str">
            <v>Benafer</v>
          </cell>
          <cell r="I1417" t="str">
            <v>12024</v>
          </cell>
        </row>
        <row r="1418">
          <cell r="H1418" t="str">
            <v>Benafigos</v>
          </cell>
          <cell r="I1418" t="str">
            <v>12025</v>
          </cell>
        </row>
        <row r="1419">
          <cell r="H1419" t="str">
            <v>Benagéber</v>
          </cell>
          <cell r="I1419" t="str">
            <v>46050</v>
          </cell>
        </row>
        <row r="1420">
          <cell r="H1420" t="str">
            <v>Benaguasil</v>
          </cell>
          <cell r="I1420" t="str">
            <v>46051</v>
          </cell>
        </row>
        <row r="1421">
          <cell r="H1421" t="str">
            <v>Benahadux</v>
          </cell>
          <cell r="I1421" t="str">
            <v>04024</v>
          </cell>
        </row>
        <row r="1422">
          <cell r="H1422" t="str">
            <v>Benahavís</v>
          </cell>
          <cell r="I1422" t="str">
            <v>29023</v>
          </cell>
        </row>
        <row r="1423">
          <cell r="H1423" t="str">
            <v>Benalauría</v>
          </cell>
          <cell r="I1423" t="str">
            <v>29024</v>
          </cell>
        </row>
        <row r="1424">
          <cell r="H1424" t="str">
            <v>Benalmádena</v>
          </cell>
          <cell r="I1424" t="str">
            <v>29025</v>
          </cell>
        </row>
        <row r="1425">
          <cell r="H1425" t="str">
            <v>Benalúa</v>
          </cell>
          <cell r="I1425" t="str">
            <v>18027</v>
          </cell>
        </row>
        <row r="1426">
          <cell r="H1426" t="str">
            <v>Benalúa de las Villas</v>
          </cell>
          <cell r="I1426" t="str">
            <v>18028</v>
          </cell>
        </row>
        <row r="1427">
          <cell r="H1427" t="str">
            <v>Benalup-Casas Viejas</v>
          </cell>
          <cell r="I1427" t="str">
            <v>11901</v>
          </cell>
        </row>
        <row r="1428">
          <cell r="H1428" t="str">
            <v>Benamargosa</v>
          </cell>
          <cell r="I1428" t="str">
            <v>29026</v>
          </cell>
        </row>
        <row r="1429">
          <cell r="H1429" t="str">
            <v>Benamaurel</v>
          </cell>
          <cell r="I1429" t="str">
            <v>18029</v>
          </cell>
        </row>
        <row r="1430">
          <cell r="H1430" t="str">
            <v>Benamejí</v>
          </cell>
          <cell r="I1430" t="str">
            <v>14010</v>
          </cell>
        </row>
        <row r="1431">
          <cell r="H1431" t="str">
            <v>Benamocarra</v>
          </cell>
          <cell r="I1431" t="str">
            <v>29027</v>
          </cell>
        </row>
        <row r="1432">
          <cell r="H1432" t="str">
            <v>Benaocaz</v>
          </cell>
          <cell r="I1432" t="str">
            <v>11009</v>
          </cell>
        </row>
        <row r="1433">
          <cell r="H1433" t="str">
            <v>Benaoján</v>
          </cell>
          <cell r="I1433" t="str">
            <v>29028</v>
          </cell>
        </row>
        <row r="1434">
          <cell r="H1434" t="str">
            <v>Benarrabá</v>
          </cell>
          <cell r="I1434" t="str">
            <v>29029</v>
          </cell>
        </row>
        <row r="1435">
          <cell r="H1435" t="str">
            <v>Benasau</v>
          </cell>
          <cell r="I1435" t="str">
            <v>03022</v>
          </cell>
        </row>
        <row r="1436">
          <cell r="H1436" t="str">
            <v>Benasque</v>
          </cell>
          <cell r="I1436" t="str">
            <v>22054</v>
          </cell>
        </row>
        <row r="1437">
          <cell r="H1437" t="str">
            <v>Benassal</v>
          </cell>
          <cell r="I1437" t="str">
            <v>12026</v>
          </cell>
        </row>
        <row r="1438">
          <cell r="H1438" t="str">
            <v>Benatae</v>
          </cell>
          <cell r="I1438" t="str">
            <v>23016</v>
          </cell>
        </row>
        <row r="1439">
          <cell r="H1439" t="str">
            <v>Benavent de Segrià</v>
          </cell>
          <cell r="I1439" t="str">
            <v>25053</v>
          </cell>
        </row>
        <row r="1440">
          <cell r="H1440" t="str">
            <v>Benavente</v>
          </cell>
          <cell r="I1440" t="str">
            <v>49021</v>
          </cell>
        </row>
        <row r="1441">
          <cell r="H1441" t="str">
            <v>Benavides</v>
          </cell>
          <cell r="I1441" t="str">
            <v>24015</v>
          </cell>
        </row>
        <row r="1442">
          <cell r="H1442" t="str">
            <v>Benavites</v>
          </cell>
          <cell r="I1442" t="str">
            <v>46052</v>
          </cell>
        </row>
        <row r="1443">
          <cell r="H1443" t="str">
            <v>Benegiles</v>
          </cell>
          <cell r="I1443" t="str">
            <v>49022</v>
          </cell>
        </row>
        <row r="1444">
          <cell r="H1444" t="str">
            <v>Beneixama</v>
          </cell>
          <cell r="I1444" t="str">
            <v>03023</v>
          </cell>
        </row>
        <row r="1445">
          <cell r="H1445" t="str">
            <v>Beneixida</v>
          </cell>
          <cell r="I1445" t="str">
            <v>46053</v>
          </cell>
        </row>
        <row r="1446">
          <cell r="H1446" t="str">
            <v>Benejúzar</v>
          </cell>
          <cell r="I1446" t="str">
            <v>03024</v>
          </cell>
        </row>
        <row r="1447">
          <cell r="H1447" t="str">
            <v>Benetússer</v>
          </cell>
          <cell r="I1447" t="str">
            <v>46054</v>
          </cell>
        </row>
        <row r="1448">
          <cell r="H1448" t="str">
            <v>Benferri</v>
          </cell>
          <cell r="I1448" t="str">
            <v>03025</v>
          </cell>
        </row>
        <row r="1449">
          <cell r="H1449" t="str">
            <v>Beniarbeig</v>
          </cell>
          <cell r="I1449" t="str">
            <v>03026</v>
          </cell>
        </row>
        <row r="1450">
          <cell r="H1450" t="str">
            <v>Beniardà</v>
          </cell>
          <cell r="I1450" t="str">
            <v>03027</v>
          </cell>
        </row>
        <row r="1451">
          <cell r="H1451" t="str">
            <v>Beniarjó</v>
          </cell>
          <cell r="I1451" t="str">
            <v>46055</v>
          </cell>
        </row>
        <row r="1452">
          <cell r="H1452" t="str">
            <v>Beniarrés</v>
          </cell>
          <cell r="I1452" t="str">
            <v>03028</v>
          </cell>
        </row>
        <row r="1453">
          <cell r="H1453" t="str">
            <v>Beniatjar</v>
          </cell>
          <cell r="I1453" t="str">
            <v>46056</v>
          </cell>
        </row>
        <row r="1454">
          <cell r="H1454" t="str">
            <v>Benicarló</v>
          </cell>
          <cell r="I1454" t="str">
            <v>12027</v>
          </cell>
        </row>
        <row r="1455">
          <cell r="H1455" t="str">
            <v>Benicàssim/Benicasim</v>
          </cell>
          <cell r="I1455" t="str">
            <v>12028</v>
          </cell>
        </row>
        <row r="1456">
          <cell r="H1456" t="str">
            <v>Benicolet</v>
          </cell>
          <cell r="I1456" t="str">
            <v>46057</v>
          </cell>
        </row>
        <row r="1457">
          <cell r="H1457" t="str">
            <v>Benicull de Xúquer</v>
          </cell>
          <cell r="I1457" t="str">
            <v>46904</v>
          </cell>
        </row>
        <row r="1458">
          <cell r="H1458" t="str">
            <v>Benidoleig</v>
          </cell>
          <cell r="I1458" t="str">
            <v>03030</v>
          </cell>
        </row>
        <row r="1459">
          <cell r="H1459" t="str">
            <v>Benidorm</v>
          </cell>
          <cell r="I1459" t="str">
            <v>03031</v>
          </cell>
        </row>
        <row r="1460">
          <cell r="H1460" t="str">
            <v>Beniel</v>
          </cell>
          <cell r="I1460" t="str">
            <v>30010</v>
          </cell>
        </row>
        <row r="1461">
          <cell r="H1461" t="str">
            <v>Benifaió</v>
          </cell>
          <cell r="I1461" t="str">
            <v>46060</v>
          </cell>
        </row>
        <row r="1462">
          <cell r="H1462" t="str">
            <v>Benifairó de la Valldigna</v>
          </cell>
          <cell r="I1462" t="str">
            <v>46059</v>
          </cell>
        </row>
        <row r="1463">
          <cell r="H1463" t="str">
            <v>Benifairó de les Valls</v>
          </cell>
          <cell r="I1463" t="str">
            <v>46058</v>
          </cell>
        </row>
        <row r="1464">
          <cell r="H1464" t="str">
            <v>Benifallet</v>
          </cell>
          <cell r="I1464" t="str">
            <v>43025</v>
          </cell>
        </row>
        <row r="1465">
          <cell r="H1465" t="str">
            <v>Benifallim</v>
          </cell>
          <cell r="I1465" t="str">
            <v>03032</v>
          </cell>
        </row>
        <row r="1466">
          <cell r="H1466" t="str">
            <v>Benifato</v>
          </cell>
          <cell r="I1466" t="str">
            <v>03033</v>
          </cell>
        </row>
        <row r="1467">
          <cell r="H1467" t="str">
            <v>Beniflá</v>
          </cell>
          <cell r="I1467" t="str">
            <v>46061</v>
          </cell>
        </row>
        <row r="1468">
          <cell r="H1468" t="str">
            <v>Benigànim</v>
          </cell>
          <cell r="I1468" t="str">
            <v>46062</v>
          </cell>
        </row>
        <row r="1469">
          <cell r="H1469" t="str">
            <v>Benigembla</v>
          </cell>
          <cell r="I1469" t="str">
            <v>03029</v>
          </cell>
        </row>
        <row r="1470">
          <cell r="H1470" t="str">
            <v>Benijófar</v>
          </cell>
          <cell r="I1470" t="str">
            <v>03034</v>
          </cell>
        </row>
        <row r="1471">
          <cell r="H1471" t="str">
            <v>Benilloba</v>
          </cell>
          <cell r="I1471" t="str">
            <v>03035</v>
          </cell>
        </row>
        <row r="1472">
          <cell r="H1472" t="str">
            <v>Benillup</v>
          </cell>
          <cell r="I1472" t="str">
            <v>03036</v>
          </cell>
        </row>
        <row r="1473">
          <cell r="H1473" t="str">
            <v>Benimantell</v>
          </cell>
          <cell r="I1473" t="str">
            <v>03037</v>
          </cell>
        </row>
        <row r="1474">
          <cell r="H1474" t="str">
            <v>Benimarfull</v>
          </cell>
          <cell r="I1474" t="str">
            <v>03038</v>
          </cell>
        </row>
        <row r="1475">
          <cell r="H1475" t="str">
            <v>Benimassot</v>
          </cell>
          <cell r="I1475" t="str">
            <v>03039</v>
          </cell>
        </row>
        <row r="1476">
          <cell r="H1476" t="str">
            <v>Benimeli</v>
          </cell>
          <cell r="I1476" t="str">
            <v>03040</v>
          </cell>
        </row>
        <row r="1477">
          <cell r="H1477" t="str">
            <v>Benimodo</v>
          </cell>
          <cell r="I1477" t="str">
            <v>46063</v>
          </cell>
        </row>
        <row r="1478">
          <cell r="H1478" t="str">
            <v>Benimuslem</v>
          </cell>
          <cell r="I1478" t="str">
            <v>46064</v>
          </cell>
        </row>
        <row r="1479">
          <cell r="H1479" t="str">
            <v>Beniparrell</v>
          </cell>
          <cell r="I1479" t="str">
            <v>46065</v>
          </cell>
        </row>
        <row r="1480">
          <cell r="H1480" t="str">
            <v>Benirredrà</v>
          </cell>
          <cell r="I1480" t="str">
            <v>46066</v>
          </cell>
        </row>
        <row r="1481">
          <cell r="H1481" t="str">
            <v>Benissa</v>
          </cell>
          <cell r="I1481" t="str">
            <v>03041</v>
          </cell>
        </row>
        <row r="1482">
          <cell r="H1482" t="str">
            <v>Benissanet</v>
          </cell>
          <cell r="I1482" t="str">
            <v>43026</v>
          </cell>
        </row>
        <row r="1483">
          <cell r="H1483" t="str">
            <v>Benissanó</v>
          </cell>
          <cell r="I1483" t="str">
            <v>46067</v>
          </cell>
        </row>
        <row r="1484">
          <cell r="H1484" t="str">
            <v>Benissoda</v>
          </cell>
          <cell r="I1484" t="str">
            <v>46068</v>
          </cell>
        </row>
        <row r="1485">
          <cell r="H1485" t="str">
            <v>Benissuera</v>
          </cell>
          <cell r="I1485" t="str">
            <v>46069</v>
          </cell>
        </row>
        <row r="1486">
          <cell r="H1486" t="str">
            <v>Benitagla</v>
          </cell>
          <cell r="I1486" t="str">
            <v>04026</v>
          </cell>
        </row>
        <row r="1487">
          <cell r="H1487" t="str">
            <v>Benizalón</v>
          </cell>
          <cell r="I1487" t="str">
            <v>04027</v>
          </cell>
        </row>
        <row r="1488">
          <cell r="H1488" t="str">
            <v>Benlloc</v>
          </cell>
          <cell r="I1488" t="str">
            <v>12029</v>
          </cell>
        </row>
        <row r="1489">
          <cell r="H1489" t="str">
            <v>Benquerencia</v>
          </cell>
          <cell r="I1489" t="str">
            <v>10027</v>
          </cell>
        </row>
        <row r="1490">
          <cell r="H1490" t="str">
            <v>Benquerencia de la Serena</v>
          </cell>
          <cell r="I1490" t="str">
            <v>06018</v>
          </cell>
        </row>
        <row r="1491">
          <cell r="H1491" t="str">
            <v>Bentarique</v>
          </cell>
          <cell r="I1491" t="str">
            <v>04028</v>
          </cell>
        </row>
        <row r="1492">
          <cell r="H1492" t="str">
            <v>Bera</v>
          </cell>
          <cell r="I1492" t="str">
            <v>31250</v>
          </cell>
        </row>
        <row r="1493">
          <cell r="H1493" t="str">
            <v>Berango</v>
          </cell>
          <cell r="I1493" t="str">
            <v>48016</v>
          </cell>
        </row>
        <row r="1494">
          <cell r="H1494" t="str">
            <v>Berantevilla</v>
          </cell>
          <cell r="I1494" t="str">
            <v>01014</v>
          </cell>
        </row>
        <row r="1495">
          <cell r="H1495" t="str">
            <v>Beranuy</v>
          </cell>
          <cell r="I1495" t="str">
            <v>22246</v>
          </cell>
        </row>
        <row r="1496">
          <cell r="H1496" t="str">
            <v>Berastegi</v>
          </cell>
          <cell r="I1496" t="str">
            <v>20022</v>
          </cell>
        </row>
        <row r="1497">
          <cell r="H1497" t="str">
            <v>Beratón</v>
          </cell>
          <cell r="I1497" t="str">
            <v>42034</v>
          </cell>
        </row>
        <row r="1498">
          <cell r="H1498" t="str">
            <v>Berbegal</v>
          </cell>
          <cell r="I1498" t="str">
            <v>22055</v>
          </cell>
        </row>
        <row r="1499">
          <cell r="H1499" t="str">
            <v>Berbinzana</v>
          </cell>
          <cell r="I1499" t="str">
            <v>31053</v>
          </cell>
        </row>
        <row r="1500">
          <cell r="H1500" t="str">
            <v>Berceo</v>
          </cell>
          <cell r="I1500" t="str">
            <v>26027</v>
          </cell>
        </row>
        <row r="1501">
          <cell r="H1501" t="str">
            <v>Bercero</v>
          </cell>
          <cell r="I1501" t="str">
            <v>47017</v>
          </cell>
        </row>
        <row r="1502">
          <cell r="H1502" t="str">
            <v>Berceruelo</v>
          </cell>
          <cell r="I1502" t="str">
            <v>47018</v>
          </cell>
        </row>
        <row r="1503">
          <cell r="H1503" t="str">
            <v>Bérchules</v>
          </cell>
          <cell r="I1503" t="str">
            <v>18030</v>
          </cell>
        </row>
        <row r="1504">
          <cell r="H1504" t="str">
            <v>Bercial</v>
          </cell>
          <cell r="I1504" t="str">
            <v>40028</v>
          </cell>
        </row>
        <row r="1505">
          <cell r="H1505" t="str">
            <v>Bercial de Zapardiel</v>
          </cell>
          <cell r="I1505" t="str">
            <v>05026</v>
          </cell>
        </row>
        <row r="1506">
          <cell r="H1506" t="str">
            <v>Bercianos del Páramo</v>
          </cell>
          <cell r="I1506" t="str">
            <v>24017</v>
          </cell>
        </row>
        <row r="1507">
          <cell r="H1507" t="str">
            <v>Bercianos del Real Camino</v>
          </cell>
          <cell r="I1507" t="str">
            <v>24018</v>
          </cell>
        </row>
        <row r="1508">
          <cell r="H1508" t="str">
            <v>Bercimuel</v>
          </cell>
          <cell r="I1508" t="str">
            <v>40029</v>
          </cell>
        </row>
        <row r="1509">
          <cell r="H1509" t="str">
            <v>Berdejo</v>
          </cell>
          <cell r="I1509" t="str">
            <v>50047</v>
          </cell>
        </row>
        <row r="1510">
          <cell r="H1510" t="str">
            <v>Berga</v>
          </cell>
          <cell r="I1510" t="str">
            <v>08022</v>
          </cell>
        </row>
        <row r="1511">
          <cell r="H1511" t="str">
            <v>Bergara</v>
          </cell>
          <cell r="I1511" t="str">
            <v>20074</v>
          </cell>
        </row>
        <row r="1512">
          <cell r="H1512" t="str">
            <v>Bergasa</v>
          </cell>
          <cell r="I1512" t="str">
            <v>26028</v>
          </cell>
        </row>
        <row r="1513">
          <cell r="H1513" t="str">
            <v>Bergasillas Bajera</v>
          </cell>
          <cell r="I1513" t="str">
            <v>26029</v>
          </cell>
        </row>
        <row r="1514">
          <cell r="H1514" t="str">
            <v>Bergondo</v>
          </cell>
          <cell r="I1514" t="str">
            <v>15008</v>
          </cell>
        </row>
        <row r="1515">
          <cell r="H1515" t="str">
            <v>Beriáin</v>
          </cell>
          <cell r="I1515" t="str">
            <v>31905</v>
          </cell>
        </row>
        <row r="1516">
          <cell r="H1516" t="str">
            <v>Berja</v>
          </cell>
          <cell r="I1516" t="str">
            <v>04029</v>
          </cell>
        </row>
        <row r="1517">
          <cell r="H1517" t="str">
            <v>Berlanas, Las</v>
          </cell>
          <cell r="I1517" t="str">
            <v>05027</v>
          </cell>
        </row>
        <row r="1518">
          <cell r="H1518" t="str">
            <v>Berlanga</v>
          </cell>
          <cell r="I1518" t="str">
            <v>06019</v>
          </cell>
        </row>
        <row r="1519">
          <cell r="H1519" t="str">
            <v>Berlanga de Duero</v>
          </cell>
          <cell r="I1519" t="str">
            <v>42035</v>
          </cell>
        </row>
        <row r="1520">
          <cell r="H1520" t="str">
            <v>Berlangas de Roa</v>
          </cell>
          <cell r="I1520" t="str">
            <v>09051</v>
          </cell>
        </row>
        <row r="1521">
          <cell r="H1521" t="str">
            <v>Bermellar</v>
          </cell>
          <cell r="I1521" t="str">
            <v>37049</v>
          </cell>
        </row>
        <row r="1522">
          <cell r="H1522" t="str">
            <v>Bermeo</v>
          </cell>
          <cell r="I1522" t="str">
            <v>48017</v>
          </cell>
        </row>
        <row r="1523">
          <cell r="H1523" t="str">
            <v>Bermillo de Sayago</v>
          </cell>
          <cell r="I1523" t="str">
            <v>49023</v>
          </cell>
        </row>
        <row r="1524">
          <cell r="H1524" t="str">
            <v>Bernardos</v>
          </cell>
          <cell r="I1524" t="str">
            <v>40030</v>
          </cell>
        </row>
        <row r="1525">
          <cell r="H1525" t="str">
            <v>Bernedo</v>
          </cell>
          <cell r="I1525" t="str">
            <v>01016</v>
          </cell>
        </row>
        <row r="1526">
          <cell r="H1526" t="str">
            <v>Berninches</v>
          </cell>
          <cell r="I1526" t="str">
            <v>19051</v>
          </cell>
        </row>
        <row r="1527">
          <cell r="H1527" t="str">
            <v>Bernuy de Porreros</v>
          </cell>
          <cell r="I1527" t="str">
            <v>40031</v>
          </cell>
        </row>
        <row r="1528">
          <cell r="H1528" t="str">
            <v>Bernuy-Zapardiel</v>
          </cell>
          <cell r="I1528" t="str">
            <v>05029</v>
          </cell>
        </row>
        <row r="1529">
          <cell r="H1529" t="str">
            <v>Berriatua</v>
          </cell>
          <cell r="I1529" t="str">
            <v>48018</v>
          </cell>
        </row>
        <row r="1530">
          <cell r="H1530" t="str">
            <v>Berrioplano/Berriobeiti</v>
          </cell>
          <cell r="I1530" t="str">
            <v>31902</v>
          </cell>
        </row>
        <row r="1531">
          <cell r="H1531" t="str">
            <v>Berriozar</v>
          </cell>
          <cell r="I1531" t="str">
            <v>31903</v>
          </cell>
        </row>
        <row r="1532">
          <cell r="H1532" t="str">
            <v>Berriz</v>
          </cell>
          <cell r="I1532" t="str">
            <v>48019</v>
          </cell>
        </row>
        <row r="1533">
          <cell r="H1533" t="str">
            <v>Berrobi</v>
          </cell>
          <cell r="I1533" t="str">
            <v>20023</v>
          </cell>
        </row>
        <row r="1534">
          <cell r="H1534" t="str">
            <v>Berrocal</v>
          </cell>
          <cell r="I1534" t="str">
            <v>21012</v>
          </cell>
        </row>
        <row r="1535">
          <cell r="H1535" t="str">
            <v>Berrocal de Huebra</v>
          </cell>
          <cell r="I1535" t="str">
            <v>37050</v>
          </cell>
        </row>
        <row r="1536">
          <cell r="H1536" t="str">
            <v>Berrocal de Salvatierra</v>
          </cell>
          <cell r="I1536" t="str">
            <v>37051</v>
          </cell>
        </row>
        <row r="1537">
          <cell r="H1537" t="str">
            <v>Berrocalejo</v>
          </cell>
          <cell r="I1537" t="str">
            <v>10028</v>
          </cell>
        </row>
        <row r="1538">
          <cell r="H1538" t="str">
            <v>Berrocalejo de Aragona</v>
          </cell>
          <cell r="I1538" t="str">
            <v>05030</v>
          </cell>
        </row>
        <row r="1539">
          <cell r="H1539" t="str">
            <v>Berrueces</v>
          </cell>
          <cell r="I1539" t="str">
            <v>47019</v>
          </cell>
        </row>
        <row r="1540">
          <cell r="H1540" t="str">
            <v>Berrueco</v>
          </cell>
          <cell r="I1540" t="str">
            <v>50048</v>
          </cell>
        </row>
        <row r="1541">
          <cell r="H1541" t="str">
            <v>Berrueco, El</v>
          </cell>
          <cell r="I1541" t="str">
            <v>28021</v>
          </cell>
        </row>
        <row r="1542">
          <cell r="H1542" t="str">
            <v>Bertizarana</v>
          </cell>
          <cell r="I1542" t="str">
            <v>31054</v>
          </cell>
        </row>
        <row r="1543">
          <cell r="H1543" t="str">
            <v>Berzocana</v>
          </cell>
          <cell r="I1543" t="str">
            <v>10029</v>
          </cell>
        </row>
        <row r="1544">
          <cell r="H1544" t="str">
            <v>Berzosa de Bureba</v>
          </cell>
          <cell r="I1544" t="str">
            <v>09052</v>
          </cell>
        </row>
        <row r="1545">
          <cell r="H1545" t="str">
            <v>Berzosa del Lozoya</v>
          </cell>
          <cell r="I1545" t="str">
            <v>28020</v>
          </cell>
        </row>
        <row r="1546">
          <cell r="H1546" t="str">
            <v>Berzosilla</v>
          </cell>
          <cell r="I1546" t="str">
            <v>34032</v>
          </cell>
        </row>
        <row r="1547">
          <cell r="H1547" t="str">
            <v>Besalú</v>
          </cell>
          <cell r="I1547" t="str">
            <v>17019</v>
          </cell>
        </row>
        <row r="1548">
          <cell r="H1548" t="str">
            <v>Bescanó</v>
          </cell>
          <cell r="I1548" t="str">
            <v>17020</v>
          </cell>
        </row>
        <row r="1549">
          <cell r="H1549" t="str">
            <v>Betancuria</v>
          </cell>
          <cell r="I1549" t="str">
            <v>35007</v>
          </cell>
        </row>
        <row r="1550">
          <cell r="H1550" t="str">
            <v>Betanzos</v>
          </cell>
          <cell r="I1550" t="str">
            <v>15009</v>
          </cell>
        </row>
        <row r="1551">
          <cell r="H1551" t="str">
            <v>Betelu</v>
          </cell>
          <cell r="I1551" t="str">
            <v>31055</v>
          </cell>
        </row>
        <row r="1552">
          <cell r="H1552" t="str">
            <v>Bétera</v>
          </cell>
          <cell r="I1552" t="str">
            <v>46070</v>
          </cell>
        </row>
        <row r="1553">
          <cell r="H1553" t="str">
            <v>Beteta</v>
          </cell>
          <cell r="I1553" t="str">
            <v>16035</v>
          </cell>
        </row>
        <row r="1554">
          <cell r="H1554" t="str">
            <v>Betxí</v>
          </cell>
          <cell r="I1554" t="str">
            <v>12021</v>
          </cell>
        </row>
        <row r="1555">
          <cell r="H1555" t="str">
            <v>Beuda</v>
          </cell>
          <cell r="I1555" t="str">
            <v>17021</v>
          </cell>
        </row>
        <row r="1556">
          <cell r="H1556" t="str">
            <v>Bezares</v>
          </cell>
          <cell r="I1556" t="str">
            <v>26030</v>
          </cell>
        </row>
        <row r="1557">
          <cell r="H1557" t="str">
            <v>Bezas</v>
          </cell>
          <cell r="I1557" t="str">
            <v>44041</v>
          </cell>
        </row>
        <row r="1558">
          <cell r="H1558" t="str">
            <v>Biar</v>
          </cell>
          <cell r="I1558" t="str">
            <v>03043</v>
          </cell>
        </row>
        <row r="1559">
          <cell r="H1559" t="str">
            <v>Bicorp</v>
          </cell>
          <cell r="I1559" t="str">
            <v>46071</v>
          </cell>
        </row>
        <row r="1560">
          <cell r="H1560" t="str">
            <v>Bidania-Goiatz</v>
          </cell>
          <cell r="I1560" t="str">
            <v>20024</v>
          </cell>
        </row>
        <row r="1561">
          <cell r="H1561" t="str">
            <v>Bidaurreta</v>
          </cell>
          <cell r="I1561" t="str">
            <v>31253</v>
          </cell>
        </row>
        <row r="1562">
          <cell r="H1562" t="str">
            <v>Biel</v>
          </cell>
          <cell r="I1562" t="str">
            <v>50901</v>
          </cell>
        </row>
        <row r="1563">
          <cell r="H1563" t="str">
            <v>Bielsa</v>
          </cell>
          <cell r="I1563" t="str">
            <v>22057</v>
          </cell>
        </row>
        <row r="1564">
          <cell r="H1564" t="str">
            <v>Bienservida</v>
          </cell>
          <cell r="I1564" t="str">
            <v>02016</v>
          </cell>
        </row>
        <row r="1565">
          <cell r="H1565" t="str">
            <v>Bienvenida</v>
          </cell>
          <cell r="I1565" t="str">
            <v>06020</v>
          </cell>
        </row>
        <row r="1566">
          <cell r="H1566" t="str">
            <v>Bierge</v>
          </cell>
          <cell r="I1566" t="str">
            <v>22058</v>
          </cell>
        </row>
        <row r="1567">
          <cell r="H1567" t="str">
            <v>Biescas</v>
          </cell>
          <cell r="I1567" t="str">
            <v>22059</v>
          </cell>
        </row>
        <row r="1568">
          <cell r="H1568" t="str">
            <v>Bigastro</v>
          </cell>
          <cell r="I1568" t="str">
            <v>03044</v>
          </cell>
        </row>
        <row r="1569">
          <cell r="H1569" t="str">
            <v>Bigues i Riells del Fai</v>
          </cell>
          <cell r="I1569" t="str">
            <v>08023</v>
          </cell>
        </row>
        <row r="1570">
          <cell r="H1570" t="str">
            <v>Bijuesca</v>
          </cell>
          <cell r="I1570" t="str">
            <v>50050</v>
          </cell>
        </row>
        <row r="1571">
          <cell r="H1571" t="str">
            <v>Bilbao</v>
          </cell>
          <cell r="I1571" t="str">
            <v>48020</v>
          </cell>
        </row>
        <row r="1572">
          <cell r="H1572" t="str">
            <v>Binaced</v>
          </cell>
          <cell r="I1572" t="str">
            <v>22060</v>
          </cell>
        </row>
        <row r="1573">
          <cell r="H1573" t="str">
            <v>Binéfar</v>
          </cell>
          <cell r="I1573" t="str">
            <v>22061</v>
          </cell>
        </row>
        <row r="1574">
          <cell r="H1574" t="str">
            <v>Binissalem</v>
          </cell>
          <cell r="I1574" t="str">
            <v>07008</v>
          </cell>
        </row>
        <row r="1575">
          <cell r="H1575" t="str">
            <v>Biosca</v>
          </cell>
          <cell r="I1575" t="str">
            <v>25055</v>
          </cell>
        </row>
        <row r="1576">
          <cell r="H1576" t="str">
            <v>Biota</v>
          </cell>
          <cell r="I1576" t="str">
            <v>50051</v>
          </cell>
        </row>
        <row r="1577">
          <cell r="H1577" t="str">
            <v>Bisaurri</v>
          </cell>
          <cell r="I1577" t="str">
            <v>22062</v>
          </cell>
        </row>
        <row r="1578">
          <cell r="H1578" t="str">
            <v>Bisbal de Falset, La</v>
          </cell>
          <cell r="I1578" t="str">
            <v>43027</v>
          </cell>
        </row>
        <row r="1579">
          <cell r="H1579" t="str">
            <v>Bisbal del Penedès, La</v>
          </cell>
          <cell r="I1579" t="str">
            <v>43028</v>
          </cell>
        </row>
        <row r="1580">
          <cell r="H1580" t="str">
            <v>Bisbal d'Empordà, La</v>
          </cell>
          <cell r="I1580" t="str">
            <v>17022</v>
          </cell>
        </row>
        <row r="1581">
          <cell r="H1581" t="str">
            <v>Biscarrués</v>
          </cell>
          <cell r="I1581" t="str">
            <v>22063</v>
          </cell>
        </row>
        <row r="1582">
          <cell r="H1582" t="str">
            <v>Bisimbre</v>
          </cell>
          <cell r="I1582" t="str">
            <v>50052</v>
          </cell>
        </row>
        <row r="1583">
          <cell r="H1583" t="str">
            <v>Biure</v>
          </cell>
          <cell r="I1583" t="str">
            <v>17234</v>
          </cell>
        </row>
        <row r="1584">
          <cell r="H1584" t="str">
            <v>Biurrun-Olcoz</v>
          </cell>
          <cell r="I1584" t="str">
            <v>31056</v>
          </cell>
        </row>
        <row r="1585">
          <cell r="H1585" t="str">
            <v>Blacos</v>
          </cell>
          <cell r="I1585" t="str">
            <v>42036</v>
          </cell>
        </row>
        <row r="1586">
          <cell r="H1586" t="str">
            <v>Blanca</v>
          </cell>
          <cell r="I1586" t="str">
            <v>30011</v>
          </cell>
        </row>
        <row r="1587">
          <cell r="H1587" t="str">
            <v>Blancafort</v>
          </cell>
          <cell r="I1587" t="str">
            <v>43029</v>
          </cell>
        </row>
        <row r="1588">
          <cell r="H1588" t="str">
            <v>Blancas</v>
          </cell>
          <cell r="I1588" t="str">
            <v>44042</v>
          </cell>
        </row>
        <row r="1589">
          <cell r="H1589" t="str">
            <v>Blancos, Os</v>
          </cell>
          <cell r="I1589" t="str">
            <v>32012</v>
          </cell>
        </row>
        <row r="1590">
          <cell r="H1590" t="str">
            <v>Blanes</v>
          </cell>
          <cell r="I1590" t="str">
            <v>17023</v>
          </cell>
        </row>
        <row r="1591">
          <cell r="H1591" t="str">
            <v>Blascomillán</v>
          </cell>
          <cell r="I1591" t="str">
            <v>05033</v>
          </cell>
        </row>
        <row r="1592">
          <cell r="H1592" t="str">
            <v>Blasconuño de Matacabras</v>
          </cell>
          <cell r="I1592" t="str">
            <v>05034</v>
          </cell>
        </row>
        <row r="1593">
          <cell r="H1593" t="str">
            <v>Blascosancho</v>
          </cell>
          <cell r="I1593" t="str">
            <v>05035</v>
          </cell>
        </row>
        <row r="1594">
          <cell r="H1594" t="str">
            <v>Blecua y Torres</v>
          </cell>
          <cell r="I1594" t="str">
            <v>22064</v>
          </cell>
        </row>
        <row r="1595">
          <cell r="H1595" t="str">
            <v>Blesa</v>
          </cell>
          <cell r="I1595" t="str">
            <v>44043</v>
          </cell>
        </row>
        <row r="1596">
          <cell r="H1596" t="str">
            <v>Bliecos</v>
          </cell>
          <cell r="I1596" t="str">
            <v>42037</v>
          </cell>
        </row>
        <row r="1597">
          <cell r="H1597" t="str">
            <v>Boada</v>
          </cell>
          <cell r="I1597" t="str">
            <v>37052</v>
          </cell>
        </row>
        <row r="1598">
          <cell r="H1598" t="str">
            <v>Boada de Campos</v>
          </cell>
          <cell r="I1598" t="str">
            <v>34033</v>
          </cell>
        </row>
        <row r="1599">
          <cell r="H1599" t="str">
            <v>Boadella i les Escaules</v>
          </cell>
          <cell r="I1599" t="str">
            <v>17029</v>
          </cell>
        </row>
        <row r="1600">
          <cell r="H1600" t="str">
            <v>Boadilla de Rioseco</v>
          </cell>
          <cell r="I1600" t="str">
            <v>34035</v>
          </cell>
        </row>
        <row r="1601">
          <cell r="H1601" t="str">
            <v>Boadilla del Camino</v>
          </cell>
          <cell r="I1601" t="str">
            <v>34034</v>
          </cell>
        </row>
        <row r="1602">
          <cell r="H1602" t="str">
            <v>Boadilla del Monte</v>
          </cell>
          <cell r="I1602" t="str">
            <v>28022</v>
          </cell>
        </row>
        <row r="1603">
          <cell r="H1603" t="str">
            <v>Boal</v>
          </cell>
          <cell r="I1603" t="str">
            <v>33007</v>
          </cell>
        </row>
        <row r="1604">
          <cell r="H1604" t="str">
            <v>Boalo, El</v>
          </cell>
          <cell r="I1604" t="str">
            <v>28023</v>
          </cell>
        </row>
        <row r="1605">
          <cell r="H1605" t="str">
            <v>Bobadilla</v>
          </cell>
          <cell r="I1605" t="str">
            <v>26031</v>
          </cell>
        </row>
        <row r="1606">
          <cell r="H1606" t="str">
            <v>Bobadilla del Campo</v>
          </cell>
          <cell r="I1606" t="str">
            <v>47020</v>
          </cell>
        </row>
        <row r="1607">
          <cell r="H1607" t="str">
            <v>Boborás</v>
          </cell>
          <cell r="I1607" t="str">
            <v>32013</v>
          </cell>
        </row>
        <row r="1608">
          <cell r="H1608" t="str">
            <v>Bocairent</v>
          </cell>
          <cell r="I1608" t="str">
            <v>46072</v>
          </cell>
        </row>
        <row r="1609">
          <cell r="H1609" t="str">
            <v>Boceguillas</v>
          </cell>
          <cell r="I1609" t="str">
            <v>40032</v>
          </cell>
        </row>
        <row r="1610">
          <cell r="H1610" t="str">
            <v>Bocigas</v>
          </cell>
          <cell r="I1610" t="str">
            <v>47021</v>
          </cell>
        </row>
        <row r="1611">
          <cell r="H1611" t="str">
            <v>Bocos de Duero</v>
          </cell>
          <cell r="I1611" t="str">
            <v>47022</v>
          </cell>
        </row>
        <row r="1612">
          <cell r="H1612" t="str">
            <v>Bodera, La</v>
          </cell>
          <cell r="I1612" t="str">
            <v>19052</v>
          </cell>
        </row>
        <row r="1613">
          <cell r="H1613" t="str">
            <v>Bodón, El</v>
          </cell>
          <cell r="I1613" t="str">
            <v>37054</v>
          </cell>
        </row>
        <row r="1614">
          <cell r="H1614" t="str">
            <v>Bodonal de la Sierra</v>
          </cell>
          <cell r="I1614" t="str">
            <v>06021</v>
          </cell>
        </row>
        <row r="1615">
          <cell r="H1615" t="str">
            <v>Boecillo</v>
          </cell>
          <cell r="I1615" t="str">
            <v>47023</v>
          </cell>
        </row>
        <row r="1616">
          <cell r="H1616" t="str">
            <v>Bogajo</v>
          </cell>
          <cell r="I1616" t="str">
            <v>37055</v>
          </cell>
        </row>
        <row r="1617">
          <cell r="H1617" t="str">
            <v>Bogarra</v>
          </cell>
          <cell r="I1617" t="str">
            <v>02017</v>
          </cell>
        </row>
        <row r="1618">
          <cell r="H1618" t="str">
            <v>Bohodón, El</v>
          </cell>
          <cell r="I1618" t="str">
            <v>05036</v>
          </cell>
        </row>
        <row r="1619">
          <cell r="H1619" t="str">
            <v>Bohonal de Ibor</v>
          </cell>
          <cell r="I1619" t="str">
            <v>10030</v>
          </cell>
        </row>
        <row r="1620">
          <cell r="H1620" t="str">
            <v>Bohoyo</v>
          </cell>
          <cell r="I1620" t="str">
            <v>05037</v>
          </cell>
        </row>
        <row r="1621">
          <cell r="H1621" t="str">
            <v>Boimorto</v>
          </cell>
          <cell r="I1621" t="str">
            <v>15010</v>
          </cell>
        </row>
        <row r="1622">
          <cell r="H1622" t="str">
            <v>Boiro</v>
          </cell>
          <cell r="I1622" t="str">
            <v>15011</v>
          </cell>
        </row>
        <row r="1623">
          <cell r="H1623" t="str">
            <v>Bola, A</v>
          </cell>
          <cell r="I1623" t="str">
            <v>32014</v>
          </cell>
        </row>
        <row r="1624">
          <cell r="H1624" t="str">
            <v>Bolaños de Calatrava</v>
          </cell>
          <cell r="I1624" t="str">
            <v>13023</v>
          </cell>
        </row>
        <row r="1625">
          <cell r="H1625" t="str">
            <v>Bolaños de Campos</v>
          </cell>
          <cell r="I1625" t="str">
            <v>47024</v>
          </cell>
        </row>
        <row r="1626">
          <cell r="H1626" t="str">
            <v>Bolbaite</v>
          </cell>
          <cell r="I1626" t="str">
            <v>46073</v>
          </cell>
        </row>
        <row r="1627">
          <cell r="H1627" t="str">
            <v>Bollullos de la Mitación</v>
          </cell>
          <cell r="I1627" t="str">
            <v>41016</v>
          </cell>
        </row>
        <row r="1628">
          <cell r="H1628" t="str">
            <v>Bollullos Par del Condado</v>
          </cell>
          <cell r="I1628" t="str">
            <v>21013</v>
          </cell>
        </row>
        <row r="1629">
          <cell r="H1629" t="str">
            <v>Bolo, O</v>
          </cell>
          <cell r="I1629" t="str">
            <v>32015</v>
          </cell>
        </row>
        <row r="1630">
          <cell r="H1630" t="str">
            <v>Boltaña</v>
          </cell>
          <cell r="I1630" t="str">
            <v>22066</v>
          </cell>
        </row>
        <row r="1631">
          <cell r="H1631" t="str">
            <v>Bolulla</v>
          </cell>
          <cell r="I1631" t="str">
            <v>03045</v>
          </cell>
        </row>
        <row r="1632">
          <cell r="H1632" t="str">
            <v>Bolvir</v>
          </cell>
          <cell r="I1632" t="str">
            <v>17024</v>
          </cell>
        </row>
        <row r="1633">
          <cell r="H1633" t="str">
            <v>Bonansa</v>
          </cell>
          <cell r="I1633" t="str">
            <v>22067</v>
          </cell>
        </row>
        <row r="1634">
          <cell r="H1634" t="str">
            <v>Bonares</v>
          </cell>
          <cell r="I1634" t="str">
            <v>21014</v>
          </cell>
        </row>
        <row r="1635">
          <cell r="H1635" t="str">
            <v>Bonastre</v>
          </cell>
          <cell r="I1635" t="str">
            <v>43030</v>
          </cell>
        </row>
        <row r="1636">
          <cell r="H1636" t="str">
            <v>Bonete</v>
          </cell>
          <cell r="I1636" t="str">
            <v>02018</v>
          </cell>
        </row>
        <row r="1637">
          <cell r="H1637" t="str">
            <v>Boniches</v>
          </cell>
          <cell r="I1637" t="str">
            <v>16036</v>
          </cell>
        </row>
        <row r="1638">
          <cell r="H1638" t="str">
            <v>Bonilla de la Sierra</v>
          </cell>
          <cell r="I1638" t="str">
            <v>05038</v>
          </cell>
        </row>
        <row r="1639">
          <cell r="H1639" t="str">
            <v>Bonillo, El</v>
          </cell>
          <cell r="I1639" t="str">
            <v>02019</v>
          </cell>
        </row>
        <row r="1640">
          <cell r="H1640" t="str">
            <v>Bonrepòs i Mirambell</v>
          </cell>
          <cell r="I1640" t="str">
            <v>46074</v>
          </cell>
        </row>
        <row r="1641">
          <cell r="H1641" t="str">
            <v>Boqueixón</v>
          </cell>
          <cell r="I1641" t="str">
            <v>15012</v>
          </cell>
        </row>
        <row r="1642">
          <cell r="H1642" t="str">
            <v>Boquiñeni</v>
          </cell>
          <cell r="I1642" t="str">
            <v>50053</v>
          </cell>
        </row>
        <row r="1643">
          <cell r="H1643" t="str">
            <v>Borau</v>
          </cell>
          <cell r="I1643" t="str">
            <v>22068</v>
          </cell>
        </row>
        <row r="1644">
          <cell r="H1644" t="str">
            <v>Bordalba</v>
          </cell>
          <cell r="I1644" t="str">
            <v>50054</v>
          </cell>
        </row>
        <row r="1645">
          <cell r="H1645" t="str">
            <v>Bòrdes, Es</v>
          </cell>
          <cell r="I1645" t="str">
            <v>25057</v>
          </cell>
        </row>
        <row r="1646">
          <cell r="H1646" t="str">
            <v>Bordils</v>
          </cell>
          <cell r="I1646" t="str">
            <v>17025</v>
          </cell>
        </row>
        <row r="1647">
          <cell r="H1647" t="str">
            <v>Borge, El</v>
          </cell>
          <cell r="I1647" t="str">
            <v>29030</v>
          </cell>
        </row>
        <row r="1648">
          <cell r="H1648" t="str">
            <v>Borges Blanques, Les</v>
          </cell>
          <cell r="I1648" t="str">
            <v>25058</v>
          </cell>
        </row>
        <row r="1649">
          <cell r="H1649" t="str">
            <v>Borges del Camp, Les</v>
          </cell>
          <cell r="I1649" t="str">
            <v>43031</v>
          </cell>
        </row>
        <row r="1650">
          <cell r="H1650" t="str">
            <v>Borja</v>
          </cell>
          <cell r="I1650" t="str">
            <v>50055</v>
          </cell>
        </row>
        <row r="1651">
          <cell r="H1651" t="str">
            <v>Borjabad</v>
          </cell>
          <cell r="I1651" t="str">
            <v>42038</v>
          </cell>
        </row>
        <row r="1652">
          <cell r="H1652" t="str">
            <v>Bormujos</v>
          </cell>
          <cell r="I1652" t="str">
            <v>41017</v>
          </cell>
        </row>
        <row r="1653">
          <cell r="H1653" t="str">
            <v>Bornos</v>
          </cell>
          <cell r="I1653" t="str">
            <v>11010</v>
          </cell>
        </row>
        <row r="1654">
          <cell r="H1654" t="str">
            <v>Borobia</v>
          </cell>
          <cell r="I1654" t="str">
            <v>42039</v>
          </cell>
        </row>
        <row r="1655">
          <cell r="H1655" t="str">
            <v>Borox</v>
          </cell>
          <cell r="I1655" t="str">
            <v>45021</v>
          </cell>
        </row>
        <row r="1656">
          <cell r="H1656" t="str">
            <v>Borrassà</v>
          </cell>
          <cell r="I1656" t="str">
            <v>17026</v>
          </cell>
        </row>
        <row r="1657">
          <cell r="H1657" t="str">
            <v>Borredà</v>
          </cell>
          <cell r="I1657" t="str">
            <v>08024</v>
          </cell>
        </row>
        <row r="1658">
          <cell r="H1658" t="str">
            <v>Borriana/Burriana</v>
          </cell>
          <cell r="I1658" t="str">
            <v>12032</v>
          </cell>
        </row>
        <row r="1659">
          <cell r="H1659" t="str">
            <v>Borriol</v>
          </cell>
          <cell r="I1659" t="str">
            <v>12031</v>
          </cell>
        </row>
        <row r="1660">
          <cell r="H1660" t="str">
            <v>Bosque, El</v>
          </cell>
          <cell r="I1660" t="str">
            <v>11011</v>
          </cell>
        </row>
        <row r="1661">
          <cell r="H1661" t="str">
            <v>Bossòst</v>
          </cell>
          <cell r="I1661" t="str">
            <v>25059</v>
          </cell>
        </row>
        <row r="1662">
          <cell r="H1662" t="str">
            <v>Bot</v>
          </cell>
          <cell r="I1662" t="str">
            <v>43032</v>
          </cell>
        </row>
        <row r="1663">
          <cell r="H1663" t="str">
            <v>Botarell</v>
          </cell>
          <cell r="I1663" t="str">
            <v>43033</v>
          </cell>
        </row>
        <row r="1664">
          <cell r="H1664" t="str">
            <v>Botija</v>
          </cell>
          <cell r="I1664" t="str">
            <v>10031</v>
          </cell>
        </row>
        <row r="1665">
          <cell r="H1665" t="str">
            <v>Botorrita</v>
          </cell>
          <cell r="I1665" t="str">
            <v>50056</v>
          </cell>
        </row>
        <row r="1666">
          <cell r="H1666" t="str">
            <v>Bouza, La</v>
          </cell>
          <cell r="I1666" t="str">
            <v>37056</v>
          </cell>
        </row>
        <row r="1667">
          <cell r="H1667" t="str">
            <v>Bóveda</v>
          </cell>
          <cell r="I1667" t="str">
            <v>27008</v>
          </cell>
        </row>
        <row r="1668">
          <cell r="H1668" t="str">
            <v>Bóveda de Toro, La</v>
          </cell>
          <cell r="I1668" t="str">
            <v>49024</v>
          </cell>
        </row>
        <row r="1669">
          <cell r="H1669" t="str">
            <v>Bóveda del Río Almar</v>
          </cell>
          <cell r="I1669" t="str">
            <v>37057</v>
          </cell>
        </row>
        <row r="1670">
          <cell r="H1670" t="str">
            <v>Bovera</v>
          </cell>
          <cell r="I1670" t="str">
            <v>25056</v>
          </cell>
        </row>
        <row r="1671">
          <cell r="H1671" t="str">
            <v>Brabos</v>
          </cell>
          <cell r="I1671" t="str">
            <v>05039</v>
          </cell>
        </row>
        <row r="1672">
          <cell r="H1672" t="str">
            <v>Bràfim</v>
          </cell>
          <cell r="I1672" t="str">
            <v>43034</v>
          </cell>
        </row>
        <row r="1673">
          <cell r="H1673" t="str">
            <v>Brahojos de Medina</v>
          </cell>
          <cell r="I1673" t="str">
            <v>47025</v>
          </cell>
        </row>
        <row r="1674">
          <cell r="H1674" t="str">
            <v>Braojos</v>
          </cell>
          <cell r="I1674" t="str">
            <v>28024</v>
          </cell>
        </row>
        <row r="1675">
          <cell r="H1675" t="str">
            <v>Brazacorta</v>
          </cell>
          <cell r="I1675" t="str">
            <v>09055</v>
          </cell>
        </row>
        <row r="1676">
          <cell r="H1676" t="str">
            <v>Brazatortas</v>
          </cell>
          <cell r="I1676" t="str">
            <v>13024</v>
          </cell>
        </row>
        <row r="1677">
          <cell r="H1677" t="str">
            <v>Brea de Aragón</v>
          </cell>
          <cell r="I1677" t="str">
            <v>50057</v>
          </cell>
        </row>
        <row r="1678">
          <cell r="H1678" t="str">
            <v>Brea de Tajo</v>
          </cell>
          <cell r="I1678" t="str">
            <v>28025</v>
          </cell>
        </row>
        <row r="1679">
          <cell r="H1679" t="str">
            <v>Breda</v>
          </cell>
          <cell r="I1679" t="str">
            <v>17027</v>
          </cell>
        </row>
        <row r="1680">
          <cell r="H1680" t="str">
            <v>Brenes</v>
          </cell>
          <cell r="I1680" t="str">
            <v>41018</v>
          </cell>
        </row>
        <row r="1681">
          <cell r="H1681" t="str">
            <v>Breña Alta</v>
          </cell>
          <cell r="I1681" t="str">
            <v>38008</v>
          </cell>
        </row>
        <row r="1682">
          <cell r="H1682" t="str">
            <v>Breña Baja</v>
          </cell>
          <cell r="I1682" t="str">
            <v>38009</v>
          </cell>
        </row>
        <row r="1683">
          <cell r="H1683" t="str">
            <v>Bretó</v>
          </cell>
          <cell r="I1683" t="str">
            <v>49025</v>
          </cell>
        </row>
        <row r="1684">
          <cell r="H1684" t="str">
            <v>Bretocino</v>
          </cell>
          <cell r="I1684" t="str">
            <v>49026</v>
          </cell>
        </row>
        <row r="1685">
          <cell r="H1685" t="str">
            <v>Brieva</v>
          </cell>
          <cell r="I1685" t="str">
            <v>40033</v>
          </cell>
        </row>
        <row r="1686">
          <cell r="H1686" t="str">
            <v>Brieva de Cameros</v>
          </cell>
          <cell r="I1686" t="str">
            <v>26032</v>
          </cell>
        </row>
        <row r="1687">
          <cell r="H1687" t="str">
            <v>Brihuega</v>
          </cell>
          <cell r="I1687" t="str">
            <v>19053</v>
          </cell>
        </row>
        <row r="1688">
          <cell r="H1688" t="str">
            <v>Brime de Sog</v>
          </cell>
          <cell r="I1688" t="str">
            <v>49027</v>
          </cell>
        </row>
        <row r="1689">
          <cell r="H1689" t="str">
            <v>Brime de Urz</v>
          </cell>
          <cell r="I1689" t="str">
            <v>49028</v>
          </cell>
        </row>
        <row r="1690">
          <cell r="H1690" t="str">
            <v>Brincones</v>
          </cell>
          <cell r="I1690" t="str">
            <v>37058</v>
          </cell>
        </row>
        <row r="1691">
          <cell r="H1691" t="str">
            <v>Briñas</v>
          </cell>
          <cell r="I1691" t="str">
            <v>26033</v>
          </cell>
        </row>
        <row r="1692">
          <cell r="H1692" t="str">
            <v>Brión</v>
          </cell>
          <cell r="I1692" t="str">
            <v>15013</v>
          </cell>
        </row>
        <row r="1693">
          <cell r="H1693" t="str">
            <v>Briones</v>
          </cell>
          <cell r="I1693" t="str">
            <v>26034</v>
          </cell>
        </row>
        <row r="1694">
          <cell r="H1694" t="str">
            <v>Briviesca</v>
          </cell>
          <cell r="I1694" t="str">
            <v>09056</v>
          </cell>
        </row>
        <row r="1695">
          <cell r="H1695" t="str">
            <v>Bronchales</v>
          </cell>
          <cell r="I1695" t="str">
            <v>44045</v>
          </cell>
        </row>
        <row r="1696">
          <cell r="H1696" t="str">
            <v>Broto</v>
          </cell>
          <cell r="I1696" t="str">
            <v>22069</v>
          </cell>
        </row>
        <row r="1697">
          <cell r="H1697" t="str">
            <v>Brozas</v>
          </cell>
          <cell r="I1697" t="str">
            <v>10032</v>
          </cell>
        </row>
        <row r="1698">
          <cell r="H1698" t="str">
            <v>Bruc, El</v>
          </cell>
          <cell r="I1698" t="str">
            <v>08025</v>
          </cell>
        </row>
        <row r="1699">
          <cell r="H1699" t="str">
            <v>Brull, El</v>
          </cell>
          <cell r="I1699" t="str">
            <v>08026</v>
          </cell>
        </row>
        <row r="1700">
          <cell r="H1700" t="str">
            <v>Brunete</v>
          </cell>
          <cell r="I1700" t="str">
            <v>28026</v>
          </cell>
        </row>
        <row r="1701">
          <cell r="H1701" t="str">
            <v>Brunyola i Sant Martí Sapresa</v>
          </cell>
          <cell r="I1701" t="str">
            <v>17028</v>
          </cell>
        </row>
        <row r="1702">
          <cell r="H1702" t="str">
            <v>Buberos</v>
          </cell>
          <cell r="I1702" t="str">
            <v>42041</v>
          </cell>
        </row>
        <row r="1703">
          <cell r="H1703" t="str">
            <v>Bubierca</v>
          </cell>
          <cell r="I1703" t="str">
            <v>50058</v>
          </cell>
        </row>
        <row r="1704">
          <cell r="H1704" t="str">
            <v>Bubión</v>
          </cell>
          <cell r="I1704" t="str">
            <v>18032</v>
          </cell>
        </row>
        <row r="1705">
          <cell r="H1705" t="str">
            <v>Buciegas</v>
          </cell>
          <cell r="I1705" t="str">
            <v>16038</v>
          </cell>
        </row>
        <row r="1706">
          <cell r="H1706" t="str">
            <v>Budia</v>
          </cell>
          <cell r="I1706" t="str">
            <v>19054</v>
          </cell>
        </row>
        <row r="1707">
          <cell r="H1707" t="str">
            <v>Buenache de Alarcón</v>
          </cell>
          <cell r="I1707" t="str">
            <v>16039</v>
          </cell>
        </row>
        <row r="1708">
          <cell r="H1708" t="str">
            <v>Buenache de la Sierra</v>
          </cell>
          <cell r="I1708" t="str">
            <v>16040</v>
          </cell>
        </row>
        <row r="1709">
          <cell r="H1709" t="str">
            <v>Buenamadre</v>
          </cell>
          <cell r="I1709" t="str">
            <v>37059</v>
          </cell>
        </row>
        <row r="1710">
          <cell r="H1710" t="str">
            <v>Buenaventura</v>
          </cell>
          <cell r="I1710" t="str">
            <v>45022</v>
          </cell>
        </row>
        <row r="1711">
          <cell r="H1711" t="str">
            <v>Buenavista</v>
          </cell>
          <cell r="I1711" t="str">
            <v>37060</v>
          </cell>
        </row>
        <row r="1712">
          <cell r="H1712" t="str">
            <v>Buenavista de Valdavia</v>
          </cell>
          <cell r="I1712" t="str">
            <v>34037</v>
          </cell>
        </row>
        <row r="1713">
          <cell r="H1713" t="str">
            <v>Buenavista del Norte</v>
          </cell>
          <cell r="I1713" t="str">
            <v>38010</v>
          </cell>
        </row>
        <row r="1714">
          <cell r="H1714" t="str">
            <v>Bueña</v>
          </cell>
          <cell r="I1714" t="str">
            <v>44046</v>
          </cell>
        </row>
        <row r="1715">
          <cell r="H1715" t="str">
            <v>Bueu</v>
          </cell>
          <cell r="I1715" t="str">
            <v>36004</v>
          </cell>
        </row>
        <row r="1716">
          <cell r="H1716" t="str">
            <v>Bufali</v>
          </cell>
          <cell r="I1716" t="str">
            <v>46075</v>
          </cell>
        </row>
        <row r="1717">
          <cell r="H1717" t="str">
            <v>Bugarra</v>
          </cell>
          <cell r="I1717" t="str">
            <v>46076</v>
          </cell>
        </row>
        <row r="1718">
          <cell r="H1718" t="str">
            <v>Bugedo</v>
          </cell>
          <cell r="I1718" t="str">
            <v>09057</v>
          </cell>
        </row>
        <row r="1719">
          <cell r="H1719" t="str">
            <v>Buitrago</v>
          </cell>
          <cell r="I1719" t="str">
            <v>42042</v>
          </cell>
        </row>
        <row r="1720">
          <cell r="H1720" t="str">
            <v>Buitrago del Lozoya</v>
          </cell>
          <cell r="I1720" t="str">
            <v>28027</v>
          </cell>
        </row>
        <row r="1721">
          <cell r="H1721" t="str">
            <v>Bujalance</v>
          </cell>
          <cell r="I1721" t="str">
            <v>14012</v>
          </cell>
        </row>
        <row r="1722">
          <cell r="H1722" t="str">
            <v>Bujalaro</v>
          </cell>
          <cell r="I1722" t="str">
            <v>19055</v>
          </cell>
        </row>
        <row r="1723">
          <cell r="H1723" t="str">
            <v>Bujaraloz</v>
          </cell>
          <cell r="I1723" t="str">
            <v>50059</v>
          </cell>
        </row>
        <row r="1724">
          <cell r="H1724" t="str">
            <v>Bularros</v>
          </cell>
          <cell r="I1724" t="str">
            <v>05040</v>
          </cell>
        </row>
        <row r="1725">
          <cell r="H1725" t="str">
            <v>Bulbuente</v>
          </cell>
          <cell r="I1725" t="str">
            <v>50060</v>
          </cell>
        </row>
        <row r="1726">
          <cell r="H1726" t="str">
            <v>Bullas</v>
          </cell>
          <cell r="I1726" t="str">
            <v>30012</v>
          </cell>
        </row>
        <row r="1727">
          <cell r="H1727" t="str">
            <v>Buniel</v>
          </cell>
          <cell r="I1727" t="str">
            <v>09058</v>
          </cell>
        </row>
        <row r="1728">
          <cell r="H1728" t="str">
            <v>Bunyola</v>
          </cell>
          <cell r="I1728" t="str">
            <v>07010</v>
          </cell>
        </row>
        <row r="1729">
          <cell r="H1729" t="str">
            <v>Buñol</v>
          </cell>
          <cell r="I1729" t="str">
            <v>46077</v>
          </cell>
        </row>
        <row r="1730">
          <cell r="H1730" t="str">
            <v>Buñuel</v>
          </cell>
          <cell r="I1730" t="str">
            <v>31057</v>
          </cell>
        </row>
        <row r="1731">
          <cell r="H1731" t="str">
            <v>Burbáguena</v>
          </cell>
          <cell r="I1731" t="str">
            <v>44047</v>
          </cell>
        </row>
        <row r="1732">
          <cell r="H1732" t="str">
            <v>Burela</v>
          </cell>
          <cell r="I1732" t="str">
            <v>27902</v>
          </cell>
        </row>
        <row r="1733">
          <cell r="H1733" t="str">
            <v>Bureta</v>
          </cell>
          <cell r="I1733" t="str">
            <v>50061</v>
          </cell>
        </row>
        <row r="1734">
          <cell r="H1734" t="str">
            <v>Burganes de Valverde</v>
          </cell>
          <cell r="I1734" t="str">
            <v>49029</v>
          </cell>
        </row>
        <row r="1735">
          <cell r="H1735" t="str">
            <v>Burgo de Ebro, El</v>
          </cell>
          <cell r="I1735" t="str">
            <v>50062</v>
          </cell>
        </row>
        <row r="1736">
          <cell r="H1736" t="str">
            <v>Burgo de Osma-Ciudad de Osma</v>
          </cell>
          <cell r="I1736" t="str">
            <v>42043</v>
          </cell>
        </row>
        <row r="1737">
          <cell r="H1737" t="str">
            <v>Burgo Ranero, El</v>
          </cell>
          <cell r="I1737" t="str">
            <v>24024</v>
          </cell>
        </row>
        <row r="1738">
          <cell r="H1738" t="str">
            <v>Burgo, El</v>
          </cell>
          <cell r="I1738" t="str">
            <v>29031</v>
          </cell>
        </row>
        <row r="1739">
          <cell r="H1739" t="str">
            <v>Burgohondo</v>
          </cell>
          <cell r="I1739" t="str">
            <v>05041</v>
          </cell>
        </row>
        <row r="1740">
          <cell r="H1740" t="str">
            <v>Burgos</v>
          </cell>
          <cell r="I1740" t="str">
            <v>09059</v>
          </cell>
        </row>
        <row r="1741">
          <cell r="H1741" t="str">
            <v>Burgui/Burgi</v>
          </cell>
          <cell r="I1741" t="str">
            <v>31059</v>
          </cell>
        </row>
        <row r="1742">
          <cell r="H1742" t="str">
            <v>Burguillos</v>
          </cell>
          <cell r="I1742" t="str">
            <v>41019</v>
          </cell>
        </row>
        <row r="1743">
          <cell r="H1743" t="str">
            <v>Burguillos de Toledo</v>
          </cell>
          <cell r="I1743" t="str">
            <v>45023</v>
          </cell>
        </row>
        <row r="1744">
          <cell r="H1744" t="str">
            <v>Burguillos del Cerro</v>
          </cell>
          <cell r="I1744" t="str">
            <v>06022</v>
          </cell>
        </row>
        <row r="1745">
          <cell r="H1745" t="str">
            <v>Burjassot</v>
          </cell>
          <cell r="I1745" t="str">
            <v>46078</v>
          </cell>
        </row>
        <row r="1746">
          <cell r="H1746" t="str">
            <v>Burlada/Burlata</v>
          </cell>
          <cell r="I1746" t="str">
            <v>31060</v>
          </cell>
        </row>
        <row r="1747">
          <cell r="H1747" t="str">
            <v>Burujón</v>
          </cell>
          <cell r="I1747" t="str">
            <v>45024</v>
          </cell>
        </row>
        <row r="1748">
          <cell r="H1748" t="str">
            <v>Busot</v>
          </cell>
          <cell r="I1748" t="str">
            <v>03046</v>
          </cell>
        </row>
        <row r="1749">
          <cell r="H1749" t="str">
            <v>Busquístar</v>
          </cell>
          <cell r="I1749" t="str">
            <v>18033</v>
          </cell>
        </row>
        <row r="1750">
          <cell r="H1750" t="str">
            <v>Bustares</v>
          </cell>
          <cell r="I1750" t="str">
            <v>19057</v>
          </cell>
        </row>
        <row r="1751">
          <cell r="H1751" t="str">
            <v>Bustarviejo</v>
          </cell>
          <cell r="I1751" t="str">
            <v>28028</v>
          </cell>
        </row>
        <row r="1752">
          <cell r="H1752" t="str">
            <v>Buste, El</v>
          </cell>
          <cell r="I1752" t="str">
            <v>50063</v>
          </cell>
        </row>
        <row r="1753">
          <cell r="H1753" t="str">
            <v>Bustillo de Chaves</v>
          </cell>
          <cell r="I1753" t="str">
            <v>47026</v>
          </cell>
        </row>
        <row r="1754">
          <cell r="H1754" t="str">
            <v>Bustillo de la Vega</v>
          </cell>
          <cell r="I1754" t="str">
            <v>34038</v>
          </cell>
        </row>
        <row r="1755">
          <cell r="H1755" t="str">
            <v>Bustillo del Oro</v>
          </cell>
          <cell r="I1755" t="str">
            <v>49030</v>
          </cell>
        </row>
        <row r="1756">
          <cell r="H1756" t="str">
            <v>Bustillo del Páramo</v>
          </cell>
          <cell r="I1756" t="str">
            <v>24026</v>
          </cell>
        </row>
        <row r="1757">
          <cell r="H1757" t="str">
            <v>Bustillo del Páramo de Carrión</v>
          </cell>
          <cell r="I1757" t="str">
            <v>34039</v>
          </cell>
        </row>
        <row r="1758">
          <cell r="H1758" t="str">
            <v>Busto, El</v>
          </cell>
          <cell r="I1758" t="str">
            <v>31061</v>
          </cell>
        </row>
        <row r="1759">
          <cell r="H1759" t="str">
            <v>Busturia</v>
          </cell>
          <cell r="I1759" t="str">
            <v>48021</v>
          </cell>
        </row>
        <row r="1760">
          <cell r="H1760" t="str">
            <v>Cabacés</v>
          </cell>
          <cell r="I1760" t="str">
            <v>43035</v>
          </cell>
        </row>
        <row r="1761">
          <cell r="H1761" t="str">
            <v>Cabaco, El</v>
          </cell>
          <cell r="I1761" t="str">
            <v>37061</v>
          </cell>
        </row>
        <row r="1762">
          <cell r="H1762" t="str">
            <v>Caballar</v>
          </cell>
          <cell r="I1762" t="str">
            <v>40034</v>
          </cell>
        </row>
        <row r="1763">
          <cell r="H1763" t="str">
            <v>Cabana de Bergantiños</v>
          </cell>
          <cell r="I1763" t="str">
            <v>15014</v>
          </cell>
        </row>
        <row r="1764">
          <cell r="H1764" t="str">
            <v>Cabanabona</v>
          </cell>
          <cell r="I1764" t="str">
            <v>25060</v>
          </cell>
        </row>
        <row r="1765">
          <cell r="H1765" t="str">
            <v>Cabanelles</v>
          </cell>
          <cell r="I1765" t="str">
            <v>17031</v>
          </cell>
        </row>
        <row r="1766">
          <cell r="H1766" t="str">
            <v>Cabanes</v>
          </cell>
          <cell r="I1766" t="str">
            <v>12033</v>
          </cell>
        </row>
        <row r="1767">
          <cell r="H1767" t="str">
            <v>Cabanes</v>
          </cell>
          <cell r="I1767" t="str">
            <v>17030</v>
          </cell>
        </row>
        <row r="1768">
          <cell r="H1768" t="str">
            <v>Cabanillas</v>
          </cell>
          <cell r="I1768" t="str">
            <v>31062</v>
          </cell>
        </row>
        <row r="1769">
          <cell r="H1769" t="str">
            <v>Cabanillas de la Sierra</v>
          </cell>
          <cell r="I1769" t="str">
            <v>28029</v>
          </cell>
        </row>
        <row r="1770">
          <cell r="H1770" t="str">
            <v>Cabanillas del Campo</v>
          </cell>
          <cell r="I1770" t="str">
            <v>19058</v>
          </cell>
        </row>
        <row r="1771">
          <cell r="H1771" t="str">
            <v>Cabanyes, Les</v>
          </cell>
          <cell r="I1771" t="str">
            <v>08027</v>
          </cell>
        </row>
        <row r="1772">
          <cell r="H1772" t="str">
            <v>Cabañas de Ebro</v>
          </cell>
          <cell r="I1772" t="str">
            <v>50064</v>
          </cell>
        </row>
        <row r="1773">
          <cell r="H1773" t="str">
            <v>Cabañas de la Sagra</v>
          </cell>
          <cell r="I1773" t="str">
            <v>45025</v>
          </cell>
        </row>
        <row r="1774">
          <cell r="H1774" t="str">
            <v>Cabañas de Polendos</v>
          </cell>
          <cell r="I1774" t="str">
            <v>40035</v>
          </cell>
        </row>
        <row r="1775">
          <cell r="H1775" t="str">
            <v>Cabañas de Sayago</v>
          </cell>
          <cell r="I1775" t="str">
            <v>49031</v>
          </cell>
        </row>
        <row r="1776">
          <cell r="H1776" t="str">
            <v>Cabañas de Yepes</v>
          </cell>
          <cell r="I1776" t="str">
            <v>45026</v>
          </cell>
        </row>
        <row r="1777">
          <cell r="H1777" t="str">
            <v>Cabañas del Castillo</v>
          </cell>
          <cell r="I1777" t="str">
            <v>10033</v>
          </cell>
        </row>
        <row r="1778">
          <cell r="H1778" t="str">
            <v>Cabañes de Esgueva</v>
          </cell>
          <cell r="I1778" t="str">
            <v>09061</v>
          </cell>
        </row>
        <row r="1779">
          <cell r="H1779" t="str">
            <v>Cabeza de Béjar, La</v>
          </cell>
          <cell r="I1779" t="str">
            <v>37063</v>
          </cell>
        </row>
        <row r="1780">
          <cell r="H1780" t="str">
            <v>Cabeza del Buey</v>
          </cell>
          <cell r="I1780" t="str">
            <v>06023</v>
          </cell>
        </row>
        <row r="1781">
          <cell r="H1781" t="str">
            <v>Cabeza del Caballo</v>
          </cell>
          <cell r="I1781" t="str">
            <v>37065</v>
          </cell>
        </row>
        <row r="1782">
          <cell r="H1782" t="str">
            <v>Cabeza la Vaca</v>
          </cell>
          <cell r="I1782" t="str">
            <v>06024</v>
          </cell>
        </row>
        <row r="1783">
          <cell r="H1783" t="str">
            <v>Cabezabellosa</v>
          </cell>
          <cell r="I1783" t="str">
            <v>10034</v>
          </cell>
        </row>
        <row r="1784">
          <cell r="H1784" t="str">
            <v>Cabezabellosa de la Calzada</v>
          </cell>
          <cell r="I1784" t="str">
            <v>37062</v>
          </cell>
        </row>
        <row r="1785">
          <cell r="H1785" t="str">
            <v>Cabezamesada</v>
          </cell>
          <cell r="I1785" t="str">
            <v>45027</v>
          </cell>
        </row>
        <row r="1786">
          <cell r="H1786" t="str">
            <v>Cabezarados</v>
          </cell>
          <cell r="I1786" t="str">
            <v>13025</v>
          </cell>
        </row>
        <row r="1787">
          <cell r="H1787" t="str">
            <v>Cabezarrubias del Puerto</v>
          </cell>
          <cell r="I1787" t="str">
            <v>13026</v>
          </cell>
        </row>
        <row r="1788">
          <cell r="H1788" t="str">
            <v>Cabezas de Alambre</v>
          </cell>
          <cell r="I1788" t="str">
            <v>05042</v>
          </cell>
        </row>
        <row r="1789">
          <cell r="H1789" t="str">
            <v>Cabezas de San Juan, Las</v>
          </cell>
          <cell r="I1789" t="str">
            <v>41020</v>
          </cell>
        </row>
        <row r="1790">
          <cell r="H1790" t="str">
            <v>Cabezas del Pozo</v>
          </cell>
          <cell r="I1790" t="str">
            <v>05043</v>
          </cell>
        </row>
        <row r="1791">
          <cell r="H1791" t="str">
            <v>Cabezas del Villar</v>
          </cell>
          <cell r="I1791" t="str">
            <v>05044</v>
          </cell>
        </row>
        <row r="1792">
          <cell r="H1792" t="str">
            <v>Cabezas Rubias</v>
          </cell>
          <cell r="I1792" t="str">
            <v>21015</v>
          </cell>
        </row>
        <row r="1793">
          <cell r="H1793" t="str">
            <v>Cabezón de Cameros</v>
          </cell>
          <cell r="I1793" t="str">
            <v>26035</v>
          </cell>
        </row>
        <row r="1794">
          <cell r="H1794" t="str">
            <v>Cabezón de la Sal</v>
          </cell>
          <cell r="I1794" t="str">
            <v>39012</v>
          </cell>
        </row>
        <row r="1795">
          <cell r="H1795" t="str">
            <v>Cabezón de la Sierra</v>
          </cell>
          <cell r="I1795" t="str">
            <v>09062</v>
          </cell>
        </row>
        <row r="1796">
          <cell r="H1796" t="str">
            <v>Cabezón de Liébana</v>
          </cell>
          <cell r="I1796" t="str">
            <v>39013</v>
          </cell>
        </row>
        <row r="1797">
          <cell r="H1797" t="str">
            <v>Cabezón de Pisuerga</v>
          </cell>
          <cell r="I1797" t="str">
            <v>47027</v>
          </cell>
        </row>
        <row r="1798">
          <cell r="H1798" t="str">
            <v>Cabezón de Valderaduey</v>
          </cell>
          <cell r="I1798" t="str">
            <v>47028</v>
          </cell>
        </row>
        <row r="1799">
          <cell r="H1799" t="str">
            <v>Cabezuela</v>
          </cell>
          <cell r="I1799" t="str">
            <v>40036</v>
          </cell>
        </row>
        <row r="1800">
          <cell r="H1800" t="str">
            <v>Cabezuela del Valle</v>
          </cell>
          <cell r="I1800" t="str">
            <v>10035</v>
          </cell>
        </row>
        <row r="1801">
          <cell r="H1801" t="str">
            <v>Cabizuela</v>
          </cell>
          <cell r="I1801" t="str">
            <v>05045</v>
          </cell>
        </row>
        <row r="1802">
          <cell r="H1802" t="str">
            <v>Cabó</v>
          </cell>
          <cell r="I1802" t="str">
            <v>25061</v>
          </cell>
        </row>
        <row r="1803">
          <cell r="H1803" t="str">
            <v>Cabolafuente</v>
          </cell>
          <cell r="I1803" t="str">
            <v>50065</v>
          </cell>
        </row>
        <row r="1804">
          <cell r="H1804" t="str">
            <v>Cabra</v>
          </cell>
          <cell r="I1804" t="str">
            <v>14013</v>
          </cell>
        </row>
        <row r="1805">
          <cell r="H1805" t="str">
            <v>Cabra de Mora</v>
          </cell>
          <cell r="I1805" t="str">
            <v>44048</v>
          </cell>
        </row>
        <row r="1806">
          <cell r="H1806" t="str">
            <v>Cabra del Camp</v>
          </cell>
          <cell r="I1806" t="str">
            <v>43036</v>
          </cell>
        </row>
        <row r="1807">
          <cell r="H1807" t="str">
            <v>Cabra del Santo Cristo</v>
          </cell>
          <cell r="I1807" t="str">
            <v>23017</v>
          </cell>
        </row>
        <row r="1808">
          <cell r="H1808" t="str">
            <v>Cabrales</v>
          </cell>
          <cell r="I1808" t="str">
            <v>33008</v>
          </cell>
        </row>
        <row r="1809">
          <cell r="H1809" t="str">
            <v>Cabredo</v>
          </cell>
          <cell r="I1809" t="str">
            <v>31063</v>
          </cell>
        </row>
        <row r="1810">
          <cell r="H1810" t="str">
            <v>Cabrejas del Campo</v>
          </cell>
          <cell r="I1810" t="str">
            <v>42044</v>
          </cell>
        </row>
        <row r="1811">
          <cell r="H1811" t="str">
            <v>Cabrejas del Pinar</v>
          </cell>
          <cell r="I1811" t="str">
            <v>42045</v>
          </cell>
        </row>
        <row r="1812">
          <cell r="H1812" t="str">
            <v>Cabrera d'Anoia</v>
          </cell>
          <cell r="I1812" t="str">
            <v>08028</v>
          </cell>
        </row>
        <row r="1813">
          <cell r="H1813" t="str">
            <v>Cabrera de Mar</v>
          </cell>
          <cell r="I1813" t="str">
            <v>08029</v>
          </cell>
        </row>
        <row r="1814">
          <cell r="H1814" t="str">
            <v>Cabrera, La</v>
          </cell>
          <cell r="I1814" t="str">
            <v>28030</v>
          </cell>
        </row>
        <row r="1815">
          <cell r="H1815" t="str">
            <v>Cabrerizos</v>
          </cell>
          <cell r="I1815" t="str">
            <v>37067</v>
          </cell>
        </row>
        <row r="1816">
          <cell r="H1816" t="str">
            <v>Cabrero</v>
          </cell>
          <cell r="I1816" t="str">
            <v>10036</v>
          </cell>
        </row>
        <row r="1817">
          <cell r="H1817" t="str">
            <v>Cabreros del Monte</v>
          </cell>
          <cell r="I1817" t="str">
            <v>47029</v>
          </cell>
        </row>
        <row r="1818">
          <cell r="H1818" t="str">
            <v>Cabreros del Río</v>
          </cell>
          <cell r="I1818" t="str">
            <v>24028</v>
          </cell>
        </row>
        <row r="1819">
          <cell r="H1819" t="str">
            <v>Cabrillas</v>
          </cell>
          <cell r="I1819" t="str">
            <v>37068</v>
          </cell>
        </row>
        <row r="1820">
          <cell r="H1820" t="str">
            <v>Cabrils</v>
          </cell>
          <cell r="I1820" t="str">
            <v>08030</v>
          </cell>
        </row>
        <row r="1821">
          <cell r="H1821" t="str">
            <v>Cabuérniga</v>
          </cell>
          <cell r="I1821" t="str">
            <v>39014</v>
          </cell>
        </row>
        <row r="1822">
          <cell r="H1822" t="str">
            <v>Cáceres</v>
          </cell>
          <cell r="I1822" t="str">
            <v>10037</v>
          </cell>
        </row>
        <row r="1823">
          <cell r="H1823" t="str">
            <v>Cachorrilla</v>
          </cell>
          <cell r="I1823" t="str">
            <v>10038</v>
          </cell>
        </row>
        <row r="1824">
          <cell r="H1824" t="str">
            <v>Cacín</v>
          </cell>
          <cell r="I1824" t="str">
            <v>18034</v>
          </cell>
        </row>
        <row r="1825">
          <cell r="H1825" t="str">
            <v>Cadalso</v>
          </cell>
          <cell r="I1825" t="str">
            <v>10039</v>
          </cell>
        </row>
        <row r="1826">
          <cell r="H1826" t="str">
            <v>Cadalso de los Vidrios</v>
          </cell>
          <cell r="I1826" t="str">
            <v>28031</v>
          </cell>
        </row>
        <row r="1827">
          <cell r="H1827" t="str">
            <v>Cadaqués</v>
          </cell>
          <cell r="I1827" t="str">
            <v>17032</v>
          </cell>
        </row>
        <row r="1828">
          <cell r="H1828" t="str">
            <v>Cádiar</v>
          </cell>
          <cell r="I1828" t="str">
            <v>18035</v>
          </cell>
        </row>
        <row r="1829">
          <cell r="H1829" t="str">
            <v>Cádiz</v>
          </cell>
          <cell r="I1829" t="str">
            <v>11012</v>
          </cell>
        </row>
        <row r="1830">
          <cell r="H1830" t="str">
            <v>Cadreita</v>
          </cell>
          <cell r="I1830" t="str">
            <v>31064</v>
          </cell>
        </row>
        <row r="1831">
          <cell r="H1831" t="str">
            <v>Cadrete</v>
          </cell>
          <cell r="I1831" t="str">
            <v>50066</v>
          </cell>
        </row>
        <row r="1832">
          <cell r="H1832" t="str">
            <v>Cájar</v>
          </cell>
          <cell r="I1832" t="str">
            <v>18036</v>
          </cell>
        </row>
        <row r="1833">
          <cell r="H1833" t="str">
            <v>Cala</v>
          </cell>
          <cell r="I1833" t="str">
            <v>21016</v>
          </cell>
        </row>
        <row r="1834">
          <cell r="H1834" t="str">
            <v>Calabazas de Fuentidueña</v>
          </cell>
          <cell r="I1834" t="str">
            <v>40037</v>
          </cell>
        </row>
        <row r="1835">
          <cell r="H1835" t="str">
            <v>Calaceite</v>
          </cell>
          <cell r="I1835" t="str">
            <v>44049</v>
          </cell>
        </row>
        <row r="1836">
          <cell r="H1836" t="str">
            <v>Calaf</v>
          </cell>
          <cell r="I1836" t="str">
            <v>08031</v>
          </cell>
        </row>
        <row r="1837">
          <cell r="H1837" t="str">
            <v>Calafell</v>
          </cell>
          <cell r="I1837" t="str">
            <v>43037</v>
          </cell>
        </row>
        <row r="1838">
          <cell r="H1838" t="str">
            <v>Calahorra</v>
          </cell>
          <cell r="I1838" t="str">
            <v>26036</v>
          </cell>
        </row>
        <row r="1839">
          <cell r="H1839" t="str">
            <v>Calahorra de Boedo</v>
          </cell>
          <cell r="I1839" t="str">
            <v>34041</v>
          </cell>
        </row>
        <row r="1840">
          <cell r="H1840" t="str">
            <v>Calahorra, La</v>
          </cell>
          <cell r="I1840" t="str">
            <v>18114</v>
          </cell>
        </row>
        <row r="1841">
          <cell r="H1841" t="str">
            <v>Calamocha</v>
          </cell>
          <cell r="I1841" t="str">
            <v>44050</v>
          </cell>
        </row>
        <row r="1842">
          <cell r="H1842" t="str">
            <v>Calamonte</v>
          </cell>
          <cell r="I1842" t="str">
            <v>06025</v>
          </cell>
        </row>
        <row r="1843">
          <cell r="H1843" t="str">
            <v>Calañas</v>
          </cell>
          <cell r="I1843" t="str">
            <v>21017</v>
          </cell>
        </row>
        <row r="1844">
          <cell r="H1844" t="str">
            <v>Calasparra</v>
          </cell>
          <cell r="I1844" t="str">
            <v>30013</v>
          </cell>
        </row>
        <row r="1845">
          <cell r="H1845" t="str">
            <v>Calatañazor</v>
          </cell>
          <cell r="I1845" t="str">
            <v>42046</v>
          </cell>
        </row>
        <row r="1846">
          <cell r="H1846" t="str">
            <v>Calatayud</v>
          </cell>
          <cell r="I1846" t="str">
            <v>50067</v>
          </cell>
        </row>
        <row r="1847">
          <cell r="H1847" t="str">
            <v>Calatorao</v>
          </cell>
          <cell r="I1847" t="str">
            <v>50068</v>
          </cell>
        </row>
        <row r="1848">
          <cell r="H1848" t="str">
            <v>Calcena</v>
          </cell>
          <cell r="I1848" t="str">
            <v>50069</v>
          </cell>
        </row>
        <row r="1849">
          <cell r="H1849" t="str">
            <v>Caldas de Reis</v>
          </cell>
          <cell r="I1849" t="str">
            <v>36005</v>
          </cell>
        </row>
        <row r="1850">
          <cell r="H1850" t="str">
            <v>Caldearenas</v>
          </cell>
          <cell r="I1850" t="str">
            <v>22072</v>
          </cell>
        </row>
        <row r="1851">
          <cell r="H1851" t="str">
            <v>Calders</v>
          </cell>
          <cell r="I1851" t="str">
            <v>08034</v>
          </cell>
        </row>
        <row r="1852">
          <cell r="H1852" t="str">
            <v>Caldes de Malavella</v>
          </cell>
          <cell r="I1852" t="str">
            <v>17033</v>
          </cell>
        </row>
        <row r="1853">
          <cell r="H1853" t="str">
            <v>Caldes de Montbui</v>
          </cell>
          <cell r="I1853" t="str">
            <v>08033</v>
          </cell>
        </row>
        <row r="1854">
          <cell r="H1854" t="str">
            <v>Caldes d'Estrac</v>
          </cell>
          <cell r="I1854" t="str">
            <v>08032</v>
          </cell>
        </row>
        <row r="1855">
          <cell r="H1855" t="str">
            <v>Calella</v>
          </cell>
          <cell r="I1855" t="str">
            <v>08035</v>
          </cell>
        </row>
        <row r="1856">
          <cell r="H1856" t="str">
            <v>Calera de León</v>
          </cell>
          <cell r="I1856" t="str">
            <v>06026</v>
          </cell>
        </row>
        <row r="1857">
          <cell r="H1857" t="str">
            <v>Calera y Chozas</v>
          </cell>
          <cell r="I1857" t="str">
            <v>45028</v>
          </cell>
        </row>
        <row r="1858">
          <cell r="H1858" t="str">
            <v>Caleruega</v>
          </cell>
          <cell r="I1858" t="str">
            <v>09064</v>
          </cell>
        </row>
        <row r="1859">
          <cell r="H1859" t="str">
            <v>Caleruela</v>
          </cell>
          <cell r="I1859" t="str">
            <v>45029</v>
          </cell>
        </row>
        <row r="1860">
          <cell r="H1860" t="str">
            <v>Calicasas</v>
          </cell>
          <cell r="I1860" t="str">
            <v>18037</v>
          </cell>
        </row>
        <row r="1861">
          <cell r="H1861" t="str">
            <v>Càlig</v>
          </cell>
          <cell r="I1861" t="str">
            <v>12034</v>
          </cell>
        </row>
        <row r="1862">
          <cell r="H1862" t="str">
            <v>Calldetenes</v>
          </cell>
          <cell r="I1862" t="str">
            <v>08037</v>
          </cell>
        </row>
        <row r="1863">
          <cell r="H1863" t="str">
            <v>Calles</v>
          </cell>
          <cell r="I1863" t="str">
            <v>46079</v>
          </cell>
        </row>
        <row r="1864">
          <cell r="H1864" t="str">
            <v>Callosa de Segura</v>
          </cell>
          <cell r="I1864" t="str">
            <v>03049</v>
          </cell>
        </row>
        <row r="1865">
          <cell r="H1865" t="str">
            <v>Callosa d'en Sarrià</v>
          </cell>
          <cell r="I1865" t="str">
            <v>03048</v>
          </cell>
        </row>
        <row r="1866">
          <cell r="H1866" t="str">
            <v>Callús</v>
          </cell>
          <cell r="I1866" t="str">
            <v>08038</v>
          </cell>
        </row>
        <row r="1867">
          <cell r="H1867" t="str">
            <v>Calmarza</v>
          </cell>
          <cell r="I1867" t="str">
            <v>50070</v>
          </cell>
        </row>
        <row r="1868">
          <cell r="H1868" t="str">
            <v>Calomarde</v>
          </cell>
          <cell r="I1868" t="str">
            <v>44052</v>
          </cell>
        </row>
        <row r="1869">
          <cell r="H1869" t="str">
            <v>Calonge de Segarra</v>
          </cell>
          <cell r="I1869" t="str">
            <v>08036</v>
          </cell>
        </row>
        <row r="1870">
          <cell r="H1870" t="str">
            <v>Calonge i Sant Antoni</v>
          </cell>
          <cell r="I1870" t="str">
            <v>17034</v>
          </cell>
        </row>
        <row r="1871">
          <cell r="H1871" t="str">
            <v>Calp</v>
          </cell>
          <cell r="I1871" t="str">
            <v>03047</v>
          </cell>
        </row>
        <row r="1872">
          <cell r="H1872" t="str">
            <v>Caltojar</v>
          </cell>
          <cell r="I1872" t="str">
            <v>42048</v>
          </cell>
        </row>
        <row r="1873">
          <cell r="H1873" t="str">
            <v>Calvarrasa de Abajo</v>
          </cell>
          <cell r="I1873" t="str">
            <v>37069</v>
          </cell>
        </row>
        <row r="1874">
          <cell r="H1874" t="str">
            <v>Calvarrasa de Arriba</v>
          </cell>
          <cell r="I1874" t="str">
            <v>37070</v>
          </cell>
        </row>
        <row r="1875">
          <cell r="H1875" t="str">
            <v>Calvià</v>
          </cell>
          <cell r="I1875" t="str">
            <v>07011</v>
          </cell>
        </row>
        <row r="1876">
          <cell r="H1876" t="str">
            <v>Calvos de Randín</v>
          </cell>
          <cell r="I1876" t="str">
            <v>32016</v>
          </cell>
        </row>
        <row r="1877">
          <cell r="H1877" t="str">
            <v>Calzada de Béjar, La</v>
          </cell>
          <cell r="I1877" t="str">
            <v>37071</v>
          </cell>
        </row>
        <row r="1878">
          <cell r="H1878" t="str">
            <v>Calzada de Calatrava</v>
          </cell>
          <cell r="I1878" t="str">
            <v>13027</v>
          </cell>
        </row>
        <row r="1879">
          <cell r="H1879" t="str">
            <v>Calzada de Don Diego</v>
          </cell>
          <cell r="I1879" t="str">
            <v>37072</v>
          </cell>
        </row>
        <row r="1880">
          <cell r="H1880" t="str">
            <v>Calzada de los Molinos</v>
          </cell>
          <cell r="I1880" t="str">
            <v>34042</v>
          </cell>
        </row>
        <row r="1881">
          <cell r="H1881" t="str">
            <v>Calzada de Oropesa</v>
          </cell>
          <cell r="I1881" t="str">
            <v>45030</v>
          </cell>
        </row>
        <row r="1882">
          <cell r="H1882" t="str">
            <v>Calzada de Valdunciel</v>
          </cell>
          <cell r="I1882" t="str">
            <v>37073</v>
          </cell>
        </row>
        <row r="1883">
          <cell r="H1883" t="str">
            <v>Calzada del Coto</v>
          </cell>
          <cell r="I1883" t="str">
            <v>24031</v>
          </cell>
        </row>
        <row r="1884">
          <cell r="H1884" t="str">
            <v>Calzadilla</v>
          </cell>
          <cell r="I1884" t="str">
            <v>10040</v>
          </cell>
        </row>
        <row r="1885">
          <cell r="H1885" t="str">
            <v>Calzadilla de los Barros</v>
          </cell>
          <cell r="I1885" t="str">
            <v>06027</v>
          </cell>
        </row>
        <row r="1886">
          <cell r="H1886" t="str">
            <v>Calzadilla de Tera</v>
          </cell>
          <cell r="I1886" t="str">
            <v>49032</v>
          </cell>
        </row>
        <row r="1887">
          <cell r="H1887" t="str">
            <v>Camaleño</v>
          </cell>
          <cell r="I1887" t="str">
            <v>39015</v>
          </cell>
        </row>
        <row r="1888">
          <cell r="H1888" t="str">
            <v>Camañas</v>
          </cell>
          <cell r="I1888" t="str">
            <v>44053</v>
          </cell>
        </row>
        <row r="1889">
          <cell r="H1889" t="str">
            <v>Camarasa</v>
          </cell>
          <cell r="I1889" t="str">
            <v>25062</v>
          </cell>
        </row>
        <row r="1890">
          <cell r="H1890" t="str">
            <v>Camarena</v>
          </cell>
          <cell r="I1890" t="str">
            <v>45031</v>
          </cell>
        </row>
        <row r="1891">
          <cell r="H1891" t="str">
            <v>Camarena de la Sierra</v>
          </cell>
          <cell r="I1891" t="str">
            <v>44054</v>
          </cell>
        </row>
        <row r="1892">
          <cell r="H1892" t="str">
            <v>Camarenilla</v>
          </cell>
          <cell r="I1892" t="str">
            <v>45032</v>
          </cell>
        </row>
        <row r="1893">
          <cell r="H1893" t="str">
            <v>Camargo</v>
          </cell>
          <cell r="I1893" t="str">
            <v>39016</v>
          </cell>
        </row>
        <row r="1894">
          <cell r="H1894" t="str">
            <v>Camariñas</v>
          </cell>
          <cell r="I1894" t="str">
            <v>15016</v>
          </cell>
        </row>
        <row r="1895">
          <cell r="H1895" t="str">
            <v>Camarles</v>
          </cell>
          <cell r="I1895" t="str">
            <v>43903</v>
          </cell>
        </row>
        <row r="1896">
          <cell r="H1896" t="str">
            <v>Camarma de Esteruelas</v>
          </cell>
          <cell r="I1896" t="str">
            <v>28032</v>
          </cell>
        </row>
        <row r="1897">
          <cell r="H1897" t="str">
            <v>Camarzana de Tera</v>
          </cell>
          <cell r="I1897" t="str">
            <v>49033</v>
          </cell>
        </row>
        <row r="1898">
          <cell r="H1898" t="str">
            <v>Camas</v>
          </cell>
          <cell r="I1898" t="str">
            <v>41021</v>
          </cell>
        </row>
        <row r="1899">
          <cell r="H1899" t="str">
            <v>Cambados</v>
          </cell>
          <cell r="I1899" t="str">
            <v>36006</v>
          </cell>
        </row>
        <row r="1900">
          <cell r="H1900" t="str">
            <v>Cambil</v>
          </cell>
          <cell r="I1900" t="str">
            <v>23018</v>
          </cell>
        </row>
        <row r="1901">
          <cell r="H1901" t="str">
            <v>Cambre</v>
          </cell>
          <cell r="I1901" t="str">
            <v>15017</v>
          </cell>
        </row>
        <row r="1902">
          <cell r="H1902" t="str">
            <v>Cambrils</v>
          </cell>
          <cell r="I1902" t="str">
            <v>43038</v>
          </cell>
        </row>
        <row r="1903">
          <cell r="H1903" t="str">
            <v>Caminomorisco</v>
          </cell>
          <cell r="I1903" t="str">
            <v>10041</v>
          </cell>
        </row>
        <row r="1904">
          <cell r="H1904" t="str">
            <v>Caminreal</v>
          </cell>
          <cell r="I1904" t="str">
            <v>44056</v>
          </cell>
        </row>
        <row r="1905">
          <cell r="H1905" t="str">
            <v>Camós</v>
          </cell>
          <cell r="I1905" t="str">
            <v>17035</v>
          </cell>
        </row>
        <row r="1906">
          <cell r="H1906" t="str">
            <v>Camp de Mirra, el/Campo de Mirra</v>
          </cell>
          <cell r="I1906" t="str">
            <v>03051</v>
          </cell>
        </row>
        <row r="1907">
          <cell r="H1907" t="str">
            <v>Campana, La</v>
          </cell>
          <cell r="I1907" t="str">
            <v>41022</v>
          </cell>
        </row>
        <row r="1908">
          <cell r="H1908" t="str">
            <v>Campanario</v>
          </cell>
          <cell r="I1908" t="str">
            <v>06028</v>
          </cell>
        </row>
        <row r="1909">
          <cell r="H1909" t="str">
            <v>Campaspero</v>
          </cell>
          <cell r="I1909" t="str">
            <v>47030</v>
          </cell>
        </row>
        <row r="1910">
          <cell r="H1910" t="str">
            <v>Campazas</v>
          </cell>
          <cell r="I1910" t="str">
            <v>24032</v>
          </cell>
        </row>
        <row r="1911">
          <cell r="H1911" t="str">
            <v>Campdevànol</v>
          </cell>
          <cell r="I1911" t="str">
            <v>17036</v>
          </cell>
        </row>
        <row r="1912">
          <cell r="H1912" t="str">
            <v>Campelles</v>
          </cell>
          <cell r="I1912" t="str">
            <v>17037</v>
          </cell>
        </row>
        <row r="1913">
          <cell r="H1913" t="str">
            <v>Campello, el</v>
          </cell>
          <cell r="I1913" t="str">
            <v>03050</v>
          </cell>
        </row>
        <row r="1914">
          <cell r="H1914" t="str">
            <v>Campezo/Kanpezu</v>
          </cell>
          <cell r="I1914" t="str">
            <v>01017</v>
          </cell>
        </row>
        <row r="1915">
          <cell r="H1915" t="str">
            <v>Campillo de Altobuey</v>
          </cell>
          <cell r="I1915" t="str">
            <v>16042</v>
          </cell>
        </row>
        <row r="1916">
          <cell r="H1916" t="str">
            <v>Campillo de Aragón</v>
          </cell>
          <cell r="I1916" t="str">
            <v>50071</v>
          </cell>
        </row>
        <row r="1917">
          <cell r="H1917" t="str">
            <v>Campillo de Aranda</v>
          </cell>
          <cell r="I1917" t="str">
            <v>09065</v>
          </cell>
        </row>
        <row r="1918">
          <cell r="H1918" t="str">
            <v>Campillo de Arenas</v>
          </cell>
          <cell r="I1918" t="str">
            <v>23019</v>
          </cell>
        </row>
        <row r="1919">
          <cell r="H1919" t="str">
            <v>Campillo de Azaba</v>
          </cell>
          <cell r="I1919" t="str">
            <v>37074</v>
          </cell>
        </row>
        <row r="1920">
          <cell r="H1920" t="str">
            <v>Campillo de Deleitosa</v>
          </cell>
          <cell r="I1920" t="str">
            <v>10042</v>
          </cell>
        </row>
        <row r="1921">
          <cell r="H1921" t="str">
            <v>Campillo de Dueñas</v>
          </cell>
          <cell r="I1921" t="str">
            <v>19059</v>
          </cell>
        </row>
        <row r="1922">
          <cell r="H1922" t="str">
            <v>Campillo de la Jara, El</v>
          </cell>
          <cell r="I1922" t="str">
            <v>45033</v>
          </cell>
        </row>
        <row r="1923">
          <cell r="H1923" t="str">
            <v>Campillo de Llerena</v>
          </cell>
          <cell r="I1923" t="str">
            <v>06029</v>
          </cell>
        </row>
        <row r="1924">
          <cell r="H1924" t="str">
            <v>Campillo de Ranas</v>
          </cell>
          <cell r="I1924" t="str">
            <v>19060</v>
          </cell>
        </row>
        <row r="1925">
          <cell r="H1925" t="str">
            <v>Campillo, El</v>
          </cell>
          <cell r="I1925" t="str">
            <v>21018</v>
          </cell>
        </row>
        <row r="1926">
          <cell r="H1926" t="str">
            <v>Campillo, El</v>
          </cell>
          <cell r="I1926" t="str">
            <v>47031</v>
          </cell>
        </row>
        <row r="1927">
          <cell r="H1927" t="str">
            <v>Campillos</v>
          </cell>
          <cell r="I1927" t="str">
            <v>29032</v>
          </cell>
        </row>
        <row r="1928">
          <cell r="H1928" t="str">
            <v>Campillos-Paravientos</v>
          </cell>
          <cell r="I1928" t="str">
            <v>16043</v>
          </cell>
        </row>
        <row r="1929">
          <cell r="H1929" t="str">
            <v>Campillos-Sierra</v>
          </cell>
          <cell r="I1929" t="str">
            <v>16044</v>
          </cell>
        </row>
        <row r="1930">
          <cell r="H1930" t="str">
            <v>Campins</v>
          </cell>
          <cell r="I1930" t="str">
            <v>08039</v>
          </cell>
        </row>
        <row r="1931">
          <cell r="H1931" t="str">
            <v>Campisábalos</v>
          </cell>
          <cell r="I1931" t="str">
            <v>19061</v>
          </cell>
        </row>
        <row r="1932">
          <cell r="H1932" t="str">
            <v>Campllong</v>
          </cell>
          <cell r="I1932" t="str">
            <v>17038</v>
          </cell>
        </row>
        <row r="1933">
          <cell r="H1933" t="str">
            <v>Campo</v>
          </cell>
          <cell r="I1933" t="str">
            <v>22074</v>
          </cell>
        </row>
        <row r="1934">
          <cell r="H1934" t="str">
            <v>Campo de Criptana</v>
          </cell>
          <cell r="I1934" t="str">
            <v>13028</v>
          </cell>
        </row>
        <row r="1935">
          <cell r="H1935" t="str">
            <v>Campo de Peñaranda, El</v>
          </cell>
          <cell r="I1935" t="str">
            <v>37077</v>
          </cell>
        </row>
        <row r="1936">
          <cell r="H1936" t="str">
            <v>Campo de San Pedro</v>
          </cell>
          <cell r="I1936" t="str">
            <v>40039</v>
          </cell>
        </row>
        <row r="1937">
          <cell r="H1937" t="str">
            <v>Campo de Villavidel</v>
          </cell>
          <cell r="I1937" t="str">
            <v>24033</v>
          </cell>
        </row>
        <row r="1938">
          <cell r="H1938" t="str">
            <v>Campo Lameiro</v>
          </cell>
          <cell r="I1938" t="str">
            <v>36007</v>
          </cell>
        </row>
        <row r="1939">
          <cell r="H1939" t="str">
            <v>Campo Lugar</v>
          </cell>
          <cell r="I1939" t="str">
            <v>10043</v>
          </cell>
        </row>
        <row r="1940">
          <cell r="H1940" t="str">
            <v>Campo Real</v>
          </cell>
          <cell r="I1940" t="str">
            <v>28033</v>
          </cell>
        </row>
        <row r="1941">
          <cell r="H1941" t="str">
            <v>Campofrío</v>
          </cell>
          <cell r="I1941" t="str">
            <v>21019</v>
          </cell>
        </row>
        <row r="1942">
          <cell r="H1942" t="str">
            <v>Campolara</v>
          </cell>
          <cell r="I1942" t="str">
            <v>09066</v>
          </cell>
        </row>
        <row r="1943">
          <cell r="H1943" t="str">
            <v>Campoo de Enmedio</v>
          </cell>
          <cell r="I1943" t="str">
            <v>39027</v>
          </cell>
        </row>
        <row r="1944">
          <cell r="H1944" t="str">
            <v>Campoo de Yuso</v>
          </cell>
          <cell r="I1944" t="str">
            <v>39017</v>
          </cell>
        </row>
        <row r="1945">
          <cell r="H1945" t="str">
            <v>Camporredondo</v>
          </cell>
          <cell r="I1945" t="str">
            <v>47032</v>
          </cell>
        </row>
        <row r="1946">
          <cell r="H1946" t="str">
            <v>Camporrélls</v>
          </cell>
          <cell r="I1946" t="str">
            <v>22075</v>
          </cell>
        </row>
        <row r="1947">
          <cell r="H1947" t="str">
            <v>Camporrobles</v>
          </cell>
          <cell r="I1947" t="str">
            <v>46080</v>
          </cell>
        </row>
        <row r="1948">
          <cell r="H1948" t="str">
            <v>Campos</v>
          </cell>
          <cell r="I1948" t="str">
            <v>07013</v>
          </cell>
        </row>
        <row r="1949">
          <cell r="H1949" t="str">
            <v>Campos del Paraíso</v>
          </cell>
          <cell r="I1949" t="str">
            <v>16901</v>
          </cell>
        </row>
        <row r="1950">
          <cell r="H1950" t="str">
            <v>Campos del Río</v>
          </cell>
          <cell r="I1950" t="str">
            <v>30014</v>
          </cell>
        </row>
        <row r="1951">
          <cell r="H1951" t="str">
            <v>Campotéjar</v>
          </cell>
          <cell r="I1951" t="str">
            <v>18038</v>
          </cell>
        </row>
        <row r="1952">
          <cell r="H1952" t="str">
            <v>Camprodon</v>
          </cell>
          <cell r="I1952" t="str">
            <v>17039</v>
          </cell>
        </row>
        <row r="1953">
          <cell r="H1953" t="str">
            <v>Camprovín</v>
          </cell>
          <cell r="I1953" t="str">
            <v>26037</v>
          </cell>
        </row>
        <row r="1954">
          <cell r="H1954" t="str">
            <v>Camuñas</v>
          </cell>
          <cell r="I1954" t="str">
            <v>45034</v>
          </cell>
        </row>
        <row r="1955">
          <cell r="H1955" t="str">
            <v>Canal de Berdún</v>
          </cell>
          <cell r="I1955" t="str">
            <v>22076</v>
          </cell>
        </row>
        <row r="1956">
          <cell r="H1956" t="str">
            <v>Canalejas de Peñafiel</v>
          </cell>
          <cell r="I1956" t="str">
            <v>47033</v>
          </cell>
        </row>
        <row r="1957">
          <cell r="H1957" t="str">
            <v>Canalejas del Arroyo</v>
          </cell>
          <cell r="I1957" t="str">
            <v>16045</v>
          </cell>
        </row>
        <row r="1958">
          <cell r="H1958" t="str">
            <v>Canales</v>
          </cell>
          <cell r="I1958" t="str">
            <v>05046</v>
          </cell>
        </row>
        <row r="1959">
          <cell r="H1959" t="str">
            <v>Canales de la Sierra</v>
          </cell>
          <cell r="I1959" t="str">
            <v>26038</v>
          </cell>
        </row>
        <row r="1960">
          <cell r="H1960" t="str">
            <v>Canals</v>
          </cell>
          <cell r="I1960" t="str">
            <v>46081</v>
          </cell>
        </row>
        <row r="1961">
          <cell r="H1961" t="str">
            <v>Candamo</v>
          </cell>
          <cell r="I1961" t="str">
            <v>33010</v>
          </cell>
        </row>
        <row r="1962">
          <cell r="H1962" t="str">
            <v>Candasnos</v>
          </cell>
          <cell r="I1962" t="str">
            <v>22077</v>
          </cell>
        </row>
        <row r="1963">
          <cell r="H1963" t="str">
            <v>Candelaria</v>
          </cell>
          <cell r="I1963" t="str">
            <v>38011</v>
          </cell>
        </row>
        <row r="1964">
          <cell r="H1964" t="str">
            <v>Candelario</v>
          </cell>
          <cell r="I1964" t="str">
            <v>37078</v>
          </cell>
        </row>
        <row r="1965">
          <cell r="H1965" t="str">
            <v>Candeleda</v>
          </cell>
          <cell r="I1965" t="str">
            <v>05047</v>
          </cell>
        </row>
        <row r="1966">
          <cell r="H1966" t="str">
            <v>Candilichera</v>
          </cell>
          <cell r="I1966" t="str">
            <v>42049</v>
          </cell>
        </row>
        <row r="1967">
          <cell r="H1967" t="str">
            <v>Canejan</v>
          </cell>
          <cell r="I1967" t="str">
            <v>25063</v>
          </cell>
        </row>
        <row r="1968">
          <cell r="H1968" t="str">
            <v>Canena</v>
          </cell>
          <cell r="I1968" t="str">
            <v>23020</v>
          </cell>
        </row>
        <row r="1969">
          <cell r="H1969" t="str">
            <v>Canencia</v>
          </cell>
          <cell r="I1969" t="str">
            <v>28034</v>
          </cell>
        </row>
        <row r="1970">
          <cell r="H1970" t="str">
            <v>Canet d'Adri</v>
          </cell>
          <cell r="I1970" t="str">
            <v>17040</v>
          </cell>
        </row>
        <row r="1971">
          <cell r="H1971" t="str">
            <v>Canet de Mar</v>
          </cell>
          <cell r="I1971" t="str">
            <v>08040</v>
          </cell>
        </row>
        <row r="1972">
          <cell r="H1972" t="str">
            <v>Canet d'En Berenguer</v>
          </cell>
          <cell r="I1972" t="str">
            <v>46082</v>
          </cell>
        </row>
        <row r="1973">
          <cell r="H1973" t="str">
            <v>Canet lo Roig</v>
          </cell>
          <cell r="I1973" t="str">
            <v>12036</v>
          </cell>
        </row>
        <row r="1974">
          <cell r="H1974" t="str">
            <v>Canfranc</v>
          </cell>
          <cell r="I1974" t="str">
            <v>22078</v>
          </cell>
        </row>
        <row r="1975">
          <cell r="H1975" t="str">
            <v>Cangas</v>
          </cell>
          <cell r="I1975" t="str">
            <v>36008</v>
          </cell>
        </row>
        <row r="1976">
          <cell r="H1976" t="str">
            <v>Cangas de Onís</v>
          </cell>
          <cell r="I1976" t="str">
            <v>33012</v>
          </cell>
        </row>
        <row r="1977">
          <cell r="H1977" t="str">
            <v>Canicosa de la Sierra</v>
          </cell>
          <cell r="I1977" t="str">
            <v>09067</v>
          </cell>
        </row>
        <row r="1978">
          <cell r="H1978" t="str">
            <v>Caniles</v>
          </cell>
          <cell r="I1978" t="str">
            <v>18039</v>
          </cell>
        </row>
        <row r="1979">
          <cell r="H1979" t="str">
            <v>Canillas de Abajo</v>
          </cell>
          <cell r="I1979" t="str">
            <v>37079</v>
          </cell>
        </row>
        <row r="1980">
          <cell r="H1980" t="str">
            <v>Canillas de Aceituno</v>
          </cell>
          <cell r="I1980" t="str">
            <v>29033</v>
          </cell>
        </row>
        <row r="1981">
          <cell r="H1981" t="str">
            <v>Canillas de Albaida</v>
          </cell>
          <cell r="I1981" t="str">
            <v>29034</v>
          </cell>
        </row>
        <row r="1982">
          <cell r="H1982" t="str">
            <v>Canillas de Esgueva</v>
          </cell>
          <cell r="I1982" t="str">
            <v>47034</v>
          </cell>
        </row>
        <row r="1983">
          <cell r="H1983" t="str">
            <v>Canillas de Río Tuerto</v>
          </cell>
          <cell r="I1983" t="str">
            <v>26039</v>
          </cell>
        </row>
        <row r="1984">
          <cell r="H1984" t="str">
            <v>Canjáyar</v>
          </cell>
          <cell r="I1984" t="str">
            <v>04030</v>
          </cell>
        </row>
        <row r="1985">
          <cell r="H1985" t="str">
            <v>Canonja, La</v>
          </cell>
          <cell r="I1985" t="str">
            <v>43907</v>
          </cell>
        </row>
        <row r="1986">
          <cell r="H1986" t="str">
            <v>Canovelles</v>
          </cell>
          <cell r="I1986" t="str">
            <v>08041</v>
          </cell>
        </row>
        <row r="1987">
          <cell r="H1987" t="str">
            <v>Cànoves i Samalús</v>
          </cell>
          <cell r="I1987" t="str">
            <v>08042</v>
          </cell>
        </row>
        <row r="1988">
          <cell r="H1988" t="str">
            <v>Canredondo</v>
          </cell>
          <cell r="I1988" t="str">
            <v>19064</v>
          </cell>
        </row>
        <row r="1989">
          <cell r="H1989" t="str">
            <v>Cantabrana</v>
          </cell>
          <cell r="I1989" t="str">
            <v>09068</v>
          </cell>
        </row>
        <row r="1990">
          <cell r="H1990" t="str">
            <v>Cantagallo</v>
          </cell>
          <cell r="I1990" t="str">
            <v>37080</v>
          </cell>
        </row>
        <row r="1991">
          <cell r="H1991" t="str">
            <v>Cantalapiedra</v>
          </cell>
          <cell r="I1991" t="str">
            <v>37081</v>
          </cell>
        </row>
        <row r="1992">
          <cell r="H1992" t="str">
            <v>Cantalejo</v>
          </cell>
          <cell r="I1992" t="str">
            <v>40040</v>
          </cell>
        </row>
        <row r="1993">
          <cell r="H1993" t="str">
            <v>Cantallops</v>
          </cell>
          <cell r="I1993" t="str">
            <v>17041</v>
          </cell>
        </row>
        <row r="1994">
          <cell r="H1994" t="str">
            <v>Cantalojas</v>
          </cell>
          <cell r="I1994" t="str">
            <v>19065</v>
          </cell>
        </row>
        <row r="1995">
          <cell r="H1995" t="str">
            <v>Cantalpino</v>
          </cell>
          <cell r="I1995" t="str">
            <v>37082</v>
          </cell>
        </row>
        <row r="1996">
          <cell r="H1996" t="str">
            <v>Cantaracillo</v>
          </cell>
          <cell r="I1996" t="str">
            <v>37083</v>
          </cell>
        </row>
        <row r="1997">
          <cell r="H1997" t="str">
            <v>Cantavieja</v>
          </cell>
          <cell r="I1997" t="str">
            <v>44059</v>
          </cell>
        </row>
        <row r="1998">
          <cell r="H1998" t="str">
            <v>Cantillana</v>
          </cell>
          <cell r="I1998" t="str">
            <v>41023</v>
          </cell>
        </row>
        <row r="1999">
          <cell r="H1999" t="str">
            <v>Cantimpalos</v>
          </cell>
          <cell r="I1999" t="str">
            <v>40041</v>
          </cell>
        </row>
        <row r="2000">
          <cell r="H2000" t="str">
            <v>Cantiveros</v>
          </cell>
          <cell r="I2000" t="str">
            <v>05048</v>
          </cell>
        </row>
        <row r="2001">
          <cell r="H2001" t="str">
            <v>Cantoria</v>
          </cell>
          <cell r="I2001" t="str">
            <v>04031</v>
          </cell>
        </row>
        <row r="2002">
          <cell r="H2002" t="str">
            <v>Canyelles</v>
          </cell>
          <cell r="I2002" t="str">
            <v>08043</v>
          </cell>
        </row>
        <row r="2003">
          <cell r="H2003" t="str">
            <v>Cañada</v>
          </cell>
          <cell r="I2003" t="str">
            <v>03052</v>
          </cell>
        </row>
        <row r="2004">
          <cell r="H2004" t="str">
            <v>Cañada de Benatanduz</v>
          </cell>
          <cell r="I2004" t="str">
            <v>44060</v>
          </cell>
        </row>
        <row r="2005">
          <cell r="H2005" t="str">
            <v>Cañada de Calatrava</v>
          </cell>
          <cell r="I2005" t="str">
            <v>13029</v>
          </cell>
        </row>
        <row r="2006">
          <cell r="H2006" t="str">
            <v>Cañada del Hoyo</v>
          </cell>
          <cell r="I2006" t="str">
            <v>16046</v>
          </cell>
        </row>
        <row r="2007">
          <cell r="H2007" t="str">
            <v>Cañada Juncosa</v>
          </cell>
          <cell r="I2007" t="str">
            <v>16047</v>
          </cell>
        </row>
        <row r="2008">
          <cell r="H2008" t="str">
            <v>Cañada Rosal</v>
          </cell>
          <cell r="I2008" t="str">
            <v>41901</v>
          </cell>
        </row>
        <row r="2009">
          <cell r="H2009" t="str">
            <v>Cañamaque</v>
          </cell>
          <cell r="I2009" t="str">
            <v>42050</v>
          </cell>
        </row>
        <row r="2010">
          <cell r="H2010" t="str">
            <v>Cañamares</v>
          </cell>
          <cell r="I2010" t="str">
            <v>16048</v>
          </cell>
        </row>
        <row r="2011">
          <cell r="H2011" t="str">
            <v>Cañamero</v>
          </cell>
          <cell r="I2011" t="str">
            <v>10044</v>
          </cell>
        </row>
        <row r="2012">
          <cell r="H2012" t="str">
            <v>Cáñar</v>
          </cell>
          <cell r="I2012" t="str">
            <v>18040</v>
          </cell>
        </row>
        <row r="2013">
          <cell r="H2013" t="str">
            <v>Cañas</v>
          </cell>
          <cell r="I2013" t="str">
            <v>26040</v>
          </cell>
        </row>
        <row r="2014">
          <cell r="H2014" t="str">
            <v>Cañavate, El</v>
          </cell>
          <cell r="I2014" t="str">
            <v>16049</v>
          </cell>
        </row>
        <row r="2015">
          <cell r="H2015" t="str">
            <v>Cañaveral</v>
          </cell>
          <cell r="I2015" t="str">
            <v>10045</v>
          </cell>
        </row>
        <row r="2016">
          <cell r="H2016" t="str">
            <v>Cañaveral de León</v>
          </cell>
          <cell r="I2016" t="str">
            <v>21020</v>
          </cell>
        </row>
        <row r="2017">
          <cell r="H2017" t="str">
            <v>Cañaveras</v>
          </cell>
          <cell r="I2017" t="str">
            <v>16050</v>
          </cell>
        </row>
        <row r="2018">
          <cell r="H2018" t="str">
            <v>Cañaveruelas</v>
          </cell>
          <cell r="I2018" t="str">
            <v>16051</v>
          </cell>
        </row>
        <row r="2019">
          <cell r="H2019" t="str">
            <v>Cañete</v>
          </cell>
          <cell r="I2019" t="str">
            <v>16052</v>
          </cell>
        </row>
        <row r="2020">
          <cell r="H2020" t="str">
            <v>Cañete de las Torres</v>
          </cell>
          <cell r="I2020" t="str">
            <v>14014</v>
          </cell>
        </row>
        <row r="2021">
          <cell r="H2021" t="str">
            <v>Cañete la Real</v>
          </cell>
          <cell r="I2021" t="str">
            <v>29035</v>
          </cell>
        </row>
        <row r="2022">
          <cell r="H2022" t="str">
            <v>Cañiza, A</v>
          </cell>
          <cell r="I2022" t="str">
            <v>36009</v>
          </cell>
        </row>
        <row r="2023">
          <cell r="H2023" t="str">
            <v>Cañizal</v>
          </cell>
          <cell r="I2023" t="str">
            <v>49034</v>
          </cell>
        </row>
        <row r="2024">
          <cell r="H2024" t="str">
            <v>Cañizar</v>
          </cell>
          <cell r="I2024" t="str">
            <v>19066</v>
          </cell>
        </row>
        <row r="2025">
          <cell r="H2025" t="str">
            <v>Cañizares</v>
          </cell>
          <cell r="I2025" t="str">
            <v>16053</v>
          </cell>
        </row>
        <row r="2026">
          <cell r="H2026" t="str">
            <v>Cañizo</v>
          </cell>
          <cell r="I2026" t="str">
            <v>49035</v>
          </cell>
        </row>
        <row r="2027">
          <cell r="H2027" t="str">
            <v>Capafonts</v>
          </cell>
          <cell r="I2027" t="str">
            <v>43039</v>
          </cell>
        </row>
        <row r="2028">
          <cell r="H2028" t="str">
            <v>Caparroso</v>
          </cell>
          <cell r="I2028" t="str">
            <v>31065</v>
          </cell>
        </row>
        <row r="2029">
          <cell r="H2029" t="str">
            <v>Capçanes</v>
          </cell>
          <cell r="I2029" t="str">
            <v>43040</v>
          </cell>
        </row>
        <row r="2030">
          <cell r="H2030" t="str">
            <v>Capdepera</v>
          </cell>
          <cell r="I2030" t="str">
            <v>07014</v>
          </cell>
        </row>
        <row r="2031">
          <cell r="H2031" t="str">
            <v>Capdesaso</v>
          </cell>
          <cell r="I2031" t="str">
            <v>22079</v>
          </cell>
        </row>
        <row r="2032">
          <cell r="H2032" t="str">
            <v>Capella</v>
          </cell>
          <cell r="I2032" t="str">
            <v>22080</v>
          </cell>
        </row>
        <row r="2033">
          <cell r="H2033" t="str">
            <v>Capellades</v>
          </cell>
          <cell r="I2033" t="str">
            <v>08044</v>
          </cell>
        </row>
        <row r="2034">
          <cell r="H2034" t="str">
            <v>Capileira</v>
          </cell>
          <cell r="I2034" t="str">
            <v>18042</v>
          </cell>
        </row>
        <row r="2035">
          <cell r="H2035" t="str">
            <v>Capilla</v>
          </cell>
          <cell r="I2035" t="str">
            <v>06030</v>
          </cell>
        </row>
        <row r="2036">
          <cell r="H2036" t="str">
            <v>Capillas</v>
          </cell>
          <cell r="I2036" t="str">
            <v>34045</v>
          </cell>
        </row>
        <row r="2037">
          <cell r="H2037" t="str">
            <v>Capmany</v>
          </cell>
          <cell r="I2037" t="str">
            <v>17042</v>
          </cell>
        </row>
        <row r="2038">
          <cell r="H2038" t="str">
            <v>Capolat</v>
          </cell>
          <cell r="I2038" t="str">
            <v>08045</v>
          </cell>
        </row>
        <row r="2039">
          <cell r="H2039" t="str">
            <v>Carabantes</v>
          </cell>
          <cell r="I2039" t="str">
            <v>42051</v>
          </cell>
        </row>
        <row r="2040">
          <cell r="H2040" t="str">
            <v>Carabaña</v>
          </cell>
          <cell r="I2040" t="str">
            <v>28035</v>
          </cell>
        </row>
        <row r="2041">
          <cell r="H2041" t="str">
            <v>Carabias</v>
          </cell>
          <cell r="I2041" t="str">
            <v>40161</v>
          </cell>
        </row>
        <row r="2042">
          <cell r="H2042" t="str">
            <v>Caracena</v>
          </cell>
          <cell r="I2042" t="str">
            <v>42052</v>
          </cell>
        </row>
        <row r="2043">
          <cell r="H2043" t="str">
            <v>Caracuel de Calatrava</v>
          </cell>
          <cell r="I2043" t="str">
            <v>13030</v>
          </cell>
        </row>
        <row r="2044">
          <cell r="H2044" t="str">
            <v>Carataunas</v>
          </cell>
          <cell r="I2044" t="str">
            <v>18043</v>
          </cell>
        </row>
        <row r="2045">
          <cell r="H2045" t="str">
            <v>Caravaca de la Cruz</v>
          </cell>
          <cell r="I2045" t="str">
            <v>30015</v>
          </cell>
        </row>
        <row r="2046">
          <cell r="H2046" t="str">
            <v>Carazo</v>
          </cell>
          <cell r="I2046" t="str">
            <v>09070</v>
          </cell>
        </row>
        <row r="2047">
          <cell r="H2047" t="str">
            <v>Carbajales de Alba</v>
          </cell>
          <cell r="I2047" t="str">
            <v>49036</v>
          </cell>
        </row>
        <row r="2048">
          <cell r="H2048" t="str">
            <v>Carbajo</v>
          </cell>
          <cell r="I2048" t="str">
            <v>10046</v>
          </cell>
        </row>
        <row r="2049">
          <cell r="H2049" t="str">
            <v>Carbajosa de la Sagrada</v>
          </cell>
          <cell r="I2049" t="str">
            <v>37085</v>
          </cell>
        </row>
        <row r="2050">
          <cell r="H2050" t="str">
            <v>Carballeda de Avia</v>
          </cell>
          <cell r="I2050" t="str">
            <v>32018</v>
          </cell>
        </row>
        <row r="2051">
          <cell r="H2051" t="str">
            <v>Carballeda de Valdeorras</v>
          </cell>
          <cell r="I2051" t="str">
            <v>32017</v>
          </cell>
        </row>
        <row r="2052">
          <cell r="H2052" t="str">
            <v>Carballedo</v>
          </cell>
          <cell r="I2052" t="str">
            <v>27009</v>
          </cell>
        </row>
        <row r="2053">
          <cell r="H2053" t="str">
            <v>Carballiño, O</v>
          </cell>
          <cell r="I2053" t="str">
            <v>32019</v>
          </cell>
        </row>
        <row r="2054">
          <cell r="H2054" t="str">
            <v>Carballo</v>
          </cell>
          <cell r="I2054" t="str">
            <v>15019</v>
          </cell>
        </row>
        <row r="2055">
          <cell r="H2055" t="str">
            <v>Carbellino</v>
          </cell>
          <cell r="I2055" t="str">
            <v>49037</v>
          </cell>
        </row>
        <row r="2056">
          <cell r="H2056" t="str">
            <v>Carboneras de Guadazaón</v>
          </cell>
          <cell r="I2056" t="str">
            <v>16055</v>
          </cell>
        </row>
        <row r="2057">
          <cell r="H2057" t="str">
            <v>Carbonero el Mayor</v>
          </cell>
          <cell r="I2057" t="str">
            <v>40043</v>
          </cell>
        </row>
        <row r="2058">
          <cell r="H2058" t="str">
            <v>Carboneros</v>
          </cell>
          <cell r="I2058" t="str">
            <v>23021</v>
          </cell>
        </row>
        <row r="2059">
          <cell r="H2059" t="str">
            <v>Carcaboso</v>
          </cell>
          <cell r="I2059" t="str">
            <v>10047</v>
          </cell>
        </row>
        <row r="2060">
          <cell r="H2060" t="str">
            <v>Carcabuey</v>
          </cell>
          <cell r="I2060" t="str">
            <v>14015</v>
          </cell>
        </row>
        <row r="2061">
          <cell r="H2061" t="str">
            <v>Carcaixent</v>
          </cell>
          <cell r="I2061" t="str">
            <v>46083</v>
          </cell>
        </row>
        <row r="2062">
          <cell r="H2062" t="str">
            <v>Cárcar</v>
          </cell>
          <cell r="I2062" t="str">
            <v>31066</v>
          </cell>
        </row>
        <row r="2063">
          <cell r="H2063" t="str">
            <v>Carcastillo</v>
          </cell>
          <cell r="I2063" t="str">
            <v>31067</v>
          </cell>
        </row>
        <row r="2064">
          <cell r="H2064" t="str">
            <v>Carcedo de Bureba</v>
          </cell>
          <cell r="I2064" t="str">
            <v>09071</v>
          </cell>
        </row>
        <row r="2065">
          <cell r="H2065" t="str">
            <v>Carcedo de Burgos</v>
          </cell>
          <cell r="I2065" t="str">
            <v>09072</v>
          </cell>
        </row>
        <row r="2066">
          <cell r="H2066" t="str">
            <v>Carcelén</v>
          </cell>
          <cell r="I2066" t="str">
            <v>02020</v>
          </cell>
        </row>
        <row r="2067">
          <cell r="H2067" t="str">
            <v>Càrcer</v>
          </cell>
          <cell r="I2067" t="str">
            <v>46084</v>
          </cell>
        </row>
        <row r="2068">
          <cell r="H2068" t="str">
            <v>Cárcheles</v>
          </cell>
          <cell r="I2068" t="str">
            <v>23901</v>
          </cell>
        </row>
        <row r="2069">
          <cell r="H2069" t="str">
            <v>Cardedeu</v>
          </cell>
          <cell r="I2069" t="str">
            <v>08046</v>
          </cell>
        </row>
        <row r="2070">
          <cell r="H2070" t="str">
            <v>Cárdenas</v>
          </cell>
          <cell r="I2070" t="str">
            <v>26041</v>
          </cell>
        </row>
        <row r="2071">
          <cell r="H2071" t="str">
            <v>Cardenete</v>
          </cell>
          <cell r="I2071" t="str">
            <v>16056</v>
          </cell>
        </row>
        <row r="2072">
          <cell r="H2072" t="str">
            <v>Cardeña</v>
          </cell>
          <cell r="I2072" t="str">
            <v>14016</v>
          </cell>
        </row>
        <row r="2073">
          <cell r="H2073" t="str">
            <v>Cardeñadijo</v>
          </cell>
          <cell r="I2073" t="str">
            <v>09073</v>
          </cell>
        </row>
        <row r="2074">
          <cell r="H2074" t="str">
            <v>Cardeñajimeno</v>
          </cell>
          <cell r="I2074" t="str">
            <v>09074</v>
          </cell>
        </row>
        <row r="2075">
          <cell r="H2075" t="str">
            <v>Cardeñosa</v>
          </cell>
          <cell r="I2075" t="str">
            <v>05049</v>
          </cell>
        </row>
        <row r="2076">
          <cell r="H2076" t="str">
            <v>Cardeñosa de Volpejera</v>
          </cell>
          <cell r="I2076" t="str">
            <v>34046</v>
          </cell>
        </row>
        <row r="2077">
          <cell r="H2077" t="str">
            <v>Cardeñuela Riopico</v>
          </cell>
          <cell r="I2077" t="str">
            <v>09075</v>
          </cell>
        </row>
        <row r="2078">
          <cell r="H2078" t="str">
            <v>Cardiel de los Montes</v>
          </cell>
          <cell r="I2078" t="str">
            <v>45035</v>
          </cell>
        </row>
        <row r="2079">
          <cell r="H2079" t="str">
            <v>Cardona</v>
          </cell>
          <cell r="I2079" t="str">
            <v>08047</v>
          </cell>
        </row>
        <row r="2080">
          <cell r="H2080" t="str">
            <v>Cardoso de la Sierra, El</v>
          </cell>
          <cell r="I2080" t="str">
            <v>19067</v>
          </cell>
        </row>
        <row r="2081">
          <cell r="H2081" t="str">
            <v>Carenas</v>
          </cell>
          <cell r="I2081" t="str">
            <v>50072</v>
          </cell>
        </row>
        <row r="2082">
          <cell r="H2082" t="str">
            <v>Cariñena</v>
          </cell>
          <cell r="I2082" t="str">
            <v>50073</v>
          </cell>
        </row>
        <row r="2083">
          <cell r="H2083" t="str">
            <v>Cariño</v>
          </cell>
          <cell r="I2083" t="str">
            <v>15901</v>
          </cell>
        </row>
        <row r="2084">
          <cell r="H2084" t="str">
            <v>Carlet</v>
          </cell>
          <cell r="I2084" t="str">
            <v>46085</v>
          </cell>
        </row>
        <row r="2085">
          <cell r="H2085" t="str">
            <v>Carlota, La</v>
          </cell>
          <cell r="I2085" t="str">
            <v>14017</v>
          </cell>
        </row>
        <row r="2086">
          <cell r="H2086" t="str">
            <v>Carme</v>
          </cell>
          <cell r="I2086" t="str">
            <v>08048</v>
          </cell>
        </row>
        <row r="2087">
          <cell r="H2087" t="str">
            <v>Carmena</v>
          </cell>
          <cell r="I2087" t="str">
            <v>45036</v>
          </cell>
        </row>
        <row r="2088">
          <cell r="H2088" t="str">
            <v>Carmona</v>
          </cell>
          <cell r="I2088" t="str">
            <v>41024</v>
          </cell>
        </row>
        <row r="2089">
          <cell r="H2089" t="str">
            <v>Carmonita</v>
          </cell>
          <cell r="I2089" t="str">
            <v>06031</v>
          </cell>
        </row>
        <row r="2090">
          <cell r="H2090" t="str">
            <v>Carnota</v>
          </cell>
          <cell r="I2090" t="str">
            <v>15020</v>
          </cell>
        </row>
        <row r="2091">
          <cell r="H2091" t="str">
            <v>Carolina, La</v>
          </cell>
          <cell r="I2091" t="str">
            <v>23024</v>
          </cell>
        </row>
        <row r="2092">
          <cell r="H2092" t="str">
            <v>Carpio</v>
          </cell>
          <cell r="I2092" t="str">
            <v>47035</v>
          </cell>
        </row>
        <row r="2093">
          <cell r="H2093" t="str">
            <v>Carpio de Azaba</v>
          </cell>
          <cell r="I2093" t="str">
            <v>37086</v>
          </cell>
        </row>
        <row r="2094">
          <cell r="H2094" t="str">
            <v>Carpio de Tajo, El</v>
          </cell>
          <cell r="I2094" t="str">
            <v>45037</v>
          </cell>
        </row>
        <row r="2095">
          <cell r="H2095" t="str">
            <v>Carpio, El</v>
          </cell>
          <cell r="I2095" t="str">
            <v>14018</v>
          </cell>
        </row>
        <row r="2096">
          <cell r="H2096" t="str">
            <v>Carranque</v>
          </cell>
          <cell r="I2096" t="str">
            <v>45038</v>
          </cell>
        </row>
        <row r="2097">
          <cell r="H2097" t="str">
            <v>Carrascal de Barregas</v>
          </cell>
          <cell r="I2097" t="str">
            <v>37087</v>
          </cell>
        </row>
        <row r="2098">
          <cell r="H2098" t="str">
            <v>Carrascal del Obispo</v>
          </cell>
          <cell r="I2098" t="str">
            <v>37088</v>
          </cell>
        </row>
        <row r="2099">
          <cell r="H2099" t="str">
            <v>Carrascal del Río</v>
          </cell>
          <cell r="I2099" t="str">
            <v>40044</v>
          </cell>
        </row>
        <row r="2100">
          <cell r="H2100" t="str">
            <v>Carrascalejo</v>
          </cell>
          <cell r="I2100" t="str">
            <v>10048</v>
          </cell>
        </row>
        <row r="2101">
          <cell r="H2101" t="str">
            <v>Carrascalejo, El</v>
          </cell>
          <cell r="I2101" t="str">
            <v>06032</v>
          </cell>
        </row>
        <row r="2102">
          <cell r="H2102" t="str">
            <v>Carrascosa</v>
          </cell>
          <cell r="I2102" t="str">
            <v>16057</v>
          </cell>
        </row>
        <row r="2103">
          <cell r="H2103" t="str">
            <v>Carrascosa de Abajo</v>
          </cell>
          <cell r="I2103" t="str">
            <v>42053</v>
          </cell>
        </row>
        <row r="2104">
          <cell r="H2104" t="str">
            <v>Carrascosa de Haro</v>
          </cell>
          <cell r="I2104" t="str">
            <v>16058</v>
          </cell>
        </row>
        <row r="2105">
          <cell r="H2105" t="str">
            <v>Carrascosa de la Sierra</v>
          </cell>
          <cell r="I2105" t="str">
            <v>42054</v>
          </cell>
        </row>
        <row r="2106">
          <cell r="H2106" t="str">
            <v>Carratraca</v>
          </cell>
          <cell r="I2106" t="str">
            <v>29036</v>
          </cell>
        </row>
        <row r="2107">
          <cell r="H2107" t="str">
            <v>Carrera, La</v>
          </cell>
          <cell r="I2107" t="str">
            <v>05051</v>
          </cell>
        </row>
        <row r="2108">
          <cell r="H2108" t="str">
            <v>Carrias</v>
          </cell>
          <cell r="I2108" t="str">
            <v>09076</v>
          </cell>
        </row>
        <row r="2109">
          <cell r="H2109" t="str">
            <v>Carriches</v>
          </cell>
          <cell r="I2109" t="str">
            <v>45039</v>
          </cell>
        </row>
        <row r="2110">
          <cell r="H2110" t="str">
            <v>Carrícola</v>
          </cell>
          <cell r="I2110" t="str">
            <v>46086</v>
          </cell>
        </row>
        <row r="2111">
          <cell r="H2111" t="str">
            <v>Carrión de Calatrava</v>
          </cell>
          <cell r="I2111" t="str">
            <v>13031</v>
          </cell>
        </row>
        <row r="2112">
          <cell r="H2112" t="str">
            <v>Carrión de los Céspedes</v>
          </cell>
          <cell r="I2112" t="str">
            <v>41025</v>
          </cell>
        </row>
        <row r="2113">
          <cell r="H2113" t="str">
            <v>Carrión de los Condes</v>
          </cell>
          <cell r="I2113" t="str">
            <v>34047</v>
          </cell>
        </row>
        <row r="2114">
          <cell r="H2114" t="str">
            <v>Carrizo</v>
          </cell>
          <cell r="I2114" t="str">
            <v>24039</v>
          </cell>
        </row>
        <row r="2115">
          <cell r="H2115" t="str">
            <v>Carrizosa</v>
          </cell>
          <cell r="I2115" t="str">
            <v>13032</v>
          </cell>
        </row>
        <row r="2116">
          <cell r="H2116" t="str">
            <v>Cartagena</v>
          </cell>
          <cell r="I2116" t="str">
            <v>30016</v>
          </cell>
        </row>
        <row r="2117">
          <cell r="H2117" t="str">
            <v>Cartajima</v>
          </cell>
          <cell r="I2117" t="str">
            <v>29037</v>
          </cell>
        </row>
        <row r="2118">
          <cell r="H2118" t="str">
            <v>Cártama</v>
          </cell>
          <cell r="I2118" t="str">
            <v>29038</v>
          </cell>
        </row>
        <row r="2119">
          <cell r="H2119" t="str">
            <v>Cartaya</v>
          </cell>
          <cell r="I2119" t="str">
            <v>21021</v>
          </cell>
        </row>
        <row r="2120">
          <cell r="H2120" t="str">
            <v>Cartelle</v>
          </cell>
          <cell r="I2120" t="str">
            <v>32020</v>
          </cell>
        </row>
        <row r="2121">
          <cell r="H2121" t="str">
            <v>Cartes</v>
          </cell>
          <cell r="I2121" t="str">
            <v>39018</v>
          </cell>
        </row>
        <row r="2122">
          <cell r="H2122" t="str">
            <v>Casa de Uceda</v>
          </cell>
          <cell r="I2122" t="str">
            <v>19070</v>
          </cell>
        </row>
        <row r="2123">
          <cell r="H2123" t="str">
            <v>Casabermeja</v>
          </cell>
          <cell r="I2123" t="str">
            <v>29039</v>
          </cell>
        </row>
        <row r="2124">
          <cell r="H2124" t="str">
            <v>Casafranca</v>
          </cell>
          <cell r="I2124" t="str">
            <v>37089</v>
          </cell>
        </row>
        <row r="2125">
          <cell r="H2125" t="str">
            <v>Casalarreina</v>
          </cell>
          <cell r="I2125" t="str">
            <v>26042</v>
          </cell>
        </row>
        <row r="2126">
          <cell r="H2126" t="str">
            <v>Casar de Cáceres</v>
          </cell>
          <cell r="I2126" t="str">
            <v>10049</v>
          </cell>
        </row>
        <row r="2127">
          <cell r="H2127" t="str">
            <v>Casar de Escalona, El</v>
          </cell>
          <cell r="I2127" t="str">
            <v>45040</v>
          </cell>
        </row>
        <row r="2128">
          <cell r="H2128" t="str">
            <v>Casar de Palomero</v>
          </cell>
          <cell r="I2128" t="str">
            <v>10050</v>
          </cell>
        </row>
        <row r="2129">
          <cell r="H2129" t="str">
            <v>Casar, El</v>
          </cell>
          <cell r="I2129" t="str">
            <v>19071</v>
          </cell>
        </row>
        <row r="2130">
          <cell r="H2130" t="str">
            <v>Casarabonela</v>
          </cell>
          <cell r="I2130" t="str">
            <v>29040</v>
          </cell>
        </row>
        <row r="2131">
          <cell r="H2131" t="str">
            <v>Casarejos</v>
          </cell>
          <cell r="I2131" t="str">
            <v>42055</v>
          </cell>
        </row>
        <row r="2132">
          <cell r="H2132" t="str">
            <v>Casares</v>
          </cell>
          <cell r="I2132" t="str">
            <v>29041</v>
          </cell>
        </row>
        <row r="2133">
          <cell r="H2133" t="str">
            <v>Casares de las Hurdes</v>
          </cell>
          <cell r="I2133" t="str">
            <v>10051</v>
          </cell>
        </row>
        <row r="2134">
          <cell r="H2134" t="str">
            <v>Casariche</v>
          </cell>
          <cell r="I2134" t="str">
            <v>41026</v>
          </cell>
        </row>
        <row r="2135">
          <cell r="H2135" t="str">
            <v>Casarrubios del Monte</v>
          </cell>
          <cell r="I2135" t="str">
            <v>45041</v>
          </cell>
        </row>
        <row r="2136">
          <cell r="H2136" t="str">
            <v>Casarrubuelos</v>
          </cell>
          <cell r="I2136" t="str">
            <v>28036</v>
          </cell>
        </row>
        <row r="2137">
          <cell r="H2137" t="str">
            <v>Casas Altas</v>
          </cell>
          <cell r="I2137" t="str">
            <v>46087</v>
          </cell>
        </row>
        <row r="2138">
          <cell r="H2138" t="str">
            <v>Casas Bajas</v>
          </cell>
          <cell r="I2138" t="str">
            <v>46088</v>
          </cell>
        </row>
        <row r="2139">
          <cell r="H2139" t="str">
            <v>Casas de Benítez</v>
          </cell>
          <cell r="I2139" t="str">
            <v>16060</v>
          </cell>
        </row>
        <row r="2140">
          <cell r="H2140" t="str">
            <v>Casas de Don Antonio</v>
          </cell>
          <cell r="I2140" t="str">
            <v>10052</v>
          </cell>
        </row>
        <row r="2141">
          <cell r="H2141" t="str">
            <v>Casas de Don Gómez</v>
          </cell>
          <cell r="I2141" t="str">
            <v>10053</v>
          </cell>
        </row>
        <row r="2142">
          <cell r="H2142" t="str">
            <v>Casas de Don Pedro</v>
          </cell>
          <cell r="I2142" t="str">
            <v>06033</v>
          </cell>
        </row>
        <row r="2143">
          <cell r="H2143" t="str">
            <v>Casas de Fernando Alonso</v>
          </cell>
          <cell r="I2143" t="str">
            <v>16061</v>
          </cell>
        </row>
        <row r="2144">
          <cell r="H2144" t="str">
            <v>Casas de Garcimolina</v>
          </cell>
          <cell r="I2144" t="str">
            <v>16062</v>
          </cell>
        </row>
        <row r="2145">
          <cell r="H2145" t="str">
            <v>Casas de Guijarro</v>
          </cell>
          <cell r="I2145" t="str">
            <v>16063</v>
          </cell>
        </row>
        <row r="2146">
          <cell r="H2146" t="str">
            <v>Casas de Haro</v>
          </cell>
          <cell r="I2146" t="str">
            <v>16064</v>
          </cell>
        </row>
        <row r="2147">
          <cell r="H2147" t="str">
            <v>Casas de Juan Núñez</v>
          </cell>
          <cell r="I2147" t="str">
            <v>02021</v>
          </cell>
        </row>
        <row r="2148">
          <cell r="H2148" t="str">
            <v>Casas de Lázaro</v>
          </cell>
          <cell r="I2148" t="str">
            <v>02022</v>
          </cell>
        </row>
        <row r="2149">
          <cell r="H2149" t="str">
            <v>Casas de los Pinos</v>
          </cell>
          <cell r="I2149" t="str">
            <v>16065</v>
          </cell>
        </row>
        <row r="2150">
          <cell r="H2150" t="str">
            <v>Casas de Millán</v>
          </cell>
          <cell r="I2150" t="str">
            <v>10056</v>
          </cell>
        </row>
        <row r="2151">
          <cell r="H2151" t="str">
            <v>Casas de Miravete</v>
          </cell>
          <cell r="I2151" t="str">
            <v>10057</v>
          </cell>
        </row>
        <row r="2152">
          <cell r="H2152" t="str">
            <v>Casas de Reina</v>
          </cell>
          <cell r="I2152" t="str">
            <v>06034</v>
          </cell>
        </row>
        <row r="2153">
          <cell r="H2153" t="str">
            <v>Casas de San Galindo</v>
          </cell>
          <cell r="I2153" t="str">
            <v>19073</v>
          </cell>
        </row>
        <row r="2154">
          <cell r="H2154" t="str">
            <v>Casas de Ves</v>
          </cell>
          <cell r="I2154" t="str">
            <v>02023</v>
          </cell>
        </row>
        <row r="2155">
          <cell r="H2155" t="str">
            <v>Casas del Castañar</v>
          </cell>
          <cell r="I2155" t="str">
            <v>10054</v>
          </cell>
        </row>
        <row r="2156">
          <cell r="H2156" t="str">
            <v>Casas del Conde, Las</v>
          </cell>
          <cell r="I2156" t="str">
            <v>37090</v>
          </cell>
        </row>
        <row r="2157">
          <cell r="H2157" t="str">
            <v>Casas del Monte</v>
          </cell>
          <cell r="I2157" t="str">
            <v>10055</v>
          </cell>
        </row>
        <row r="2158">
          <cell r="H2158" t="str">
            <v>Casas del Puerto</v>
          </cell>
          <cell r="I2158" t="str">
            <v>05052</v>
          </cell>
        </row>
        <row r="2159">
          <cell r="H2159" t="str">
            <v>Casasbuenas</v>
          </cell>
          <cell r="I2159" t="str">
            <v>45042</v>
          </cell>
        </row>
        <row r="2160">
          <cell r="H2160" t="str">
            <v>Casaseca de Campeán</v>
          </cell>
          <cell r="I2160" t="str">
            <v>49038</v>
          </cell>
        </row>
        <row r="2161">
          <cell r="H2161" t="str">
            <v>Casaseca de las Chanas</v>
          </cell>
          <cell r="I2161" t="str">
            <v>49039</v>
          </cell>
        </row>
        <row r="2162">
          <cell r="H2162" t="str">
            <v>Casas-Ibáñez</v>
          </cell>
          <cell r="I2162" t="str">
            <v>02024</v>
          </cell>
        </row>
        <row r="2163">
          <cell r="H2163" t="str">
            <v>Casasimarro</v>
          </cell>
          <cell r="I2163" t="str">
            <v>16066</v>
          </cell>
        </row>
        <row r="2164">
          <cell r="H2164" t="str">
            <v>Casasola</v>
          </cell>
          <cell r="I2164" t="str">
            <v>05053</v>
          </cell>
        </row>
        <row r="2165">
          <cell r="H2165" t="str">
            <v>Casasola de Arión</v>
          </cell>
          <cell r="I2165" t="str">
            <v>47036</v>
          </cell>
        </row>
        <row r="2166">
          <cell r="H2166" t="str">
            <v>Casatejada</v>
          </cell>
          <cell r="I2166" t="str">
            <v>10058</v>
          </cell>
        </row>
        <row r="2167">
          <cell r="H2167" t="str">
            <v>Casavieja</v>
          </cell>
          <cell r="I2167" t="str">
            <v>05054</v>
          </cell>
        </row>
        <row r="2168">
          <cell r="H2168" t="str">
            <v>Casbas de Huesca</v>
          </cell>
          <cell r="I2168" t="str">
            <v>22081</v>
          </cell>
        </row>
        <row r="2169">
          <cell r="H2169" t="str">
            <v>Cascajares de la Sierra</v>
          </cell>
          <cell r="I2169" t="str">
            <v>09078</v>
          </cell>
        </row>
        <row r="2170">
          <cell r="H2170" t="str">
            <v>Cascante</v>
          </cell>
          <cell r="I2170" t="str">
            <v>31068</v>
          </cell>
        </row>
        <row r="2171">
          <cell r="H2171" t="str">
            <v>Cascante del Río</v>
          </cell>
          <cell r="I2171" t="str">
            <v>44064</v>
          </cell>
        </row>
        <row r="2172">
          <cell r="H2172" t="str">
            <v>Cáseda</v>
          </cell>
          <cell r="I2172" t="str">
            <v>31069</v>
          </cell>
        </row>
        <row r="2173">
          <cell r="H2173" t="str">
            <v>Caseres</v>
          </cell>
          <cell r="I2173" t="str">
            <v>43041</v>
          </cell>
        </row>
        <row r="2174">
          <cell r="H2174" t="str">
            <v>Casillas</v>
          </cell>
          <cell r="I2174" t="str">
            <v>05055</v>
          </cell>
        </row>
        <row r="2175">
          <cell r="H2175" t="str">
            <v>Casillas de Coria</v>
          </cell>
          <cell r="I2175" t="str">
            <v>10059</v>
          </cell>
        </row>
        <row r="2176">
          <cell r="H2176" t="str">
            <v>Casillas de Flores</v>
          </cell>
          <cell r="I2176" t="str">
            <v>37091</v>
          </cell>
        </row>
        <row r="2177">
          <cell r="H2177" t="str">
            <v>Casinos</v>
          </cell>
          <cell r="I2177" t="str">
            <v>46089</v>
          </cell>
        </row>
        <row r="2178">
          <cell r="H2178" t="str">
            <v>Casla</v>
          </cell>
          <cell r="I2178" t="str">
            <v>40045</v>
          </cell>
        </row>
        <row r="2179">
          <cell r="H2179" t="str">
            <v>Caspueñas</v>
          </cell>
          <cell r="I2179" t="str">
            <v>19074</v>
          </cell>
        </row>
        <row r="2180">
          <cell r="H2180" t="str">
            <v>Cassà de la Selva</v>
          </cell>
          <cell r="I2180" t="str">
            <v>17044</v>
          </cell>
        </row>
        <row r="2181">
          <cell r="H2181" t="str">
            <v>Casserres</v>
          </cell>
          <cell r="I2181" t="str">
            <v>08049</v>
          </cell>
        </row>
        <row r="2182">
          <cell r="H2182" t="str">
            <v>Castalla</v>
          </cell>
          <cell r="I2182" t="str">
            <v>03053</v>
          </cell>
        </row>
        <row r="2183">
          <cell r="H2183" t="str">
            <v>Castañar de Ibor</v>
          </cell>
          <cell r="I2183" t="str">
            <v>10060</v>
          </cell>
        </row>
        <row r="2184">
          <cell r="H2184" t="str">
            <v>Castañares de Rioja</v>
          </cell>
          <cell r="I2184" t="str">
            <v>26043</v>
          </cell>
        </row>
        <row r="2185">
          <cell r="H2185" t="str">
            <v>Castañeda</v>
          </cell>
          <cell r="I2185" t="str">
            <v>39019</v>
          </cell>
        </row>
        <row r="2186">
          <cell r="H2186" t="str">
            <v>Castaño del Robledo</v>
          </cell>
          <cell r="I2186" t="str">
            <v>21022</v>
          </cell>
        </row>
        <row r="2187">
          <cell r="H2187" t="str">
            <v>Cástaras</v>
          </cell>
          <cell r="I2187" t="str">
            <v>18044</v>
          </cell>
        </row>
        <row r="2188">
          <cell r="H2188" t="str">
            <v>Castejón</v>
          </cell>
          <cell r="I2188" t="str">
            <v>16067</v>
          </cell>
        </row>
        <row r="2189">
          <cell r="H2189" t="str">
            <v>Castejón</v>
          </cell>
          <cell r="I2189" t="str">
            <v>31070</v>
          </cell>
        </row>
        <row r="2190">
          <cell r="H2190" t="str">
            <v>Castejón de Alarba</v>
          </cell>
          <cell r="I2190" t="str">
            <v>50075</v>
          </cell>
        </row>
        <row r="2191">
          <cell r="H2191" t="str">
            <v>Castejón de Henares</v>
          </cell>
          <cell r="I2191" t="str">
            <v>19075</v>
          </cell>
        </row>
        <row r="2192">
          <cell r="H2192" t="str">
            <v>Castejón de las Armas</v>
          </cell>
          <cell r="I2192" t="str">
            <v>50076</v>
          </cell>
        </row>
        <row r="2193">
          <cell r="H2193" t="str">
            <v>Castejón de Monegros</v>
          </cell>
          <cell r="I2193" t="str">
            <v>22083</v>
          </cell>
        </row>
        <row r="2194">
          <cell r="H2194" t="str">
            <v>Castejón de Sos</v>
          </cell>
          <cell r="I2194" t="str">
            <v>22084</v>
          </cell>
        </row>
        <row r="2195">
          <cell r="H2195" t="str">
            <v>Castejón de Tornos</v>
          </cell>
          <cell r="I2195" t="str">
            <v>44065</v>
          </cell>
        </row>
        <row r="2196">
          <cell r="H2196" t="str">
            <v>Castejón de Valdejasa</v>
          </cell>
          <cell r="I2196" t="str">
            <v>50077</v>
          </cell>
        </row>
        <row r="2197">
          <cell r="H2197" t="str">
            <v>Castejón del Puente</v>
          </cell>
          <cell r="I2197" t="str">
            <v>22082</v>
          </cell>
        </row>
        <row r="2198">
          <cell r="H2198" t="str">
            <v>Castelflorite</v>
          </cell>
          <cell r="I2198" t="str">
            <v>22085</v>
          </cell>
        </row>
        <row r="2199">
          <cell r="H2199" t="str">
            <v>Castell d'Aro, Platja d'Aro i s'Agaró</v>
          </cell>
          <cell r="I2199" t="str">
            <v>17048</v>
          </cell>
        </row>
        <row r="2200">
          <cell r="H2200" t="str">
            <v>Castell de Cabres</v>
          </cell>
          <cell r="I2200" t="str">
            <v>12037</v>
          </cell>
        </row>
        <row r="2201">
          <cell r="H2201" t="str">
            <v>Castell de Castells</v>
          </cell>
          <cell r="I2201" t="str">
            <v>03054</v>
          </cell>
        </row>
        <row r="2202">
          <cell r="H2202" t="str">
            <v>Castell de Guadalest, el</v>
          </cell>
          <cell r="I2202" t="str">
            <v>03075</v>
          </cell>
        </row>
        <row r="2203">
          <cell r="H2203" t="str">
            <v>Castell de l'Areny</v>
          </cell>
          <cell r="I2203" t="str">
            <v>08057</v>
          </cell>
        </row>
        <row r="2204">
          <cell r="H2204" t="str">
            <v>Castell de Mur</v>
          </cell>
          <cell r="I2204" t="str">
            <v>25904</v>
          </cell>
        </row>
        <row r="2205">
          <cell r="H2205" t="str">
            <v>Castell, Es</v>
          </cell>
          <cell r="I2205" t="str">
            <v>07064</v>
          </cell>
        </row>
        <row r="2206">
          <cell r="H2206" t="str">
            <v>Castellanos de Castro</v>
          </cell>
          <cell r="I2206" t="str">
            <v>09079</v>
          </cell>
        </row>
        <row r="2207">
          <cell r="H2207" t="str">
            <v>Castellanos de Moriscos</v>
          </cell>
          <cell r="I2207" t="str">
            <v>37092</v>
          </cell>
        </row>
        <row r="2208">
          <cell r="H2208" t="str">
            <v>Castellanos de Villiquera</v>
          </cell>
          <cell r="I2208" t="str">
            <v>37185</v>
          </cell>
        </row>
        <row r="2209">
          <cell r="H2209" t="str">
            <v>Castellanos de Zapardiel</v>
          </cell>
          <cell r="I2209" t="str">
            <v>05056</v>
          </cell>
        </row>
        <row r="2210">
          <cell r="H2210" t="str">
            <v>Castellar</v>
          </cell>
          <cell r="I2210" t="str">
            <v>23025</v>
          </cell>
        </row>
        <row r="2211">
          <cell r="H2211" t="str">
            <v>Castellar de la Frontera</v>
          </cell>
          <cell r="I2211" t="str">
            <v>11013</v>
          </cell>
        </row>
        <row r="2212">
          <cell r="H2212" t="str">
            <v>Castellar de la Muela</v>
          </cell>
          <cell r="I2212" t="str">
            <v>19076</v>
          </cell>
        </row>
        <row r="2213">
          <cell r="H2213" t="str">
            <v>Castellar de la Ribera</v>
          </cell>
          <cell r="I2213" t="str">
            <v>25064</v>
          </cell>
        </row>
        <row r="2214">
          <cell r="H2214" t="str">
            <v>Castellar de n'Hug</v>
          </cell>
          <cell r="I2214" t="str">
            <v>08052</v>
          </cell>
        </row>
        <row r="2215">
          <cell r="H2215" t="str">
            <v>Castellar de Santiago</v>
          </cell>
          <cell r="I2215" t="str">
            <v>13033</v>
          </cell>
        </row>
        <row r="2216">
          <cell r="H2216" t="str">
            <v>Castellar del Riu</v>
          </cell>
          <cell r="I2216" t="str">
            <v>08050</v>
          </cell>
        </row>
        <row r="2217">
          <cell r="H2217" t="str">
            <v>Castellar del Vallès</v>
          </cell>
          <cell r="I2217" t="str">
            <v>08051</v>
          </cell>
        </row>
        <row r="2218">
          <cell r="H2218" t="str">
            <v>Castellar, El</v>
          </cell>
          <cell r="I2218" t="str">
            <v>44070</v>
          </cell>
        </row>
        <row r="2219">
          <cell r="H2219" t="str">
            <v>Castellbell i el Vilar</v>
          </cell>
          <cell r="I2219" t="str">
            <v>08053</v>
          </cell>
        </row>
        <row r="2220">
          <cell r="H2220" t="str">
            <v>Castellbisbal</v>
          </cell>
          <cell r="I2220" t="str">
            <v>08054</v>
          </cell>
        </row>
        <row r="2221">
          <cell r="H2221" t="str">
            <v>Castellcir</v>
          </cell>
          <cell r="I2221" t="str">
            <v>08055</v>
          </cell>
        </row>
        <row r="2222">
          <cell r="H2222" t="str">
            <v>Castelldans</v>
          </cell>
          <cell r="I2222" t="str">
            <v>25067</v>
          </cell>
        </row>
        <row r="2223">
          <cell r="H2223" t="str">
            <v>Castelldefels</v>
          </cell>
          <cell r="I2223" t="str">
            <v>08056</v>
          </cell>
        </row>
        <row r="2224">
          <cell r="H2224" t="str">
            <v>Castellet i la Gornal</v>
          </cell>
          <cell r="I2224" t="str">
            <v>08058</v>
          </cell>
        </row>
        <row r="2225">
          <cell r="H2225" t="str">
            <v>Castellfollit de la Roca</v>
          </cell>
          <cell r="I2225" t="str">
            <v>17046</v>
          </cell>
        </row>
        <row r="2226">
          <cell r="H2226" t="str">
            <v>Castellfollit de Riubregós</v>
          </cell>
          <cell r="I2226" t="str">
            <v>08060</v>
          </cell>
        </row>
        <row r="2227">
          <cell r="H2227" t="str">
            <v>Castellfollit del Boix</v>
          </cell>
          <cell r="I2227" t="str">
            <v>08059</v>
          </cell>
        </row>
        <row r="2228">
          <cell r="H2228" t="str">
            <v>Castellfort</v>
          </cell>
          <cell r="I2228" t="str">
            <v>12038</v>
          </cell>
        </row>
        <row r="2229">
          <cell r="H2229" t="str">
            <v>Castellgalí</v>
          </cell>
          <cell r="I2229" t="str">
            <v>08061</v>
          </cell>
        </row>
        <row r="2230">
          <cell r="H2230" t="str">
            <v>Castellnou de Bages</v>
          </cell>
          <cell r="I2230" t="str">
            <v>08062</v>
          </cell>
        </row>
        <row r="2231">
          <cell r="H2231" t="str">
            <v>Castellnou de Seana</v>
          </cell>
          <cell r="I2231" t="str">
            <v>25068</v>
          </cell>
        </row>
        <row r="2232">
          <cell r="H2232" t="str">
            <v>Castellnovo</v>
          </cell>
          <cell r="I2232" t="str">
            <v>12039</v>
          </cell>
        </row>
        <row r="2233">
          <cell r="H2233" t="str">
            <v>Castelló</v>
          </cell>
          <cell r="I2233" t="str">
            <v>46257</v>
          </cell>
        </row>
        <row r="2234">
          <cell r="H2234" t="str">
            <v>Castelló de Farfanya</v>
          </cell>
          <cell r="I2234" t="str">
            <v>25069</v>
          </cell>
        </row>
        <row r="2235">
          <cell r="H2235" t="str">
            <v>Castelló de la Plana</v>
          </cell>
          <cell r="I2235" t="str">
            <v>12040</v>
          </cell>
        </row>
        <row r="2236">
          <cell r="H2236" t="str">
            <v>Castelló de Rugat</v>
          </cell>
          <cell r="I2236" t="str">
            <v>46090</v>
          </cell>
        </row>
        <row r="2237">
          <cell r="H2237" t="str">
            <v>Castelló d'Empúries</v>
          </cell>
          <cell r="I2237" t="str">
            <v>17047</v>
          </cell>
        </row>
        <row r="2238">
          <cell r="H2238" t="str">
            <v>Castellolí</v>
          </cell>
          <cell r="I2238" t="str">
            <v>08063</v>
          </cell>
        </row>
        <row r="2239">
          <cell r="H2239" t="str">
            <v>Castellonet de la Conquesta</v>
          </cell>
          <cell r="I2239" t="str">
            <v>46091</v>
          </cell>
        </row>
        <row r="2240">
          <cell r="H2240" t="str">
            <v>Castellserà</v>
          </cell>
          <cell r="I2240" t="str">
            <v>25070</v>
          </cell>
        </row>
        <row r="2241">
          <cell r="H2241" t="str">
            <v>Castellterçol</v>
          </cell>
          <cell r="I2241" t="str">
            <v>08064</v>
          </cell>
        </row>
        <row r="2242">
          <cell r="H2242" t="str">
            <v>Castellvell del Camp</v>
          </cell>
          <cell r="I2242" t="str">
            <v>43042</v>
          </cell>
        </row>
        <row r="2243">
          <cell r="H2243" t="str">
            <v>Castellví de la Marca</v>
          </cell>
          <cell r="I2243" t="str">
            <v>08065</v>
          </cell>
        </row>
        <row r="2244">
          <cell r="H2244" t="str">
            <v>Castellví de Rosanes</v>
          </cell>
          <cell r="I2244" t="str">
            <v>08066</v>
          </cell>
        </row>
        <row r="2245">
          <cell r="H2245" t="str">
            <v>Castielfabib</v>
          </cell>
          <cell r="I2245" t="str">
            <v>46092</v>
          </cell>
        </row>
        <row r="2246">
          <cell r="H2246" t="str">
            <v>Castiello de Jaca</v>
          </cell>
          <cell r="I2246" t="str">
            <v>22086</v>
          </cell>
        </row>
        <row r="2247">
          <cell r="H2247" t="str">
            <v>Castigaleu</v>
          </cell>
          <cell r="I2247" t="str">
            <v>22087</v>
          </cell>
        </row>
        <row r="2248">
          <cell r="H2248" t="str">
            <v>Castil de Peones</v>
          </cell>
          <cell r="I2248" t="str">
            <v>09083</v>
          </cell>
        </row>
        <row r="2249">
          <cell r="H2249" t="str">
            <v>Castil de Vela</v>
          </cell>
          <cell r="I2249" t="str">
            <v>34048</v>
          </cell>
        </row>
        <row r="2250">
          <cell r="H2250" t="str">
            <v>Castilblanco</v>
          </cell>
          <cell r="I2250" t="str">
            <v>06035</v>
          </cell>
        </row>
        <row r="2251">
          <cell r="H2251" t="str">
            <v>Castilblanco de los Arroyos</v>
          </cell>
          <cell r="I2251" t="str">
            <v>41027</v>
          </cell>
        </row>
        <row r="2252">
          <cell r="H2252" t="str">
            <v>Castildelgado</v>
          </cell>
          <cell r="I2252" t="str">
            <v>09082</v>
          </cell>
        </row>
        <row r="2253">
          <cell r="H2253" t="str">
            <v>Castilfalé</v>
          </cell>
          <cell r="I2253" t="str">
            <v>24042</v>
          </cell>
        </row>
        <row r="2254">
          <cell r="H2254" t="str">
            <v>Castilforte</v>
          </cell>
          <cell r="I2254" t="str">
            <v>19078</v>
          </cell>
        </row>
        <row r="2255">
          <cell r="H2255" t="str">
            <v>Castilfrío de la Sierra</v>
          </cell>
          <cell r="I2255" t="str">
            <v>42056</v>
          </cell>
        </row>
        <row r="2256">
          <cell r="H2256" t="str">
            <v>Castiliscar</v>
          </cell>
          <cell r="I2256" t="str">
            <v>50078</v>
          </cell>
        </row>
        <row r="2257">
          <cell r="H2257" t="str">
            <v>Castillazuelo</v>
          </cell>
          <cell r="I2257" t="str">
            <v>22088</v>
          </cell>
        </row>
        <row r="2258">
          <cell r="H2258" t="str">
            <v>Castilleja de Guzmán</v>
          </cell>
          <cell r="I2258" t="str">
            <v>41028</v>
          </cell>
        </row>
        <row r="2259">
          <cell r="H2259" t="str">
            <v>Castilleja de la Cuesta</v>
          </cell>
          <cell r="I2259" t="str">
            <v>41029</v>
          </cell>
        </row>
        <row r="2260">
          <cell r="H2260" t="str">
            <v>Castilleja del Campo</v>
          </cell>
          <cell r="I2260" t="str">
            <v>41030</v>
          </cell>
        </row>
        <row r="2261">
          <cell r="H2261" t="str">
            <v>Castilléjar</v>
          </cell>
          <cell r="I2261" t="str">
            <v>18045</v>
          </cell>
        </row>
        <row r="2262">
          <cell r="H2262" t="str">
            <v>Castillejo de Iniesta</v>
          </cell>
          <cell r="I2262" t="str">
            <v>16068</v>
          </cell>
        </row>
        <row r="2263">
          <cell r="H2263" t="str">
            <v>Castillejo de Martín Viejo</v>
          </cell>
          <cell r="I2263" t="str">
            <v>37096</v>
          </cell>
        </row>
        <row r="2264">
          <cell r="H2264" t="str">
            <v>Castillejo de Mesleón</v>
          </cell>
          <cell r="I2264" t="str">
            <v>40046</v>
          </cell>
        </row>
        <row r="2265">
          <cell r="H2265" t="str">
            <v>Castillejo de Robledo</v>
          </cell>
          <cell r="I2265" t="str">
            <v>42058</v>
          </cell>
        </row>
        <row r="2266">
          <cell r="H2266" t="str">
            <v>Castillejo-Sierra</v>
          </cell>
          <cell r="I2266" t="str">
            <v>16070</v>
          </cell>
        </row>
        <row r="2267">
          <cell r="H2267" t="str">
            <v>Castillo de Bayuela</v>
          </cell>
          <cell r="I2267" t="str">
            <v>45043</v>
          </cell>
        </row>
        <row r="2268">
          <cell r="H2268" t="str">
            <v>Castillo de Garcimuñoz</v>
          </cell>
          <cell r="I2268" t="str">
            <v>16072</v>
          </cell>
        </row>
        <row r="2269">
          <cell r="H2269" t="str">
            <v>Castillo de las Guardas, El</v>
          </cell>
          <cell r="I2269" t="str">
            <v>41031</v>
          </cell>
        </row>
        <row r="2270">
          <cell r="H2270" t="str">
            <v>Castillo de Locubín</v>
          </cell>
          <cell r="I2270" t="str">
            <v>23026</v>
          </cell>
        </row>
        <row r="2271">
          <cell r="H2271" t="str">
            <v>Castillo de Villamalefa</v>
          </cell>
          <cell r="I2271" t="str">
            <v>12041</v>
          </cell>
        </row>
        <row r="2272">
          <cell r="H2272" t="str">
            <v>Castillo-Albaráñez</v>
          </cell>
          <cell r="I2272" t="str">
            <v>16071</v>
          </cell>
        </row>
        <row r="2273">
          <cell r="H2273" t="str">
            <v>Castillonroy</v>
          </cell>
          <cell r="I2273" t="str">
            <v>22089</v>
          </cell>
        </row>
        <row r="2274">
          <cell r="H2274" t="str">
            <v>Castillonuevo</v>
          </cell>
          <cell r="I2274" t="str">
            <v>31071</v>
          </cell>
        </row>
        <row r="2275">
          <cell r="H2275" t="str">
            <v>Castilnuevo</v>
          </cell>
          <cell r="I2275" t="str">
            <v>19079</v>
          </cell>
        </row>
        <row r="2276">
          <cell r="H2276" t="str">
            <v>Castilruiz</v>
          </cell>
          <cell r="I2276" t="str">
            <v>42057</v>
          </cell>
        </row>
        <row r="2277">
          <cell r="H2277" t="str">
            <v>Castraz</v>
          </cell>
          <cell r="I2277" t="str">
            <v>37097</v>
          </cell>
        </row>
        <row r="2278">
          <cell r="H2278" t="str">
            <v>Castrejón de Trabancos</v>
          </cell>
          <cell r="I2278" t="str">
            <v>47037</v>
          </cell>
        </row>
        <row r="2279">
          <cell r="H2279" t="str">
            <v>Castrelo de Miño</v>
          </cell>
          <cell r="I2279" t="str">
            <v>32022</v>
          </cell>
        </row>
        <row r="2280">
          <cell r="H2280" t="str">
            <v>Castrelo do Val</v>
          </cell>
          <cell r="I2280" t="str">
            <v>32021</v>
          </cell>
        </row>
        <row r="2281">
          <cell r="H2281" t="str">
            <v>Castril</v>
          </cell>
          <cell r="I2281" t="str">
            <v>18046</v>
          </cell>
        </row>
        <row r="2282">
          <cell r="H2282" t="str">
            <v>Castrillo de Don Juan</v>
          </cell>
          <cell r="I2282" t="str">
            <v>34050</v>
          </cell>
        </row>
        <row r="2283">
          <cell r="H2283" t="str">
            <v>Castrillo de Duero</v>
          </cell>
          <cell r="I2283" t="str">
            <v>47038</v>
          </cell>
        </row>
        <row r="2284">
          <cell r="H2284" t="str">
            <v>Castrillo de la Guareña</v>
          </cell>
          <cell r="I2284" t="str">
            <v>49040</v>
          </cell>
        </row>
        <row r="2285">
          <cell r="H2285" t="str">
            <v>Castrillo de la Reina</v>
          </cell>
          <cell r="I2285" t="str">
            <v>09084</v>
          </cell>
        </row>
        <row r="2286">
          <cell r="H2286" t="str">
            <v>Castrillo de la Valduerna</v>
          </cell>
          <cell r="I2286" t="str">
            <v>24044</v>
          </cell>
        </row>
        <row r="2287">
          <cell r="H2287" t="str">
            <v>Castrillo de la Vega</v>
          </cell>
          <cell r="I2287" t="str">
            <v>09085</v>
          </cell>
        </row>
        <row r="2288">
          <cell r="H2288" t="str">
            <v>Castrillo de Onielo</v>
          </cell>
          <cell r="I2288" t="str">
            <v>34051</v>
          </cell>
        </row>
        <row r="2289">
          <cell r="H2289" t="str">
            <v>Castrillo de Riopisuerga</v>
          </cell>
          <cell r="I2289" t="str">
            <v>09088</v>
          </cell>
        </row>
        <row r="2290">
          <cell r="H2290" t="str">
            <v>Castrillo de Villavega</v>
          </cell>
          <cell r="I2290" t="str">
            <v>34052</v>
          </cell>
        </row>
        <row r="2291">
          <cell r="H2291" t="str">
            <v>Castrillo del Val</v>
          </cell>
          <cell r="I2291" t="str">
            <v>09086</v>
          </cell>
        </row>
        <row r="2292">
          <cell r="H2292" t="str">
            <v>Castrillo Mota de Judíos</v>
          </cell>
          <cell r="I2292" t="str">
            <v>09090</v>
          </cell>
        </row>
        <row r="2293">
          <cell r="H2293" t="str">
            <v>Castrillo-Tejeriego</v>
          </cell>
          <cell r="I2293" t="str">
            <v>47039</v>
          </cell>
        </row>
        <row r="2294">
          <cell r="H2294" t="str">
            <v>Castro Caldelas</v>
          </cell>
          <cell r="I2294" t="str">
            <v>32023</v>
          </cell>
        </row>
        <row r="2295">
          <cell r="H2295" t="str">
            <v>Castro de Filabres</v>
          </cell>
          <cell r="I2295" t="str">
            <v>04033</v>
          </cell>
        </row>
        <row r="2296">
          <cell r="H2296" t="str">
            <v>Castro de Fuentidueña</v>
          </cell>
          <cell r="I2296" t="str">
            <v>40047</v>
          </cell>
        </row>
        <row r="2297">
          <cell r="H2297" t="str">
            <v>Castro de Rei</v>
          </cell>
          <cell r="I2297" t="str">
            <v>27010</v>
          </cell>
        </row>
        <row r="2298">
          <cell r="H2298" t="str">
            <v>Castro del Río</v>
          </cell>
          <cell r="I2298" t="str">
            <v>14019</v>
          </cell>
        </row>
        <row r="2299">
          <cell r="H2299" t="str">
            <v>Castrobol</v>
          </cell>
          <cell r="I2299" t="str">
            <v>47040</v>
          </cell>
        </row>
        <row r="2300">
          <cell r="H2300" t="str">
            <v>Castrocalbón</v>
          </cell>
          <cell r="I2300" t="str">
            <v>24046</v>
          </cell>
        </row>
        <row r="2301">
          <cell r="H2301" t="str">
            <v>Castrocontrigo</v>
          </cell>
          <cell r="I2301" t="str">
            <v>24047</v>
          </cell>
        </row>
        <row r="2302">
          <cell r="H2302" t="str">
            <v>Castrodeza</v>
          </cell>
          <cell r="I2302" t="str">
            <v>47041</v>
          </cell>
        </row>
        <row r="2303">
          <cell r="H2303" t="str">
            <v>Castrogonzalo</v>
          </cell>
          <cell r="I2303" t="str">
            <v>49041</v>
          </cell>
        </row>
        <row r="2304">
          <cell r="H2304" t="str">
            <v>Castrojeriz</v>
          </cell>
          <cell r="I2304" t="str">
            <v>09091</v>
          </cell>
        </row>
        <row r="2305">
          <cell r="H2305" t="str">
            <v>Castrojimeno</v>
          </cell>
          <cell r="I2305" t="str">
            <v>40048</v>
          </cell>
        </row>
        <row r="2306">
          <cell r="H2306" t="str">
            <v>Castromembibre</v>
          </cell>
          <cell r="I2306" t="str">
            <v>47042</v>
          </cell>
        </row>
        <row r="2307">
          <cell r="H2307" t="str">
            <v>Castromocho</v>
          </cell>
          <cell r="I2307" t="str">
            <v>34053</v>
          </cell>
        </row>
        <row r="2308">
          <cell r="H2308" t="str">
            <v>Castromonte</v>
          </cell>
          <cell r="I2308" t="str">
            <v>47043</v>
          </cell>
        </row>
        <row r="2309">
          <cell r="H2309" t="str">
            <v>Castronuevo</v>
          </cell>
          <cell r="I2309" t="str">
            <v>49042</v>
          </cell>
        </row>
        <row r="2310">
          <cell r="H2310" t="str">
            <v>Castronuevo de Esgueva</v>
          </cell>
          <cell r="I2310" t="str">
            <v>47044</v>
          </cell>
        </row>
        <row r="2311">
          <cell r="H2311" t="str">
            <v>Castronuño</v>
          </cell>
          <cell r="I2311" t="str">
            <v>47045</v>
          </cell>
        </row>
        <row r="2312">
          <cell r="H2312" t="str">
            <v>Castropol</v>
          </cell>
          <cell r="I2312" t="str">
            <v>33017</v>
          </cell>
        </row>
        <row r="2313">
          <cell r="H2313" t="str">
            <v>Castroponce</v>
          </cell>
          <cell r="I2313" t="str">
            <v>47046</v>
          </cell>
        </row>
        <row r="2314">
          <cell r="H2314" t="str">
            <v>Castroserna de Abajo</v>
          </cell>
          <cell r="I2314" t="str">
            <v>40049</v>
          </cell>
        </row>
        <row r="2315">
          <cell r="H2315" t="str">
            <v>Castroserracín</v>
          </cell>
          <cell r="I2315" t="str">
            <v>40051</v>
          </cell>
        </row>
        <row r="2316">
          <cell r="H2316" t="str">
            <v>Castrotierra de Valmadrigal</v>
          </cell>
          <cell r="I2316" t="str">
            <v>24050</v>
          </cell>
        </row>
        <row r="2317">
          <cell r="H2317" t="str">
            <v>Castro-Urdiales</v>
          </cell>
          <cell r="I2317" t="str">
            <v>39020</v>
          </cell>
        </row>
        <row r="2318">
          <cell r="H2318" t="str">
            <v>Castroverde</v>
          </cell>
          <cell r="I2318" t="str">
            <v>27011</v>
          </cell>
        </row>
        <row r="2319">
          <cell r="H2319" t="str">
            <v>Castroverde de Campos</v>
          </cell>
          <cell r="I2319" t="str">
            <v>49043</v>
          </cell>
        </row>
        <row r="2320">
          <cell r="H2320" t="str">
            <v>Castroverde de Cerrato</v>
          </cell>
          <cell r="I2320" t="str">
            <v>47047</v>
          </cell>
        </row>
        <row r="2321">
          <cell r="H2321" t="str">
            <v>Castroviejo</v>
          </cell>
          <cell r="I2321" t="str">
            <v>26044</v>
          </cell>
        </row>
        <row r="2322">
          <cell r="H2322" t="str">
            <v>Castuera</v>
          </cell>
          <cell r="I2322" t="str">
            <v>06036</v>
          </cell>
        </row>
        <row r="2323">
          <cell r="H2323" t="str">
            <v>Catadau</v>
          </cell>
          <cell r="I2323" t="str">
            <v>46093</v>
          </cell>
        </row>
        <row r="2324">
          <cell r="H2324" t="str">
            <v>Catarroja</v>
          </cell>
          <cell r="I2324" t="str">
            <v>46094</v>
          </cell>
        </row>
        <row r="2325">
          <cell r="H2325" t="str">
            <v>Catí</v>
          </cell>
          <cell r="I2325" t="str">
            <v>12042</v>
          </cell>
        </row>
        <row r="2326">
          <cell r="H2326" t="str">
            <v>Catllar, El</v>
          </cell>
          <cell r="I2326" t="str">
            <v>43043</v>
          </cell>
        </row>
        <row r="2327">
          <cell r="H2327" t="str">
            <v>Catoira</v>
          </cell>
          <cell r="I2327" t="str">
            <v>36010</v>
          </cell>
        </row>
        <row r="2328">
          <cell r="H2328" t="str">
            <v>Catral</v>
          </cell>
          <cell r="I2328" t="str">
            <v>03055</v>
          </cell>
        </row>
        <row r="2329">
          <cell r="H2329" t="str">
            <v>Caudete</v>
          </cell>
          <cell r="I2329" t="str">
            <v>02025</v>
          </cell>
        </row>
        <row r="2330">
          <cell r="H2330" t="str">
            <v>Caudete de las Fuentes</v>
          </cell>
          <cell r="I2330" t="str">
            <v>46095</v>
          </cell>
        </row>
        <row r="2331">
          <cell r="H2331" t="str">
            <v>Caudiel</v>
          </cell>
          <cell r="I2331" t="str">
            <v>12043</v>
          </cell>
        </row>
        <row r="2332">
          <cell r="H2332" t="str">
            <v>Cava</v>
          </cell>
          <cell r="I2332" t="str">
            <v>25071</v>
          </cell>
        </row>
        <row r="2333">
          <cell r="H2333" t="str">
            <v>Cavia</v>
          </cell>
          <cell r="I2333" t="str">
            <v>09063</v>
          </cell>
        </row>
        <row r="2334">
          <cell r="H2334" t="str">
            <v>Cayuela</v>
          </cell>
          <cell r="I2334" t="str">
            <v>09093</v>
          </cell>
        </row>
        <row r="2335">
          <cell r="H2335" t="str">
            <v>Cazalegas</v>
          </cell>
          <cell r="I2335" t="str">
            <v>45045</v>
          </cell>
        </row>
        <row r="2336">
          <cell r="H2336" t="str">
            <v>Cazalilla</v>
          </cell>
          <cell r="I2336" t="str">
            <v>23027</v>
          </cell>
        </row>
        <row r="2337">
          <cell r="H2337" t="str">
            <v>Cazalla de la Sierra</v>
          </cell>
          <cell r="I2337" t="str">
            <v>41032</v>
          </cell>
        </row>
        <row r="2338">
          <cell r="H2338" t="str">
            <v>Cazorla</v>
          </cell>
          <cell r="I2338" t="str">
            <v>23028</v>
          </cell>
        </row>
        <row r="2339">
          <cell r="H2339" t="str">
            <v>Cazurra</v>
          </cell>
          <cell r="I2339" t="str">
            <v>49044</v>
          </cell>
        </row>
        <row r="2340">
          <cell r="H2340" t="str">
            <v>Cea</v>
          </cell>
          <cell r="I2340" t="str">
            <v>24051</v>
          </cell>
        </row>
        <row r="2341">
          <cell r="H2341" t="str">
            <v>Cebolla</v>
          </cell>
          <cell r="I2341" t="str">
            <v>45046</v>
          </cell>
        </row>
        <row r="2342">
          <cell r="H2342" t="str">
            <v>Cebrecos</v>
          </cell>
          <cell r="I2342" t="str">
            <v>09094</v>
          </cell>
        </row>
        <row r="2343">
          <cell r="H2343" t="str">
            <v>Cebreros</v>
          </cell>
          <cell r="I2343" t="str">
            <v>05057</v>
          </cell>
        </row>
        <row r="2344">
          <cell r="H2344" t="str">
            <v>Cebrones del Río</v>
          </cell>
          <cell r="I2344" t="str">
            <v>24053</v>
          </cell>
        </row>
        <row r="2345">
          <cell r="H2345" t="str">
            <v>Ceclavín</v>
          </cell>
          <cell r="I2345" t="str">
            <v>10061</v>
          </cell>
        </row>
        <row r="2346">
          <cell r="H2346" t="str">
            <v>Cedeira</v>
          </cell>
          <cell r="I2346" t="str">
            <v>15022</v>
          </cell>
        </row>
        <row r="2347">
          <cell r="H2347" t="str">
            <v>Cedillo</v>
          </cell>
          <cell r="I2347" t="str">
            <v>10062</v>
          </cell>
        </row>
        <row r="2348">
          <cell r="H2348" t="str">
            <v>Cedillo de la Torre</v>
          </cell>
          <cell r="I2348" t="str">
            <v>40052</v>
          </cell>
        </row>
        <row r="2349">
          <cell r="H2349" t="str">
            <v>Cedillo del Condado</v>
          </cell>
          <cell r="I2349" t="str">
            <v>45047</v>
          </cell>
        </row>
        <row r="2350">
          <cell r="H2350" t="str">
            <v>Cedrillas</v>
          </cell>
          <cell r="I2350" t="str">
            <v>44074</v>
          </cell>
        </row>
        <row r="2351">
          <cell r="H2351" t="str">
            <v>Cee</v>
          </cell>
          <cell r="I2351" t="str">
            <v>15023</v>
          </cell>
        </row>
        <row r="2352">
          <cell r="H2352" t="str">
            <v>Cehegín</v>
          </cell>
          <cell r="I2352" t="str">
            <v>30017</v>
          </cell>
        </row>
        <row r="2353">
          <cell r="H2353" t="str">
            <v>Ceinos de Campos</v>
          </cell>
          <cell r="I2353" t="str">
            <v>47048</v>
          </cell>
        </row>
        <row r="2354">
          <cell r="H2354" t="str">
            <v>Celada del Camino</v>
          </cell>
          <cell r="I2354" t="str">
            <v>09095</v>
          </cell>
        </row>
        <row r="2355">
          <cell r="H2355" t="str">
            <v>Celadas</v>
          </cell>
          <cell r="I2355" t="str">
            <v>44075</v>
          </cell>
        </row>
        <row r="2356">
          <cell r="H2356" t="str">
            <v>Celanova</v>
          </cell>
          <cell r="I2356" t="str">
            <v>32024</v>
          </cell>
        </row>
        <row r="2357">
          <cell r="H2357" t="str">
            <v>Cella</v>
          </cell>
          <cell r="I2357" t="str">
            <v>44076</v>
          </cell>
        </row>
        <row r="2358">
          <cell r="H2358" t="str">
            <v>Cellera de Ter, La</v>
          </cell>
          <cell r="I2358" t="str">
            <v>17189</v>
          </cell>
        </row>
        <row r="2359">
          <cell r="H2359" t="str">
            <v>Cellorigo</v>
          </cell>
          <cell r="I2359" t="str">
            <v>26045</v>
          </cell>
        </row>
        <row r="2360">
          <cell r="H2360" t="str">
            <v>Celrà</v>
          </cell>
          <cell r="I2360" t="str">
            <v>17049</v>
          </cell>
        </row>
        <row r="2361">
          <cell r="H2361" t="str">
            <v>Cendea de Olza/Oltza Zendea</v>
          </cell>
          <cell r="I2361" t="str">
            <v>31193</v>
          </cell>
        </row>
        <row r="2362">
          <cell r="H2362" t="str">
            <v>Cendejas de Enmedio</v>
          </cell>
          <cell r="I2362" t="str">
            <v>19080</v>
          </cell>
        </row>
        <row r="2363">
          <cell r="H2363" t="str">
            <v>Cendejas de la Torre</v>
          </cell>
          <cell r="I2363" t="str">
            <v>19081</v>
          </cell>
        </row>
        <row r="2364">
          <cell r="H2364" t="str">
            <v>Cenes de la Vega</v>
          </cell>
          <cell r="I2364" t="str">
            <v>18047</v>
          </cell>
        </row>
        <row r="2365">
          <cell r="H2365" t="str">
            <v>Cenicero</v>
          </cell>
          <cell r="I2365" t="str">
            <v>26046</v>
          </cell>
        </row>
        <row r="2366">
          <cell r="H2366" t="str">
            <v>Cenicientos</v>
          </cell>
          <cell r="I2366" t="str">
            <v>28037</v>
          </cell>
        </row>
        <row r="2367">
          <cell r="H2367" t="str">
            <v>Cenizate</v>
          </cell>
          <cell r="I2367" t="str">
            <v>02026</v>
          </cell>
        </row>
        <row r="2368">
          <cell r="H2368" t="str">
            <v>Cenlle</v>
          </cell>
          <cell r="I2368" t="str">
            <v>32025</v>
          </cell>
        </row>
        <row r="2369">
          <cell r="H2369" t="str">
            <v>Centelles</v>
          </cell>
          <cell r="I2369" t="str">
            <v>08067</v>
          </cell>
        </row>
        <row r="2370">
          <cell r="H2370" t="str">
            <v>Centenera</v>
          </cell>
          <cell r="I2370" t="str">
            <v>19082</v>
          </cell>
        </row>
        <row r="2371">
          <cell r="H2371" t="str">
            <v>Centenera de Andaluz</v>
          </cell>
          <cell r="I2371" t="str">
            <v>42059</v>
          </cell>
        </row>
        <row r="2372">
          <cell r="H2372" t="str">
            <v>Cepeda</v>
          </cell>
          <cell r="I2372" t="str">
            <v>37098</v>
          </cell>
        </row>
        <row r="2373">
          <cell r="H2373" t="str">
            <v>Cepeda la Mora</v>
          </cell>
          <cell r="I2373" t="str">
            <v>05058</v>
          </cell>
        </row>
        <row r="2374">
          <cell r="H2374" t="str">
            <v>Cerbón</v>
          </cell>
          <cell r="I2374" t="str">
            <v>42060</v>
          </cell>
        </row>
        <row r="2375">
          <cell r="H2375" t="str">
            <v>Cercedilla</v>
          </cell>
          <cell r="I2375" t="str">
            <v>28038</v>
          </cell>
        </row>
        <row r="2376">
          <cell r="H2376" t="str">
            <v>Cercs</v>
          </cell>
          <cell r="I2376" t="str">
            <v>08268</v>
          </cell>
        </row>
        <row r="2377">
          <cell r="H2377" t="str">
            <v>Cerdà</v>
          </cell>
          <cell r="I2377" t="str">
            <v>46096</v>
          </cell>
        </row>
        <row r="2378">
          <cell r="H2378" t="str">
            <v>Cerdanyola del Vallès</v>
          </cell>
          <cell r="I2378" t="str">
            <v>08266</v>
          </cell>
        </row>
        <row r="2379">
          <cell r="H2379" t="str">
            <v>Cerdedo-Cotobade</v>
          </cell>
          <cell r="I2379" t="str">
            <v>36902</v>
          </cell>
        </row>
        <row r="2380">
          <cell r="H2380" t="str">
            <v>Cereceda de la Sierra</v>
          </cell>
          <cell r="I2380" t="str">
            <v>37099</v>
          </cell>
        </row>
        <row r="2381">
          <cell r="H2381" t="str">
            <v>Cerecinos de Campos</v>
          </cell>
          <cell r="I2381" t="str">
            <v>49046</v>
          </cell>
        </row>
        <row r="2382">
          <cell r="H2382" t="str">
            <v>Cerecinos del Carrizal</v>
          </cell>
          <cell r="I2382" t="str">
            <v>49047</v>
          </cell>
        </row>
        <row r="2383">
          <cell r="H2383" t="str">
            <v>Cerezal de Peñahorcada</v>
          </cell>
          <cell r="I2383" t="str">
            <v>37100</v>
          </cell>
        </row>
        <row r="2384">
          <cell r="H2384" t="str">
            <v>Cerezo</v>
          </cell>
          <cell r="I2384" t="str">
            <v>10063</v>
          </cell>
        </row>
        <row r="2385">
          <cell r="H2385" t="str">
            <v>Cerezo de Abajo</v>
          </cell>
          <cell r="I2385" t="str">
            <v>40053</v>
          </cell>
        </row>
        <row r="2386">
          <cell r="H2386" t="str">
            <v>Cerezo de Arriba</v>
          </cell>
          <cell r="I2386" t="str">
            <v>40054</v>
          </cell>
        </row>
        <row r="2387">
          <cell r="H2387" t="str">
            <v>Cerezo de Río Tirón</v>
          </cell>
          <cell r="I2387" t="str">
            <v>09098</v>
          </cell>
        </row>
        <row r="2388">
          <cell r="H2388" t="str">
            <v>Cernadilla</v>
          </cell>
          <cell r="I2388" t="str">
            <v>49048</v>
          </cell>
        </row>
        <row r="2389">
          <cell r="H2389" t="str">
            <v>Cerralbo</v>
          </cell>
          <cell r="I2389" t="str">
            <v>37101</v>
          </cell>
        </row>
        <row r="2390">
          <cell r="H2390" t="str">
            <v>Cerralbos, Los</v>
          </cell>
          <cell r="I2390" t="str">
            <v>45048</v>
          </cell>
        </row>
        <row r="2391">
          <cell r="H2391" t="str">
            <v>Cerratón de Juarros</v>
          </cell>
          <cell r="I2391" t="str">
            <v>09100</v>
          </cell>
        </row>
        <row r="2392">
          <cell r="H2392" t="str">
            <v>Cerro de Andévalo, El</v>
          </cell>
          <cell r="I2392" t="str">
            <v>21023</v>
          </cell>
        </row>
        <row r="2393">
          <cell r="H2393" t="str">
            <v>Cerro, El</v>
          </cell>
          <cell r="I2393" t="str">
            <v>37102</v>
          </cell>
        </row>
        <row r="2394">
          <cell r="H2394" t="str">
            <v>Cervantes</v>
          </cell>
          <cell r="I2394" t="str">
            <v>27012</v>
          </cell>
        </row>
        <row r="2395">
          <cell r="H2395" t="str">
            <v>Cervatos de la Cueza</v>
          </cell>
          <cell r="I2395" t="str">
            <v>34055</v>
          </cell>
        </row>
        <row r="2396">
          <cell r="H2396" t="str">
            <v>Cervelló</v>
          </cell>
          <cell r="I2396" t="str">
            <v>08068</v>
          </cell>
        </row>
        <row r="2397">
          <cell r="H2397" t="str">
            <v>Cervera</v>
          </cell>
          <cell r="I2397" t="str">
            <v>25072</v>
          </cell>
        </row>
        <row r="2398">
          <cell r="H2398" t="str">
            <v>Cervera de Buitrago</v>
          </cell>
          <cell r="I2398" t="str">
            <v>28039</v>
          </cell>
        </row>
        <row r="2399">
          <cell r="H2399" t="str">
            <v>Cervera de la Cañada</v>
          </cell>
          <cell r="I2399" t="str">
            <v>50079</v>
          </cell>
        </row>
        <row r="2400">
          <cell r="H2400" t="str">
            <v>Cervera de los Montes</v>
          </cell>
          <cell r="I2400" t="str">
            <v>45049</v>
          </cell>
        </row>
        <row r="2401">
          <cell r="H2401" t="str">
            <v>Cervera del Llano</v>
          </cell>
          <cell r="I2401" t="str">
            <v>16073</v>
          </cell>
        </row>
        <row r="2402">
          <cell r="H2402" t="str">
            <v>Cervera del Maestre</v>
          </cell>
          <cell r="I2402" t="str">
            <v>12044</v>
          </cell>
        </row>
        <row r="2403">
          <cell r="H2403" t="str">
            <v>Cervera del Río Alhama</v>
          </cell>
          <cell r="I2403" t="str">
            <v>26047</v>
          </cell>
        </row>
        <row r="2404">
          <cell r="H2404" t="str">
            <v>Cerveruela</v>
          </cell>
          <cell r="I2404" t="str">
            <v>50080</v>
          </cell>
        </row>
        <row r="2405">
          <cell r="H2405" t="str">
            <v>Cervià de les Garrigues</v>
          </cell>
          <cell r="I2405" t="str">
            <v>25073</v>
          </cell>
        </row>
        <row r="2406">
          <cell r="H2406" t="str">
            <v>Cervià de Ter</v>
          </cell>
          <cell r="I2406" t="str">
            <v>17050</v>
          </cell>
        </row>
        <row r="2407">
          <cell r="H2407" t="str">
            <v>Cervillego de la Cruz</v>
          </cell>
          <cell r="I2407" t="str">
            <v>47049</v>
          </cell>
        </row>
        <row r="2408">
          <cell r="H2408" t="str">
            <v>Cervo</v>
          </cell>
          <cell r="I2408" t="str">
            <v>27013</v>
          </cell>
        </row>
        <row r="2409">
          <cell r="H2409" t="str">
            <v>Cespedosa de Tormes</v>
          </cell>
          <cell r="I2409" t="str">
            <v>37103</v>
          </cell>
        </row>
        <row r="2410">
          <cell r="H2410" t="str">
            <v>Cetina</v>
          </cell>
          <cell r="I2410" t="str">
            <v>50081</v>
          </cell>
        </row>
        <row r="2411">
          <cell r="H2411" t="str">
            <v>Ceutí</v>
          </cell>
          <cell r="I2411" t="str">
            <v>30018</v>
          </cell>
        </row>
        <row r="2412">
          <cell r="H2412" t="str">
            <v>Cevico de la Torre</v>
          </cell>
          <cell r="I2412" t="str">
            <v>34057</v>
          </cell>
        </row>
        <row r="2413">
          <cell r="H2413" t="str">
            <v>Cevico Navero</v>
          </cell>
          <cell r="I2413" t="str">
            <v>34058</v>
          </cell>
        </row>
        <row r="2414">
          <cell r="H2414" t="str">
            <v>Chagarcía Medianero</v>
          </cell>
          <cell r="I2414" t="str">
            <v>37114</v>
          </cell>
        </row>
        <row r="2415">
          <cell r="H2415" t="str">
            <v>Chalamera</v>
          </cell>
          <cell r="I2415" t="str">
            <v>22094</v>
          </cell>
        </row>
        <row r="2416">
          <cell r="H2416" t="str">
            <v>Chamartín</v>
          </cell>
          <cell r="I2416" t="str">
            <v>05067</v>
          </cell>
        </row>
        <row r="2417">
          <cell r="H2417" t="str">
            <v>Chandrexa de Queixa</v>
          </cell>
          <cell r="I2417" t="str">
            <v>32029</v>
          </cell>
        </row>
        <row r="2418">
          <cell r="H2418" t="str">
            <v>Chantada</v>
          </cell>
          <cell r="I2418" t="str">
            <v>27016</v>
          </cell>
        </row>
        <row r="2419">
          <cell r="H2419" t="str">
            <v>Chañe</v>
          </cell>
          <cell r="I2419" t="str">
            <v>40065</v>
          </cell>
        </row>
        <row r="2420">
          <cell r="H2420" t="str">
            <v>Chapinería</v>
          </cell>
          <cell r="I2420" t="str">
            <v>28051</v>
          </cell>
        </row>
        <row r="2421">
          <cell r="H2421" t="str">
            <v>Chauchina</v>
          </cell>
          <cell r="I2421" t="str">
            <v>18059</v>
          </cell>
        </row>
        <row r="2422">
          <cell r="H2422" t="str">
            <v>Checa</v>
          </cell>
          <cell r="I2422" t="str">
            <v>19103</v>
          </cell>
        </row>
        <row r="2423">
          <cell r="H2423" t="str">
            <v>Cheles</v>
          </cell>
          <cell r="I2423" t="str">
            <v>06042</v>
          </cell>
        </row>
        <row r="2424">
          <cell r="H2424" t="str">
            <v>Chella</v>
          </cell>
          <cell r="I2424" t="str">
            <v>46107</v>
          </cell>
        </row>
        <row r="2425">
          <cell r="H2425" t="str">
            <v>Chelva</v>
          </cell>
          <cell r="I2425" t="str">
            <v>46106</v>
          </cell>
        </row>
        <row r="2426">
          <cell r="H2426" t="str">
            <v>Chequilla</v>
          </cell>
          <cell r="I2426" t="str">
            <v>19104</v>
          </cell>
        </row>
        <row r="2427">
          <cell r="H2427" t="str">
            <v>Chera</v>
          </cell>
          <cell r="I2427" t="str">
            <v>46108</v>
          </cell>
        </row>
        <row r="2428">
          <cell r="H2428" t="str">
            <v>Chercos</v>
          </cell>
          <cell r="I2428" t="str">
            <v>04036</v>
          </cell>
        </row>
        <row r="2429">
          <cell r="H2429" t="str">
            <v>Cheste</v>
          </cell>
          <cell r="I2429" t="str">
            <v>46109</v>
          </cell>
        </row>
        <row r="2430">
          <cell r="H2430" t="str">
            <v>Chía</v>
          </cell>
          <cell r="I2430" t="str">
            <v>22095</v>
          </cell>
        </row>
        <row r="2431">
          <cell r="H2431" t="str">
            <v>Chiclana de la Frontera</v>
          </cell>
          <cell r="I2431" t="str">
            <v>11015</v>
          </cell>
        </row>
        <row r="2432">
          <cell r="H2432" t="str">
            <v>Chiclana de Segura</v>
          </cell>
          <cell r="I2432" t="str">
            <v>23029</v>
          </cell>
        </row>
        <row r="2433">
          <cell r="H2433" t="str">
            <v>Chilches/Xilxes</v>
          </cell>
          <cell r="I2433" t="str">
            <v>12053</v>
          </cell>
        </row>
        <row r="2434">
          <cell r="H2434" t="str">
            <v>Chillarón de Cuenca</v>
          </cell>
          <cell r="I2434" t="str">
            <v>16023</v>
          </cell>
        </row>
        <row r="2435">
          <cell r="H2435" t="str">
            <v>Chillarón del Rey</v>
          </cell>
          <cell r="I2435" t="str">
            <v>19106</v>
          </cell>
        </row>
        <row r="2436">
          <cell r="H2436" t="str">
            <v>Chillón</v>
          </cell>
          <cell r="I2436" t="str">
            <v>13038</v>
          </cell>
        </row>
        <row r="2437">
          <cell r="H2437" t="str">
            <v>Chilluévar</v>
          </cell>
          <cell r="I2437" t="str">
            <v>23030</v>
          </cell>
        </row>
        <row r="2438">
          <cell r="H2438" t="str">
            <v>Chiloeches</v>
          </cell>
          <cell r="I2438" t="str">
            <v>19105</v>
          </cell>
        </row>
        <row r="2439">
          <cell r="H2439" t="str">
            <v>Chimeneas</v>
          </cell>
          <cell r="I2439" t="str">
            <v>18061</v>
          </cell>
        </row>
        <row r="2440">
          <cell r="H2440" t="str">
            <v>Chimillas</v>
          </cell>
          <cell r="I2440" t="str">
            <v>22096</v>
          </cell>
        </row>
        <row r="2441">
          <cell r="H2441" t="str">
            <v>Chinchilla de Monte-Aragón</v>
          </cell>
          <cell r="I2441" t="str">
            <v>02029</v>
          </cell>
        </row>
        <row r="2442">
          <cell r="H2442" t="str">
            <v>Chinchón</v>
          </cell>
          <cell r="I2442" t="str">
            <v>28052</v>
          </cell>
        </row>
        <row r="2443">
          <cell r="H2443" t="str">
            <v>Chipiona</v>
          </cell>
          <cell r="I2443" t="str">
            <v>11016</v>
          </cell>
        </row>
        <row r="2444">
          <cell r="H2444" t="str">
            <v>Chiprana</v>
          </cell>
          <cell r="I2444" t="str">
            <v>50092</v>
          </cell>
        </row>
        <row r="2445">
          <cell r="H2445" t="str">
            <v>Chirivel</v>
          </cell>
          <cell r="I2445" t="str">
            <v>04037</v>
          </cell>
        </row>
        <row r="2446">
          <cell r="H2446" t="str">
            <v>Chiva</v>
          </cell>
          <cell r="I2446" t="str">
            <v>46111</v>
          </cell>
        </row>
        <row r="2447">
          <cell r="H2447" t="str">
            <v>Chodes</v>
          </cell>
          <cell r="I2447" t="str">
            <v>50093</v>
          </cell>
        </row>
        <row r="2448">
          <cell r="H2448" t="str">
            <v>Chóvar</v>
          </cell>
          <cell r="I2448" t="str">
            <v>12056</v>
          </cell>
        </row>
        <row r="2449">
          <cell r="H2449" t="str">
            <v>Chozas de Abajo</v>
          </cell>
          <cell r="I2449" t="str">
            <v>24065</v>
          </cell>
        </row>
        <row r="2450">
          <cell r="H2450" t="str">
            <v>Chozas de Canales</v>
          </cell>
          <cell r="I2450" t="str">
            <v>45056</v>
          </cell>
        </row>
        <row r="2451">
          <cell r="H2451" t="str">
            <v>Chucena</v>
          </cell>
          <cell r="I2451" t="str">
            <v>21030</v>
          </cell>
        </row>
        <row r="2452">
          <cell r="H2452" t="str">
            <v>Chueca</v>
          </cell>
          <cell r="I2452" t="str">
            <v>45057</v>
          </cell>
        </row>
        <row r="2453">
          <cell r="H2453" t="str">
            <v>Chulilla</v>
          </cell>
          <cell r="I2453" t="str">
            <v>46112</v>
          </cell>
        </row>
        <row r="2454">
          <cell r="H2454" t="str">
            <v>Chumillas</v>
          </cell>
          <cell r="I2454" t="str">
            <v>16081</v>
          </cell>
        </row>
        <row r="2455">
          <cell r="H2455" t="str">
            <v>Churriana de la Vega</v>
          </cell>
          <cell r="I2455" t="str">
            <v>18062</v>
          </cell>
        </row>
        <row r="2456">
          <cell r="H2456" t="str">
            <v>Ciadoncha</v>
          </cell>
          <cell r="I2456" t="str">
            <v>09101</v>
          </cell>
        </row>
        <row r="2457">
          <cell r="H2457" t="str">
            <v>Cidamón</v>
          </cell>
          <cell r="I2457" t="str">
            <v>26048</v>
          </cell>
        </row>
        <row r="2458">
          <cell r="H2458" t="str">
            <v>Cidones</v>
          </cell>
          <cell r="I2458" t="str">
            <v>42061</v>
          </cell>
        </row>
        <row r="2459">
          <cell r="H2459" t="str">
            <v>Ciempozuelos</v>
          </cell>
          <cell r="I2459" t="str">
            <v>28040</v>
          </cell>
        </row>
        <row r="2460">
          <cell r="H2460" t="str">
            <v>Cierva, La</v>
          </cell>
          <cell r="I2460" t="str">
            <v>16074</v>
          </cell>
        </row>
        <row r="2461">
          <cell r="H2461" t="str">
            <v>Cieza</v>
          </cell>
          <cell r="I2461" t="str">
            <v>30019</v>
          </cell>
        </row>
        <row r="2462">
          <cell r="H2462" t="str">
            <v>Cieza</v>
          </cell>
          <cell r="I2462" t="str">
            <v>39021</v>
          </cell>
        </row>
        <row r="2463">
          <cell r="H2463" t="str">
            <v>Cifuentes</v>
          </cell>
          <cell r="I2463" t="str">
            <v>19086</v>
          </cell>
        </row>
        <row r="2464">
          <cell r="H2464" t="str">
            <v>Cigales</v>
          </cell>
          <cell r="I2464" t="str">
            <v>47050</v>
          </cell>
        </row>
        <row r="2465">
          <cell r="H2465" t="str">
            <v>Cigudosa</v>
          </cell>
          <cell r="I2465" t="str">
            <v>42062</v>
          </cell>
        </row>
        <row r="2466">
          <cell r="H2466" t="str">
            <v>Ciguñuela</v>
          </cell>
          <cell r="I2466" t="str">
            <v>47051</v>
          </cell>
        </row>
        <row r="2467">
          <cell r="H2467" t="str">
            <v>Cihuela</v>
          </cell>
          <cell r="I2467" t="str">
            <v>42063</v>
          </cell>
        </row>
        <row r="2468">
          <cell r="H2468" t="str">
            <v>Cihuri</v>
          </cell>
          <cell r="I2468" t="str">
            <v>26049</v>
          </cell>
        </row>
        <row r="2469">
          <cell r="H2469" t="str">
            <v>Cijuela</v>
          </cell>
          <cell r="I2469" t="str">
            <v>18048</v>
          </cell>
        </row>
        <row r="2470">
          <cell r="H2470" t="str">
            <v>Cillán</v>
          </cell>
          <cell r="I2470" t="str">
            <v>05059</v>
          </cell>
        </row>
        <row r="2471">
          <cell r="H2471" t="str">
            <v>Cilleros</v>
          </cell>
          <cell r="I2471" t="str">
            <v>10064</v>
          </cell>
        </row>
        <row r="2472">
          <cell r="H2472" t="str">
            <v>Cilleros de la Bastida</v>
          </cell>
          <cell r="I2472" t="str">
            <v>37104</v>
          </cell>
        </row>
        <row r="2473">
          <cell r="H2473" t="str">
            <v>Cilleruelo de Abajo</v>
          </cell>
          <cell r="I2473" t="str">
            <v>09103</v>
          </cell>
        </row>
        <row r="2474">
          <cell r="H2474" t="str">
            <v>Cilleruelo de Arriba</v>
          </cell>
          <cell r="I2474" t="str">
            <v>09104</v>
          </cell>
        </row>
        <row r="2475">
          <cell r="H2475" t="str">
            <v>Cilleruelo de San Mamés</v>
          </cell>
          <cell r="I2475" t="str">
            <v>40055</v>
          </cell>
        </row>
        <row r="2476">
          <cell r="H2476" t="str">
            <v>Cillorigo de Liébana</v>
          </cell>
          <cell r="I2476" t="str">
            <v>39022</v>
          </cell>
        </row>
        <row r="2477">
          <cell r="H2477" t="str">
            <v>Cimanes de la Vega</v>
          </cell>
          <cell r="I2477" t="str">
            <v>24054</v>
          </cell>
        </row>
        <row r="2478">
          <cell r="H2478" t="str">
            <v>Cimanes del Tejar</v>
          </cell>
          <cell r="I2478" t="str">
            <v>24055</v>
          </cell>
        </row>
        <row r="2479">
          <cell r="H2479" t="str">
            <v>Cimballa</v>
          </cell>
          <cell r="I2479" t="str">
            <v>50082</v>
          </cell>
        </row>
        <row r="2480">
          <cell r="H2480" t="str">
            <v>Cinco Olivas</v>
          </cell>
          <cell r="I2480" t="str">
            <v>50083</v>
          </cell>
        </row>
        <row r="2481">
          <cell r="H2481" t="str">
            <v>Cincovillas</v>
          </cell>
          <cell r="I2481" t="str">
            <v>19087</v>
          </cell>
        </row>
        <row r="2482">
          <cell r="H2482" t="str">
            <v>Cinctorres</v>
          </cell>
          <cell r="I2482" t="str">
            <v>12045</v>
          </cell>
        </row>
        <row r="2483">
          <cell r="H2483" t="str">
            <v>Cintruénigo</v>
          </cell>
          <cell r="I2483" t="str">
            <v>31072</v>
          </cell>
        </row>
        <row r="2484">
          <cell r="H2484" t="str">
            <v>Cipérez</v>
          </cell>
          <cell r="I2484" t="str">
            <v>37106</v>
          </cell>
        </row>
        <row r="2485">
          <cell r="H2485" t="str">
            <v>Cirat</v>
          </cell>
          <cell r="I2485" t="str">
            <v>12046</v>
          </cell>
        </row>
        <row r="2486">
          <cell r="H2486" t="str">
            <v>Cirauqui/Zirauki</v>
          </cell>
          <cell r="I2486" t="str">
            <v>31074</v>
          </cell>
        </row>
        <row r="2487">
          <cell r="H2487" t="str">
            <v>Ciria</v>
          </cell>
          <cell r="I2487" t="str">
            <v>42064</v>
          </cell>
        </row>
        <row r="2488">
          <cell r="H2488" t="str">
            <v>Ciriza/Ziritza</v>
          </cell>
          <cell r="I2488" t="str">
            <v>31075</v>
          </cell>
        </row>
        <row r="2489">
          <cell r="H2489" t="str">
            <v>Ciruelas</v>
          </cell>
          <cell r="I2489" t="str">
            <v>19088</v>
          </cell>
        </row>
        <row r="2490">
          <cell r="H2490" t="str">
            <v>Ciruelos</v>
          </cell>
          <cell r="I2490" t="str">
            <v>45050</v>
          </cell>
        </row>
        <row r="2491">
          <cell r="H2491" t="str">
            <v>Ciruelos de Cervera</v>
          </cell>
          <cell r="I2491" t="str">
            <v>09105</v>
          </cell>
        </row>
        <row r="2492">
          <cell r="H2492" t="str">
            <v>Ciruelos del Pinar</v>
          </cell>
          <cell r="I2492" t="str">
            <v>19089</v>
          </cell>
        </row>
        <row r="2493">
          <cell r="H2493" t="str">
            <v>Cirueña</v>
          </cell>
          <cell r="I2493" t="str">
            <v>26050</v>
          </cell>
        </row>
        <row r="2494">
          <cell r="H2494" t="str">
            <v>Cirujales del Río</v>
          </cell>
          <cell r="I2494" t="str">
            <v>42065</v>
          </cell>
        </row>
        <row r="2495">
          <cell r="H2495" t="str">
            <v>Cisla</v>
          </cell>
          <cell r="I2495" t="str">
            <v>05060</v>
          </cell>
        </row>
        <row r="2496">
          <cell r="H2496" t="str">
            <v>Cisneros</v>
          </cell>
          <cell r="I2496" t="str">
            <v>34059</v>
          </cell>
        </row>
        <row r="2497">
          <cell r="H2497" t="str">
            <v>Cistella</v>
          </cell>
          <cell r="I2497" t="str">
            <v>17051</v>
          </cell>
        </row>
        <row r="2498">
          <cell r="H2498" t="str">
            <v>Cistérniga</v>
          </cell>
          <cell r="I2498" t="str">
            <v>47052</v>
          </cell>
        </row>
        <row r="2499">
          <cell r="H2499" t="str">
            <v>Ciudad Real</v>
          </cell>
          <cell r="I2499" t="str">
            <v>13034</v>
          </cell>
        </row>
        <row r="2500">
          <cell r="H2500" t="str">
            <v>Ciudad Rodrigo</v>
          </cell>
          <cell r="I2500" t="str">
            <v>37107</v>
          </cell>
        </row>
        <row r="2501">
          <cell r="H2501" t="str">
            <v>Ciutadella de Menorca</v>
          </cell>
          <cell r="I2501" t="str">
            <v>07015</v>
          </cell>
        </row>
        <row r="2502">
          <cell r="H2502" t="str">
            <v>Ciutadilla</v>
          </cell>
          <cell r="I2502" t="str">
            <v>25074</v>
          </cell>
        </row>
        <row r="2503">
          <cell r="H2503" t="str">
            <v>Cizur</v>
          </cell>
          <cell r="I2503" t="str">
            <v>31076</v>
          </cell>
        </row>
        <row r="2504">
          <cell r="H2504" t="str">
            <v>Clarés de Ribota</v>
          </cell>
          <cell r="I2504" t="str">
            <v>50084</v>
          </cell>
        </row>
        <row r="2505">
          <cell r="H2505" t="str">
            <v>Clariana de Cardener</v>
          </cell>
          <cell r="I2505" t="str">
            <v>25075</v>
          </cell>
        </row>
        <row r="2506">
          <cell r="H2506" t="str">
            <v>Clavijo</v>
          </cell>
          <cell r="I2506" t="str">
            <v>26051</v>
          </cell>
        </row>
        <row r="2507">
          <cell r="H2507" t="str">
            <v>Coaña</v>
          </cell>
          <cell r="I2507" t="str">
            <v>33018</v>
          </cell>
        </row>
        <row r="2508">
          <cell r="H2508" t="str">
            <v>Cóbdar</v>
          </cell>
          <cell r="I2508" t="str">
            <v>04034</v>
          </cell>
        </row>
        <row r="2509">
          <cell r="H2509" t="str">
            <v>Cobeja</v>
          </cell>
          <cell r="I2509" t="str">
            <v>45051</v>
          </cell>
        </row>
        <row r="2510">
          <cell r="H2510" t="str">
            <v>Cobeña</v>
          </cell>
          <cell r="I2510" t="str">
            <v>28041</v>
          </cell>
        </row>
        <row r="2511">
          <cell r="H2511" t="str">
            <v>Cobeta</v>
          </cell>
          <cell r="I2511" t="str">
            <v>19090</v>
          </cell>
        </row>
        <row r="2512">
          <cell r="H2512" t="str">
            <v>Cobisa</v>
          </cell>
          <cell r="I2512" t="str">
            <v>45052</v>
          </cell>
        </row>
        <row r="2513">
          <cell r="H2513" t="str">
            <v>Cobos de Cerrato</v>
          </cell>
          <cell r="I2513" t="str">
            <v>34060</v>
          </cell>
        </row>
        <row r="2514">
          <cell r="H2514" t="str">
            <v>Cobos de Fuentidueña</v>
          </cell>
          <cell r="I2514" t="str">
            <v>40056</v>
          </cell>
        </row>
        <row r="2515">
          <cell r="H2515" t="str">
            <v>Cobreros</v>
          </cell>
          <cell r="I2515" t="str">
            <v>49050</v>
          </cell>
        </row>
        <row r="2516">
          <cell r="H2516" t="str">
            <v>Coca</v>
          </cell>
          <cell r="I2516" t="str">
            <v>40057</v>
          </cell>
        </row>
        <row r="2517">
          <cell r="H2517" t="str">
            <v>Coca de Alba</v>
          </cell>
          <cell r="I2517" t="str">
            <v>37108</v>
          </cell>
        </row>
        <row r="2518">
          <cell r="H2518" t="str">
            <v>Cocentaina</v>
          </cell>
          <cell r="I2518" t="str">
            <v>03056</v>
          </cell>
        </row>
        <row r="2519">
          <cell r="H2519" t="str">
            <v>Codo</v>
          </cell>
          <cell r="I2519" t="str">
            <v>50085</v>
          </cell>
        </row>
        <row r="2520">
          <cell r="H2520" t="str">
            <v>Codorniz</v>
          </cell>
          <cell r="I2520" t="str">
            <v>40058</v>
          </cell>
        </row>
        <row r="2521">
          <cell r="H2521" t="str">
            <v>Codos</v>
          </cell>
          <cell r="I2521" t="str">
            <v>50086</v>
          </cell>
        </row>
        <row r="2522">
          <cell r="H2522" t="str">
            <v>Codosera, La</v>
          </cell>
          <cell r="I2522" t="str">
            <v>06037</v>
          </cell>
        </row>
        <row r="2523">
          <cell r="H2523" t="str">
            <v>Cofrentes</v>
          </cell>
          <cell r="I2523" t="str">
            <v>46097</v>
          </cell>
        </row>
        <row r="2524">
          <cell r="H2524" t="str">
            <v>Cogeces de Íscar</v>
          </cell>
          <cell r="I2524" t="str">
            <v>47053</v>
          </cell>
        </row>
        <row r="2525">
          <cell r="H2525" t="str">
            <v>Cogeces del Monte</v>
          </cell>
          <cell r="I2525" t="str">
            <v>47054</v>
          </cell>
        </row>
        <row r="2526">
          <cell r="H2526" t="str">
            <v>Cogollor</v>
          </cell>
          <cell r="I2526" t="str">
            <v>19091</v>
          </cell>
        </row>
        <row r="2527">
          <cell r="H2527" t="str">
            <v>Cogollos</v>
          </cell>
          <cell r="I2527" t="str">
            <v>09108</v>
          </cell>
        </row>
        <row r="2528">
          <cell r="H2528" t="str">
            <v>Cogollos de Guadix</v>
          </cell>
          <cell r="I2528" t="str">
            <v>18049</v>
          </cell>
        </row>
        <row r="2529">
          <cell r="H2529" t="str">
            <v>Cogollos de la Vega</v>
          </cell>
          <cell r="I2529" t="str">
            <v>18050</v>
          </cell>
        </row>
        <row r="2530">
          <cell r="H2530" t="str">
            <v>Cogolludo</v>
          </cell>
          <cell r="I2530" t="str">
            <v>19092</v>
          </cell>
        </row>
        <row r="2531">
          <cell r="H2531" t="str">
            <v>Cogul, El</v>
          </cell>
          <cell r="I2531" t="str">
            <v>25076</v>
          </cell>
        </row>
        <row r="2532">
          <cell r="H2532" t="str">
            <v>Coín</v>
          </cell>
          <cell r="I2532" t="str">
            <v>29042</v>
          </cell>
        </row>
        <row r="2533">
          <cell r="H2533" t="str">
            <v>Coirós</v>
          </cell>
          <cell r="I2533" t="str">
            <v>15027</v>
          </cell>
        </row>
        <row r="2534">
          <cell r="H2534" t="str">
            <v>Colera</v>
          </cell>
          <cell r="I2534" t="str">
            <v>17054</v>
          </cell>
        </row>
        <row r="2535">
          <cell r="H2535" t="str">
            <v>Coles</v>
          </cell>
          <cell r="I2535" t="str">
            <v>32026</v>
          </cell>
        </row>
        <row r="2536">
          <cell r="H2536" t="str">
            <v>Colilla, La</v>
          </cell>
          <cell r="I2536" t="str">
            <v>05061</v>
          </cell>
        </row>
        <row r="2537">
          <cell r="H2537" t="str">
            <v>Colindres</v>
          </cell>
          <cell r="I2537" t="str">
            <v>39023</v>
          </cell>
        </row>
        <row r="2538">
          <cell r="H2538" t="str">
            <v>Coll de Nargó</v>
          </cell>
          <cell r="I2538" t="str">
            <v>25077</v>
          </cell>
        </row>
        <row r="2539">
          <cell r="H2539" t="str">
            <v>Collado de Contreras</v>
          </cell>
          <cell r="I2539" t="str">
            <v>05062</v>
          </cell>
        </row>
        <row r="2540">
          <cell r="H2540" t="str">
            <v>Collado de la Vera</v>
          </cell>
          <cell r="I2540" t="str">
            <v>10065</v>
          </cell>
        </row>
        <row r="2541">
          <cell r="H2541" t="str">
            <v>Collado del Mirón</v>
          </cell>
          <cell r="I2541" t="str">
            <v>05063</v>
          </cell>
        </row>
        <row r="2542">
          <cell r="H2542" t="str">
            <v>Collado Hermoso</v>
          </cell>
          <cell r="I2542" t="str">
            <v>40059</v>
          </cell>
        </row>
        <row r="2543">
          <cell r="H2543" t="str">
            <v>Collado Mediano</v>
          </cell>
          <cell r="I2543" t="str">
            <v>28046</v>
          </cell>
        </row>
        <row r="2544">
          <cell r="H2544" t="str">
            <v>Collado Villalba</v>
          </cell>
          <cell r="I2544" t="str">
            <v>28047</v>
          </cell>
        </row>
        <row r="2545">
          <cell r="H2545" t="str">
            <v>Collazos de Boedo</v>
          </cell>
          <cell r="I2545" t="str">
            <v>34061</v>
          </cell>
        </row>
        <row r="2546">
          <cell r="H2546" t="str">
            <v>Collbató</v>
          </cell>
          <cell r="I2546" t="str">
            <v>08069</v>
          </cell>
        </row>
        <row r="2547">
          <cell r="H2547" t="str">
            <v>Colldejou</v>
          </cell>
          <cell r="I2547" t="str">
            <v>43045</v>
          </cell>
        </row>
        <row r="2548">
          <cell r="H2548" t="str">
            <v>Collsuspina</v>
          </cell>
          <cell r="I2548" t="str">
            <v>08070</v>
          </cell>
        </row>
        <row r="2549">
          <cell r="H2549" t="str">
            <v>Colmenar</v>
          </cell>
          <cell r="I2549" t="str">
            <v>29043</v>
          </cell>
        </row>
        <row r="2550">
          <cell r="H2550" t="str">
            <v>Colmenar de Montemayor</v>
          </cell>
          <cell r="I2550" t="str">
            <v>37109</v>
          </cell>
        </row>
        <row r="2551">
          <cell r="H2551" t="str">
            <v>Colmenar de Oreja</v>
          </cell>
          <cell r="I2551" t="str">
            <v>28043</v>
          </cell>
        </row>
        <row r="2552">
          <cell r="H2552" t="str">
            <v>Colmenar del Arroyo</v>
          </cell>
          <cell r="I2552" t="str">
            <v>28042</v>
          </cell>
        </row>
        <row r="2553">
          <cell r="H2553" t="str">
            <v>Colmenar Viejo</v>
          </cell>
          <cell r="I2553" t="str">
            <v>28045</v>
          </cell>
        </row>
        <row r="2554">
          <cell r="H2554" t="str">
            <v>Colmenarejo</v>
          </cell>
          <cell r="I2554" t="str">
            <v>28044</v>
          </cell>
        </row>
        <row r="2555">
          <cell r="H2555" t="str">
            <v>Colomera</v>
          </cell>
          <cell r="I2555" t="str">
            <v>18051</v>
          </cell>
        </row>
        <row r="2556">
          <cell r="H2556" t="str">
            <v>Colomers</v>
          </cell>
          <cell r="I2556" t="str">
            <v>17055</v>
          </cell>
        </row>
        <row r="2557">
          <cell r="H2557" t="str">
            <v>Colungo</v>
          </cell>
          <cell r="I2557" t="str">
            <v>22090</v>
          </cell>
        </row>
        <row r="2558">
          <cell r="H2558" t="str">
            <v>Coma i la Pedra, La</v>
          </cell>
          <cell r="I2558" t="str">
            <v>25163</v>
          </cell>
        </row>
        <row r="2559">
          <cell r="H2559" t="str">
            <v>Comares</v>
          </cell>
          <cell r="I2559" t="str">
            <v>29044</v>
          </cell>
        </row>
        <row r="2560">
          <cell r="H2560" t="str">
            <v>Comillas</v>
          </cell>
          <cell r="I2560" t="str">
            <v>39024</v>
          </cell>
        </row>
        <row r="2561">
          <cell r="H2561" t="str">
            <v>Cómpeta</v>
          </cell>
          <cell r="I2561" t="str">
            <v>29045</v>
          </cell>
        </row>
        <row r="2562">
          <cell r="H2562" t="str">
            <v>Conca de Dalt</v>
          </cell>
          <cell r="I2562" t="str">
            <v>25161</v>
          </cell>
        </row>
        <row r="2563">
          <cell r="H2563" t="str">
            <v>Condado de Castilnovo</v>
          </cell>
          <cell r="I2563" t="str">
            <v>40060</v>
          </cell>
        </row>
        <row r="2564">
          <cell r="H2564" t="str">
            <v>Condado de Treviño</v>
          </cell>
          <cell r="I2564" t="str">
            <v>09109</v>
          </cell>
        </row>
        <row r="2565">
          <cell r="H2565" t="str">
            <v>Condemios de Abajo</v>
          </cell>
          <cell r="I2565" t="str">
            <v>19095</v>
          </cell>
        </row>
        <row r="2566">
          <cell r="H2566" t="str">
            <v>Condemios de Arriba</v>
          </cell>
          <cell r="I2566" t="str">
            <v>19096</v>
          </cell>
        </row>
        <row r="2567">
          <cell r="H2567" t="str">
            <v>Conesa</v>
          </cell>
          <cell r="I2567" t="str">
            <v>43046</v>
          </cell>
        </row>
        <row r="2568">
          <cell r="H2568" t="str">
            <v>Confrides</v>
          </cell>
          <cell r="I2568" t="str">
            <v>03057</v>
          </cell>
        </row>
        <row r="2569">
          <cell r="H2569" t="str">
            <v>Congostrina</v>
          </cell>
          <cell r="I2569" t="str">
            <v>19097</v>
          </cell>
        </row>
        <row r="2570">
          <cell r="H2570" t="str">
            <v>Conil de la Frontera</v>
          </cell>
          <cell r="I2570" t="str">
            <v>11014</v>
          </cell>
        </row>
        <row r="2571">
          <cell r="H2571" t="str">
            <v>Conquista</v>
          </cell>
          <cell r="I2571" t="str">
            <v>14020</v>
          </cell>
        </row>
        <row r="2572">
          <cell r="H2572" t="str">
            <v>Conquista de la Sierra</v>
          </cell>
          <cell r="I2572" t="str">
            <v>10066</v>
          </cell>
        </row>
        <row r="2573">
          <cell r="H2573" t="str">
            <v>Constantí</v>
          </cell>
          <cell r="I2573" t="str">
            <v>43047</v>
          </cell>
        </row>
        <row r="2574">
          <cell r="H2574" t="str">
            <v>Constantina</v>
          </cell>
          <cell r="I2574" t="str">
            <v>41033</v>
          </cell>
        </row>
        <row r="2575">
          <cell r="H2575" t="str">
            <v>Constanzana</v>
          </cell>
          <cell r="I2575" t="str">
            <v>05064</v>
          </cell>
        </row>
        <row r="2576">
          <cell r="H2576" t="str">
            <v>Consuegra</v>
          </cell>
          <cell r="I2576" t="str">
            <v>45053</v>
          </cell>
        </row>
        <row r="2577">
          <cell r="H2577" t="str">
            <v>Contamina</v>
          </cell>
          <cell r="I2577" t="str">
            <v>50087</v>
          </cell>
        </row>
        <row r="2578">
          <cell r="H2578" t="str">
            <v>Contreras</v>
          </cell>
          <cell r="I2578" t="str">
            <v>09110</v>
          </cell>
        </row>
        <row r="2579">
          <cell r="H2579" t="str">
            <v>Coomonte</v>
          </cell>
          <cell r="I2579" t="str">
            <v>49052</v>
          </cell>
        </row>
        <row r="2580">
          <cell r="H2580" t="str">
            <v>Copernal</v>
          </cell>
          <cell r="I2580" t="str">
            <v>19098</v>
          </cell>
        </row>
        <row r="2581">
          <cell r="H2581" t="str">
            <v>Copons</v>
          </cell>
          <cell r="I2581" t="str">
            <v>08071</v>
          </cell>
        </row>
        <row r="2582">
          <cell r="H2582" t="str">
            <v>Corbalán</v>
          </cell>
          <cell r="I2582" t="str">
            <v>44082</v>
          </cell>
        </row>
        <row r="2583">
          <cell r="H2583" t="str">
            <v>Corbera</v>
          </cell>
          <cell r="I2583" t="str">
            <v>46098</v>
          </cell>
        </row>
        <row r="2584">
          <cell r="H2584" t="str">
            <v>Corbera de Llobregat</v>
          </cell>
          <cell r="I2584" t="str">
            <v>08072</v>
          </cell>
        </row>
        <row r="2585">
          <cell r="H2585" t="str">
            <v>Corbera d'Ebre</v>
          </cell>
          <cell r="I2585" t="str">
            <v>43048</v>
          </cell>
        </row>
        <row r="2586">
          <cell r="H2586" t="str">
            <v>Corbillos de los Oteros</v>
          </cell>
          <cell r="I2586" t="str">
            <v>24058</v>
          </cell>
        </row>
        <row r="2587">
          <cell r="H2587" t="str">
            <v>Corbins</v>
          </cell>
          <cell r="I2587" t="str">
            <v>25078</v>
          </cell>
        </row>
        <row r="2588">
          <cell r="H2588" t="str">
            <v>Corçà</v>
          </cell>
          <cell r="I2588" t="str">
            <v>17057</v>
          </cell>
        </row>
        <row r="2589">
          <cell r="H2589" t="str">
            <v>Corcos</v>
          </cell>
          <cell r="I2589" t="str">
            <v>47055</v>
          </cell>
        </row>
        <row r="2590">
          <cell r="H2590" t="str">
            <v>Corcubión</v>
          </cell>
          <cell r="I2590" t="str">
            <v>15028</v>
          </cell>
        </row>
        <row r="2591">
          <cell r="H2591" t="str">
            <v>Córdoba</v>
          </cell>
          <cell r="I2591" t="str">
            <v>14021</v>
          </cell>
        </row>
        <row r="2592">
          <cell r="H2592" t="str">
            <v>Cordobilla de Lácara</v>
          </cell>
          <cell r="I2592" t="str">
            <v>06038</v>
          </cell>
        </row>
        <row r="2593">
          <cell r="H2593" t="str">
            <v>Cordovilla</v>
          </cell>
          <cell r="I2593" t="str">
            <v>37110</v>
          </cell>
        </row>
        <row r="2594">
          <cell r="H2594" t="str">
            <v>Cordovilla la Real</v>
          </cell>
          <cell r="I2594" t="str">
            <v>34063</v>
          </cell>
        </row>
        <row r="2595">
          <cell r="H2595" t="str">
            <v>Cordovín</v>
          </cell>
          <cell r="I2595" t="str">
            <v>26052</v>
          </cell>
        </row>
        <row r="2596">
          <cell r="H2596" t="str">
            <v>Corduente</v>
          </cell>
          <cell r="I2596" t="str">
            <v>19099</v>
          </cell>
        </row>
        <row r="2597">
          <cell r="H2597" t="str">
            <v>Corella</v>
          </cell>
          <cell r="I2597" t="str">
            <v>31077</v>
          </cell>
        </row>
        <row r="2598">
          <cell r="H2598" t="str">
            <v>Corera</v>
          </cell>
          <cell r="I2598" t="str">
            <v>26053</v>
          </cell>
        </row>
        <row r="2599">
          <cell r="H2599" t="str">
            <v>Coreses</v>
          </cell>
          <cell r="I2599" t="str">
            <v>49053</v>
          </cell>
        </row>
        <row r="2600">
          <cell r="H2600" t="str">
            <v>Corgo, O</v>
          </cell>
          <cell r="I2600" t="str">
            <v>27014</v>
          </cell>
        </row>
        <row r="2601">
          <cell r="H2601" t="str">
            <v>Coria</v>
          </cell>
          <cell r="I2601" t="str">
            <v>10067</v>
          </cell>
        </row>
        <row r="2602">
          <cell r="H2602" t="str">
            <v>Coria del Río</v>
          </cell>
          <cell r="I2602" t="str">
            <v>41034</v>
          </cell>
        </row>
        <row r="2603">
          <cell r="H2603" t="str">
            <v>Coripe</v>
          </cell>
          <cell r="I2603" t="str">
            <v>41035</v>
          </cell>
        </row>
        <row r="2604">
          <cell r="H2604" t="str">
            <v>Coristanco</v>
          </cell>
          <cell r="I2604" t="str">
            <v>15029</v>
          </cell>
        </row>
        <row r="2605">
          <cell r="H2605" t="str">
            <v>Cornago</v>
          </cell>
          <cell r="I2605" t="str">
            <v>26054</v>
          </cell>
        </row>
        <row r="2606">
          <cell r="H2606" t="str">
            <v>Cornellà de Llobregat</v>
          </cell>
          <cell r="I2606" t="str">
            <v>08073</v>
          </cell>
        </row>
        <row r="2607">
          <cell r="H2607" t="str">
            <v>Cornellà del Terri</v>
          </cell>
          <cell r="I2607" t="str">
            <v>17056</v>
          </cell>
        </row>
        <row r="2608">
          <cell r="H2608" t="str">
            <v>Cornudella de Montsant</v>
          </cell>
          <cell r="I2608" t="str">
            <v>43049</v>
          </cell>
        </row>
        <row r="2609">
          <cell r="H2609" t="str">
            <v>Coronada, La</v>
          </cell>
          <cell r="I2609" t="str">
            <v>06039</v>
          </cell>
        </row>
        <row r="2610">
          <cell r="H2610" t="str">
            <v>Coronil, El</v>
          </cell>
          <cell r="I2610" t="str">
            <v>41036</v>
          </cell>
        </row>
        <row r="2611">
          <cell r="H2611" t="str">
            <v>Corpa</v>
          </cell>
          <cell r="I2611" t="str">
            <v>28048</v>
          </cell>
        </row>
        <row r="2612">
          <cell r="H2612" t="str">
            <v>Corporales</v>
          </cell>
          <cell r="I2612" t="str">
            <v>26055</v>
          </cell>
        </row>
        <row r="2613">
          <cell r="H2613" t="str">
            <v>Corral de Almaguer</v>
          </cell>
          <cell r="I2613" t="str">
            <v>45054</v>
          </cell>
        </row>
        <row r="2614">
          <cell r="H2614" t="str">
            <v>Corral de Ayllón</v>
          </cell>
          <cell r="I2614" t="str">
            <v>40061</v>
          </cell>
        </row>
        <row r="2615">
          <cell r="H2615" t="str">
            <v>Corral de Calatrava</v>
          </cell>
          <cell r="I2615" t="str">
            <v>13035</v>
          </cell>
        </row>
        <row r="2616">
          <cell r="H2616" t="str">
            <v>Corrales de Buelna, Los</v>
          </cell>
          <cell r="I2616" t="str">
            <v>39025</v>
          </cell>
        </row>
        <row r="2617">
          <cell r="H2617" t="str">
            <v>Corrales de Duero</v>
          </cell>
          <cell r="I2617" t="str">
            <v>47056</v>
          </cell>
        </row>
        <row r="2618">
          <cell r="H2618" t="str">
            <v>Corrales del Vino</v>
          </cell>
          <cell r="I2618" t="str">
            <v>49054</v>
          </cell>
        </row>
        <row r="2619">
          <cell r="H2619" t="str">
            <v>Corrales, Los</v>
          </cell>
          <cell r="I2619" t="str">
            <v>41037</v>
          </cell>
        </row>
        <row r="2620">
          <cell r="H2620" t="str">
            <v>Corral-Rubio</v>
          </cell>
          <cell r="I2620" t="str">
            <v>02027</v>
          </cell>
        </row>
        <row r="2621">
          <cell r="H2621" t="str">
            <v>Corte de Peleas</v>
          </cell>
          <cell r="I2621" t="str">
            <v>06040</v>
          </cell>
        </row>
        <row r="2622">
          <cell r="H2622" t="str">
            <v>Corteconcepción</v>
          </cell>
          <cell r="I2622" t="str">
            <v>21024</v>
          </cell>
        </row>
        <row r="2623">
          <cell r="H2623" t="str">
            <v>Cortegada</v>
          </cell>
          <cell r="I2623" t="str">
            <v>32027</v>
          </cell>
        </row>
        <row r="2624">
          <cell r="H2624" t="str">
            <v>Cortegana</v>
          </cell>
          <cell r="I2624" t="str">
            <v>21025</v>
          </cell>
        </row>
        <row r="2625">
          <cell r="H2625" t="str">
            <v>Cortelazor</v>
          </cell>
          <cell r="I2625" t="str">
            <v>21026</v>
          </cell>
        </row>
        <row r="2626">
          <cell r="H2626" t="str">
            <v>Cortes</v>
          </cell>
          <cell r="I2626" t="str">
            <v>31078</v>
          </cell>
        </row>
        <row r="2627">
          <cell r="H2627" t="str">
            <v>Cortes de Aragón</v>
          </cell>
          <cell r="I2627" t="str">
            <v>44084</v>
          </cell>
        </row>
        <row r="2628">
          <cell r="H2628" t="str">
            <v>Cortes de Arenoso</v>
          </cell>
          <cell r="I2628" t="str">
            <v>12048</v>
          </cell>
        </row>
        <row r="2629">
          <cell r="H2629" t="str">
            <v>Cortes de Baza</v>
          </cell>
          <cell r="I2629" t="str">
            <v>18053</v>
          </cell>
        </row>
        <row r="2630">
          <cell r="H2630" t="str">
            <v>Cortes de la Frontera</v>
          </cell>
          <cell r="I2630" t="str">
            <v>29046</v>
          </cell>
        </row>
        <row r="2631">
          <cell r="H2631" t="str">
            <v>Cortes de Pallás</v>
          </cell>
          <cell r="I2631" t="str">
            <v>46099</v>
          </cell>
        </row>
        <row r="2632">
          <cell r="H2632" t="str">
            <v>Cortes y Graena</v>
          </cell>
          <cell r="I2632" t="str">
            <v>18054</v>
          </cell>
        </row>
        <row r="2633">
          <cell r="H2633" t="str">
            <v>Cortijos, Los</v>
          </cell>
          <cell r="I2633" t="str">
            <v>13036</v>
          </cell>
        </row>
        <row r="2634">
          <cell r="H2634" t="str">
            <v>Coruña del Conde</v>
          </cell>
          <cell r="I2634" t="str">
            <v>09112</v>
          </cell>
        </row>
        <row r="2635">
          <cell r="H2635" t="str">
            <v>Coruña, A</v>
          </cell>
          <cell r="I2635" t="str">
            <v>15030</v>
          </cell>
        </row>
        <row r="2636">
          <cell r="H2636" t="str">
            <v>Corvera de Toranzo</v>
          </cell>
          <cell r="I2636" t="str">
            <v>39026</v>
          </cell>
        </row>
        <row r="2637">
          <cell r="H2637" t="str">
            <v>Coscurita</v>
          </cell>
          <cell r="I2637" t="str">
            <v>42068</v>
          </cell>
        </row>
        <row r="2638">
          <cell r="H2638" t="str">
            <v>Coslada</v>
          </cell>
          <cell r="I2638" t="str">
            <v>28049</v>
          </cell>
        </row>
        <row r="2639">
          <cell r="H2639" t="str">
            <v>Cospeito</v>
          </cell>
          <cell r="I2639" t="str">
            <v>27015</v>
          </cell>
        </row>
        <row r="2640">
          <cell r="H2640" t="str">
            <v>Costitx</v>
          </cell>
          <cell r="I2640" t="str">
            <v>07017</v>
          </cell>
        </row>
        <row r="2641">
          <cell r="H2641" t="str">
            <v>Costur</v>
          </cell>
          <cell r="I2641" t="str">
            <v>12049</v>
          </cell>
        </row>
        <row r="2642">
          <cell r="H2642" t="str">
            <v>Cosuenda</v>
          </cell>
          <cell r="I2642" t="str">
            <v>50088</v>
          </cell>
        </row>
        <row r="2643">
          <cell r="H2643" t="str">
            <v>Cotanes del Monte</v>
          </cell>
          <cell r="I2643" t="str">
            <v>49055</v>
          </cell>
        </row>
        <row r="2644">
          <cell r="H2644" t="str">
            <v>Cotes</v>
          </cell>
          <cell r="I2644" t="str">
            <v>46100</v>
          </cell>
        </row>
        <row r="2645">
          <cell r="H2645" t="str">
            <v>Cotillas</v>
          </cell>
          <cell r="I2645" t="str">
            <v>02028</v>
          </cell>
        </row>
        <row r="2646">
          <cell r="H2646" t="str">
            <v>Covaleda</v>
          </cell>
          <cell r="I2646" t="str">
            <v>42069</v>
          </cell>
        </row>
        <row r="2647">
          <cell r="H2647" t="str">
            <v>Covarrubias</v>
          </cell>
          <cell r="I2647" t="str">
            <v>09113</v>
          </cell>
        </row>
        <row r="2648">
          <cell r="H2648" t="str">
            <v>Covelo</v>
          </cell>
          <cell r="I2648" t="str">
            <v>36013</v>
          </cell>
        </row>
        <row r="2649">
          <cell r="H2649" t="str">
            <v>Coves de Vinromà, les</v>
          </cell>
          <cell r="I2649" t="str">
            <v>12050</v>
          </cell>
        </row>
        <row r="2650">
          <cell r="H2650" t="str">
            <v>Cox</v>
          </cell>
          <cell r="I2650" t="str">
            <v>03058</v>
          </cell>
        </row>
        <row r="2651">
          <cell r="H2651" t="str">
            <v>Cózar</v>
          </cell>
          <cell r="I2651" t="str">
            <v>13037</v>
          </cell>
        </row>
        <row r="2652">
          <cell r="H2652" t="str">
            <v>Cozuelos de Fuentidueña</v>
          </cell>
          <cell r="I2652" t="str">
            <v>40902</v>
          </cell>
        </row>
        <row r="2653">
          <cell r="H2653" t="str">
            <v>Crecente</v>
          </cell>
          <cell r="I2653" t="str">
            <v>36014</v>
          </cell>
        </row>
        <row r="2654">
          <cell r="H2654" t="str">
            <v>Creixell</v>
          </cell>
          <cell r="I2654" t="str">
            <v>43050</v>
          </cell>
        </row>
        <row r="2655">
          <cell r="H2655" t="str">
            <v>Crespià</v>
          </cell>
          <cell r="I2655" t="str">
            <v>17058</v>
          </cell>
        </row>
        <row r="2656">
          <cell r="H2656" t="str">
            <v>Crespos</v>
          </cell>
          <cell r="I2656" t="str">
            <v>05065</v>
          </cell>
        </row>
        <row r="2657">
          <cell r="H2657" t="str">
            <v>Cretas</v>
          </cell>
          <cell r="I2657" t="str">
            <v>44086</v>
          </cell>
        </row>
        <row r="2658">
          <cell r="H2658" t="str">
            <v>Crevillent</v>
          </cell>
          <cell r="I2658" t="str">
            <v>03059</v>
          </cell>
        </row>
        <row r="2659">
          <cell r="H2659" t="str">
            <v>Cristina</v>
          </cell>
          <cell r="I2659" t="str">
            <v>06041</v>
          </cell>
        </row>
        <row r="2660">
          <cell r="H2660" t="str">
            <v>Cristóbal</v>
          </cell>
          <cell r="I2660" t="str">
            <v>37112</v>
          </cell>
        </row>
        <row r="2661">
          <cell r="H2661" t="str">
            <v>Cruïlles, Monells i Sant Sadurní de l'Heura</v>
          </cell>
          <cell r="I2661" t="str">
            <v>17901</v>
          </cell>
        </row>
        <row r="2662">
          <cell r="H2662" t="str">
            <v>Cuacos de Yuste</v>
          </cell>
          <cell r="I2662" t="str">
            <v>10068</v>
          </cell>
        </row>
        <row r="2663">
          <cell r="H2663" t="str">
            <v>Cualedro</v>
          </cell>
          <cell r="I2663" t="str">
            <v>32028</v>
          </cell>
        </row>
        <row r="2664">
          <cell r="H2664" t="str">
            <v>Cuarte de Huerva</v>
          </cell>
          <cell r="I2664" t="str">
            <v>50089</v>
          </cell>
        </row>
        <row r="2665">
          <cell r="H2665" t="str">
            <v>Cuba, La</v>
          </cell>
          <cell r="I2665" t="str">
            <v>44088</v>
          </cell>
        </row>
        <row r="2666">
          <cell r="H2666" t="str">
            <v>Cubas de la Sagra</v>
          </cell>
          <cell r="I2666" t="str">
            <v>28050</v>
          </cell>
        </row>
        <row r="2667">
          <cell r="H2667" t="str">
            <v>Cubel</v>
          </cell>
          <cell r="I2667" t="str">
            <v>50090</v>
          </cell>
        </row>
        <row r="2668">
          <cell r="H2668" t="str">
            <v>Cubelles</v>
          </cell>
          <cell r="I2668" t="str">
            <v>08074</v>
          </cell>
        </row>
        <row r="2669">
          <cell r="H2669" t="str">
            <v>Cubells</v>
          </cell>
          <cell r="I2669" t="str">
            <v>25079</v>
          </cell>
        </row>
        <row r="2670">
          <cell r="H2670" t="str">
            <v>Cubilla</v>
          </cell>
          <cell r="I2670" t="str">
            <v>42070</v>
          </cell>
        </row>
        <row r="2671">
          <cell r="H2671" t="str">
            <v>Cubillas de Cerrato</v>
          </cell>
          <cell r="I2671" t="str">
            <v>34066</v>
          </cell>
        </row>
        <row r="2672">
          <cell r="H2672" t="str">
            <v>Cubillas de los Oteros</v>
          </cell>
          <cell r="I2672" t="str">
            <v>24062</v>
          </cell>
        </row>
        <row r="2673">
          <cell r="H2673" t="str">
            <v>Cubillas de Santa Marta</v>
          </cell>
          <cell r="I2673" t="str">
            <v>47057</v>
          </cell>
        </row>
        <row r="2674">
          <cell r="H2674" t="str">
            <v>Cubillo</v>
          </cell>
          <cell r="I2674" t="str">
            <v>40062</v>
          </cell>
        </row>
        <row r="2675">
          <cell r="H2675" t="str">
            <v>Cubillo de Uceda, El</v>
          </cell>
          <cell r="I2675" t="str">
            <v>19102</v>
          </cell>
        </row>
        <row r="2676">
          <cell r="H2676" t="str">
            <v>Cubillo del Campo</v>
          </cell>
          <cell r="I2676" t="str">
            <v>09114</v>
          </cell>
        </row>
        <row r="2677">
          <cell r="H2677" t="str">
            <v>Cubillos</v>
          </cell>
          <cell r="I2677" t="str">
            <v>49056</v>
          </cell>
        </row>
        <row r="2678">
          <cell r="H2678" t="str">
            <v>Cubla</v>
          </cell>
          <cell r="I2678" t="str">
            <v>44089</v>
          </cell>
        </row>
        <row r="2679">
          <cell r="H2679" t="str">
            <v>Cubo de Benavente</v>
          </cell>
          <cell r="I2679" t="str">
            <v>49057</v>
          </cell>
        </row>
        <row r="2680">
          <cell r="H2680" t="str">
            <v>Cubo de Don Sancho, El</v>
          </cell>
          <cell r="I2680" t="str">
            <v>37113</v>
          </cell>
        </row>
        <row r="2681">
          <cell r="H2681" t="str">
            <v>Cubo de la Solana</v>
          </cell>
          <cell r="I2681" t="str">
            <v>42071</v>
          </cell>
        </row>
        <row r="2682">
          <cell r="H2682" t="str">
            <v>Cubo de Tierra del Vino, El</v>
          </cell>
          <cell r="I2682" t="str">
            <v>49058</v>
          </cell>
        </row>
        <row r="2683">
          <cell r="H2683" t="str">
            <v>Cucalón</v>
          </cell>
          <cell r="I2683" t="str">
            <v>44090</v>
          </cell>
        </row>
        <row r="2684">
          <cell r="H2684" t="str">
            <v>Cudillero</v>
          </cell>
          <cell r="I2684" t="str">
            <v>33021</v>
          </cell>
        </row>
        <row r="2685">
          <cell r="H2685" t="str">
            <v>Cuelgamures</v>
          </cell>
          <cell r="I2685" t="str">
            <v>49059</v>
          </cell>
        </row>
        <row r="2686">
          <cell r="H2686" t="str">
            <v>Cuéllar</v>
          </cell>
          <cell r="I2686" t="str">
            <v>40063</v>
          </cell>
        </row>
        <row r="2687">
          <cell r="H2687" t="str">
            <v>Cuenca</v>
          </cell>
          <cell r="I2687" t="str">
            <v>16078</v>
          </cell>
        </row>
        <row r="2688">
          <cell r="H2688" t="str">
            <v>Cuenca de Campos</v>
          </cell>
          <cell r="I2688" t="str">
            <v>47058</v>
          </cell>
        </row>
        <row r="2689">
          <cell r="H2689" t="str">
            <v>Cuerlas, Las</v>
          </cell>
          <cell r="I2689" t="str">
            <v>50091</v>
          </cell>
        </row>
        <row r="2690">
          <cell r="H2690" t="str">
            <v>Cuerva</v>
          </cell>
          <cell r="I2690" t="str">
            <v>45055</v>
          </cell>
        </row>
        <row r="2691">
          <cell r="H2691" t="str">
            <v>Cuervo de Sevilla, El</v>
          </cell>
          <cell r="I2691" t="str">
            <v>41903</v>
          </cell>
        </row>
        <row r="2692">
          <cell r="H2692" t="str">
            <v>Cuervo, El</v>
          </cell>
          <cell r="I2692" t="str">
            <v>44092</v>
          </cell>
        </row>
        <row r="2693">
          <cell r="H2693" t="str">
            <v>Cueva de Ágreda</v>
          </cell>
          <cell r="I2693" t="str">
            <v>42073</v>
          </cell>
        </row>
        <row r="2694">
          <cell r="H2694" t="str">
            <v>Cueva de Roa, La</v>
          </cell>
          <cell r="I2694" t="str">
            <v>09117</v>
          </cell>
        </row>
        <row r="2695">
          <cell r="H2695" t="str">
            <v>Cueva del Hierro</v>
          </cell>
          <cell r="I2695" t="str">
            <v>16079</v>
          </cell>
        </row>
        <row r="2696">
          <cell r="H2696" t="str">
            <v>Cuevas Bajas</v>
          </cell>
          <cell r="I2696" t="str">
            <v>29047</v>
          </cell>
        </row>
        <row r="2697">
          <cell r="H2697" t="str">
            <v>Cuevas de Provanco</v>
          </cell>
          <cell r="I2697" t="str">
            <v>40905</v>
          </cell>
        </row>
        <row r="2698">
          <cell r="H2698" t="str">
            <v>Cuevas de San Clemente</v>
          </cell>
          <cell r="I2698" t="str">
            <v>09119</v>
          </cell>
        </row>
        <row r="2699">
          <cell r="H2699" t="str">
            <v>Cuevas de San Marcos</v>
          </cell>
          <cell r="I2699" t="str">
            <v>29049</v>
          </cell>
        </row>
        <row r="2700">
          <cell r="H2700" t="str">
            <v>Cuevas del Almanzora</v>
          </cell>
          <cell r="I2700" t="str">
            <v>04035</v>
          </cell>
        </row>
        <row r="2701">
          <cell r="H2701" t="str">
            <v>Cuevas del Becerro</v>
          </cell>
          <cell r="I2701" t="str">
            <v>29048</v>
          </cell>
        </row>
        <row r="2702">
          <cell r="H2702" t="str">
            <v>Cuevas del Campo</v>
          </cell>
          <cell r="I2702" t="str">
            <v>18912</v>
          </cell>
        </row>
        <row r="2703">
          <cell r="H2703" t="str">
            <v>Cuevas del Valle</v>
          </cell>
          <cell r="I2703" t="str">
            <v>05066</v>
          </cell>
        </row>
        <row r="2704">
          <cell r="H2704" t="str">
            <v>Cuevas Labradas</v>
          </cell>
          <cell r="I2704" t="str">
            <v>44094</v>
          </cell>
        </row>
        <row r="2705">
          <cell r="H2705" t="str">
            <v>Culla</v>
          </cell>
          <cell r="I2705" t="str">
            <v>12051</v>
          </cell>
        </row>
        <row r="2706">
          <cell r="H2706" t="str">
            <v>Cúllar</v>
          </cell>
          <cell r="I2706" t="str">
            <v>18056</v>
          </cell>
        </row>
        <row r="2707">
          <cell r="H2707" t="str">
            <v>Cúllar Vega</v>
          </cell>
          <cell r="I2707" t="str">
            <v>18057</v>
          </cell>
        </row>
        <row r="2708">
          <cell r="H2708" t="str">
            <v>Cullera</v>
          </cell>
          <cell r="I2708" t="str">
            <v>46105</v>
          </cell>
        </row>
        <row r="2709">
          <cell r="H2709" t="str">
            <v>Culleredo</v>
          </cell>
          <cell r="I2709" t="str">
            <v>15031</v>
          </cell>
        </row>
        <row r="2710">
          <cell r="H2710" t="str">
            <v>Cumbre, La</v>
          </cell>
          <cell r="I2710" t="str">
            <v>10069</v>
          </cell>
        </row>
        <row r="2711">
          <cell r="H2711" t="str">
            <v>Cumbres de Enmedio</v>
          </cell>
          <cell r="I2711" t="str">
            <v>21027</v>
          </cell>
        </row>
        <row r="2712">
          <cell r="H2712" t="str">
            <v>Cumbres de San Bartolomé</v>
          </cell>
          <cell r="I2712" t="str">
            <v>21028</v>
          </cell>
        </row>
        <row r="2713">
          <cell r="H2713" t="str">
            <v>Cumbres Mayores</v>
          </cell>
          <cell r="I2713" t="str">
            <v>21029</v>
          </cell>
        </row>
        <row r="2714">
          <cell r="H2714" t="str">
            <v>Cunit</v>
          </cell>
          <cell r="I2714" t="str">
            <v>43051</v>
          </cell>
        </row>
        <row r="2715">
          <cell r="H2715" t="str">
            <v>Cuntis</v>
          </cell>
          <cell r="I2715" t="str">
            <v>36015</v>
          </cell>
        </row>
        <row r="2716">
          <cell r="H2716" t="str">
            <v>Curiel de Duero</v>
          </cell>
          <cell r="I2716" t="str">
            <v>47059</v>
          </cell>
        </row>
        <row r="2717">
          <cell r="H2717" t="str">
            <v>Curtis</v>
          </cell>
          <cell r="I2717" t="str">
            <v>15032</v>
          </cell>
        </row>
        <row r="2718">
          <cell r="H2718" t="str">
            <v>Cútar</v>
          </cell>
          <cell r="I2718" t="str">
            <v>29050</v>
          </cell>
        </row>
        <row r="2719">
          <cell r="H2719" t="str">
            <v>Cuzcurrita de Río Tirón</v>
          </cell>
          <cell r="I2719" t="str">
            <v>26056</v>
          </cell>
        </row>
        <row r="2720">
          <cell r="H2720" t="str">
            <v>Daganzo de Arriba</v>
          </cell>
          <cell r="I2720" t="str">
            <v>28053</v>
          </cell>
        </row>
        <row r="2721">
          <cell r="H2721" t="str">
            <v>Daimiel</v>
          </cell>
          <cell r="I2721" t="str">
            <v>13039</v>
          </cell>
        </row>
        <row r="2722">
          <cell r="H2722" t="str">
            <v>Daimús</v>
          </cell>
          <cell r="I2722" t="str">
            <v>46113</v>
          </cell>
        </row>
        <row r="2723">
          <cell r="H2723" t="str">
            <v>Dalías</v>
          </cell>
          <cell r="I2723" t="str">
            <v>04038</v>
          </cell>
        </row>
        <row r="2724">
          <cell r="H2724" t="str">
            <v>Darnius</v>
          </cell>
          <cell r="I2724" t="str">
            <v>17060</v>
          </cell>
        </row>
        <row r="2725">
          <cell r="H2725" t="str">
            <v>Daroca</v>
          </cell>
          <cell r="I2725" t="str">
            <v>50094</v>
          </cell>
        </row>
        <row r="2726">
          <cell r="H2726" t="str">
            <v>Daroca de Rioja</v>
          </cell>
          <cell r="I2726" t="str">
            <v>26057</v>
          </cell>
        </row>
        <row r="2727">
          <cell r="H2727" t="str">
            <v>Darro</v>
          </cell>
          <cell r="I2727" t="str">
            <v>18063</v>
          </cell>
        </row>
        <row r="2728">
          <cell r="H2728" t="str">
            <v>Das</v>
          </cell>
          <cell r="I2728" t="str">
            <v>17061</v>
          </cell>
        </row>
        <row r="2729">
          <cell r="H2729" t="str">
            <v>Daya Nueva</v>
          </cell>
          <cell r="I2729" t="str">
            <v>03061</v>
          </cell>
        </row>
        <row r="2730">
          <cell r="H2730" t="str">
            <v>Daya Vieja</v>
          </cell>
          <cell r="I2730" t="str">
            <v>03062</v>
          </cell>
        </row>
        <row r="2731">
          <cell r="H2731" t="str">
            <v>Deba</v>
          </cell>
          <cell r="I2731" t="str">
            <v>20029</v>
          </cell>
        </row>
        <row r="2732">
          <cell r="H2732" t="str">
            <v>Dehesa de Romanos</v>
          </cell>
          <cell r="I2732" t="str">
            <v>34068</v>
          </cell>
        </row>
        <row r="2733">
          <cell r="H2733" t="str">
            <v>Dehesas de Guadix</v>
          </cell>
          <cell r="I2733" t="str">
            <v>18064</v>
          </cell>
        </row>
        <row r="2734">
          <cell r="H2734" t="str">
            <v>Dehesas Viejas</v>
          </cell>
          <cell r="I2734" t="str">
            <v>18065</v>
          </cell>
        </row>
        <row r="2735">
          <cell r="H2735" t="str">
            <v>Deià</v>
          </cell>
          <cell r="I2735" t="str">
            <v>07018</v>
          </cell>
        </row>
        <row r="2736">
          <cell r="H2736" t="str">
            <v>Deifontes</v>
          </cell>
          <cell r="I2736" t="str">
            <v>18066</v>
          </cell>
        </row>
        <row r="2737">
          <cell r="H2737" t="str">
            <v>Deleitosa</v>
          </cell>
          <cell r="I2737" t="str">
            <v>10070</v>
          </cell>
        </row>
        <row r="2738">
          <cell r="H2738" t="str">
            <v>Deltebre</v>
          </cell>
          <cell r="I2738" t="str">
            <v>43901</v>
          </cell>
        </row>
        <row r="2739">
          <cell r="H2739" t="str">
            <v>Dénia</v>
          </cell>
          <cell r="I2739" t="str">
            <v>03063</v>
          </cell>
        </row>
        <row r="2740">
          <cell r="H2740" t="str">
            <v>Derio</v>
          </cell>
          <cell r="I2740" t="str">
            <v>48901</v>
          </cell>
        </row>
        <row r="2741">
          <cell r="H2741" t="str">
            <v>Descargamaría</v>
          </cell>
          <cell r="I2741" t="str">
            <v>10071</v>
          </cell>
        </row>
        <row r="2742">
          <cell r="H2742" t="str">
            <v>Desojo</v>
          </cell>
          <cell r="I2742" t="str">
            <v>31079</v>
          </cell>
        </row>
        <row r="2743">
          <cell r="H2743" t="str">
            <v>Destriana</v>
          </cell>
          <cell r="I2743" t="str">
            <v>24066</v>
          </cell>
        </row>
        <row r="2744">
          <cell r="H2744" t="str">
            <v>Dévanos</v>
          </cell>
          <cell r="I2744" t="str">
            <v>42075</v>
          </cell>
        </row>
        <row r="2745">
          <cell r="H2745" t="str">
            <v>Deza</v>
          </cell>
          <cell r="I2745" t="str">
            <v>42076</v>
          </cell>
        </row>
        <row r="2746">
          <cell r="H2746" t="str">
            <v>Dicastillo</v>
          </cell>
          <cell r="I2746" t="str">
            <v>31080</v>
          </cell>
        </row>
        <row r="2747">
          <cell r="H2747" t="str">
            <v>Diego del Carpio</v>
          </cell>
          <cell r="I2747" t="str">
            <v>05903</v>
          </cell>
        </row>
        <row r="2748">
          <cell r="H2748" t="str">
            <v>Diezma</v>
          </cell>
          <cell r="I2748" t="str">
            <v>18067</v>
          </cell>
        </row>
        <row r="2749">
          <cell r="H2749" t="str">
            <v>Dílar</v>
          </cell>
          <cell r="I2749" t="str">
            <v>18068</v>
          </cell>
        </row>
        <row r="2750">
          <cell r="H2750" t="str">
            <v>Dima</v>
          </cell>
          <cell r="I2750" t="str">
            <v>48026</v>
          </cell>
        </row>
        <row r="2751">
          <cell r="H2751" t="str">
            <v>Dios le Guarde</v>
          </cell>
          <cell r="I2751" t="str">
            <v>37115</v>
          </cell>
        </row>
        <row r="2752">
          <cell r="H2752" t="str">
            <v>Dodro</v>
          </cell>
          <cell r="I2752" t="str">
            <v>15033</v>
          </cell>
        </row>
        <row r="2753">
          <cell r="H2753" t="str">
            <v>Dólar</v>
          </cell>
          <cell r="I2753" t="str">
            <v>18069</v>
          </cell>
        </row>
        <row r="2754">
          <cell r="H2754" t="str">
            <v>Dolores</v>
          </cell>
          <cell r="I2754" t="str">
            <v>03064</v>
          </cell>
        </row>
        <row r="2755">
          <cell r="H2755" t="str">
            <v>Domeño</v>
          </cell>
          <cell r="I2755" t="str">
            <v>46114</v>
          </cell>
        </row>
        <row r="2756">
          <cell r="H2756" t="str">
            <v>Domingo García</v>
          </cell>
          <cell r="I2756" t="str">
            <v>40068</v>
          </cell>
        </row>
        <row r="2757">
          <cell r="H2757" t="str">
            <v>Domingo Pérez</v>
          </cell>
          <cell r="I2757" t="str">
            <v>45058</v>
          </cell>
        </row>
        <row r="2758">
          <cell r="H2758" t="str">
            <v>Domingo Pérez de Granada</v>
          </cell>
          <cell r="I2758" t="str">
            <v>18915</v>
          </cell>
        </row>
        <row r="2759">
          <cell r="H2759" t="str">
            <v>Don Álvaro</v>
          </cell>
          <cell r="I2759" t="str">
            <v>06043</v>
          </cell>
        </row>
        <row r="2760">
          <cell r="H2760" t="str">
            <v>Don Benito</v>
          </cell>
          <cell r="I2760" t="str">
            <v>06044</v>
          </cell>
        </row>
        <row r="2761">
          <cell r="H2761" t="str">
            <v>Donamaria</v>
          </cell>
          <cell r="I2761" t="str">
            <v>31081</v>
          </cell>
        </row>
        <row r="2762">
          <cell r="H2762" t="str">
            <v>Doneztebe/Santesteban</v>
          </cell>
          <cell r="I2762" t="str">
            <v>31221</v>
          </cell>
        </row>
        <row r="2763">
          <cell r="H2763" t="str">
            <v>Donhierro</v>
          </cell>
          <cell r="I2763" t="str">
            <v>40069</v>
          </cell>
        </row>
        <row r="2764">
          <cell r="H2764" t="str">
            <v>Donjimeno</v>
          </cell>
          <cell r="I2764" t="str">
            <v>05069</v>
          </cell>
        </row>
        <row r="2765">
          <cell r="H2765" t="str">
            <v>Donostia/San Sebastián</v>
          </cell>
          <cell r="I2765" t="str">
            <v>20069</v>
          </cell>
        </row>
        <row r="2766">
          <cell r="H2766" t="str">
            <v>Donvidas</v>
          </cell>
          <cell r="I2766" t="str">
            <v>05070</v>
          </cell>
        </row>
        <row r="2767">
          <cell r="H2767" t="str">
            <v>Doña Mencía</v>
          </cell>
          <cell r="I2767" t="str">
            <v>14022</v>
          </cell>
        </row>
        <row r="2768">
          <cell r="H2768" t="str">
            <v>Doñinos de Ledesma</v>
          </cell>
          <cell r="I2768" t="str">
            <v>37116</v>
          </cell>
        </row>
        <row r="2769">
          <cell r="H2769" t="str">
            <v>Doñinos de Salamanca</v>
          </cell>
          <cell r="I2769" t="str">
            <v>37117</v>
          </cell>
        </row>
        <row r="2770">
          <cell r="H2770" t="str">
            <v>Dos Aguas</v>
          </cell>
          <cell r="I2770" t="str">
            <v>46115</v>
          </cell>
        </row>
        <row r="2771">
          <cell r="H2771" t="str">
            <v>Dos Hermanas</v>
          </cell>
          <cell r="I2771" t="str">
            <v>41038</v>
          </cell>
        </row>
        <row r="2772">
          <cell r="H2772" t="str">
            <v>Dos Torres</v>
          </cell>
          <cell r="I2772" t="str">
            <v>14023</v>
          </cell>
        </row>
        <row r="2773">
          <cell r="H2773" t="str">
            <v>Dosbarrios</v>
          </cell>
          <cell r="I2773" t="str">
            <v>45059</v>
          </cell>
        </row>
        <row r="2774">
          <cell r="H2774" t="str">
            <v>Dosrius</v>
          </cell>
          <cell r="I2774" t="str">
            <v>08075</v>
          </cell>
        </row>
        <row r="2775">
          <cell r="H2775" t="str">
            <v>Dozón</v>
          </cell>
          <cell r="I2775" t="str">
            <v>36016</v>
          </cell>
        </row>
        <row r="2776">
          <cell r="H2776" t="str">
            <v>Dúdar</v>
          </cell>
          <cell r="I2776" t="str">
            <v>18070</v>
          </cell>
        </row>
        <row r="2777">
          <cell r="H2777" t="str">
            <v>Dueñas</v>
          </cell>
          <cell r="I2777" t="str">
            <v>34069</v>
          </cell>
        </row>
        <row r="2778">
          <cell r="H2778" t="str">
            <v>Duesaigües</v>
          </cell>
          <cell r="I2778" t="str">
            <v>43053</v>
          </cell>
        </row>
        <row r="2779">
          <cell r="H2779" t="str">
            <v>Dumbría</v>
          </cell>
          <cell r="I2779" t="str">
            <v>15034</v>
          </cell>
        </row>
        <row r="2780">
          <cell r="H2780" t="str">
            <v>Durango</v>
          </cell>
          <cell r="I2780" t="str">
            <v>48027</v>
          </cell>
        </row>
        <row r="2781">
          <cell r="H2781" t="str">
            <v>Dúrcal</v>
          </cell>
          <cell r="I2781" t="str">
            <v>18071</v>
          </cell>
        </row>
        <row r="2782">
          <cell r="H2782" t="str">
            <v>Durón</v>
          </cell>
          <cell r="I2782" t="str">
            <v>19108</v>
          </cell>
        </row>
        <row r="2783">
          <cell r="H2783" t="str">
            <v>Duruelo</v>
          </cell>
          <cell r="I2783" t="str">
            <v>40070</v>
          </cell>
        </row>
        <row r="2784">
          <cell r="H2784" t="str">
            <v>Duruelo de la Sierra</v>
          </cell>
          <cell r="I2784" t="str">
            <v>42078</v>
          </cell>
        </row>
        <row r="2785">
          <cell r="H2785" t="str">
            <v>Ea</v>
          </cell>
          <cell r="I2785" t="str">
            <v>48028</v>
          </cell>
        </row>
        <row r="2786">
          <cell r="H2786" t="str">
            <v>Echarri/Etxarri</v>
          </cell>
          <cell r="I2786" t="str">
            <v>31083</v>
          </cell>
        </row>
        <row r="2787">
          <cell r="H2787" t="str">
            <v>Écija</v>
          </cell>
          <cell r="I2787" t="str">
            <v>41039</v>
          </cell>
        </row>
        <row r="2788">
          <cell r="H2788" t="str">
            <v>Eibar</v>
          </cell>
          <cell r="I2788" t="str">
            <v>20030</v>
          </cell>
        </row>
        <row r="2789">
          <cell r="H2789" t="str">
            <v>Eivissa</v>
          </cell>
          <cell r="I2789" t="str">
            <v>07026</v>
          </cell>
        </row>
        <row r="2790">
          <cell r="H2790" t="str">
            <v>Ejea de los Caballeros</v>
          </cell>
          <cell r="I2790" t="str">
            <v>50095</v>
          </cell>
        </row>
        <row r="2791">
          <cell r="H2791" t="str">
            <v>Éjeme</v>
          </cell>
          <cell r="I2791" t="str">
            <v>37118</v>
          </cell>
        </row>
        <row r="2792">
          <cell r="H2792" t="str">
            <v>Ejido, El</v>
          </cell>
          <cell r="I2792" t="str">
            <v>04902</v>
          </cell>
        </row>
        <row r="2793">
          <cell r="H2793" t="str">
            <v>Elantxobe</v>
          </cell>
          <cell r="I2793" t="str">
            <v>48031</v>
          </cell>
        </row>
        <row r="2794">
          <cell r="H2794" t="str">
            <v>Elburgo/Burgelu</v>
          </cell>
          <cell r="I2794" t="str">
            <v>01021</v>
          </cell>
        </row>
        <row r="2795">
          <cell r="H2795" t="str">
            <v>Elche de la Sierra</v>
          </cell>
          <cell r="I2795" t="str">
            <v>02030</v>
          </cell>
        </row>
        <row r="2796">
          <cell r="H2796" t="str">
            <v>Elciego</v>
          </cell>
          <cell r="I2796" t="str">
            <v>01022</v>
          </cell>
        </row>
        <row r="2797">
          <cell r="H2797" t="str">
            <v>Elda</v>
          </cell>
          <cell r="I2797" t="str">
            <v>03066</v>
          </cell>
        </row>
        <row r="2798">
          <cell r="H2798" t="str">
            <v>Elduain</v>
          </cell>
          <cell r="I2798" t="str">
            <v>20031</v>
          </cell>
        </row>
        <row r="2799">
          <cell r="H2799" t="str">
            <v>Elgeta</v>
          </cell>
          <cell r="I2799" t="str">
            <v>20033</v>
          </cell>
        </row>
        <row r="2800">
          <cell r="H2800" t="str">
            <v>Elgoibar</v>
          </cell>
          <cell r="I2800" t="str">
            <v>20032</v>
          </cell>
        </row>
        <row r="2801">
          <cell r="H2801" t="str">
            <v>Elgorriaga</v>
          </cell>
          <cell r="I2801" t="str">
            <v>31087</v>
          </cell>
        </row>
        <row r="2802">
          <cell r="H2802" t="str">
            <v>Eliana, l'</v>
          </cell>
          <cell r="I2802" t="str">
            <v>46116</v>
          </cell>
        </row>
        <row r="2803">
          <cell r="H2803" t="str">
            <v>Eljas</v>
          </cell>
          <cell r="I2803" t="str">
            <v>10072</v>
          </cell>
        </row>
        <row r="2804">
          <cell r="H2804" t="str">
            <v>Elorrio</v>
          </cell>
          <cell r="I2804" t="str">
            <v>48032</v>
          </cell>
        </row>
        <row r="2805">
          <cell r="H2805" t="str">
            <v>Elvillar/Bilar</v>
          </cell>
          <cell r="I2805" t="str">
            <v>01023</v>
          </cell>
        </row>
        <row r="2806">
          <cell r="H2806" t="str">
            <v>Elx/Elche</v>
          </cell>
          <cell r="I2806" t="str">
            <v>03065</v>
          </cell>
        </row>
        <row r="2807">
          <cell r="H2807" t="str">
            <v>Embid</v>
          </cell>
          <cell r="I2807" t="str">
            <v>19109</v>
          </cell>
        </row>
        <row r="2808">
          <cell r="H2808" t="str">
            <v>Embid de Ariza</v>
          </cell>
          <cell r="I2808" t="str">
            <v>50096</v>
          </cell>
        </row>
        <row r="2809">
          <cell r="H2809" t="str">
            <v>Emperador</v>
          </cell>
          <cell r="I2809" t="str">
            <v>46117</v>
          </cell>
        </row>
        <row r="2810">
          <cell r="H2810" t="str">
            <v>Encina de San Silvestre</v>
          </cell>
          <cell r="I2810" t="str">
            <v>37120</v>
          </cell>
        </row>
        <row r="2811">
          <cell r="H2811" t="str">
            <v>Encina, La</v>
          </cell>
          <cell r="I2811" t="str">
            <v>37119</v>
          </cell>
        </row>
        <row r="2812">
          <cell r="H2812" t="str">
            <v>Encinacorba</v>
          </cell>
          <cell r="I2812" t="str">
            <v>50098</v>
          </cell>
        </row>
        <row r="2813">
          <cell r="H2813" t="str">
            <v>Encinas</v>
          </cell>
          <cell r="I2813" t="str">
            <v>40071</v>
          </cell>
        </row>
        <row r="2814">
          <cell r="H2814" t="str">
            <v>Encinas de Abajo</v>
          </cell>
          <cell r="I2814" t="str">
            <v>37121</v>
          </cell>
        </row>
        <row r="2815">
          <cell r="H2815" t="str">
            <v>Encinas de Arriba</v>
          </cell>
          <cell r="I2815" t="str">
            <v>37122</v>
          </cell>
        </row>
        <row r="2816">
          <cell r="H2816" t="str">
            <v>Encinas de Esgueva</v>
          </cell>
          <cell r="I2816" t="str">
            <v>47060</v>
          </cell>
        </row>
        <row r="2817">
          <cell r="H2817" t="str">
            <v>Encinas Reales</v>
          </cell>
          <cell r="I2817" t="str">
            <v>14024</v>
          </cell>
        </row>
        <row r="2818">
          <cell r="H2818" t="str">
            <v>Encinasola</v>
          </cell>
          <cell r="I2818" t="str">
            <v>21031</v>
          </cell>
        </row>
        <row r="2819">
          <cell r="H2819" t="str">
            <v>Encinasola de los Comendadores</v>
          </cell>
          <cell r="I2819" t="str">
            <v>37123</v>
          </cell>
        </row>
        <row r="2820">
          <cell r="H2820" t="str">
            <v>Encinedo</v>
          </cell>
          <cell r="I2820" t="str">
            <v>24067</v>
          </cell>
        </row>
        <row r="2821">
          <cell r="H2821" t="str">
            <v>Encinillas</v>
          </cell>
          <cell r="I2821" t="str">
            <v>40072</v>
          </cell>
        </row>
        <row r="2822">
          <cell r="H2822" t="str">
            <v>Enciso</v>
          </cell>
          <cell r="I2822" t="str">
            <v>26058</v>
          </cell>
        </row>
        <row r="2823">
          <cell r="H2823" t="str">
            <v>Endrinal</v>
          </cell>
          <cell r="I2823" t="str">
            <v>37124</v>
          </cell>
        </row>
        <row r="2824">
          <cell r="H2824" t="str">
            <v>Enériz/Eneritz</v>
          </cell>
          <cell r="I2824" t="str">
            <v>31089</v>
          </cell>
        </row>
        <row r="2825">
          <cell r="H2825" t="str">
            <v>Enguera</v>
          </cell>
          <cell r="I2825" t="str">
            <v>46118</v>
          </cell>
        </row>
        <row r="2826">
          <cell r="H2826" t="str">
            <v>Enguídanos</v>
          </cell>
          <cell r="I2826" t="str">
            <v>16082</v>
          </cell>
        </row>
        <row r="2827">
          <cell r="H2827" t="str">
            <v>Enix</v>
          </cell>
          <cell r="I2827" t="str">
            <v>04041</v>
          </cell>
        </row>
        <row r="2828">
          <cell r="H2828" t="str">
            <v>Énova, l'</v>
          </cell>
          <cell r="I2828" t="str">
            <v>46119</v>
          </cell>
        </row>
        <row r="2829">
          <cell r="H2829" t="str">
            <v>Entrala</v>
          </cell>
          <cell r="I2829" t="str">
            <v>49061</v>
          </cell>
        </row>
        <row r="2830">
          <cell r="H2830" t="str">
            <v>Entrambasaguas</v>
          </cell>
          <cell r="I2830" t="str">
            <v>39028</v>
          </cell>
        </row>
        <row r="2831">
          <cell r="H2831" t="str">
            <v>Entrena</v>
          </cell>
          <cell r="I2831" t="str">
            <v>26059</v>
          </cell>
        </row>
        <row r="2832">
          <cell r="H2832" t="str">
            <v>Entrimo</v>
          </cell>
          <cell r="I2832" t="str">
            <v>32030</v>
          </cell>
        </row>
        <row r="2833">
          <cell r="H2833" t="str">
            <v>Entrín Bajo</v>
          </cell>
          <cell r="I2833" t="str">
            <v>06045</v>
          </cell>
        </row>
        <row r="2834">
          <cell r="H2834" t="str">
            <v>Épila</v>
          </cell>
          <cell r="I2834" t="str">
            <v>50099</v>
          </cell>
        </row>
        <row r="2835">
          <cell r="H2835" t="str">
            <v>Erandio</v>
          </cell>
          <cell r="I2835" t="str">
            <v>48902</v>
          </cell>
        </row>
        <row r="2836">
          <cell r="H2836" t="str">
            <v>Eratsun</v>
          </cell>
          <cell r="I2836" t="str">
            <v>31090</v>
          </cell>
        </row>
        <row r="2837">
          <cell r="H2837" t="str">
            <v>Ereño</v>
          </cell>
          <cell r="I2837" t="str">
            <v>48033</v>
          </cell>
        </row>
        <row r="2838">
          <cell r="H2838" t="str">
            <v>Ergoiena</v>
          </cell>
          <cell r="I2838" t="str">
            <v>31091</v>
          </cell>
        </row>
        <row r="2839">
          <cell r="H2839" t="str">
            <v>Erla</v>
          </cell>
          <cell r="I2839" t="str">
            <v>50100</v>
          </cell>
        </row>
        <row r="2840">
          <cell r="H2840" t="str">
            <v>Ermua</v>
          </cell>
          <cell r="I2840" t="str">
            <v>48034</v>
          </cell>
        </row>
        <row r="2841">
          <cell r="H2841" t="str">
            <v>Errenteria</v>
          </cell>
          <cell r="I2841" t="str">
            <v>20067</v>
          </cell>
        </row>
        <row r="2842">
          <cell r="H2842" t="str">
            <v>Errezil</v>
          </cell>
          <cell r="I2842" t="str">
            <v>20066</v>
          </cell>
        </row>
        <row r="2843">
          <cell r="H2843" t="str">
            <v>Erriberagoitia/Ribera Alta</v>
          </cell>
          <cell r="I2843" t="str">
            <v>01046</v>
          </cell>
        </row>
        <row r="2844">
          <cell r="H2844" t="str">
            <v>Errigoiti</v>
          </cell>
          <cell r="I2844" t="str">
            <v>48079</v>
          </cell>
        </row>
        <row r="2845">
          <cell r="H2845" t="str">
            <v>Erro</v>
          </cell>
          <cell r="I2845" t="str">
            <v>31092</v>
          </cell>
        </row>
        <row r="2846">
          <cell r="H2846" t="str">
            <v>Erustes</v>
          </cell>
          <cell r="I2846" t="str">
            <v>45060</v>
          </cell>
        </row>
        <row r="2847">
          <cell r="H2847" t="str">
            <v>Escacena del Campo</v>
          </cell>
          <cell r="I2847" t="str">
            <v>21032</v>
          </cell>
        </row>
        <row r="2848">
          <cell r="H2848" t="str">
            <v>Escala, L'</v>
          </cell>
          <cell r="I2848" t="str">
            <v>17062</v>
          </cell>
        </row>
        <row r="2849">
          <cell r="H2849" t="str">
            <v>Escalante</v>
          </cell>
          <cell r="I2849" t="str">
            <v>39029</v>
          </cell>
        </row>
        <row r="2850">
          <cell r="H2850" t="str">
            <v>Escalona</v>
          </cell>
          <cell r="I2850" t="str">
            <v>45061</v>
          </cell>
        </row>
        <row r="2851">
          <cell r="H2851" t="str">
            <v>Escalona del Prado</v>
          </cell>
          <cell r="I2851" t="str">
            <v>40073</v>
          </cell>
        </row>
        <row r="2852">
          <cell r="H2852" t="str">
            <v>Escalonilla</v>
          </cell>
          <cell r="I2852" t="str">
            <v>45062</v>
          </cell>
        </row>
        <row r="2853">
          <cell r="H2853" t="str">
            <v>Escamilla</v>
          </cell>
          <cell r="I2853" t="str">
            <v>19110</v>
          </cell>
        </row>
        <row r="2854">
          <cell r="H2854" t="str">
            <v>Escañuela</v>
          </cell>
          <cell r="I2854" t="str">
            <v>23031</v>
          </cell>
        </row>
        <row r="2855">
          <cell r="H2855" t="str">
            <v>Escarabajosa de Cabezas</v>
          </cell>
          <cell r="I2855" t="str">
            <v>40074</v>
          </cell>
        </row>
        <row r="2856">
          <cell r="H2856" t="str">
            <v>Escariche</v>
          </cell>
          <cell r="I2856" t="str">
            <v>19111</v>
          </cell>
        </row>
        <row r="2857">
          <cell r="H2857" t="str">
            <v>Escobar de Campos</v>
          </cell>
          <cell r="I2857" t="str">
            <v>24069</v>
          </cell>
        </row>
        <row r="2858">
          <cell r="H2858" t="str">
            <v>Escobar de Polendos</v>
          </cell>
          <cell r="I2858" t="str">
            <v>40075</v>
          </cell>
        </row>
        <row r="2859">
          <cell r="H2859" t="str">
            <v>Escobosa de Almazán</v>
          </cell>
          <cell r="I2859" t="str">
            <v>42079</v>
          </cell>
        </row>
        <row r="2860">
          <cell r="H2860" t="str">
            <v>Escorca</v>
          </cell>
          <cell r="I2860" t="str">
            <v>07019</v>
          </cell>
        </row>
        <row r="2861">
          <cell r="H2861" t="str">
            <v>Escorial, El</v>
          </cell>
          <cell r="I2861" t="str">
            <v>28054</v>
          </cell>
        </row>
        <row r="2862">
          <cell r="H2862" t="str">
            <v>Escorihuela</v>
          </cell>
          <cell r="I2862" t="str">
            <v>44097</v>
          </cell>
        </row>
        <row r="2863">
          <cell r="H2863" t="str">
            <v>Escurial</v>
          </cell>
          <cell r="I2863" t="str">
            <v>10073</v>
          </cell>
        </row>
        <row r="2864">
          <cell r="H2864" t="str">
            <v>Escurial de la Sierra</v>
          </cell>
          <cell r="I2864" t="str">
            <v>37125</v>
          </cell>
        </row>
        <row r="2865">
          <cell r="H2865" t="str">
            <v>Escúzar</v>
          </cell>
          <cell r="I2865" t="str">
            <v>18072</v>
          </cell>
        </row>
        <row r="2866">
          <cell r="H2866" t="str">
            <v>Esgos</v>
          </cell>
          <cell r="I2866" t="str">
            <v>32031</v>
          </cell>
        </row>
        <row r="2867">
          <cell r="H2867" t="str">
            <v>Esguevillas de Esgueva</v>
          </cell>
          <cell r="I2867" t="str">
            <v>47061</v>
          </cell>
        </row>
        <row r="2868">
          <cell r="H2868" t="str">
            <v>Eskoriatza</v>
          </cell>
          <cell r="I2868" t="str">
            <v>20034</v>
          </cell>
        </row>
        <row r="2869">
          <cell r="H2869" t="str">
            <v>Eslava</v>
          </cell>
          <cell r="I2869" t="str">
            <v>31094</v>
          </cell>
        </row>
        <row r="2870">
          <cell r="H2870" t="str">
            <v>Eslida</v>
          </cell>
          <cell r="I2870" t="str">
            <v>12057</v>
          </cell>
        </row>
        <row r="2871">
          <cell r="H2871" t="str">
            <v>Espadaña</v>
          </cell>
          <cell r="I2871" t="str">
            <v>37126</v>
          </cell>
        </row>
        <row r="2872">
          <cell r="H2872" t="str">
            <v>Espadañedo</v>
          </cell>
          <cell r="I2872" t="str">
            <v>49062</v>
          </cell>
        </row>
        <row r="2873">
          <cell r="H2873" t="str">
            <v>Espadilla</v>
          </cell>
          <cell r="I2873" t="str">
            <v>12058</v>
          </cell>
        </row>
        <row r="2874">
          <cell r="H2874" t="str">
            <v>Esparragalejo</v>
          </cell>
          <cell r="I2874" t="str">
            <v>06046</v>
          </cell>
        </row>
        <row r="2875">
          <cell r="H2875" t="str">
            <v>Esparragosa de la Serena</v>
          </cell>
          <cell r="I2875" t="str">
            <v>06047</v>
          </cell>
        </row>
        <row r="2876">
          <cell r="H2876" t="str">
            <v>Esparragosa de Lares</v>
          </cell>
          <cell r="I2876" t="str">
            <v>06048</v>
          </cell>
        </row>
        <row r="2877">
          <cell r="H2877" t="str">
            <v>Esparreguera</v>
          </cell>
          <cell r="I2877" t="str">
            <v>08076</v>
          </cell>
        </row>
        <row r="2878">
          <cell r="H2878" t="str">
            <v>Espartinas</v>
          </cell>
          <cell r="I2878" t="str">
            <v>41040</v>
          </cell>
        </row>
        <row r="2879">
          <cell r="H2879" t="str">
            <v>Esparza de Salazar/Espartza Zaraitzu</v>
          </cell>
          <cell r="I2879" t="str">
            <v>31095</v>
          </cell>
        </row>
        <row r="2880">
          <cell r="H2880" t="str">
            <v>Espeja</v>
          </cell>
          <cell r="I2880" t="str">
            <v>37127</v>
          </cell>
        </row>
        <row r="2881">
          <cell r="H2881" t="str">
            <v>Espeja de San Marcelino</v>
          </cell>
          <cell r="I2881" t="str">
            <v>42080</v>
          </cell>
        </row>
        <row r="2882">
          <cell r="H2882" t="str">
            <v>Espejo</v>
          </cell>
          <cell r="I2882" t="str">
            <v>14025</v>
          </cell>
        </row>
        <row r="2883">
          <cell r="H2883" t="str">
            <v>Espejón</v>
          </cell>
          <cell r="I2883" t="str">
            <v>42081</v>
          </cell>
        </row>
        <row r="2884">
          <cell r="H2884" t="str">
            <v>Espeluy</v>
          </cell>
          <cell r="I2884" t="str">
            <v>23032</v>
          </cell>
        </row>
        <row r="2885">
          <cell r="H2885" t="str">
            <v>Espera</v>
          </cell>
          <cell r="I2885" t="str">
            <v>11017</v>
          </cell>
        </row>
        <row r="2886">
          <cell r="H2886" t="str">
            <v>Espinar, El</v>
          </cell>
          <cell r="I2886" t="str">
            <v>40076</v>
          </cell>
        </row>
        <row r="2887">
          <cell r="H2887" t="str">
            <v>Espinelves</v>
          </cell>
          <cell r="I2887" t="str">
            <v>17063</v>
          </cell>
        </row>
        <row r="2888">
          <cell r="H2888" t="str">
            <v>Espino de la Orbada</v>
          </cell>
          <cell r="I2888" t="str">
            <v>37128</v>
          </cell>
        </row>
        <row r="2889">
          <cell r="H2889" t="str">
            <v>Espinosa de Cerrato</v>
          </cell>
          <cell r="I2889" t="str">
            <v>34070</v>
          </cell>
        </row>
        <row r="2890">
          <cell r="H2890" t="str">
            <v>Espinosa de Cervera</v>
          </cell>
          <cell r="I2890" t="str">
            <v>09122</v>
          </cell>
        </row>
        <row r="2891">
          <cell r="H2891" t="str">
            <v>Espinosa de Henares</v>
          </cell>
          <cell r="I2891" t="str">
            <v>19113</v>
          </cell>
        </row>
        <row r="2892">
          <cell r="H2892" t="str">
            <v>Espinosa de los Caballeros</v>
          </cell>
          <cell r="I2892" t="str">
            <v>05072</v>
          </cell>
        </row>
        <row r="2893">
          <cell r="H2893" t="str">
            <v>Espinosa de los Monteros</v>
          </cell>
          <cell r="I2893" t="str">
            <v>09124</v>
          </cell>
        </row>
        <row r="2894">
          <cell r="H2894" t="str">
            <v>Espinosa de Villagonzalo</v>
          </cell>
          <cell r="I2894" t="str">
            <v>34071</v>
          </cell>
        </row>
        <row r="2895">
          <cell r="H2895" t="str">
            <v>Espinosa del Camino</v>
          </cell>
          <cell r="I2895" t="str">
            <v>09123</v>
          </cell>
        </row>
        <row r="2896">
          <cell r="H2896" t="str">
            <v>Espinoso del Rey</v>
          </cell>
          <cell r="I2896" t="str">
            <v>45063</v>
          </cell>
        </row>
        <row r="2897">
          <cell r="H2897" t="str">
            <v>Espirdo</v>
          </cell>
          <cell r="I2897" t="str">
            <v>40077</v>
          </cell>
        </row>
        <row r="2898">
          <cell r="H2898" t="str">
            <v>Esplegares</v>
          </cell>
          <cell r="I2898" t="str">
            <v>19114</v>
          </cell>
        </row>
        <row r="2899">
          <cell r="H2899" t="str">
            <v>Espluga Calba, L'</v>
          </cell>
          <cell r="I2899" t="str">
            <v>25081</v>
          </cell>
        </row>
        <row r="2900">
          <cell r="H2900" t="str">
            <v>Espluga de Francolí, L'</v>
          </cell>
          <cell r="I2900" t="str">
            <v>43054</v>
          </cell>
        </row>
        <row r="2901">
          <cell r="H2901" t="str">
            <v>Esplugues de Llobregat</v>
          </cell>
          <cell r="I2901" t="str">
            <v>08077</v>
          </cell>
        </row>
        <row r="2902">
          <cell r="H2902" t="str">
            <v>Esplús</v>
          </cell>
          <cell r="I2902" t="str">
            <v>22099</v>
          </cell>
        </row>
        <row r="2903">
          <cell r="H2903" t="str">
            <v>Espolla</v>
          </cell>
          <cell r="I2903" t="str">
            <v>17064</v>
          </cell>
        </row>
        <row r="2904">
          <cell r="H2904" t="str">
            <v>Esponellà</v>
          </cell>
          <cell r="I2904" t="str">
            <v>17065</v>
          </cell>
        </row>
        <row r="2905">
          <cell r="H2905" t="str">
            <v>Esporles</v>
          </cell>
          <cell r="I2905" t="str">
            <v>07020</v>
          </cell>
        </row>
        <row r="2906">
          <cell r="H2906" t="str">
            <v>Espot</v>
          </cell>
          <cell r="I2906" t="str">
            <v>25082</v>
          </cell>
        </row>
        <row r="2907">
          <cell r="H2907" t="str">
            <v>Espronceda</v>
          </cell>
          <cell r="I2907" t="str">
            <v>31096</v>
          </cell>
        </row>
        <row r="2908">
          <cell r="H2908" t="str">
            <v>Espunyola, L'</v>
          </cell>
          <cell r="I2908" t="str">
            <v>08078</v>
          </cell>
        </row>
        <row r="2909">
          <cell r="H2909" t="str">
            <v>Esquirol, L'</v>
          </cell>
          <cell r="I2909" t="str">
            <v>08254</v>
          </cell>
        </row>
        <row r="2910">
          <cell r="H2910" t="str">
            <v>Esquivias</v>
          </cell>
          <cell r="I2910" t="str">
            <v>45064</v>
          </cell>
        </row>
        <row r="2911">
          <cell r="H2911" t="str">
            <v>Establés</v>
          </cell>
          <cell r="I2911" t="str">
            <v>19115</v>
          </cell>
        </row>
        <row r="2912">
          <cell r="H2912" t="str">
            <v>Estada</v>
          </cell>
          <cell r="I2912" t="str">
            <v>22102</v>
          </cell>
        </row>
        <row r="2913">
          <cell r="H2913" t="str">
            <v>Estadilla</v>
          </cell>
          <cell r="I2913" t="str">
            <v>22103</v>
          </cell>
        </row>
        <row r="2914">
          <cell r="H2914" t="str">
            <v>Estamariu</v>
          </cell>
          <cell r="I2914" t="str">
            <v>25088</v>
          </cell>
        </row>
        <row r="2915">
          <cell r="H2915" t="str">
            <v>Estany, L'</v>
          </cell>
          <cell r="I2915" t="str">
            <v>08079</v>
          </cell>
        </row>
        <row r="2916">
          <cell r="H2916" t="str">
            <v>Estaràs</v>
          </cell>
          <cell r="I2916" t="str">
            <v>25085</v>
          </cell>
        </row>
        <row r="2917">
          <cell r="H2917" t="str">
            <v>Estella-Lizarra</v>
          </cell>
          <cell r="I2917" t="str">
            <v>31097</v>
          </cell>
        </row>
        <row r="2918">
          <cell r="H2918" t="str">
            <v>Estellencs</v>
          </cell>
          <cell r="I2918" t="str">
            <v>07021</v>
          </cell>
        </row>
        <row r="2919">
          <cell r="H2919" t="str">
            <v>Estepa</v>
          </cell>
          <cell r="I2919" t="str">
            <v>41041</v>
          </cell>
        </row>
        <row r="2920">
          <cell r="H2920" t="str">
            <v>Estepa de San Juan</v>
          </cell>
          <cell r="I2920" t="str">
            <v>42082</v>
          </cell>
        </row>
        <row r="2921">
          <cell r="H2921" t="str">
            <v>Estépar</v>
          </cell>
          <cell r="I2921" t="str">
            <v>09125</v>
          </cell>
        </row>
        <row r="2922">
          <cell r="H2922" t="str">
            <v>Estepona</v>
          </cell>
          <cell r="I2922" t="str">
            <v>29051</v>
          </cell>
        </row>
        <row r="2923">
          <cell r="H2923" t="str">
            <v>Esteribar</v>
          </cell>
          <cell r="I2923" t="str">
            <v>31098</v>
          </cell>
        </row>
        <row r="2924">
          <cell r="H2924" t="str">
            <v>Esterri d'Àneu</v>
          </cell>
          <cell r="I2924" t="str">
            <v>25086</v>
          </cell>
        </row>
        <row r="2925">
          <cell r="H2925" t="str">
            <v>Esterri de Cardós</v>
          </cell>
          <cell r="I2925" t="str">
            <v>25087</v>
          </cell>
        </row>
        <row r="2926">
          <cell r="H2926" t="str">
            <v>Estivella</v>
          </cell>
          <cell r="I2926" t="str">
            <v>46120</v>
          </cell>
        </row>
        <row r="2927">
          <cell r="H2927" t="str">
            <v>Estollo</v>
          </cell>
          <cell r="I2927" t="str">
            <v>26060</v>
          </cell>
        </row>
        <row r="2928">
          <cell r="H2928" t="str">
            <v>Estopiñán del Castillo</v>
          </cell>
          <cell r="I2928" t="str">
            <v>22105</v>
          </cell>
        </row>
        <row r="2929">
          <cell r="H2929" t="str">
            <v>Estrada, A</v>
          </cell>
          <cell r="I2929" t="str">
            <v>36017</v>
          </cell>
        </row>
        <row r="2930">
          <cell r="H2930" t="str">
            <v>Estrella, La</v>
          </cell>
          <cell r="I2930" t="str">
            <v>45065</v>
          </cell>
        </row>
        <row r="2931">
          <cell r="H2931" t="str">
            <v>Estremera</v>
          </cell>
          <cell r="I2931" t="str">
            <v>28055</v>
          </cell>
        </row>
        <row r="2932">
          <cell r="H2932" t="str">
            <v>Estriégana</v>
          </cell>
          <cell r="I2932" t="str">
            <v>19116</v>
          </cell>
        </row>
        <row r="2933">
          <cell r="H2933" t="str">
            <v>Estubeny</v>
          </cell>
          <cell r="I2933" t="str">
            <v>46121</v>
          </cell>
        </row>
        <row r="2934">
          <cell r="H2934" t="str">
            <v>Etayo</v>
          </cell>
          <cell r="I2934" t="str">
            <v>31099</v>
          </cell>
        </row>
        <row r="2935">
          <cell r="H2935" t="str">
            <v>Etxalar</v>
          </cell>
          <cell r="I2935" t="str">
            <v>31082</v>
          </cell>
        </row>
        <row r="2936">
          <cell r="H2936" t="str">
            <v>Etxarri Aranatz</v>
          </cell>
          <cell r="I2936" t="str">
            <v>31084</v>
          </cell>
        </row>
        <row r="2937">
          <cell r="H2937" t="str">
            <v>Etxauri</v>
          </cell>
          <cell r="I2937" t="str">
            <v>31085</v>
          </cell>
        </row>
        <row r="2938">
          <cell r="H2938" t="str">
            <v>Etxebarri</v>
          </cell>
          <cell r="I2938" t="str">
            <v>48029</v>
          </cell>
        </row>
        <row r="2939">
          <cell r="H2939" t="str">
            <v>Etxebarria</v>
          </cell>
          <cell r="I2939" t="str">
            <v>48030</v>
          </cell>
        </row>
        <row r="2940">
          <cell r="H2940" t="str">
            <v>Eulate</v>
          </cell>
          <cell r="I2940" t="str">
            <v>31100</v>
          </cell>
        </row>
        <row r="2941">
          <cell r="H2941" t="str">
            <v>Ezcabarte</v>
          </cell>
          <cell r="I2941" t="str">
            <v>31101</v>
          </cell>
        </row>
        <row r="2942">
          <cell r="H2942" t="str">
            <v>Ezcaray</v>
          </cell>
          <cell r="I2942" t="str">
            <v>26061</v>
          </cell>
        </row>
        <row r="2943">
          <cell r="H2943" t="str">
            <v>Ezcároz/Ezkaroze</v>
          </cell>
          <cell r="I2943" t="str">
            <v>31093</v>
          </cell>
        </row>
        <row r="2944">
          <cell r="H2944" t="str">
            <v>Ezkio-Itsaso</v>
          </cell>
          <cell r="I2944" t="str">
            <v>20035</v>
          </cell>
        </row>
        <row r="2945">
          <cell r="H2945" t="str">
            <v>Ezkurra</v>
          </cell>
          <cell r="I2945" t="str">
            <v>31102</v>
          </cell>
        </row>
        <row r="2946">
          <cell r="H2946" t="str">
            <v>Ezprogui</v>
          </cell>
          <cell r="I2946" t="str">
            <v>31103</v>
          </cell>
        </row>
        <row r="2947">
          <cell r="H2947" t="str">
            <v>Fageca</v>
          </cell>
          <cell r="I2947" t="str">
            <v>03067</v>
          </cell>
        </row>
        <row r="2948">
          <cell r="H2948" t="str">
            <v>Fago</v>
          </cell>
          <cell r="I2948" t="str">
            <v>22106</v>
          </cell>
        </row>
        <row r="2949">
          <cell r="H2949" t="str">
            <v>Falces</v>
          </cell>
          <cell r="I2949" t="str">
            <v>31104</v>
          </cell>
        </row>
        <row r="2950">
          <cell r="H2950" t="str">
            <v>Falset</v>
          </cell>
          <cell r="I2950" t="str">
            <v>43055</v>
          </cell>
        </row>
        <row r="2951">
          <cell r="H2951" t="str">
            <v>Famorca</v>
          </cell>
          <cell r="I2951" t="str">
            <v>03068</v>
          </cell>
        </row>
        <row r="2952">
          <cell r="H2952" t="str">
            <v>Fanlo</v>
          </cell>
          <cell r="I2952" t="str">
            <v>22107</v>
          </cell>
        </row>
        <row r="2953">
          <cell r="H2953" t="str">
            <v>Fanzara</v>
          </cell>
          <cell r="I2953" t="str">
            <v>12059</v>
          </cell>
        </row>
        <row r="2954">
          <cell r="H2954" t="str">
            <v>Far d'Empordà, El</v>
          </cell>
          <cell r="I2954" t="str">
            <v>17005</v>
          </cell>
        </row>
        <row r="2955">
          <cell r="H2955" t="str">
            <v>Faraján</v>
          </cell>
          <cell r="I2955" t="str">
            <v>29052</v>
          </cell>
        </row>
        <row r="2956">
          <cell r="H2956" t="str">
            <v>Faramontanos de Tábara</v>
          </cell>
          <cell r="I2956" t="str">
            <v>49063</v>
          </cell>
        </row>
        <row r="2957">
          <cell r="H2957" t="str">
            <v>Fariza</v>
          </cell>
          <cell r="I2957" t="str">
            <v>49064</v>
          </cell>
        </row>
        <row r="2958">
          <cell r="H2958" t="str">
            <v>Farlete</v>
          </cell>
          <cell r="I2958" t="str">
            <v>50104</v>
          </cell>
        </row>
        <row r="2959">
          <cell r="H2959" t="str">
            <v>Farrera</v>
          </cell>
          <cell r="I2959" t="str">
            <v>25089</v>
          </cell>
        </row>
        <row r="2960">
          <cell r="H2960" t="str">
            <v>Fasnia</v>
          </cell>
          <cell r="I2960" t="str">
            <v>38012</v>
          </cell>
        </row>
        <row r="2961">
          <cell r="H2961" t="str">
            <v>Fatarella, La</v>
          </cell>
          <cell r="I2961" t="str">
            <v>43056</v>
          </cell>
        </row>
        <row r="2962">
          <cell r="H2962" t="str">
            <v>Faura</v>
          </cell>
          <cell r="I2962" t="str">
            <v>46122</v>
          </cell>
        </row>
        <row r="2963">
          <cell r="H2963" t="str">
            <v>Favara</v>
          </cell>
          <cell r="I2963" t="str">
            <v>46123</v>
          </cell>
        </row>
        <row r="2964">
          <cell r="H2964" t="str">
            <v>Fayos, Los</v>
          </cell>
          <cell r="I2964" t="str">
            <v>50106</v>
          </cell>
        </row>
        <row r="2965">
          <cell r="H2965" t="str">
            <v>Febró, La</v>
          </cell>
          <cell r="I2965" t="str">
            <v>43057</v>
          </cell>
        </row>
        <row r="2966">
          <cell r="H2966" t="str">
            <v>Felanitx</v>
          </cell>
          <cell r="I2966" t="str">
            <v>07022</v>
          </cell>
        </row>
        <row r="2967">
          <cell r="H2967" t="str">
            <v>Felix</v>
          </cell>
          <cell r="I2967" t="str">
            <v>04043</v>
          </cell>
        </row>
        <row r="2968">
          <cell r="H2968" t="str">
            <v>Fene</v>
          </cell>
          <cell r="I2968" t="str">
            <v>15035</v>
          </cell>
        </row>
        <row r="2969">
          <cell r="H2969" t="str">
            <v>Férez</v>
          </cell>
          <cell r="I2969" t="str">
            <v>02031</v>
          </cell>
        </row>
        <row r="2970">
          <cell r="H2970" t="str">
            <v>Feria</v>
          </cell>
          <cell r="I2970" t="str">
            <v>06049</v>
          </cell>
        </row>
        <row r="2971">
          <cell r="H2971" t="str">
            <v>Fermoselle</v>
          </cell>
          <cell r="I2971" t="str">
            <v>49065</v>
          </cell>
        </row>
        <row r="2972">
          <cell r="H2972" t="str">
            <v>Fernán Caballero</v>
          </cell>
          <cell r="I2972" t="str">
            <v>13040</v>
          </cell>
        </row>
        <row r="2973">
          <cell r="H2973" t="str">
            <v>Fernán-Núñez</v>
          </cell>
          <cell r="I2973" t="str">
            <v>14027</v>
          </cell>
        </row>
        <row r="2974">
          <cell r="H2974" t="str">
            <v>Ferreira</v>
          </cell>
          <cell r="I2974" t="str">
            <v>18074</v>
          </cell>
        </row>
        <row r="2975">
          <cell r="H2975" t="str">
            <v>Ferreras de Abajo</v>
          </cell>
          <cell r="I2975" t="str">
            <v>49066</v>
          </cell>
        </row>
        <row r="2976">
          <cell r="H2976" t="str">
            <v>Ferreras de Arriba</v>
          </cell>
          <cell r="I2976" t="str">
            <v>49067</v>
          </cell>
        </row>
        <row r="2977">
          <cell r="H2977" t="str">
            <v>Ferreries</v>
          </cell>
          <cell r="I2977" t="str">
            <v>07023</v>
          </cell>
        </row>
        <row r="2978">
          <cell r="H2978" t="str">
            <v>Ferreruela</v>
          </cell>
          <cell r="I2978" t="str">
            <v>49068</v>
          </cell>
        </row>
        <row r="2979">
          <cell r="H2979" t="str">
            <v>Ferreruela de Huerva</v>
          </cell>
          <cell r="I2979" t="str">
            <v>44101</v>
          </cell>
        </row>
        <row r="2980">
          <cell r="H2980" t="str">
            <v>Figaró-Montmany</v>
          </cell>
          <cell r="I2980" t="str">
            <v>08134</v>
          </cell>
        </row>
        <row r="2981">
          <cell r="H2981" t="str">
            <v>Fígols</v>
          </cell>
          <cell r="I2981" t="str">
            <v>08080</v>
          </cell>
        </row>
        <row r="2982">
          <cell r="H2982" t="str">
            <v>Fígols i Alinyà</v>
          </cell>
          <cell r="I2982" t="str">
            <v>25908</v>
          </cell>
        </row>
        <row r="2983">
          <cell r="H2983" t="str">
            <v>Figuera, La</v>
          </cell>
          <cell r="I2983" t="str">
            <v>43058</v>
          </cell>
        </row>
        <row r="2984">
          <cell r="H2984" t="str">
            <v>Figueres</v>
          </cell>
          <cell r="I2984" t="str">
            <v>17066</v>
          </cell>
        </row>
        <row r="2985">
          <cell r="H2985" t="str">
            <v>Figuerola del Camp</v>
          </cell>
          <cell r="I2985" t="str">
            <v>43059</v>
          </cell>
        </row>
        <row r="2986">
          <cell r="H2986" t="str">
            <v>Figueroles</v>
          </cell>
          <cell r="I2986" t="str">
            <v>12060</v>
          </cell>
        </row>
        <row r="2987">
          <cell r="H2987" t="str">
            <v>Figueruela de Arriba</v>
          </cell>
          <cell r="I2987" t="str">
            <v>49069</v>
          </cell>
        </row>
        <row r="2988">
          <cell r="H2988" t="str">
            <v>Figueruelas</v>
          </cell>
          <cell r="I2988" t="str">
            <v>50107</v>
          </cell>
        </row>
        <row r="2989">
          <cell r="H2989" t="str">
            <v>Fines</v>
          </cell>
          <cell r="I2989" t="str">
            <v>04044</v>
          </cell>
        </row>
        <row r="2990">
          <cell r="H2990" t="str">
            <v>Finestrat</v>
          </cell>
          <cell r="I2990" t="str">
            <v>03069</v>
          </cell>
        </row>
        <row r="2991">
          <cell r="H2991" t="str">
            <v>Fiñana</v>
          </cell>
          <cell r="I2991" t="str">
            <v>04045</v>
          </cell>
        </row>
        <row r="2992">
          <cell r="H2992" t="str">
            <v>Firgas</v>
          </cell>
          <cell r="I2992" t="str">
            <v>35008</v>
          </cell>
        </row>
        <row r="2993">
          <cell r="H2993" t="str">
            <v>Fiscal</v>
          </cell>
          <cell r="I2993" t="str">
            <v>22109</v>
          </cell>
        </row>
        <row r="2994">
          <cell r="H2994" t="str">
            <v>Fisterra</v>
          </cell>
          <cell r="I2994" t="str">
            <v>15037</v>
          </cell>
        </row>
        <row r="2995">
          <cell r="H2995" t="str">
            <v>Fitero</v>
          </cell>
          <cell r="I2995" t="str">
            <v>31105</v>
          </cell>
        </row>
        <row r="2996">
          <cell r="H2996" t="str">
            <v>Flaçà</v>
          </cell>
          <cell r="I2996" t="str">
            <v>17067</v>
          </cell>
        </row>
        <row r="2997">
          <cell r="H2997" t="str">
            <v>Flix</v>
          </cell>
          <cell r="I2997" t="str">
            <v>43060</v>
          </cell>
        </row>
        <row r="2998">
          <cell r="H2998" t="str">
            <v>Flores de Ávila</v>
          </cell>
          <cell r="I2998" t="str">
            <v>05073</v>
          </cell>
        </row>
        <row r="2999">
          <cell r="H2999" t="str">
            <v>Floresta, La</v>
          </cell>
          <cell r="I2999" t="str">
            <v>25092</v>
          </cell>
        </row>
        <row r="3000">
          <cell r="H3000" t="str">
            <v>Florida de Liébana</v>
          </cell>
          <cell r="I3000" t="str">
            <v>37129</v>
          </cell>
        </row>
        <row r="3001">
          <cell r="H3001" t="str">
            <v>Fogars de la Selva</v>
          </cell>
          <cell r="I3001" t="str">
            <v>08082</v>
          </cell>
        </row>
        <row r="3002">
          <cell r="H3002" t="str">
            <v>Fogars de Montclús</v>
          </cell>
          <cell r="I3002" t="str">
            <v>08081</v>
          </cell>
        </row>
        <row r="3003">
          <cell r="H3003" t="str">
            <v>Foios</v>
          </cell>
          <cell r="I3003" t="str">
            <v>46126</v>
          </cell>
        </row>
        <row r="3004">
          <cell r="H3004" t="str">
            <v>Foixà</v>
          </cell>
          <cell r="I3004" t="str">
            <v>17068</v>
          </cell>
        </row>
        <row r="3005">
          <cell r="H3005" t="str">
            <v>Folgoso do Courel</v>
          </cell>
          <cell r="I3005" t="str">
            <v>27017</v>
          </cell>
        </row>
        <row r="3006">
          <cell r="H3006" t="str">
            <v>Folgueroles</v>
          </cell>
          <cell r="I3006" t="str">
            <v>08083</v>
          </cell>
        </row>
        <row r="3007">
          <cell r="H3007" t="str">
            <v>Fombellida</v>
          </cell>
          <cell r="I3007" t="str">
            <v>47062</v>
          </cell>
        </row>
        <row r="3008">
          <cell r="H3008" t="str">
            <v>Fombuena</v>
          </cell>
          <cell r="I3008" t="str">
            <v>50108</v>
          </cell>
        </row>
        <row r="3009">
          <cell r="H3009" t="str">
            <v>Fompedraza</v>
          </cell>
          <cell r="I3009" t="str">
            <v>47063</v>
          </cell>
        </row>
        <row r="3010">
          <cell r="H3010" t="str">
            <v>Foncea</v>
          </cell>
          <cell r="I3010" t="str">
            <v>26062</v>
          </cell>
        </row>
        <row r="3011">
          <cell r="H3011" t="str">
            <v>Fondarella</v>
          </cell>
          <cell r="I3011" t="str">
            <v>25093</v>
          </cell>
        </row>
        <row r="3012">
          <cell r="H3012" t="str">
            <v>Fondó de les Neus, el/Hondón de las Nieves</v>
          </cell>
          <cell r="I3012" t="str">
            <v>03077</v>
          </cell>
        </row>
        <row r="3013">
          <cell r="H3013" t="str">
            <v>Fondón</v>
          </cell>
          <cell r="I3013" t="str">
            <v>04046</v>
          </cell>
        </row>
        <row r="3014">
          <cell r="H3014" t="str">
            <v>Fonelas</v>
          </cell>
          <cell r="I3014" t="str">
            <v>18076</v>
          </cell>
        </row>
        <row r="3015">
          <cell r="H3015" t="str">
            <v>Fonfría</v>
          </cell>
          <cell r="I3015" t="str">
            <v>44102</v>
          </cell>
        </row>
        <row r="3016">
          <cell r="H3016" t="str">
            <v>Fonfría</v>
          </cell>
          <cell r="I3016" t="str">
            <v>49071</v>
          </cell>
        </row>
        <row r="3017">
          <cell r="H3017" t="str">
            <v>Fonollosa</v>
          </cell>
          <cell r="I3017" t="str">
            <v>08084</v>
          </cell>
        </row>
        <row r="3018">
          <cell r="H3018" t="str">
            <v>Fonsagrada, A</v>
          </cell>
          <cell r="I3018" t="str">
            <v>27018</v>
          </cell>
        </row>
        <row r="3019">
          <cell r="H3019" t="str">
            <v>Font de la Figuera, la</v>
          </cell>
          <cell r="I3019" t="str">
            <v>46128</v>
          </cell>
        </row>
        <row r="3020">
          <cell r="H3020" t="str">
            <v>Font d'en Carròs, la</v>
          </cell>
          <cell r="I3020" t="str">
            <v>46127</v>
          </cell>
        </row>
        <row r="3021">
          <cell r="H3021" t="str">
            <v>Fontanals de Cerdanya</v>
          </cell>
          <cell r="I3021" t="str">
            <v>17069</v>
          </cell>
        </row>
        <row r="3022">
          <cell r="H3022" t="str">
            <v>Fontanar</v>
          </cell>
          <cell r="I3022" t="str">
            <v>19117</v>
          </cell>
        </row>
        <row r="3023">
          <cell r="H3023" t="str">
            <v>Fontanarejo</v>
          </cell>
          <cell r="I3023" t="str">
            <v>13041</v>
          </cell>
        </row>
        <row r="3024">
          <cell r="H3024" t="str">
            <v>Fontanars dels Alforins</v>
          </cell>
          <cell r="I3024" t="str">
            <v>46124</v>
          </cell>
        </row>
        <row r="3025">
          <cell r="H3025" t="str">
            <v>Fontanilles</v>
          </cell>
          <cell r="I3025" t="str">
            <v>17070</v>
          </cell>
        </row>
        <row r="3026">
          <cell r="H3026" t="str">
            <v>Fontcoberta</v>
          </cell>
          <cell r="I3026" t="str">
            <v>17071</v>
          </cell>
        </row>
        <row r="3027">
          <cell r="H3027" t="str">
            <v>Fontellas</v>
          </cell>
          <cell r="I3027" t="str">
            <v>31106</v>
          </cell>
        </row>
        <row r="3028">
          <cell r="H3028" t="str">
            <v>Fontihoyuelo</v>
          </cell>
          <cell r="I3028" t="str">
            <v>47064</v>
          </cell>
        </row>
        <row r="3029">
          <cell r="H3029" t="str">
            <v>Fontioso</v>
          </cell>
          <cell r="I3029" t="str">
            <v>09127</v>
          </cell>
        </row>
        <row r="3030">
          <cell r="H3030" t="str">
            <v>Fontiveros</v>
          </cell>
          <cell r="I3030" t="str">
            <v>05074</v>
          </cell>
        </row>
        <row r="3031">
          <cell r="H3031" t="str">
            <v>Font-rubí</v>
          </cell>
          <cell r="I3031" t="str">
            <v>08085</v>
          </cell>
        </row>
        <row r="3032">
          <cell r="H3032" t="str">
            <v>Fonz</v>
          </cell>
          <cell r="I3032" t="str">
            <v>22110</v>
          </cell>
        </row>
        <row r="3033">
          <cell r="H3033" t="str">
            <v>Fonzaleche</v>
          </cell>
          <cell r="I3033" t="str">
            <v>26063</v>
          </cell>
        </row>
        <row r="3034">
          <cell r="H3034" t="str">
            <v>Foradada</v>
          </cell>
          <cell r="I3034" t="str">
            <v>25094</v>
          </cell>
        </row>
        <row r="3035">
          <cell r="H3035" t="str">
            <v>Foradada del Toscar</v>
          </cell>
          <cell r="I3035" t="str">
            <v>22111</v>
          </cell>
        </row>
        <row r="3036">
          <cell r="H3036" t="str">
            <v>Forallac</v>
          </cell>
          <cell r="I3036" t="str">
            <v>17902</v>
          </cell>
        </row>
        <row r="3037">
          <cell r="H3037" t="str">
            <v>Forcall</v>
          </cell>
          <cell r="I3037" t="str">
            <v>12061</v>
          </cell>
        </row>
        <row r="3038">
          <cell r="H3038" t="str">
            <v>Forcarei</v>
          </cell>
          <cell r="I3038" t="str">
            <v>36018</v>
          </cell>
        </row>
        <row r="3039">
          <cell r="H3039" t="str">
            <v>Forès</v>
          </cell>
          <cell r="I3039" t="str">
            <v>43061</v>
          </cell>
        </row>
        <row r="3040">
          <cell r="H3040" t="str">
            <v>Forfoleda</v>
          </cell>
          <cell r="I3040" t="str">
            <v>37130</v>
          </cell>
        </row>
        <row r="3041">
          <cell r="H3041" t="str">
            <v>Formentera</v>
          </cell>
          <cell r="I3041" t="str">
            <v>07024</v>
          </cell>
        </row>
        <row r="3042">
          <cell r="H3042" t="str">
            <v>Formentera del Segura</v>
          </cell>
          <cell r="I3042" t="str">
            <v>03070</v>
          </cell>
        </row>
        <row r="3043">
          <cell r="H3043" t="str">
            <v>Formiche Alto</v>
          </cell>
          <cell r="I3043" t="str">
            <v>44103</v>
          </cell>
        </row>
        <row r="3044">
          <cell r="H3044" t="str">
            <v>Fornalutx</v>
          </cell>
          <cell r="I3044" t="str">
            <v>07025</v>
          </cell>
        </row>
        <row r="3045">
          <cell r="H3045" t="str">
            <v>Fornells de la Selva</v>
          </cell>
          <cell r="I3045" t="str">
            <v>17073</v>
          </cell>
        </row>
        <row r="3046">
          <cell r="H3046" t="str">
            <v>Fornelos de Montes</v>
          </cell>
          <cell r="I3046" t="str">
            <v>36019</v>
          </cell>
        </row>
        <row r="3047">
          <cell r="H3047" t="str">
            <v>Fornes</v>
          </cell>
          <cell r="I3047" t="str">
            <v>18077</v>
          </cell>
        </row>
        <row r="3048">
          <cell r="H3048" t="str">
            <v>Fortaleny</v>
          </cell>
          <cell r="I3048" t="str">
            <v>46125</v>
          </cell>
        </row>
        <row r="3049">
          <cell r="H3049" t="str">
            <v>Fortià</v>
          </cell>
          <cell r="I3049" t="str">
            <v>17074</v>
          </cell>
        </row>
        <row r="3050">
          <cell r="H3050" t="str">
            <v>Fortuna</v>
          </cell>
          <cell r="I3050" t="str">
            <v>30020</v>
          </cell>
        </row>
        <row r="3051">
          <cell r="H3051" t="str">
            <v>Forua</v>
          </cell>
          <cell r="I3051" t="str">
            <v>48906</v>
          </cell>
        </row>
        <row r="3052">
          <cell r="H3052" t="str">
            <v>Foz</v>
          </cell>
          <cell r="I3052" t="str">
            <v>27019</v>
          </cell>
        </row>
        <row r="3053">
          <cell r="H3053" t="str">
            <v>Frades</v>
          </cell>
          <cell r="I3053" t="str">
            <v>15038</v>
          </cell>
        </row>
        <row r="3054">
          <cell r="H3054" t="str">
            <v>Frades de la Sierra</v>
          </cell>
          <cell r="I3054" t="str">
            <v>37131</v>
          </cell>
        </row>
        <row r="3055">
          <cell r="H3055" t="str">
            <v>Frago, El</v>
          </cell>
          <cell r="I3055" t="str">
            <v>50109</v>
          </cell>
        </row>
        <row r="3056">
          <cell r="H3056" t="str">
            <v>Frailes</v>
          </cell>
          <cell r="I3056" t="str">
            <v>23033</v>
          </cell>
        </row>
        <row r="3057">
          <cell r="H3057" t="str">
            <v>Franco, El</v>
          </cell>
          <cell r="I3057" t="str">
            <v>33023</v>
          </cell>
        </row>
        <row r="3058">
          <cell r="H3058" t="str">
            <v>Frandovínez</v>
          </cell>
          <cell r="I3058" t="str">
            <v>09128</v>
          </cell>
        </row>
        <row r="3059">
          <cell r="H3059" t="str">
            <v>Franqueses del Vallès, Les</v>
          </cell>
          <cell r="I3059" t="str">
            <v>08086</v>
          </cell>
        </row>
        <row r="3060">
          <cell r="H3060" t="str">
            <v>Frasno, El</v>
          </cell>
          <cell r="I3060" t="str">
            <v>50110</v>
          </cell>
        </row>
        <row r="3061">
          <cell r="H3061" t="str">
            <v>Frechilla</v>
          </cell>
          <cell r="I3061" t="str">
            <v>34072</v>
          </cell>
        </row>
        <row r="3062">
          <cell r="H3062" t="str">
            <v>Frechilla de Almazán</v>
          </cell>
          <cell r="I3062" t="str">
            <v>42083</v>
          </cell>
        </row>
        <row r="3063">
          <cell r="H3063" t="str">
            <v>Fregenal de la Sierra</v>
          </cell>
          <cell r="I3063" t="str">
            <v>06050</v>
          </cell>
        </row>
        <row r="3064">
          <cell r="H3064" t="str">
            <v>Fregeneda, La</v>
          </cell>
          <cell r="I3064" t="str">
            <v>37132</v>
          </cell>
        </row>
        <row r="3065">
          <cell r="H3065" t="str">
            <v>Freginals</v>
          </cell>
          <cell r="I3065" t="str">
            <v>43062</v>
          </cell>
        </row>
        <row r="3066">
          <cell r="H3066" t="str">
            <v>Freila</v>
          </cell>
          <cell r="I3066" t="str">
            <v>18078</v>
          </cell>
        </row>
        <row r="3067">
          <cell r="H3067" t="str">
            <v>Fréscano</v>
          </cell>
          <cell r="I3067" t="str">
            <v>50111</v>
          </cell>
        </row>
        <row r="3068">
          <cell r="H3068" t="str">
            <v>Fresneda de Altarejos</v>
          </cell>
          <cell r="I3068" t="str">
            <v>16083</v>
          </cell>
        </row>
        <row r="3069">
          <cell r="H3069" t="str">
            <v>Fresneda de Cuéllar</v>
          </cell>
          <cell r="I3069" t="str">
            <v>40078</v>
          </cell>
        </row>
        <row r="3070">
          <cell r="H3070" t="str">
            <v>Fresneda de la Sierra</v>
          </cell>
          <cell r="I3070" t="str">
            <v>16084</v>
          </cell>
        </row>
        <row r="3071">
          <cell r="H3071" t="str">
            <v>Fresneda de la Sierra Tirón</v>
          </cell>
          <cell r="I3071" t="str">
            <v>09129</v>
          </cell>
        </row>
        <row r="3072">
          <cell r="H3072" t="str">
            <v>Fresneda, La</v>
          </cell>
          <cell r="I3072" t="str">
            <v>44108</v>
          </cell>
        </row>
        <row r="3073">
          <cell r="H3073" t="str">
            <v>Fresnedilla</v>
          </cell>
          <cell r="I3073" t="str">
            <v>05075</v>
          </cell>
        </row>
        <row r="3074">
          <cell r="H3074" t="str">
            <v>Fresnedillas de la Oliva</v>
          </cell>
          <cell r="I3074" t="str">
            <v>28056</v>
          </cell>
        </row>
        <row r="3075">
          <cell r="H3075" t="str">
            <v>Fresnedoso</v>
          </cell>
          <cell r="I3075" t="str">
            <v>37133</v>
          </cell>
        </row>
        <row r="3076">
          <cell r="H3076" t="str">
            <v>Fresnedoso de Ibor</v>
          </cell>
          <cell r="I3076" t="str">
            <v>10075</v>
          </cell>
        </row>
        <row r="3077">
          <cell r="H3077" t="str">
            <v>Fresneña</v>
          </cell>
          <cell r="I3077" t="str">
            <v>09130</v>
          </cell>
        </row>
        <row r="3078">
          <cell r="H3078" t="str">
            <v>Fresnillo de las Dueñas</v>
          </cell>
          <cell r="I3078" t="str">
            <v>09131</v>
          </cell>
        </row>
        <row r="3079">
          <cell r="H3079" t="str">
            <v>Fresno Alhándiga</v>
          </cell>
          <cell r="I3079" t="str">
            <v>37134</v>
          </cell>
        </row>
        <row r="3080">
          <cell r="H3080" t="str">
            <v>Fresno de Cantespino</v>
          </cell>
          <cell r="I3080" t="str">
            <v>40079</v>
          </cell>
        </row>
        <row r="3081">
          <cell r="H3081" t="str">
            <v>Fresno de Caracena</v>
          </cell>
          <cell r="I3081" t="str">
            <v>42084</v>
          </cell>
        </row>
        <row r="3082">
          <cell r="H3082" t="str">
            <v>Fresno de la Fuente</v>
          </cell>
          <cell r="I3082" t="str">
            <v>40080</v>
          </cell>
        </row>
        <row r="3083">
          <cell r="H3083" t="str">
            <v>Fresno de la Polvorosa</v>
          </cell>
          <cell r="I3083" t="str">
            <v>49075</v>
          </cell>
        </row>
        <row r="3084">
          <cell r="H3084" t="str">
            <v>Fresno de la Ribera</v>
          </cell>
          <cell r="I3084" t="str">
            <v>49076</v>
          </cell>
        </row>
        <row r="3085">
          <cell r="H3085" t="str">
            <v>Fresno de la Vega</v>
          </cell>
          <cell r="I3085" t="str">
            <v>24073</v>
          </cell>
        </row>
        <row r="3086">
          <cell r="H3086" t="str">
            <v>Fresno de Río Tirón</v>
          </cell>
          <cell r="I3086" t="str">
            <v>09132</v>
          </cell>
        </row>
        <row r="3087">
          <cell r="H3087" t="str">
            <v>Fresno de Rodilla</v>
          </cell>
          <cell r="I3087" t="str">
            <v>09133</v>
          </cell>
        </row>
        <row r="3088">
          <cell r="H3088" t="str">
            <v>Fresno de Sayago</v>
          </cell>
          <cell r="I3088" t="str">
            <v>49077</v>
          </cell>
        </row>
        <row r="3089">
          <cell r="H3089" t="str">
            <v>Fresno de Torote</v>
          </cell>
          <cell r="I3089" t="str">
            <v>28057</v>
          </cell>
        </row>
        <row r="3090">
          <cell r="H3090" t="str">
            <v>Fresno del Río</v>
          </cell>
          <cell r="I3090" t="str">
            <v>34073</v>
          </cell>
        </row>
        <row r="3091">
          <cell r="H3091" t="str">
            <v>Fresno el Viejo</v>
          </cell>
          <cell r="I3091" t="str">
            <v>47065</v>
          </cell>
        </row>
        <row r="3092">
          <cell r="H3092" t="str">
            <v>Fresno, El</v>
          </cell>
          <cell r="I3092" t="str">
            <v>05076</v>
          </cell>
        </row>
        <row r="3093">
          <cell r="H3093" t="str">
            <v>Frías de Albarracín</v>
          </cell>
          <cell r="I3093" t="str">
            <v>44109</v>
          </cell>
        </row>
        <row r="3094">
          <cell r="H3094" t="str">
            <v>Friera de Valverde</v>
          </cell>
          <cell r="I3094" t="str">
            <v>49078</v>
          </cell>
        </row>
        <row r="3095">
          <cell r="H3095" t="str">
            <v>Frigiliana</v>
          </cell>
          <cell r="I3095" t="str">
            <v>29053</v>
          </cell>
        </row>
        <row r="3096">
          <cell r="H3096" t="str">
            <v>Friol</v>
          </cell>
          <cell r="I3096" t="str">
            <v>27020</v>
          </cell>
        </row>
        <row r="3097">
          <cell r="H3097" t="str">
            <v>Frómista</v>
          </cell>
          <cell r="I3097" t="str">
            <v>34074</v>
          </cell>
        </row>
        <row r="3098">
          <cell r="H3098" t="str">
            <v>Frontera</v>
          </cell>
          <cell r="I3098" t="str">
            <v>38013</v>
          </cell>
        </row>
        <row r="3099">
          <cell r="H3099" t="str">
            <v>Frontera, La</v>
          </cell>
          <cell r="I3099" t="str">
            <v>16085</v>
          </cell>
        </row>
        <row r="3100">
          <cell r="H3100" t="str">
            <v>Fruiz</v>
          </cell>
          <cell r="I3100" t="str">
            <v>48035</v>
          </cell>
        </row>
        <row r="3101">
          <cell r="H3101" t="str">
            <v>Frumales</v>
          </cell>
          <cell r="I3101" t="str">
            <v>40081</v>
          </cell>
        </row>
        <row r="3102">
          <cell r="H3102" t="str">
            <v>Fuembellida</v>
          </cell>
          <cell r="I3102" t="str">
            <v>19118</v>
          </cell>
        </row>
        <row r="3103">
          <cell r="H3103" t="str">
            <v>Fuencaliente</v>
          </cell>
          <cell r="I3103" t="str">
            <v>13042</v>
          </cell>
        </row>
        <row r="3104">
          <cell r="H3104" t="str">
            <v>Fuencaliente de la Palma</v>
          </cell>
          <cell r="I3104" t="str">
            <v>38014</v>
          </cell>
        </row>
        <row r="3105">
          <cell r="H3105" t="str">
            <v>Fuencemillán</v>
          </cell>
          <cell r="I3105" t="str">
            <v>19119</v>
          </cell>
        </row>
        <row r="3106">
          <cell r="H3106" t="str">
            <v>Fuendejalón</v>
          </cell>
          <cell r="I3106" t="str">
            <v>50113</v>
          </cell>
        </row>
        <row r="3107">
          <cell r="H3107" t="str">
            <v>Fuendetodos</v>
          </cell>
          <cell r="I3107" t="str">
            <v>50114</v>
          </cell>
        </row>
        <row r="3108">
          <cell r="H3108" t="str">
            <v>Fuengirola</v>
          </cell>
          <cell r="I3108" t="str">
            <v>29054</v>
          </cell>
        </row>
        <row r="3109">
          <cell r="H3109" t="str">
            <v>Fuenlabrada</v>
          </cell>
          <cell r="I3109" t="str">
            <v>28058</v>
          </cell>
        </row>
        <row r="3110">
          <cell r="H3110" t="str">
            <v>Fuenlabrada de los Montes</v>
          </cell>
          <cell r="I3110" t="str">
            <v>06051</v>
          </cell>
        </row>
        <row r="3111">
          <cell r="H3111" t="str">
            <v>Fuenllana</v>
          </cell>
          <cell r="I3111" t="str">
            <v>13043</v>
          </cell>
        </row>
        <row r="3112">
          <cell r="H3112" t="str">
            <v>Fuenmayor</v>
          </cell>
          <cell r="I3112" t="str">
            <v>26064</v>
          </cell>
        </row>
        <row r="3113">
          <cell r="H3113" t="str">
            <v>Fuensaldaña</v>
          </cell>
          <cell r="I3113" t="str">
            <v>47066</v>
          </cell>
        </row>
        <row r="3114">
          <cell r="H3114" t="str">
            <v>Fuensalida</v>
          </cell>
          <cell r="I3114" t="str">
            <v>45066</v>
          </cell>
        </row>
        <row r="3115">
          <cell r="H3115" t="str">
            <v>Fuensanta</v>
          </cell>
          <cell r="I3115" t="str">
            <v>02032</v>
          </cell>
        </row>
        <row r="3116">
          <cell r="H3116" t="str">
            <v>Fuensanta de Martos</v>
          </cell>
          <cell r="I3116" t="str">
            <v>23034</v>
          </cell>
        </row>
        <row r="3117">
          <cell r="H3117" t="str">
            <v>Fuente Álamo de Murcia</v>
          </cell>
          <cell r="I3117" t="str">
            <v>30021</v>
          </cell>
        </row>
        <row r="3118">
          <cell r="H3118" t="str">
            <v>Fuente Carreteros</v>
          </cell>
          <cell r="I3118" t="str">
            <v>14901</v>
          </cell>
        </row>
        <row r="3119">
          <cell r="H3119" t="str">
            <v>Fuente de Cantos</v>
          </cell>
          <cell r="I3119" t="str">
            <v>06052</v>
          </cell>
        </row>
        <row r="3120">
          <cell r="H3120" t="str">
            <v>Fuente de Pedro Naharro</v>
          </cell>
          <cell r="I3120" t="str">
            <v>16086</v>
          </cell>
        </row>
        <row r="3121">
          <cell r="H3121" t="str">
            <v>Fuente de Piedra</v>
          </cell>
          <cell r="I3121" t="str">
            <v>29055</v>
          </cell>
        </row>
        <row r="3122">
          <cell r="H3122" t="str">
            <v>Fuente de San Esteban, La</v>
          </cell>
          <cell r="I3122" t="str">
            <v>37135</v>
          </cell>
        </row>
        <row r="3123">
          <cell r="H3123" t="str">
            <v>Fuente de Santa Cruz</v>
          </cell>
          <cell r="I3123" t="str">
            <v>40082</v>
          </cell>
        </row>
        <row r="3124">
          <cell r="H3124" t="str">
            <v>Fuente del Arco</v>
          </cell>
          <cell r="I3124" t="str">
            <v>06053</v>
          </cell>
        </row>
        <row r="3125">
          <cell r="H3125" t="str">
            <v>Fuente del Maestre</v>
          </cell>
          <cell r="I3125" t="str">
            <v>06054</v>
          </cell>
        </row>
        <row r="3126">
          <cell r="H3126" t="str">
            <v>Fuente el Fresno</v>
          </cell>
          <cell r="I3126" t="str">
            <v>13044</v>
          </cell>
        </row>
        <row r="3127">
          <cell r="H3127" t="str">
            <v>Fuente el Olmo de Fuentidueña</v>
          </cell>
          <cell r="I3127" t="str">
            <v>40083</v>
          </cell>
        </row>
        <row r="3128">
          <cell r="H3128" t="str">
            <v>Fuente el Olmo de Íscar</v>
          </cell>
          <cell r="I3128" t="str">
            <v>40084</v>
          </cell>
        </row>
        <row r="3129">
          <cell r="H3129" t="str">
            <v>Fuente el Saúz</v>
          </cell>
          <cell r="I3129" t="str">
            <v>05077</v>
          </cell>
        </row>
        <row r="3130">
          <cell r="H3130" t="str">
            <v>Fuente el Saz de Jarama</v>
          </cell>
          <cell r="I3130" t="str">
            <v>28059</v>
          </cell>
        </row>
        <row r="3131">
          <cell r="H3131" t="str">
            <v>Fuente el Sol</v>
          </cell>
          <cell r="I3131" t="str">
            <v>47067</v>
          </cell>
        </row>
        <row r="3132">
          <cell r="H3132" t="str">
            <v>Fuente Encalada</v>
          </cell>
          <cell r="I3132" t="str">
            <v>49079</v>
          </cell>
        </row>
        <row r="3133">
          <cell r="H3133" t="str">
            <v>Fuente la Lancha</v>
          </cell>
          <cell r="I3133" t="str">
            <v>14028</v>
          </cell>
        </row>
        <row r="3134">
          <cell r="H3134" t="str">
            <v>Fuente la Reina</v>
          </cell>
          <cell r="I3134" t="str">
            <v>12063</v>
          </cell>
        </row>
        <row r="3135">
          <cell r="H3135" t="str">
            <v>Fuente Palmera</v>
          </cell>
          <cell r="I3135" t="str">
            <v>14030</v>
          </cell>
        </row>
        <row r="3136">
          <cell r="H3136" t="str">
            <v>Fuente Vaqueros</v>
          </cell>
          <cell r="I3136" t="str">
            <v>18079</v>
          </cell>
        </row>
        <row r="3137">
          <cell r="H3137" t="str">
            <v>Fuente-Álamo</v>
          </cell>
          <cell r="I3137" t="str">
            <v>02033</v>
          </cell>
        </row>
        <row r="3138">
          <cell r="H3138" t="str">
            <v>Fuentealbilla</v>
          </cell>
          <cell r="I3138" t="str">
            <v>02034</v>
          </cell>
        </row>
        <row r="3139">
          <cell r="H3139" t="str">
            <v>Fuentearmegil</v>
          </cell>
          <cell r="I3139" t="str">
            <v>42085</v>
          </cell>
        </row>
        <row r="3140">
          <cell r="H3140" t="str">
            <v>Fuentebureba</v>
          </cell>
          <cell r="I3140" t="str">
            <v>09135</v>
          </cell>
        </row>
        <row r="3141">
          <cell r="H3141" t="str">
            <v>Fuentecambrón</v>
          </cell>
          <cell r="I3141" t="str">
            <v>42086</v>
          </cell>
        </row>
        <row r="3142">
          <cell r="H3142" t="str">
            <v>Fuentecantos</v>
          </cell>
          <cell r="I3142" t="str">
            <v>42087</v>
          </cell>
        </row>
        <row r="3143">
          <cell r="H3143" t="str">
            <v>Fuentecén</v>
          </cell>
          <cell r="I3143" t="str">
            <v>09136</v>
          </cell>
        </row>
        <row r="3144">
          <cell r="H3144" t="str">
            <v>Fuenteguinaldo</v>
          </cell>
          <cell r="I3144" t="str">
            <v>37136</v>
          </cell>
        </row>
        <row r="3145">
          <cell r="H3145" t="str">
            <v>Fuenteheridos</v>
          </cell>
          <cell r="I3145" t="str">
            <v>21033</v>
          </cell>
        </row>
        <row r="3146">
          <cell r="H3146" t="str">
            <v>Fuentelahiguera de Albatages</v>
          </cell>
          <cell r="I3146" t="str">
            <v>19120</v>
          </cell>
        </row>
        <row r="3147">
          <cell r="H3147" t="str">
            <v>Fuentelapeña</v>
          </cell>
          <cell r="I3147" t="str">
            <v>49080</v>
          </cell>
        </row>
        <row r="3148">
          <cell r="H3148" t="str">
            <v>Fuentelcésped</v>
          </cell>
          <cell r="I3148" t="str">
            <v>09137</v>
          </cell>
        </row>
        <row r="3149">
          <cell r="H3149" t="str">
            <v>Fuentelencina</v>
          </cell>
          <cell r="I3149" t="str">
            <v>19121</v>
          </cell>
        </row>
        <row r="3150">
          <cell r="H3150" t="str">
            <v>Fuentelespino de Haro</v>
          </cell>
          <cell r="I3150" t="str">
            <v>16087</v>
          </cell>
        </row>
        <row r="3151">
          <cell r="H3151" t="str">
            <v>Fuentelespino de Moya</v>
          </cell>
          <cell r="I3151" t="str">
            <v>16088</v>
          </cell>
        </row>
        <row r="3152">
          <cell r="H3152" t="str">
            <v>Fuenteliante</v>
          </cell>
          <cell r="I3152" t="str">
            <v>37137</v>
          </cell>
        </row>
        <row r="3153">
          <cell r="H3153" t="str">
            <v>Fuentelisendo</v>
          </cell>
          <cell r="I3153" t="str">
            <v>09138</v>
          </cell>
        </row>
        <row r="3154">
          <cell r="H3154" t="str">
            <v>Fuentelmonge</v>
          </cell>
          <cell r="I3154" t="str">
            <v>42088</v>
          </cell>
        </row>
        <row r="3155">
          <cell r="H3155" t="str">
            <v>Fuentelsaz</v>
          </cell>
          <cell r="I3155" t="str">
            <v>19122</v>
          </cell>
        </row>
        <row r="3156">
          <cell r="H3156" t="str">
            <v>Fuentelsaz de Soria</v>
          </cell>
          <cell r="I3156" t="str">
            <v>42089</v>
          </cell>
        </row>
        <row r="3157">
          <cell r="H3157" t="str">
            <v>Fuentelviejo</v>
          </cell>
          <cell r="I3157" t="str">
            <v>19123</v>
          </cell>
        </row>
        <row r="3158">
          <cell r="H3158" t="str">
            <v>Fuentemolinos</v>
          </cell>
          <cell r="I3158" t="str">
            <v>09139</v>
          </cell>
        </row>
        <row r="3159">
          <cell r="H3159" t="str">
            <v>Fuentenava de Jábaga</v>
          </cell>
          <cell r="I3159" t="str">
            <v>16904</v>
          </cell>
        </row>
        <row r="3160">
          <cell r="H3160" t="str">
            <v>Fuentenebro</v>
          </cell>
          <cell r="I3160" t="str">
            <v>09140</v>
          </cell>
        </row>
        <row r="3161">
          <cell r="H3161" t="str">
            <v>Fuentenovilla</v>
          </cell>
          <cell r="I3161" t="str">
            <v>19124</v>
          </cell>
        </row>
        <row r="3162">
          <cell r="H3162" t="str">
            <v>Fuente-Olmedo</v>
          </cell>
          <cell r="I3162" t="str">
            <v>47068</v>
          </cell>
        </row>
        <row r="3163">
          <cell r="H3163" t="str">
            <v>Fuentepelayo</v>
          </cell>
          <cell r="I3163" t="str">
            <v>40086</v>
          </cell>
        </row>
        <row r="3164">
          <cell r="H3164" t="str">
            <v>Fuentepinilla</v>
          </cell>
          <cell r="I3164" t="str">
            <v>42090</v>
          </cell>
        </row>
        <row r="3165">
          <cell r="H3165" t="str">
            <v>Fuentepiñel</v>
          </cell>
          <cell r="I3165" t="str">
            <v>40087</v>
          </cell>
        </row>
        <row r="3166">
          <cell r="H3166" t="str">
            <v>Fuenterrebollo</v>
          </cell>
          <cell r="I3166" t="str">
            <v>40088</v>
          </cell>
        </row>
        <row r="3167">
          <cell r="H3167" t="str">
            <v>Fuenterroble de Salvatierra</v>
          </cell>
          <cell r="I3167" t="str">
            <v>37138</v>
          </cell>
        </row>
        <row r="3168">
          <cell r="H3168" t="str">
            <v>Fuenterrobles</v>
          </cell>
          <cell r="I3168" t="str">
            <v>46129</v>
          </cell>
        </row>
        <row r="3169">
          <cell r="H3169" t="str">
            <v>Fuentes</v>
          </cell>
          <cell r="I3169" t="str">
            <v>16089</v>
          </cell>
        </row>
        <row r="3170">
          <cell r="H3170" t="str">
            <v>Fuentes Claras</v>
          </cell>
          <cell r="I3170" t="str">
            <v>44112</v>
          </cell>
        </row>
        <row r="3171">
          <cell r="H3171" t="str">
            <v>Fuentes de Andalucía</v>
          </cell>
          <cell r="I3171" t="str">
            <v>41042</v>
          </cell>
        </row>
        <row r="3172">
          <cell r="H3172" t="str">
            <v>Fuentes de Año</v>
          </cell>
          <cell r="I3172" t="str">
            <v>05078</v>
          </cell>
        </row>
        <row r="3173">
          <cell r="H3173" t="str">
            <v>Fuentes de Ayódar</v>
          </cell>
          <cell r="I3173" t="str">
            <v>12064</v>
          </cell>
        </row>
        <row r="3174">
          <cell r="H3174" t="str">
            <v>Fuentes de Béjar</v>
          </cell>
          <cell r="I3174" t="str">
            <v>37139</v>
          </cell>
        </row>
        <row r="3175">
          <cell r="H3175" t="str">
            <v>Fuentes de Carbajal</v>
          </cell>
          <cell r="I3175" t="str">
            <v>24074</v>
          </cell>
        </row>
        <row r="3176">
          <cell r="H3176" t="str">
            <v>Fuentes de Ebro</v>
          </cell>
          <cell r="I3176" t="str">
            <v>50115</v>
          </cell>
        </row>
        <row r="3177">
          <cell r="H3177" t="str">
            <v>Fuentes de Jiloca</v>
          </cell>
          <cell r="I3177" t="str">
            <v>50116</v>
          </cell>
        </row>
        <row r="3178">
          <cell r="H3178" t="str">
            <v>Fuentes de León</v>
          </cell>
          <cell r="I3178" t="str">
            <v>06055</v>
          </cell>
        </row>
        <row r="3179">
          <cell r="H3179" t="str">
            <v>Fuentes de Magaña</v>
          </cell>
          <cell r="I3179" t="str">
            <v>42092</v>
          </cell>
        </row>
        <row r="3180">
          <cell r="H3180" t="str">
            <v>Fuentes de Nava</v>
          </cell>
          <cell r="I3180" t="str">
            <v>34076</v>
          </cell>
        </row>
        <row r="3181">
          <cell r="H3181" t="str">
            <v>Fuentes de Oñoro</v>
          </cell>
          <cell r="I3181" t="str">
            <v>37140</v>
          </cell>
        </row>
        <row r="3182">
          <cell r="H3182" t="str">
            <v>Fuentes de Ropel</v>
          </cell>
          <cell r="I3182" t="str">
            <v>49082</v>
          </cell>
        </row>
        <row r="3183">
          <cell r="H3183" t="str">
            <v>Fuentes de Rubielos</v>
          </cell>
          <cell r="I3183" t="str">
            <v>44113</v>
          </cell>
        </row>
        <row r="3184">
          <cell r="H3184" t="str">
            <v>Fuentes de Valdepero</v>
          </cell>
          <cell r="I3184" t="str">
            <v>34077</v>
          </cell>
        </row>
        <row r="3185">
          <cell r="H3185" t="str">
            <v>Fuentesaúco</v>
          </cell>
          <cell r="I3185" t="str">
            <v>49081</v>
          </cell>
        </row>
        <row r="3186">
          <cell r="H3186" t="str">
            <v>Fuentesaúco de Fuentidueña</v>
          </cell>
          <cell r="I3186" t="str">
            <v>40089</v>
          </cell>
        </row>
        <row r="3187">
          <cell r="H3187" t="str">
            <v>Fuentesecas</v>
          </cell>
          <cell r="I3187" t="str">
            <v>49083</v>
          </cell>
        </row>
        <row r="3188">
          <cell r="H3188" t="str">
            <v>Fuentesoto</v>
          </cell>
          <cell r="I3188" t="str">
            <v>40091</v>
          </cell>
        </row>
        <row r="3189">
          <cell r="H3189" t="str">
            <v>Fuentespalda</v>
          </cell>
          <cell r="I3189" t="str">
            <v>44114</v>
          </cell>
        </row>
        <row r="3190">
          <cell r="H3190" t="str">
            <v>Fuentespina</v>
          </cell>
          <cell r="I3190" t="str">
            <v>09141</v>
          </cell>
        </row>
        <row r="3191">
          <cell r="H3191" t="str">
            <v>Fuentespreadas</v>
          </cell>
          <cell r="I3191" t="str">
            <v>49084</v>
          </cell>
        </row>
        <row r="3192">
          <cell r="H3192" t="str">
            <v>Fuentestrún</v>
          </cell>
          <cell r="I3192" t="str">
            <v>42093</v>
          </cell>
        </row>
        <row r="3193">
          <cell r="H3193" t="str">
            <v>Fuente-Tójar</v>
          </cell>
          <cell r="I3193" t="str">
            <v>14031</v>
          </cell>
        </row>
        <row r="3194">
          <cell r="H3194" t="str">
            <v>Fuentidueña</v>
          </cell>
          <cell r="I3194" t="str">
            <v>40092</v>
          </cell>
        </row>
        <row r="3195">
          <cell r="H3195" t="str">
            <v>Fuentidueña de Tajo</v>
          </cell>
          <cell r="I3195" t="str">
            <v>28060</v>
          </cell>
        </row>
        <row r="3196">
          <cell r="H3196" t="str">
            <v>Fuerte del Rey</v>
          </cell>
          <cell r="I3196" t="str">
            <v>23035</v>
          </cell>
        </row>
        <row r="3197">
          <cell r="H3197" t="str">
            <v>Fuertescusa</v>
          </cell>
          <cell r="I3197" t="str">
            <v>16091</v>
          </cell>
        </row>
        <row r="3198">
          <cell r="H3198" t="str">
            <v>Fueva, La</v>
          </cell>
          <cell r="I3198" t="str">
            <v>22113</v>
          </cell>
        </row>
        <row r="3199">
          <cell r="H3199" t="str">
            <v>Fuliola, La</v>
          </cell>
          <cell r="I3199" t="str">
            <v>25096</v>
          </cell>
        </row>
        <row r="3200">
          <cell r="H3200" t="str">
            <v>Fulleda</v>
          </cell>
          <cell r="I3200" t="str">
            <v>25097</v>
          </cell>
        </row>
        <row r="3201">
          <cell r="H3201" t="str">
            <v>Funes</v>
          </cell>
          <cell r="I3201" t="str">
            <v>31107</v>
          </cell>
        </row>
        <row r="3202">
          <cell r="H3202" t="str">
            <v>Fustiñana</v>
          </cell>
          <cell r="I3202" t="str">
            <v>31108</v>
          </cell>
        </row>
        <row r="3203">
          <cell r="H3203" t="str">
            <v>Gabaldón</v>
          </cell>
          <cell r="I3203" t="str">
            <v>16092</v>
          </cell>
        </row>
        <row r="3204">
          <cell r="H3204" t="str">
            <v>Gabias, Las</v>
          </cell>
          <cell r="I3204" t="str">
            <v>18905</v>
          </cell>
        </row>
        <row r="3205">
          <cell r="H3205" t="str">
            <v>Gabiria</v>
          </cell>
          <cell r="I3205" t="str">
            <v>20038</v>
          </cell>
        </row>
        <row r="3206">
          <cell r="H3206" t="str">
            <v>Gádor</v>
          </cell>
          <cell r="I3206" t="str">
            <v>04047</v>
          </cell>
        </row>
        <row r="3207">
          <cell r="H3207" t="str">
            <v>Gaià</v>
          </cell>
          <cell r="I3207" t="str">
            <v>08090</v>
          </cell>
        </row>
        <row r="3208">
          <cell r="H3208" t="str">
            <v>Gaianes</v>
          </cell>
          <cell r="I3208" t="str">
            <v>03072</v>
          </cell>
        </row>
        <row r="3209">
          <cell r="H3209" t="str">
            <v>Gaibiel</v>
          </cell>
          <cell r="I3209" t="str">
            <v>12065</v>
          </cell>
        </row>
        <row r="3210">
          <cell r="H3210" t="str">
            <v>Gaintza</v>
          </cell>
          <cell r="I3210" t="str">
            <v>20037</v>
          </cell>
        </row>
        <row r="3211">
          <cell r="H3211" t="str">
            <v>Gajanejos</v>
          </cell>
          <cell r="I3211" t="str">
            <v>19125</v>
          </cell>
        </row>
        <row r="3212">
          <cell r="H3212" t="str">
            <v>Gajates</v>
          </cell>
          <cell r="I3212" t="str">
            <v>37141</v>
          </cell>
        </row>
        <row r="3213">
          <cell r="H3213" t="str">
            <v>Galapagar</v>
          </cell>
          <cell r="I3213" t="str">
            <v>28061</v>
          </cell>
        </row>
        <row r="3214">
          <cell r="H3214" t="str">
            <v>Galápagos</v>
          </cell>
          <cell r="I3214" t="str">
            <v>19126</v>
          </cell>
        </row>
        <row r="3215">
          <cell r="H3215" t="str">
            <v>Galar</v>
          </cell>
          <cell r="I3215" t="str">
            <v>31109</v>
          </cell>
        </row>
        <row r="3216">
          <cell r="H3216" t="str">
            <v>Galaroza</v>
          </cell>
          <cell r="I3216" t="str">
            <v>21034</v>
          </cell>
        </row>
        <row r="3217">
          <cell r="H3217" t="str">
            <v>Galbarros</v>
          </cell>
          <cell r="I3217" t="str">
            <v>09143</v>
          </cell>
        </row>
        <row r="3218">
          <cell r="H3218" t="str">
            <v>Galbárruli</v>
          </cell>
          <cell r="I3218" t="str">
            <v>26065</v>
          </cell>
        </row>
        <row r="3219">
          <cell r="H3219" t="str">
            <v>Galdakao</v>
          </cell>
          <cell r="I3219" t="str">
            <v>48036</v>
          </cell>
        </row>
        <row r="3220">
          <cell r="H3220" t="str">
            <v>Galdames</v>
          </cell>
          <cell r="I3220" t="str">
            <v>48037</v>
          </cell>
        </row>
        <row r="3221">
          <cell r="H3221" t="str">
            <v>Gáldar</v>
          </cell>
          <cell r="I3221" t="str">
            <v>35009</v>
          </cell>
        </row>
        <row r="3222">
          <cell r="H3222" t="str">
            <v>Galende</v>
          </cell>
          <cell r="I3222" t="str">
            <v>49085</v>
          </cell>
        </row>
        <row r="3223">
          <cell r="H3223" t="str">
            <v>Galera</v>
          </cell>
          <cell r="I3223" t="str">
            <v>18082</v>
          </cell>
        </row>
        <row r="3224">
          <cell r="H3224" t="str">
            <v>Galera, La</v>
          </cell>
          <cell r="I3224" t="str">
            <v>43063</v>
          </cell>
        </row>
        <row r="3225">
          <cell r="H3225" t="str">
            <v>Galilea</v>
          </cell>
          <cell r="I3225" t="str">
            <v>26066</v>
          </cell>
        </row>
        <row r="3226">
          <cell r="H3226" t="str">
            <v>Galindo y Perahuy</v>
          </cell>
          <cell r="I3226" t="str">
            <v>37142</v>
          </cell>
        </row>
        <row r="3227">
          <cell r="H3227" t="str">
            <v>Galinduste</v>
          </cell>
          <cell r="I3227" t="str">
            <v>37143</v>
          </cell>
        </row>
        <row r="3228">
          <cell r="H3228" t="str">
            <v>Galisancho</v>
          </cell>
          <cell r="I3228" t="str">
            <v>37144</v>
          </cell>
        </row>
        <row r="3229">
          <cell r="H3229" t="str">
            <v>Galisteo</v>
          </cell>
          <cell r="I3229" t="str">
            <v>10076</v>
          </cell>
        </row>
        <row r="3230">
          <cell r="H3230" t="str">
            <v>Gallardos, Los</v>
          </cell>
          <cell r="I3230" t="str">
            <v>04048</v>
          </cell>
        </row>
        <row r="3231">
          <cell r="H3231" t="str">
            <v>Gallega, La</v>
          </cell>
          <cell r="I3231" t="str">
            <v>09144</v>
          </cell>
        </row>
        <row r="3232">
          <cell r="H3232" t="str">
            <v>Gallegos</v>
          </cell>
          <cell r="I3232" t="str">
            <v>40093</v>
          </cell>
        </row>
        <row r="3233">
          <cell r="H3233" t="str">
            <v>Gallegos de Altamiros</v>
          </cell>
          <cell r="I3233" t="str">
            <v>05079</v>
          </cell>
        </row>
        <row r="3234">
          <cell r="H3234" t="str">
            <v>Gallegos de Argañán</v>
          </cell>
          <cell r="I3234" t="str">
            <v>37145</v>
          </cell>
        </row>
        <row r="3235">
          <cell r="H3235" t="str">
            <v>Gallegos de Hornija</v>
          </cell>
          <cell r="I3235" t="str">
            <v>47069</v>
          </cell>
        </row>
        <row r="3236">
          <cell r="H3236" t="str">
            <v>Gallegos de Sobrinos</v>
          </cell>
          <cell r="I3236" t="str">
            <v>05080</v>
          </cell>
        </row>
        <row r="3237">
          <cell r="H3237" t="str">
            <v>Gallegos de Solmirón</v>
          </cell>
          <cell r="I3237" t="str">
            <v>37146</v>
          </cell>
        </row>
        <row r="3238">
          <cell r="H3238" t="str">
            <v>Gallegos del Pan</v>
          </cell>
          <cell r="I3238" t="str">
            <v>49086</v>
          </cell>
        </row>
        <row r="3239">
          <cell r="H3239" t="str">
            <v>Gallegos del Río</v>
          </cell>
          <cell r="I3239" t="str">
            <v>49087</v>
          </cell>
        </row>
        <row r="3240">
          <cell r="H3240" t="str">
            <v>Gallifa</v>
          </cell>
          <cell r="I3240" t="str">
            <v>08087</v>
          </cell>
        </row>
        <row r="3241">
          <cell r="H3241" t="str">
            <v>Gallinero de Cameros</v>
          </cell>
          <cell r="I3241" t="str">
            <v>26067</v>
          </cell>
        </row>
        <row r="3242">
          <cell r="H3242" t="str">
            <v>Gallipienzo/Galipentzu</v>
          </cell>
          <cell r="I3242" t="str">
            <v>31110</v>
          </cell>
        </row>
        <row r="3243">
          <cell r="H3243" t="str">
            <v>Gallocanta</v>
          </cell>
          <cell r="I3243" t="str">
            <v>50117</v>
          </cell>
        </row>
        <row r="3244">
          <cell r="H3244" t="str">
            <v>Gallués/Galoze</v>
          </cell>
          <cell r="I3244" t="str">
            <v>31111</v>
          </cell>
        </row>
        <row r="3245">
          <cell r="H3245" t="str">
            <v>Gallur</v>
          </cell>
          <cell r="I3245" t="str">
            <v>50118</v>
          </cell>
        </row>
        <row r="3246">
          <cell r="H3246" t="str">
            <v>Galve de Sorbe</v>
          </cell>
          <cell r="I3246" t="str">
            <v>19127</v>
          </cell>
        </row>
        <row r="3247">
          <cell r="H3247" t="str">
            <v>Gálvez</v>
          </cell>
          <cell r="I3247" t="str">
            <v>45067</v>
          </cell>
        </row>
        <row r="3248">
          <cell r="H3248" t="str">
            <v>Gamiz-Fika</v>
          </cell>
          <cell r="I3248" t="str">
            <v>48038</v>
          </cell>
        </row>
        <row r="3249">
          <cell r="H3249" t="str">
            <v>Gamones</v>
          </cell>
          <cell r="I3249" t="str">
            <v>49088</v>
          </cell>
        </row>
        <row r="3250">
          <cell r="H3250" t="str">
            <v>Gandesa</v>
          </cell>
          <cell r="I3250" t="str">
            <v>43064</v>
          </cell>
        </row>
        <row r="3251">
          <cell r="H3251" t="str">
            <v>Gandia</v>
          </cell>
          <cell r="I3251" t="str">
            <v>46131</v>
          </cell>
        </row>
        <row r="3252">
          <cell r="H3252" t="str">
            <v>Garaballa</v>
          </cell>
          <cell r="I3252" t="str">
            <v>16093</v>
          </cell>
        </row>
        <row r="3253">
          <cell r="H3253" t="str">
            <v>Garachico</v>
          </cell>
          <cell r="I3253" t="str">
            <v>38015</v>
          </cell>
        </row>
        <row r="3254">
          <cell r="H3254" t="str">
            <v>Garafía</v>
          </cell>
          <cell r="I3254" t="str">
            <v>38016</v>
          </cell>
        </row>
        <row r="3255">
          <cell r="H3255" t="str">
            <v>Garai</v>
          </cell>
          <cell r="I3255" t="str">
            <v>48039</v>
          </cell>
        </row>
        <row r="3256">
          <cell r="H3256" t="str">
            <v>Garaioa</v>
          </cell>
          <cell r="I3256" t="str">
            <v>31112</v>
          </cell>
        </row>
        <row r="3257">
          <cell r="H3257" t="str">
            <v>Garbayuela</v>
          </cell>
          <cell r="I3257" t="str">
            <v>06056</v>
          </cell>
        </row>
        <row r="3258">
          <cell r="H3258" t="str">
            <v>Garcia</v>
          </cell>
          <cell r="I3258" t="str">
            <v>43065</v>
          </cell>
        </row>
        <row r="3259">
          <cell r="H3259" t="str">
            <v>Garciaz</v>
          </cell>
          <cell r="I3259" t="str">
            <v>10077</v>
          </cell>
        </row>
        <row r="3260">
          <cell r="H3260" t="str">
            <v>Garcibuey</v>
          </cell>
          <cell r="I3260" t="str">
            <v>37147</v>
          </cell>
        </row>
        <row r="3261">
          <cell r="H3261" t="str">
            <v>Garcihernández</v>
          </cell>
          <cell r="I3261" t="str">
            <v>37148</v>
          </cell>
        </row>
        <row r="3262">
          <cell r="H3262" t="str">
            <v>Garcillán</v>
          </cell>
          <cell r="I3262" t="str">
            <v>40094</v>
          </cell>
        </row>
        <row r="3263">
          <cell r="H3263" t="str">
            <v>Garciotum</v>
          </cell>
          <cell r="I3263" t="str">
            <v>45068</v>
          </cell>
        </row>
        <row r="3264">
          <cell r="H3264" t="str">
            <v>Garcirrey</v>
          </cell>
          <cell r="I3264" t="str">
            <v>37149</v>
          </cell>
        </row>
        <row r="3265">
          <cell r="H3265" t="str">
            <v>Garde</v>
          </cell>
          <cell r="I3265" t="str">
            <v>31113</v>
          </cell>
        </row>
        <row r="3266">
          <cell r="H3266" t="str">
            <v>Garganta de los Montes</v>
          </cell>
          <cell r="I3266" t="str">
            <v>28062</v>
          </cell>
        </row>
        <row r="3267">
          <cell r="H3267" t="str">
            <v>Garganta del Villar</v>
          </cell>
          <cell r="I3267" t="str">
            <v>05081</v>
          </cell>
        </row>
        <row r="3268">
          <cell r="H3268" t="str">
            <v>Garganta la Olla</v>
          </cell>
          <cell r="I3268" t="str">
            <v>10079</v>
          </cell>
        </row>
        <row r="3269">
          <cell r="H3269" t="str">
            <v>Garganta, La</v>
          </cell>
          <cell r="I3269" t="str">
            <v>10078</v>
          </cell>
        </row>
        <row r="3270">
          <cell r="H3270" t="str">
            <v>Gargantilla</v>
          </cell>
          <cell r="I3270" t="str">
            <v>10080</v>
          </cell>
        </row>
        <row r="3271">
          <cell r="H3271" t="str">
            <v>Gargantilla del Lozoya y Pinilla de Buitrago</v>
          </cell>
          <cell r="I3271" t="str">
            <v>28063</v>
          </cell>
        </row>
        <row r="3272">
          <cell r="H3272" t="str">
            <v>Gargüera</v>
          </cell>
          <cell r="I3272" t="str">
            <v>10081</v>
          </cell>
        </row>
        <row r="3273">
          <cell r="H3273" t="str">
            <v>Garidells, Els</v>
          </cell>
          <cell r="I3273" t="str">
            <v>43066</v>
          </cell>
        </row>
        <row r="3274">
          <cell r="H3274" t="str">
            <v>Garínoain</v>
          </cell>
          <cell r="I3274" t="str">
            <v>31114</v>
          </cell>
        </row>
        <row r="3275">
          <cell r="H3275" t="str">
            <v>Garlitos</v>
          </cell>
          <cell r="I3275" t="str">
            <v>06057</v>
          </cell>
        </row>
        <row r="3276">
          <cell r="H3276" t="str">
            <v>Garralda</v>
          </cell>
          <cell r="I3276" t="str">
            <v>31115</v>
          </cell>
        </row>
        <row r="3277">
          <cell r="H3277" t="str">
            <v>Garray</v>
          </cell>
          <cell r="I3277" t="str">
            <v>42094</v>
          </cell>
        </row>
        <row r="3278">
          <cell r="H3278" t="str">
            <v>Garriga, La</v>
          </cell>
          <cell r="I3278" t="str">
            <v>08088</v>
          </cell>
        </row>
        <row r="3279">
          <cell r="H3279" t="str">
            <v>Garrigàs</v>
          </cell>
          <cell r="I3279" t="str">
            <v>17075</v>
          </cell>
        </row>
        <row r="3280">
          <cell r="H3280" t="str">
            <v>Garrigoles</v>
          </cell>
          <cell r="I3280" t="str">
            <v>17076</v>
          </cell>
        </row>
        <row r="3281">
          <cell r="H3281" t="str">
            <v>Garriguella</v>
          </cell>
          <cell r="I3281" t="str">
            <v>17077</v>
          </cell>
        </row>
        <row r="3282">
          <cell r="H3282" t="str">
            <v>Garrobo, El</v>
          </cell>
          <cell r="I3282" t="str">
            <v>41043</v>
          </cell>
        </row>
        <row r="3283">
          <cell r="H3283" t="str">
            <v>Garrovilla, La</v>
          </cell>
          <cell r="I3283" t="str">
            <v>06058</v>
          </cell>
        </row>
        <row r="3284">
          <cell r="H3284" t="str">
            <v>Garrovillas de Alconétar</v>
          </cell>
          <cell r="I3284" t="str">
            <v>10082</v>
          </cell>
        </row>
        <row r="3285">
          <cell r="H3285" t="str">
            <v>Garrucha</v>
          </cell>
          <cell r="I3285" t="str">
            <v>04049</v>
          </cell>
        </row>
        <row r="3286">
          <cell r="H3286" t="str">
            <v>Garvín</v>
          </cell>
          <cell r="I3286" t="str">
            <v>10083</v>
          </cell>
        </row>
        <row r="3287">
          <cell r="H3287" t="str">
            <v>Gascones</v>
          </cell>
          <cell r="I3287" t="str">
            <v>28064</v>
          </cell>
        </row>
        <row r="3288">
          <cell r="H3288" t="str">
            <v>Gascueña</v>
          </cell>
          <cell r="I3288" t="str">
            <v>16094</v>
          </cell>
        </row>
        <row r="3289">
          <cell r="H3289" t="str">
            <v>Gascueña de Bornova</v>
          </cell>
          <cell r="I3289" t="str">
            <v>19129</v>
          </cell>
        </row>
        <row r="3290">
          <cell r="H3290" t="str">
            <v>Gastor, El</v>
          </cell>
          <cell r="I3290" t="str">
            <v>11018</v>
          </cell>
        </row>
        <row r="3291">
          <cell r="H3291" t="str">
            <v>Gata</v>
          </cell>
          <cell r="I3291" t="str">
            <v>10084</v>
          </cell>
        </row>
        <row r="3292">
          <cell r="H3292" t="str">
            <v>Gata de Gorgos</v>
          </cell>
          <cell r="I3292" t="str">
            <v>03071</v>
          </cell>
        </row>
        <row r="3293">
          <cell r="H3293" t="str">
            <v>Gatika</v>
          </cell>
          <cell r="I3293" t="str">
            <v>48040</v>
          </cell>
        </row>
        <row r="3294">
          <cell r="H3294" t="str">
            <v>Gatón de Campos</v>
          </cell>
          <cell r="I3294" t="str">
            <v>47070</v>
          </cell>
        </row>
        <row r="3295">
          <cell r="H3295" t="str">
            <v>Gátova</v>
          </cell>
          <cell r="I3295" t="str">
            <v>46902</v>
          </cell>
        </row>
        <row r="3296">
          <cell r="H3296" t="str">
            <v>Gaucín</v>
          </cell>
          <cell r="I3296" t="str">
            <v>29056</v>
          </cell>
        </row>
        <row r="3297">
          <cell r="H3297" t="str">
            <v>Gautegiz Arteaga</v>
          </cell>
          <cell r="I3297" t="str">
            <v>48041</v>
          </cell>
        </row>
        <row r="3298">
          <cell r="H3298" t="str">
            <v>Gavà</v>
          </cell>
          <cell r="I3298" t="str">
            <v>08089</v>
          </cell>
        </row>
        <row r="3299">
          <cell r="H3299" t="str">
            <v>Gavarda</v>
          </cell>
          <cell r="I3299" t="str">
            <v>46130</v>
          </cell>
        </row>
        <row r="3300">
          <cell r="H3300" t="str">
            <v>Gavet de la Conca</v>
          </cell>
          <cell r="I3300" t="str">
            <v>25098</v>
          </cell>
        </row>
        <row r="3301">
          <cell r="H3301" t="str">
            <v>Gavilanes</v>
          </cell>
          <cell r="I3301" t="str">
            <v>05082</v>
          </cell>
        </row>
        <row r="3302">
          <cell r="H3302" t="str">
            <v>Gaztelu</v>
          </cell>
          <cell r="I3302" t="str">
            <v>20907</v>
          </cell>
        </row>
        <row r="3303">
          <cell r="H3303" t="str">
            <v>Gea de Albarracín</v>
          </cell>
          <cell r="I3303" t="str">
            <v>44117</v>
          </cell>
        </row>
        <row r="3304">
          <cell r="H3304" t="str">
            <v>Gejuelo del Barro</v>
          </cell>
          <cell r="I3304" t="str">
            <v>37150</v>
          </cell>
        </row>
        <row r="3305">
          <cell r="H3305" t="str">
            <v>Geldo</v>
          </cell>
          <cell r="I3305" t="str">
            <v>12067</v>
          </cell>
        </row>
        <row r="3306">
          <cell r="H3306" t="str">
            <v>Gelida</v>
          </cell>
          <cell r="I3306" t="str">
            <v>08091</v>
          </cell>
        </row>
        <row r="3307">
          <cell r="H3307" t="str">
            <v>Gelsa</v>
          </cell>
          <cell r="I3307" t="str">
            <v>50119</v>
          </cell>
        </row>
        <row r="3308">
          <cell r="H3308" t="str">
            <v>Gelves</v>
          </cell>
          <cell r="I3308" t="str">
            <v>41044</v>
          </cell>
        </row>
        <row r="3309">
          <cell r="H3309" t="str">
            <v>Gema</v>
          </cell>
          <cell r="I3309" t="str">
            <v>49090</v>
          </cell>
        </row>
        <row r="3310">
          <cell r="H3310" t="str">
            <v>Gemuño</v>
          </cell>
          <cell r="I3310" t="str">
            <v>05083</v>
          </cell>
        </row>
        <row r="3311">
          <cell r="H3311" t="str">
            <v>Genalguacil</v>
          </cell>
          <cell r="I3311" t="str">
            <v>29057</v>
          </cell>
        </row>
        <row r="3312">
          <cell r="H3312" t="str">
            <v>Génave</v>
          </cell>
          <cell r="I3312" t="str">
            <v>23037</v>
          </cell>
        </row>
        <row r="3313">
          <cell r="H3313" t="str">
            <v>Genevilla</v>
          </cell>
          <cell r="I3313" t="str">
            <v>31116</v>
          </cell>
        </row>
        <row r="3314">
          <cell r="H3314" t="str">
            <v>Genovés, el</v>
          </cell>
          <cell r="I3314" t="str">
            <v>46132</v>
          </cell>
        </row>
        <row r="3315">
          <cell r="H3315" t="str">
            <v>Ger</v>
          </cell>
          <cell r="I3315" t="str">
            <v>17078</v>
          </cell>
        </row>
        <row r="3316">
          <cell r="H3316" t="str">
            <v>Gerena</v>
          </cell>
          <cell r="I3316" t="str">
            <v>41045</v>
          </cell>
        </row>
        <row r="3317">
          <cell r="H3317" t="str">
            <v>Gérgal</v>
          </cell>
          <cell r="I3317" t="str">
            <v>04050</v>
          </cell>
        </row>
        <row r="3318">
          <cell r="H3318" t="str">
            <v>Geria</v>
          </cell>
          <cell r="I3318" t="str">
            <v>47071</v>
          </cell>
        </row>
        <row r="3319">
          <cell r="H3319" t="str">
            <v>Gerindote</v>
          </cell>
          <cell r="I3319" t="str">
            <v>45069</v>
          </cell>
        </row>
        <row r="3320">
          <cell r="H3320" t="str">
            <v>Gernika-Lumo</v>
          </cell>
          <cell r="I3320" t="str">
            <v>48046</v>
          </cell>
        </row>
        <row r="3321">
          <cell r="H3321" t="str">
            <v>Gestalgar</v>
          </cell>
          <cell r="I3321" t="str">
            <v>46133</v>
          </cell>
        </row>
        <row r="3322">
          <cell r="H3322" t="str">
            <v>Getafe</v>
          </cell>
          <cell r="I3322" t="str">
            <v>28065</v>
          </cell>
        </row>
        <row r="3323">
          <cell r="H3323" t="str">
            <v>Getaria</v>
          </cell>
          <cell r="I3323" t="str">
            <v>20039</v>
          </cell>
        </row>
        <row r="3324">
          <cell r="H3324" t="str">
            <v>Getxo</v>
          </cell>
          <cell r="I3324" t="str">
            <v>48044</v>
          </cell>
        </row>
        <row r="3325">
          <cell r="H3325" t="str">
            <v>Gibraleón</v>
          </cell>
          <cell r="I3325" t="str">
            <v>21035</v>
          </cell>
        </row>
        <row r="3326">
          <cell r="H3326" t="str">
            <v>Gil García</v>
          </cell>
          <cell r="I3326" t="str">
            <v>05085</v>
          </cell>
        </row>
        <row r="3327">
          <cell r="H3327" t="str">
            <v>Gilbuena</v>
          </cell>
          <cell r="I3327" t="str">
            <v>05084</v>
          </cell>
        </row>
        <row r="3328">
          <cell r="H3328" t="str">
            <v>Gilena</v>
          </cell>
          <cell r="I3328" t="str">
            <v>41046</v>
          </cell>
        </row>
        <row r="3329">
          <cell r="H3329" t="str">
            <v>Gilet</v>
          </cell>
          <cell r="I3329" t="str">
            <v>46134</v>
          </cell>
        </row>
        <row r="3330">
          <cell r="H3330" t="str">
            <v>Gimenells i el Pla de la Font</v>
          </cell>
          <cell r="I3330" t="str">
            <v>25912</v>
          </cell>
        </row>
        <row r="3331">
          <cell r="H3331" t="str">
            <v>Gimialcón</v>
          </cell>
          <cell r="I3331" t="str">
            <v>05086</v>
          </cell>
        </row>
        <row r="3332">
          <cell r="H3332" t="str">
            <v>Gimileo</v>
          </cell>
          <cell r="I3332" t="str">
            <v>26068</v>
          </cell>
        </row>
        <row r="3333">
          <cell r="H3333" t="str">
            <v>Gines</v>
          </cell>
          <cell r="I3333" t="str">
            <v>41047</v>
          </cell>
        </row>
        <row r="3334">
          <cell r="H3334" t="str">
            <v>Ginestar</v>
          </cell>
          <cell r="I3334" t="str">
            <v>43067</v>
          </cell>
        </row>
        <row r="3335">
          <cell r="H3335" t="str">
            <v>Gineta, La</v>
          </cell>
          <cell r="I3335" t="str">
            <v>02035</v>
          </cell>
        </row>
        <row r="3336">
          <cell r="H3336" t="str">
            <v>Girona</v>
          </cell>
          <cell r="I3336" t="str">
            <v>17079</v>
          </cell>
        </row>
        <row r="3337">
          <cell r="H3337" t="str">
            <v>Gironella</v>
          </cell>
          <cell r="I3337" t="str">
            <v>08092</v>
          </cell>
        </row>
        <row r="3338">
          <cell r="H3338" t="str">
            <v>Gisclareny</v>
          </cell>
          <cell r="I3338" t="str">
            <v>08093</v>
          </cell>
        </row>
        <row r="3339">
          <cell r="H3339" t="str">
            <v>Gistaín</v>
          </cell>
          <cell r="I3339" t="str">
            <v>22114</v>
          </cell>
        </row>
        <row r="3340">
          <cell r="H3340" t="str">
            <v>Gizaburuaga</v>
          </cell>
          <cell r="I3340" t="str">
            <v>48047</v>
          </cell>
        </row>
        <row r="3341">
          <cell r="H3341" t="str">
            <v>Gobernador</v>
          </cell>
          <cell r="I3341" t="str">
            <v>18083</v>
          </cell>
        </row>
        <row r="3342">
          <cell r="H3342" t="str">
            <v>Godall</v>
          </cell>
          <cell r="I3342" t="str">
            <v>43068</v>
          </cell>
        </row>
        <row r="3343">
          <cell r="H3343" t="str">
            <v>Godella</v>
          </cell>
          <cell r="I3343" t="str">
            <v>46135</v>
          </cell>
        </row>
        <row r="3344">
          <cell r="H3344" t="str">
            <v>Godelleta</v>
          </cell>
          <cell r="I3344" t="str">
            <v>46136</v>
          </cell>
        </row>
        <row r="3345">
          <cell r="H3345" t="str">
            <v>Godojos</v>
          </cell>
          <cell r="I3345" t="str">
            <v>50120</v>
          </cell>
        </row>
        <row r="3346">
          <cell r="H3346" t="str">
            <v>Goizueta</v>
          </cell>
          <cell r="I3346" t="str">
            <v>31117</v>
          </cell>
        </row>
        <row r="3347">
          <cell r="H3347" t="str">
            <v>Gójar</v>
          </cell>
          <cell r="I3347" t="str">
            <v>18084</v>
          </cell>
        </row>
        <row r="3348">
          <cell r="H3348" t="str">
            <v>Golmayo</v>
          </cell>
          <cell r="I3348" t="str">
            <v>42095</v>
          </cell>
        </row>
        <row r="3349">
          <cell r="H3349" t="str">
            <v>Golmés</v>
          </cell>
          <cell r="I3349" t="str">
            <v>25099</v>
          </cell>
        </row>
        <row r="3350">
          <cell r="H3350" t="str">
            <v>Golosalvo</v>
          </cell>
          <cell r="I3350" t="str">
            <v>02036</v>
          </cell>
        </row>
        <row r="3351">
          <cell r="H3351" t="str">
            <v>Golpejas</v>
          </cell>
          <cell r="I3351" t="str">
            <v>37151</v>
          </cell>
        </row>
        <row r="3352">
          <cell r="H3352" t="str">
            <v>Gómara</v>
          </cell>
          <cell r="I3352" t="str">
            <v>42096</v>
          </cell>
        </row>
        <row r="3353">
          <cell r="H3353" t="str">
            <v>Gombrèn</v>
          </cell>
          <cell r="I3353" t="str">
            <v>17080</v>
          </cell>
        </row>
        <row r="3354">
          <cell r="H3354" t="str">
            <v>Gomecello</v>
          </cell>
          <cell r="I3354" t="str">
            <v>37152</v>
          </cell>
        </row>
        <row r="3355">
          <cell r="H3355" t="str">
            <v>Gomesende</v>
          </cell>
          <cell r="I3355" t="str">
            <v>32033</v>
          </cell>
        </row>
        <row r="3356">
          <cell r="H3356" t="str">
            <v>Gomezserracín</v>
          </cell>
          <cell r="I3356" t="str">
            <v>40095</v>
          </cell>
        </row>
        <row r="3357">
          <cell r="H3357" t="str">
            <v>Gondomar</v>
          </cell>
          <cell r="I3357" t="str">
            <v>36021</v>
          </cell>
        </row>
        <row r="3358">
          <cell r="H3358" t="str">
            <v>Goñi</v>
          </cell>
          <cell r="I3358" t="str">
            <v>31118</v>
          </cell>
        </row>
        <row r="3359">
          <cell r="H3359" t="str">
            <v>Gor</v>
          </cell>
          <cell r="I3359" t="str">
            <v>18085</v>
          </cell>
        </row>
        <row r="3360">
          <cell r="H3360" t="str">
            <v>Gorafe</v>
          </cell>
          <cell r="I3360" t="str">
            <v>18086</v>
          </cell>
        </row>
        <row r="3361">
          <cell r="H3361" t="str">
            <v>Gordaliza del Pino</v>
          </cell>
          <cell r="I3361" t="str">
            <v>24077</v>
          </cell>
        </row>
        <row r="3362">
          <cell r="H3362" t="str">
            <v>Gordexola</v>
          </cell>
          <cell r="I3362" t="str">
            <v>48042</v>
          </cell>
        </row>
        <row r="3363">
          <cell r="H3363" t="str">
            <v>Gordo, El</v>
          </cell>
          <cell r="I3363" t="str">
            <v>10085</v>
          </cell>
        </row>
        <row r="3364">
          <cell r="H3364" t="str">
            <v>Gordoncillo</v>
          </cell>
          <cell r="I3364" t="str">
            <v>24078</v>
          </cell>
        </row>
        <row r="3365">
          <cell r="H3365" t="str">
            <v>Gorga</v>
          </cell>
          <cell r="I3365" t="str">
            <v>03073</v>
          </cell>
        </row>
        <row r="3366">
          <cell r="H3366" t="str">
            <v>Gorliz</v>
          </cell>
          <cell r="I3366" t="str">
            <v>48043</v>
          </cell>
        </row>
        <row r="3367">
          <cell r="H3367" t="str">
            <v>Gormaz</v>
          </cell>
          <cell r="I3367" t="str">
            <v>42097</v>
          </cell>
        </row>
        <row r="3368">
          <cell r="H3368" t="str">
            <v>Gósol</v>
          </cell>
          <cell r="I3368" t="str">
            <v>25100</v>
          </cell>
        </row>
        <row r="3369">
          <cell r="H3369" t="str">
            <v>Gotarrendura</v>
          </cell>
          <cell r="I3369" t="str">
            <v>05087</v>
          </cell>
        </row>
        <row r="3370">
          <cell r="H3370" t="str">
            <v>Gotor</v>
          </cell>
          <cell r="I3370" t="str">
            <v>50121</v>
          </cell>
        </row>
        <row r="3371">
          <cell r="H3371" t="str">
            <v>Grado, El</v>
          </cell>
          <cell r="I3371" t="str">
            <v>22115</v>
          </cell>
        </row>
        <row r="3372">
          <cell r="H3372" t="str">
            <v>Graja de Campalbo</v>
          </cell>
          <cell r="I3372" t="str">
            <v>16095</v>
          </cell>
        </row>
        <row r="3373">
          <cell r="H3373" t="str">
            <v>Graja de Iniesta</v>
          </cell>
          <cell r="I3373" t="str">
            <v>16096</v>
          </cell>
        </row>
        <row r="3374">
          <cell r="H3374" t="str">
            <v>Grajal de Campos</v>
          </cell>
          <cell r="I3374" t="str">
            <v>24080</v>
          </cell>
        </row>
        <row r="3375">
          <cell r="H3375" t="str">
            <v>Grajera</v>
          </cell>
          <cell r="I3375" t="str">
            <v>40097</v>
          </cell>
        </row>
        <row r="3376">
          <cell r="H3376" t="str">
            <v>Granada</v>
          </cell>
          <cell r="I3376" t="str">
            <v>18087</v>
          </cell>
        </row>
        <row r="3377">
          <cell r="H3377" t="str">
            <v>Granada de Río-Tinto, La</v>
          </cell>
          <cell r="I3377" t="str">
            <v>21036</v>
          </cell>
        </row>
        <row r="3378">
          <cell r="H3378" t="str">
            <v>Granada, La</v>
          </cell>
          <cell r="I3378" t="str">
            <v>08094</v>
          </cell>
        </row>
        <row r="3379">
          <cell r="H3379" t="str">
            <v>Granadella, La</v>
          </cell>
          <cell r="I3379" t="str">
            <v>25101</v>
          </cell>
        </row>
        <row r="3380">
          <cell r="H3380" t="str">
            <v>Granadilla de Abona</v>
          </cell>
          <cell r="I3380" t="str">
            <v>38017</v>
          </cell>
        </row>
        <row r="3381">
          <cell r="H3381" t="str">
            <v>Granado, El</v>
          </cell>
          <cell r="I3381" t="str">
            <v>21037</v>
          </cell>
        </row>
        <row r="3382">
          <cell r="H3382" t="str">
            <v>Granátula de Calatrava</v>
          </cell>
          <cell r="I3382" t="str">
            <v>13045</v>
          </cell>
        </row>
        <row r="3383">
          <cell r="H3383" t="str">
            <v>Grandas de Salime</v>
          </cell>
          <cell r="I3383" t="str">
            <v>33027</v>
          </cell>
        </row>
        <row r="3384">
          <cell r="H3384" t="str">
            <v>Grandes y San Martín</v>
          </cell>
          <cell r="I3384" t="str">
            <v>05088</v>
          </cell>
        </row>
        <row r="3385">
          <cell r="H3385" t="str">
            <v>Granera</v>
          </cell>
          <cell r="I3385" t="str">
            <v>08095</v>
          </cell>
        </row>
        <row r="3386">
          <cell r="H3386" t="str">
            <v>Granja de la Costera, la</v>
          </cell>
          <cell r="I3386" t="str">
            <v>46137</v>
          </cell>
        </row>
        <row r="3387">
          <cell r="H3387" t="str">
            <v>Granja de Moreruela</v>
          </cell>
          <cell r="I3387" t="str">
            <v>49091</v>
          </cell>
        </row>
        <row r="3388">
          <cell r="H3388" t="str">
            <v>Granja de Rocamora</v>
          </cell>
          <cell r="I3388" t="str">
            <v>03074</v>
          </cell>
        </row>
        <row r="3389">
          <cell r="H3389" t="str">
            <v>Granja de Torrehermosa</v>
          </cell>
          <cell r="I3389" t="str">
            <v>06059</v>
          </cell>
        </row>
        <row r="3390">
          <cell r="H3390" t="str">
            <v>Granja d'Escarp, La</v>
          </cell>
          <cell r="I3390" t="str">
            <v>25102</v>
          </cell>
        </row>
        <row r="3391">
          <cell r="H3391" t="str">
            <v>Granja, La</v>
          </cell>
          <cell r="I3391" t="str">
            <v>10086</v>
          </cell>
        </row>
        <row r="3392">
          <cell r="H3392" t="str">
            <v>Granollers</v>
          </cell>
          <cell r="I3392" t="str">
            <v>08096</v>
          </cell>
        </row>
        <row r="3393">
          <cell r="H3393" t="str">
            <v>Granucillo</v>
          </cell>
          <cell r="I3393" t="str">
            <v>49092</v>
          </cell>
        </row>
        <row r="3394">
          <cell r="H3394" t="str">
            <v>Granyanella</v>
          </cell>
          <cell r="I3394" t="str">
            <v>25103</v>
          </cell>
        </row>
        <row r="3395">
          <cell r="H3395" t="str">
            <v>Granyena de les Garrigues</v>
          </cell>
          <cell r="I3395" t="str">
            <v>25105</v>
          </cell>
        </row>
        <row r="3396">
          <cell r="H3396" t="str">
            <v>Granyena de Segarra</v>
          </cell>
          <cell r="I3396" t="str">
            <v>25104</v>
          </cell>
        </row>
        <row r="3397">
          <cell r="H3397" t="str">
            <v>Grañén</v>
          </cell>
          <cell r="I3397" t="str">
            <v>22116</v>
          </cell>
        </row>
        <row r="3398">
          <cell r="H3398" t="str">
            <v>Grañón</v>
          </cell>
          <cell r="I3398" t="str">
            <v>26069</v>
          </cell>
        </row>
        <row r="3399">
          <cell r="H3399" t="str">
            <v>Gratallops</v>
          </cell>
          <cell r="I3399" t="str">
            <v>43069</v>
          </cell>
        </row>
        <row r="3400">
          <cell r="H3400" t="str">
            <v>Graus</v>
          </cell>
          <cell r="I3400" t="str">
            <v>22117</v>
          </cell>
        </row>
        <row r="3401">
          <cell r="H3401" t="str">
            <v>Grávalos</v>
          </cell>
          <cell r="I3401" t="str">
            <v>26070</v>
          </cell>
        </row>
        <row r="3402">
          <cell r="H3402" t="str">
            <v>Grazalema</v>
          </cell>
          <cell r="I3402" t="str">
            <v>11019</v>
          </cell>
        </row>
        <row r="3403">
          <cell r="H3403" t="str">
            <v>Griegos</v>
          </cell>
          <cell r="I3403" t="str">
            <v>44119</v>
          </cell>
        </row>
        <row r="3404">
          <cell r="H3404" t="str">
            <v>Grijalba</v>
          </cell>
          <cell r="I3404" t="str">
            <v>09148</v>
          </cell>
        </row>
        <row r="3405">
          <cell r="H3405" t="str">
            <v>Grijota</v>
          </cell>
          <cell r="I3405" t="str">
            <v>34079</v>
          </cell>
        </row>
        <row r="3406">
          <cell r="H3406" t="str">
            <v>Griñón</v>
          </cell>
          <cell r="I3406" t="str">
            <v>28066</v>
          </cell>
        </row>
        <row r="3407">
          <cell r="H3407" t="str">
            <v>Grisaleña</v>
          </cell>
          <cell r="I3407" t="str">
            <v>09149</v>
          </cell>
        </row>
        <row r="3408">
          <cell r="H3408" t="str">
            <v>Grisel</v>
          </cell>
          <cell r="I3408" t="str">
            <v>50122</v>
          </cell>
        </row>
        <row r="3409">
          <cell r="H3409" t="str">
            <v>Grisén</v>
          </cell>
          <cell r="I3409" t="str">
            <v>50123</v>
          </cell>
        </row>
        <row r="3410">
          <cell r="H3410" t="str">
            <v>Grove, O</v>
          </cell>
          <cell r="I3410" t="str">
            <v>36022</v>
          </cell>
        </row>
        <row r="3411">
          <cell r="H3411" t="str">
            <v>Guadahortuna</v>
          </cell>
          <cell r="I3411" t="str">
            <v>18088</v>
          </cell>
        </row>
        <row r="3412">
          <cell r="H3412" t="str">
            <v>Guadalajara</v>
          </cell>
          <cell r="I3412" t="str">
            <v>19130</v>
          </cell>
        </row>
        <row r="3413">
          <cell r="H3413" t="str">
            <v>Guadalaviar</v>
          </cell>
          <cell r="I3413" t="str">
            <v>44120</v>
          </cell>
        </row>
        <row r="3414">
          <cell r="H3414" t="str">
            <v>Guadalcanal</v>
          </cell>
          <cell r="I3414" t="str">
            <v>41048</v>
          </cell>
        </row>
        <row r="3415">
          <cell r="H3415" t="str">
            <v>Guadalcázar</v>
          </cell>
          <cell r="I3415" t="str">
            <v>14033</v>
          </cell>
        </row>
        <row r="3416">
          <cell r="H3416" t="str">
            <v>Guadalix de la Sierra</v>
          </cell>
          <cell r="I3416" t="str">
            <v>28067</v>
          </cell>
        </row>
        <row r="3417">
          <cell r="H3417" t="str">
            <v>Guadalmez</v>
          </cell>
          <cell r="I3417" t="str">
            <v>13046</v>
          </cell>
        </row>
        <row r="3418">
          <cell r="H3418" t="str">
            <v>Guadalupe</v>
          </cell>
          <cell r="I3418" t="str">
            <v>10087</v>
          </cell>
        </row>
        <row r="3419">
          <cell r="H3419" t="str">
            <v>Guadamur</v>
          </cell>
          <cell r="I3419" t="str">
            <v>45070</v>
          </cell>
        </row>
        <row r="3420">
          <cell r="H3420" t="str">
            <v>Guadarrama</v>
          </cell>
          <cell r="I3420" t="str">
            <v>28068</v>
          </cell>
        </row>
        <row r="3421">
          <cell r="H3421" t="str">
            <v>Guadasséquies</v>
          </cell>
          <cell r="I3421" t="str">
            <v>46138</v>
          </cell>
        </row>
        <row r="3422">
          <cell r="H3422" t="str">
            <v>Guadassuar</v>
          </cell>
          <cell r="I3422" t="str">
            <v>46139</v>
          </cell>
        </row>
        <row r="3423">
          <cell r="H3423" t="str">
            <v>Guadiana</v>
          </cell>
          <cell r="I3423" t="str">
            <v>06903</v>
          </cell>
        </row>
        <row r="3424">
          <cell r="H3424" t="str">
            <v>Guadix</v>
          </cell>
          <cell r="I3424" t="str">
            <v>18089</v>
          </cell>
        </row>
        <row r="3425">
          <cell r="H3425" t="str">
            <v>Guadramiro</v>
          </cell>
          <cell r="I3425" t="str">
            <v>37154</v>
          </cell>
        </row>
        <row r="3426">
          <cell r="H3426" t="str">
            <v>Guájares, Los</v>
          </cell>
          <cell r="I3426" t="str">
            <v>18906</v>
          </cell>
        </row>
        <row r="3427">
          <cell r="H3427" t="str">
            <v>Gualba</v>
          </cell>
          <cell r="I3427" t="str">
            <v>08097</v>
          </cell>
        </row>
        <row r="3428">
          <cell r="H3428" t="str">
            <v>Gualchos</v>
          </cell>
          <cell r="I3428" t="str">
            <v>18093</v>
          </cell>
        </row>
        <row r="3429">
          <cell r="H3429" t="str">
            <v>Gualta</v>
          </cell>
          <cell r="I3429" t="str">
            <v>17081</v>
          </cell>
        </row>
        <row r="3430">
          <cell r="H3430" t="str">
            <v>Guancha, La</v>
          </cell>
          <cell r="I3430" t="str">
            <v>38018</v>
          </cell>
        </row>
        <row r="3431">
          <cell r="H3431" t="str">
            <v>Guarda, A</v>
          </cell>
          <cell r="I3431" t="str">
            <v>36023</v>
          </cell>
        </row>
        <row r="3432">
          <cell r="H3432" t="str">
            <v>Guardamar de la Safor</v>
          </cell>
          <cell r="I3432" t="str">
            <v>46140</v>
          </cell>
        </row>
        <row r="3433">
          <cell r="H3433" t="str">
            <v>Guardamar del Segura</v>
          </cell>
          <cell r="I3433" t="str">
            <v>03076</v>
          </cell>
        </row>
        <row r="3434">
          <cell r="H3434" t="str">
            <v>Guardia de Jaén, La</v>
          </cell>
          <cell r="I3434" t="str">
            <v>23038</v>
          </cell>
        </row>
        <row r="3435">
          <cell r="H3435" t="str">
            <v>Guardia, La</v>
          </cell>
          <cell r="I3435" t="str">
            <v>45071</v>
          </cell>
        </row>
        <row r="3436">
          <cell r="H3436" t="str">
            <v>Guardiola de Berguedà</v>
          </cell>
          <cell r="I3436" t="str">
            <v>08099</v>
          </cell>
        </row>
        <row r="3437">
          <cell r="H3437" t="str">
            <v>Guareña</v>
          </cell>
          <cell r="I3437" t="str">
            <v>06060</v>
          </cell>
        </row>
        <row r="3438">
          <cell r="H3438" t="str">
            <v>Guaro</v>
          </cell>
          <cell r="I3438" t="str">
            <v>29058</v>
          </cell>
        </row>
        <row r="3439">
          <cell r="H3439" t="str">
            <v>Guarrate</v>
          </cell>
          <cell r="I3439" t="str">
            <v>49093</v>
          </cell>
        </row>
        <row r="3440">
          <cell r="H3440" t="str">
            <v>Guarromán</v>
          </cell>
          <cell r="I3440" t="str">
            <v>23039</v>
          </cell>
        </row>
        <row r="3441">
          <cell r="H3441" t="str">
            <v>Guaza de Campos</v>
          </cell>
          <cell r="I3441" t="str">
            <v>34081</v>
          </cell>
        </row>
        <row r="3442">
          <cell r="H3442" t="str">
            <v>Gúdar</v>
          </cell>
          <cell r="I3442" t="str">
            <v>44121</v>
          </cell>
        </row>
        <row r="3443">
          <cell r="H3443" t="str">
            <v>Gudiña, A</v>
          </cell>
          <cell r="I3443" t="str">
            <v>32034</v>
          </cell>
        </row>
        <row r="3444">
          <cell r="H3444" t="str">
            <v>Güéjar Sierra</v>
          </cell>
          <cell r="I3444" t="str">
            <v>18094</v>
          </cell>
        </row>
        <row r="3445">
          <cell r="H3445" t="str">
            <v>Güeñes</v>
          </cell>
          <cell r="I3445" t="str">
            <v>48045</v>
          </cell>
        </row>
        <row r="3446">
          <cell r="H3446" t="str">
            <v>Güesa/Gorza</v>
          </cell>
          <cell r="I3446" t="str">
            <v>31119</v>
          </cell>
        </row>
        <row r="3447">
          <cell r="H3447" t="str">
            <v>Guesálaz/Gesalatz</v>
          </cell>
          <cell r="I3447" t="str">
            <v>31120</v>
          </cell>
        </row>
        <row r="3448">
          <cell r="H3448" t="str">
            <v>Güevéjar</v>
          </cell>
          <cell r="I3448" t="str">
            <v>18095</v>
          </cell>
        </row>
        <row r="3449">
          <cell r="H3449" t="str">
            <v>Guía de Isora</v>
          </cell>
          <cell r="I3449" t="str">
            <v>38019</v>
          </cell>
        </row>
        <row r="3450">
          <cell r="H3450" t="str">
            <v>Guiamets, Els</v>
          </cell>
          <cell r="I3450" t="str">
            <v>43070</v>
          </cell>
        </row>
        <row r="3451">
          <cell r="H3451" t="str">
            <v>Guijarrosa, La</v>
          </cell>
          <cell r="I3451" t="str">
            <v>14902</v>
          </cell>
        </row>
        <row r="3452">
          <cell r="H3452" t="str">
            <v>Guijo de Ávila</v>
          </cell>
          <cell r="I3452" t="str">
            <v>37155</v>
          </cell>
        </row>
        <row r="3453">
          <cell r="H3453" t="str">
            <v>Guijo de Coria</v>
          </cell>
          <cell r="I3453" t="str">
            <v>10088</v>
          </cell>
        </row>
        <row r="3454">
          <cell r="H3454" t="str">
            <v>Guijo de Galisteo</v>
          </cell>
          <cell r="I3454" t="str">
            <v>10089</v>
          </cell>
        </row>
        <row r="3455">
          <cell r="H3455" t="str">
            <v>Guijo de Granadilla</v>
          </cell>
          <cell r="I3455" t="str">
            <v>10090</v>
          </cell>
        </row>
        <row r="3456">
          <cell r="H3456" t="str">
            <v>Guijo de Santa Bárbara</v>
          </cell>
          <cell r="I3456" t="str">
            <v>10091</v>
          </cell>
        </row>
        <row r="3457">
          <cell r="H3457" t="str">
            <v>Guijo, El</v>
          </cell>
          <cell r="I3457" t="str">
            <v>14034</v>
          </cell>
        </row>
        <row r="3458">
          <cell r="H3458" t="str">
            <v>Guijuelo</v>
          </cell>
          <cell r="I3458" t="str">
            <v>37156</v>
          </cell>
        </row>
        <row r="3459">
          <cell r="H3459" t="str">
            <v>Guillena</v>
          </cell>
          <cell r="I3459" t="str">
            <v>41049</v>
          </cell>
        </row>
        <row r="3460">
          <cell r="H3460" t="str">
            <v>Guils de Cerdanya</v>
          </cell>
          <cell r="I3460" t="str">
            <v>17082</v>
          </cell>
        </row>
        <row r="3461">
          <cell r="H3461" t="str">
            <v>Güímar</v>
          </cell>
          <cell r="I3461" t="str">
            <v>38020</v>
          </cell>
        </row>
        <row r="3462">
          <cell r="H3462" t="str">
            <v>Guimerà</v>
          </cell>
          <cell r="I3462" t="str">
            <v>25109</v>
          </cell>
        </row>
        <row r="3463">
          <cell r="H3463" t="str">
            <v>Guingueta d'Àneu, La</v>
          </cell>
          <cell r="I3463" t="str">
            <v>25903</v>
          </cell>
        </row>
        <row r="3464">
          <cell r="H3464" t="str">
            <v>Guirguillano</v>
          </cell>
          <cell r="I3464" t="str">
            <v>31121</v>
          </cell>
        </row>
        <row r="3465">
          <cell r="H3465" t="str">
            <v>Guisando</v>
          </cell>
          <cell r="I3465" t="str">
            <v>05089</v>
          </cell>
        </row>
        <row r="3466">
          <cell r="H3466" t="str">
            <v>Guissona</v>
          </cell>
          <cell r="I3466" t="str">
            <v>25110</v>
          </cell>
        </row>
        <row r="3467">
          <cell r="H3467" t="str">
            <v>Guitiriz</v>
          </cell>
          <cell r="I3467" t="str">
            <v>27022</v>
          </cell>
        </row>
        <row r="3468">
          <cell r="H3468" t="str">
            <v>Guixers</v>
          </cell>
          <cell r="I3468" t="str">
            <v>25111</v>
          </cell>
        </row>
        <row r="3469">
          <cell r="H3469" t="str">
            <v>Gumiel de Izán</v>
          </cell>
          <cell r="I3469" t="str">
            <v>09151</v>
          </cell>
        </row>
        <row r="3470">
          <cell r="H3470" t="str">
            <v>Gumiel de Mercado</v>
          </cell>
          <cell r="I3470" t="str">
            <v>09152</v>
          </cell>
        </row>
        <row r="3471">
          <cell r="H3471" t="str">
            <v>Guntín</v>
          </cell>
          <cell r="I3471" t="str">
            <v>27023</v>
          </cell>
        </row>
        <row r="3472">
          <cell r="H3472" t="str">
            <v>Gurb</v>
          </cell>
          <cell r="I3472" t="str">
            <v>08100</v>
          </cell>
        </row>
        <row r="3473">
          <cell r="H3473" t="str">
            <v>Guriezo</v>
          </cell>
          <cell r="I3473" t="str">
            <v>39030</v>
          </cell>
        </row>
        <row r="3474">
          <cell r="H3474" t="str">
            <v>Gurrea de Gállego</v>
          </cell>
          <cell r="I3474" t="str">
            <v>22119</v>
          </cell>
        </row>
        <row r="3475">
          <cell r="H3475" t="str">
            <v>Gusendos de los Oteros</v>
          </cell>
          <cell r="I3475" t="str">
            <v>24081</v>
          </cell>
        </row>
        <row r="3476">
          <cell r="H3476" t="str">
            <v>Gutierre-Muñoz</v>
          </cell>
          <cell r="I3476" t="str">
            <v>05090</v>
          </cell>
        </row>
        <row r="3477">
          <cell r="H3477" t="str">
            <v>Haba, La</v>
          </cell>
          <cell r="I3477" t="str">
            <v>06061</v>
          </cell>
        </row>
        <row r="3478">
          <cell r="H3478" t="str">
            <v>Hacinas</v>
          </cell>
          <cell r="I3478" t="str">
            <v>09154</v>
          </cell>
        </row>
        <row r="3479">
          <cell r="H3479" t="str">
            <v>Harana/Valle de Arana</v>
          </cell>
          <cell r="I3479" t="str">
            <v>01056</v>
          </cell>
        </row>
        <row r="3480">
          <cell r="H3480" t="str">
            <v>Haría</v>
          </cell>
          <cell r="I3480" t="str">
            <v>35010</v>
          </cell>
        </row>
        <row r="3481">
          <cell r="H3481" t="str">
            <v>Haro</v>
          </cell>
          <cell r="I3481" t="str">
            <v>26071</v>
          </cell>
        </row>
        <row r="3482">
          <cell r="H3482" t="str">
            <v>Haza</v>
          </cell>
          <cell r="I3482" t="str">
            <v>09155</v>
          </cell>
        </row>
        <row r="3483">
          <cell r="H3483" t="str">
            <v>Hazas de Cesto</v>
          </cell>
          <cell r="I3483" t="str">
            <v>39031</v>
          </cell>
        </row>
        <row r="3484">
          <cell r="H3484" t="str">
            <v>Helechosa de los Montes</v>
          </cell>
          <cell r="I3484" t="str">
            <v>06062</v>
          </cell>
        </row>
        <row r="3485">
          <cell r="H3485" t="str">
            <v>Hellín</v>
          </cell>
          <cell r="I3485" t="str">
            <v>02037</v>
          </cell>
        </row>
        <row r="3486">
          <cell r="H3486" t="str">
            <v>Henarejos</v>
          </cell>
          <cell r="I3486" t="str">
            <v>16097</v>
          </cell>
        </row>
        <row r="3487">
          <cell r="H3487" t="str">
            <v>Henche</v>
          </cell>
          <cell r="I3487" t="str">
            <v>19132</v>
          </cell>
        </row>
        <row r="3488">
          <cell r="H3488" t="str">
            <v>Heras de Ayuso</v>
          </cell>
          <cell r="I3488" t="str">
            <v>19133</v>
          </cell>
        </row>
        <row r="3489">
          <cell r="H3489" t="str">
            <v>Herbers</v>
          </cell>
          <cell r="I3489" t="str">
            <v>12068</v>
          </cell>
        </row>
        <row r="3490">
          <cell r="H3490" t="str">
            <v>Herce</v>
          </cell>
          <cell r="I3490" t="str">
            <v>26072</v>
          </cell>
        </row>
        <row r="3491">
          <cell r="H3491" t="str">
            <v>Herencia</v>
          </cell>
          <cell r="I3491" t="str">
            <v>13047</v>
          </cell>
        </row>
        <row r="3492">
          <cell r="H3492" t="str">
            <v>Herencias, Las</v>
          </cell>
          <cell r="I3492" t="str">
            <v>45072</v>
          </cell>
        </row>
        <row r="3493">
          <cell r="H3493" t="str">
            <v>Herguijuela</v>
          </cell>
          <cell r="I3493" t="str">
            <v>10092</v>
          </cell>
        </row>
        <row r="3494">
          <cell r="H3494" t="str">
            <v>Herguijuela de Ciudad Rodrigo</v>
          </cell>
          <cell r="I3494" t="str">
            <v>37157</v>
          </cell>
        </row>
        <row r="3495">
          <cell r="H3495" t="str">
            <v>Herguijuela de la Sierra</v>
          </cell>
          <cell r="I3495" t="str">
            <v>37158</v>
          </cell>
        </row>
        <row r="3496">
          <cell r="H3496" t="str">
            <v>Herguijuela del Campo</v>
          </cell>
          <cell r="I3496" t="str">
            <v>37159</v>
          </cell>
        </row>
        <row r="3497">
          <cell r="H3497" t="str">
            <v>Hermandad de Campoo de Suso</v>
          </cell>
          <cell r="I3497" t="str">
            <v>39032</v>
          </cell>
        </row>
        <row r="3498">
          <cell r="H3498" t="str">
            <v>Hérmedes de Cerrato</v>
          </cell>
          <cell r="I3498" t="str">
            <v>34082</v>
          </cell>
        </row>
        <row r="3499">
          <cell r="H3499" t="str">
            <v>Hermigua</v>
          </cell>
          <cell r="I3499" t="str">
            <v>38021</v>
          </cell>
        </row>
        <row r="3500">
          <cell r="H3500" t="str">
            <v>Hermisende</v>
          </cell>
          <cell r="I3500" t="str">
            <v>49094</v>
          </cell>
        </row>
        <row r="3501">
          <cell r="H3501" t="str">
            <v>Hernani</v>
          </cell>
          <cell r="I3501" t="str">
            <v>20040</v>
          </cell>
        </row>
        <row r="3502">
          <cell r="H3502" t="str">
            <v>Hernán-Pérez</v>
          </cell>
          <cell r="I3502" t="str">
            <v>10093</v>
          </cell>
        </row>
        <row r="3503">
          <cell r="H3503" t="str">
            <v>Hernansancho</v>
          </cell>
          <cell r="I3503" t="str">
            <v>05092</v>
          </cell>
        </row>
        <row r="3504">
          <cell r="H3504" t="str">
            <v>Hernialde</v>
          </cell>
          <cell r="I3504" t="str">
            <v>20041</v>
          </cell>
        </row>
        <row r="3505">
          <cell r="H3505" t="str">
            <v>Herradón de Pinares</v>
          </cell>
          <cell r="I3505" t="str">
            <v>05093</v>
          </cell>
        </row>
        <row r="3506">
          <cell r="H3506" t="str">
            <v>Herramélluri</v>
          </cell>
          <cell r="I3506" t="str">
            <v>26073</v>
          </cell>
        </row>
        <row r="3507">
          <cell r="H3507" t="str">
            <v>Herrera</v>
          </cell>
          <cell r="I3507" t="str">
            <v>41050</v>
          </cell>
        </row>
        <row r="3508">
          <cell r="H3508" t="str">
            <v>Herrera de Alcántara</v>
          </cell>
          <cell r="I3508" t="str">
            <v>10094</v>
          </cell>
        </row>
        <row r="3509">
          <cell r="H3509" t="str">
            <v>Herrera de los Navarros</v>
          </cell>
          <cell r="I3509" t="str">
            <v>50124</v>
          </cell>
        </row>
        <row r="3510">
          <cell r="H3510" t="str">
            <v>Herrera de Pisuerga</v>
          </cell>
          <cell r="I3510" t="str">
            <v>34083</v>
          </cell>
        </row>
        <row r="3511">
          <cell r="H3511" t="str">
            <v>Herrera de Soria</v>
          </cell>
          <cell r="I3511" t="str">
            <v>42098</v>
          </cell>
        </row>
        <row r="3512">
          <cell r="H3512" t="str">
            <v>Herrera de Valdecañas</v>
          </cell>
          <cell r="I3512" t="str">
            <v>34084</v>
          </cell>
        </row>
        <row r="3513">
          <cell r="H3513" t="str">
            <v>Herrera del Duque</v>
          </cell>
          <cell r="I3513" t="str">
            <v>06063</v>
          </cell>
        </row>
        <row r="3514">
          <cell r="H3514" t="str">
            <v>Herrera, La</v>
          </cell>
          <cell r="I3514" t="str">
            <v>02038</v>
          </cell>
        </row>
        <row r="3515">
          <cell r="H3515" t="str">
            <v>Herrería</v>
          </cell>
          <cell r="I3515" t="str">
            <v>19134</v>
          </cell>
        </row>
        <row r="3516">
          <cell r="H3516" t="str">
            <v>Herrerías</v>
          </cell>
          <cell r="I3516" t="str">
            <v>39033</v>
          </cell>
        </row>
        <row r="3517">
          <cell r="H3517" t="str">
            <v>Herreros de Suso</v>
          </cell>
          <cell r="I3517" t="str">
            <v>05094</v>
          </cell>
        </row>
        <row r="3518">
          <cell r="H3518" t="str">
            <v>Herreruela</v>
          </cell>
          <cell r="I3518" t="str">
            <v>10095</v>
          </cell>
        </row>
        <row r="3519">
          <cell r="H3519" t="str">
            <v>Herreruela de Oropesa</v>
          </cell>
          <cell r="I3519" t="str">
            <v>45073</v>
          </cell>
        </row>
        <row r="3520">
          <cell r="H3520" t="str">
            <v>Herrín de Campos</v>
          </cell>
          <cell r="I3520" t="str">
            <v>47073</v>
          </cell>
        </row>
        <row r="3521">
          <cell r="H3521" t="str">
            <v>Herrumblar, El</v>
          </cell>
          <cell r="I3521" t="str">
            <v>16098</v>
          </cell>
        </row>
        <row r="3522">
          <cell r="H3522" t="str">
            <v>Hervás</v>
          </cell>
          <cell r="I3522" t="str">
            <v>10096</v>
          </cell>
        </row>
        <row r="3523">
          <cell r="H3523" t="str">
            <v>Hervías</v>
          </cell>
          <cell r="I3523" t="str">
            <v>26074</v>
          </cell>
        </row>
        <row r="3524">
          <cell r="H3524" t="str">
            <v>Hiendelaencina</v>
          </cell>
          <cell r="I3524" t="str">
            <v>19135</v>
          </cell>
        </row>
        <row r="3525">
          <cell r="H3525" t="str">
            <v>Higuera de Albalat</v>
          </cell>
          <cell r="I3525" t="str">
            <v>10097</v>
          </cell>
        </row>
        <row r="3526">
          <cell r="H3526" t="str">
            <v>Higuera de Calatrava</v>
          </cell>
          <cell r="I3526" t="str">
            <v>23041</v>
          </cell>
        </row>
        <row r="3527">
          <cell r="H3527" t="str">
            <v>Higuera de la Serena</v>
          </cell>
          <cell r="I3527" t="str">
            <v>06064</v>
          </cell>
        </row>
        <row r="3528">
          <cell r="H3528" t="str">
            <v>Higuera de la Sierra</v>
          </cell>
          <cell r="I3528" t="str">
            <v>21038</v>
          </cell>
        </row>
        <row r="3529">
          <cell r="H3529" t="str">
            <v>Higuera de las Dueñas</v>
          </cell>
          <cell r="I3529" t="str">
            <v>05095</v>
          </cell>
        </row>
        <row r="3530">
          <cell r="H3530" t="str">
            <v>Higuera de Llerena</v>
          </cell>
          <cell r="I3530" t="str">
            <v>06065</v>
          </cell>
        </row>
        <row r="3531">
          <cell r="H3531" t="str">
            <v>Higuera de Vargas</v>
          </cell>
          <cell r="I3531" t="str">
            <v>06066</v>
          </cell>
        </row>
        <row r="3532">
          <cell r="H3532" t="str">
            <v>Higuera la Real</v>
          </cell>
          <cell r="I3532" t="str">
            <v>06067</v>
          </cell>
        </row>
        <row r="3533">
          <cell r="H3533" t="str">
            <v>Higueras</v>
          </cell>
          <cell r="I3533" t="str">
            <v>12069</v>
          </cell>
        </row>
        <row r="3534">
          <cell r="H3534" t="str">
            <v>Higueruela</v>
          </cell>
          <cell r="I3534" t="str">
            <v>02039</v>
          </cell>
        </row>
        <row r="3535">
          <cell r="H3535" t="str">
            <v>Higueruelas</v>
          </cell>
          <cell r="I3535" t="str">
            <v>46141</v>
          </cell>
        </row>
        <row r="3536">
          <cell r="H3536" t="str">
            <v>Hija de Dios, La</v>
          </cell>
          <cell r="I3536" t="str">
            <v>05096</v>
          </cell>
        </row>
        <row r="3537">
          <cell r="H3537" t="str">
            <v>Hijes</v>
          </cell>
          <cell r="I3537" t="str">
            <v>19136</v>
          </cell>
        </row>
        <row r="3538">
          <cell r="H3538" t="str">
            <v>Hiniesta, La</v>
          </cell>
          <cell r="I3538" t="str">
            <v>49095</v>
          </cell>
        </row>
        <row r="3539">
          <cell r="H3539" t="str">
            <v>Hinojal</v>
          </cell>
          <cell r="I3539" t="str">
            <v>10098</v>
          </cell>
        </row>
        <row r="3540">
          <cell r="H3540" t="str">
            <v>Hinojales</v>
          </cell>
          <cell r="I3540" t="str">
            <v>21039</v>
          </cell>
        </row>
        <row r="3541">
          <cell r="H3541" t="str">
            <v>Hinojares</v>
          </cell>
          <cell r="I3541" t="str">
            <v>23042</v>
          </cell>
        </row>
        <row r="3542">
          <cell r="H3542" t="str">
            <v>Hinojos</v>
          </cell>
          <cell r="I3542" t="str">
            <v>21040</v>
          </cell>
        </row>
        <row r="3543">
          <cell r="H3543" t="str">
            <v>Hinojosa de Duero</v>
          </cell>
          <cell r="I3543" t="str">
            <v>37160</v>
          </cell>
        </row>
        <row r="3544">
          <cell r="H3544" t="str">
            <v>Hinojosa de San Vicente</v>
          </cell>
          <cell r="I3544" t="str">
            <v>45074</v>
          </cell>
        </row>
        <row r="3545">
          <cell r="H3545" t="str">
            <v>Hinojosa del Campo</v>
          </cell>
          <cell r="I3545" t="str">
            <v>42100</v>
          </cell>
        </row>
        <row r="3546">
          <cell r="H3546" t="str">
            <v>Hinojosa del Duque</v>
          </cell>
          <cell r="I3546" t="str">
            <v>14035</v>
          </cell>
        </row>
        <row r="3547">
          <cell r="H3547" t="str">
            <v>Hinojosa del Valle</v>
          </cell>
          <cell r="I3547" t="str">
            <v>06068</v>
          </cell>
        </row>
        <row r="3548">
          <cell r="H3548" t="str">
            <v>Hinojosa, La</v>
          </cell>
          <cell r="I3548" t="str">
            <v>16099</v>
          </cell>
        </row>
        <row r="3549">
          <cell r="H3549" t="str">
            <v>Hinojosas de Calatrava</v>
          </cell>
          <cell r="I3549" t="str">
            <v>13048</v>
          </cell>
        </row>
        <row r="3550">
          <cell r="H3550" t="str">
            <v>Hinojosos, Los</v>
          </cell>
          <cell r="I3550" t="str">
            <v>16100</v>
          </cell>
        </row>
        <row r="3551">
          <cell r="H3551" t="str">
            <v>Hiriberri/Villanueva de Aezkoa</v>
          </cell>
          <cell r="I3551" t="str">
            <v>31256</v>
          </cell>
        </row>
        <row r="3552">
          <cell r="H3552" t="str">
            <v>Hiruela, La</v>
          </cell>
          <cell r="I3552" t="str">
            <v>28069</v>
          </cell>
        </row>
        <row r="3553">
          <cell r="H3553" t="str">
            <v>Hita</v>
          </cell>
          <cell r="I3553" t="str">
            <v>19138</v>
          </cell>
        </row>
        <row r="3554">
          <cell r="H3554" t="str">
            <v>Hito, El</v>
          </cell>
          <cell r="I3554" t="str">
            <v>16101</v>
          </cell>
        </row>
        <row r="3555">
          <cell r="H3555" t="str">
            <v>Holguera</v>
          </cell>
          <cell r="I3555" t="str">
            <v>10099</v>
          </cell>
        </row>
        <row r="3556">
          <cell r="H3556" t="str">
            <v>Hombrados</v>
          </cell>
          <cell r="I3556" t="str">
            <v>19139</v>
          </cell>
        </row>
        <row r="3557">
          <cell r="H3557" t="str">
            <v>Hondarribia</v>
          </cell>
          <cell r="I3557" t="str">
            <v>20036</v>
          </cell>
        </row>
        <row r="3558">
          <cell r="H3558" t="str">
            <v>Hondón de los Frailes</v>
          </cell>
          <cell r="I3558" t="str">
            <v>03078</v>
          </cell>
        </row>
        <row r="3559">
          <cell r="H3559" t="str">
            <v>Honrubia</v>
          </cell>
          <cell r="I3559" t="str">
            <v>16102</v>
          </cell>
        </row>
        <row r="3560">
          <cell r="H3560" t="str">
            <v>Honrubia de la Cuesta</v>
          </cell>
          <cell r="I3560" t="str">
            <v>40099</v>
          </cell>
        </row>
        <row r="3561">
          <cell r="H3561" t="str">
            <v>Hontalbilla</v>
          </cell>
          <cell r="I3561" t="str">
            <v>40100</v>
          </cell>
        </row>
        <row r="3562">
          <cell r="H3562" t="str">
            <v>Hontanar</v>
          </cell>
          <cell r="I3562" t="str">
            <v>45075</v>
          </cell>
        </row>
        <row r="3563">
          <cell r="H3563" t="str">
            <v>Hontanares de Eresma</v>
          </cell>
          <cell r="I3563" t="str">
            <v>40101</v>
          </cell>
        </row>
        <row r="3564">
          <cell r="H3564" t="str">
            <v>Hontanas</v>
          </cell>
          <cell r="I3564" t="str">
            <v>09159</v>
          </cell>
        </row>
        <row r="3565">
          <cell r="H3565" t="str">
            <v>Hontanaya</v>
          </cell>
          <cell r="I3565" t="str">
            <v>16103</v>
          </cell>
        </row>
        <row r="3566">
          <cell r="H3566" t="str">
            <v>Hontangas</v>
          </cell>
          <cell r="I3566" t="str">
            <v>09160</v>
          </cell>
        </row>
        <row r="3567">
          <cell r="H3567" t="str">
            <v>Hontecillas</v>
          </cell>
          <cell r="I3567" t="str">
            <v>16104</v>
          </cell>
        </row>
        <row r="3568">
          <cell r="H3568" t="str">
            <v>Hontoba</v>
          </cell>
          <cell r="I3568" t="str">
            <v>19142</v>
          </cell>
        </row>
        <row r="3569">
          <cell r="H3569" t="str">
            <v>Hontoria de Cerrato</v>
          </cell>
          <cell r="I3569" t="str">
            <v>34086</v>
          </cell>
        </row>
        <row r="3570">
          <cell r="H3570" t="str">
            <v>Hontoria de la Cantera</v>
          </cell>
          <cell r="I3570" t="str">
            <v>09162</v>
          </cell>
        </row>
        <row r="3571">
          <cell r="H3571" t="str">
            <v>Hontoria de Valdearados</v>
          </cell>
          <cell r="I3571" t="str">
            <v>09164</v>
          </cell>
        </row>
        <row r="3572">
          <cell r="H3572" t="str">
            <v>Hontoria del Pinar</v>
          </cell>
          <cell r="I3572" t="str">
            <v>09163</v>
          </cell>
        </row>
        <row r="3573">
          <cell r="H3573" t="str">
            <v>Horcajada, La</v>
          </cell>
          <cell r="I3573" t="str">
            <v>05097</v>
          </cell>
        </row>
        <row r="3574">
          <cell r="H3574" t="str">
            <v>Horcajo de la Sierra-Aoslos</v>
          </cell>
          <cell r="I3574" t="str">
            <v>28070</v>
          </cell>
        </row>
        <row r="3575">
          <cell r="H3575" t="str">
            <v>Horcajo de las Torres</v>
          </cell>
          <cell r="I3575" t="str">
            <v>05099</v>
          </cell>
        </row>
        <row r="3576">
          <cell r="H3576" t="str">
            <v>Horcajo de los Montes</v>
          </cell>
          <cell r="I3576" t="str">
            <v>13049</v>
          </cell>
        </row>
        <row r="3577">
          <cell r="H3577" t="str">
            <v>Horcajo de Montemayor</v>
          </cell>
          <cell r="I3577" t="str">
            <v>37161</v>
          </cell>
        </row>
        <row r="3578">
          <cell r="H3578" t="str">
            <v>Horcajo de Santiago</v>
          </cell>
          <cell r="I3578" t="str">
            <v>16106</v>
          </cell>
        </row>
        <row r="3579">
          <cell r="H3579" t="str">
            <v>Horcajo Medianero</v>
          </cell>
          <cell r="I3579" t="str">
            <v>37162</v>
          </cell>
        </row>
        <row r="3580">
          <cell r="H3580" t="str">
            <v>Horcajuelo de la Sierra</v>
          </cell>
          <cell r="I3580" t="str">
            <v>28071</v>
          </cell>
        </row>
        <row r="3581">
          <cell r="H3581" t="str">
            <v>Horche</v>
          </cell>
          <cell r="I3581" t="str">
            <v>19143</v>
          </cell>
        </row>
        <row r="3582">
          <cell r="H3582" t="str">
            <v>Hormazas, Las</v>
          </cell>
          <cell r="I3582" t="str">
            <v>09166</v>
          </cell>
        </row>
        <row r="3583">
          <cell r="H3583" t="str">
            <v>Hormigos</v>
          </cell>
          <cell r="I3583" t="str">
            <v>45076</v>
          </cell>
        </row>
        <row r="3584">
          <cell r="H3584" t="str">
            <v>Hormilla</v>
          </cell>
          <cell r="I3584" t="str">
            <v>26075</v>
          </cell>
        </row>
        <row r="3585">
          <cell r="H3585" t="str">
            <v>Hormilleja</v>
          </cell>
          <cell r="I3585" t="str">
            <v>26076</v>
          </cell>
        </row>
        <row r="3586">
          <cell r="H3586" t="str">
            <v>Hornachos</v>
          </cell>
          <cell r="I3586" t="str">
            <v>06069</v>
          </cell>
        </row>
        <row r="3587">
          <cell r="H3587" t="str">
            <v>Hornachuelos</v>
          </cell>
          <cell r="I3587" t="str">
            <v>14036</v>
          </cell>
        </row>
        <row r="3588">
          <cell r="H3588" t="str">
            <v>Hornillo, El</v>
          </cell>
          <cell r="I3588" t="str">
            <v>05100</v>
          </cell>
        </row>
        <row r="3589">
          <cell r="H3589" t="str">
            <v>Hornillos de Cameros</v>
          </cell>
          <cell r="I3589" t="str">
            <v>26077</v>
          </cell>
        </row>
        <row r="3590">
          <cell r="H3590" t="str">
            <v>Hornillos de Cerrato</v>
          </cell>
          <cell r="I3590" t="str">
            <v>34087</v>
          </cell>
        </row>
        <row r="3591">
          <cell r="H3591" t="str">
            <v>Hornillos de Eresma</v>
          </cell>
          <cell r="I3591" t="str">
            <v>47074</v>
          </cell>
        </row>
        <row r="3592">
          <cell r="H3592" t="str">
            <v>Hornillos del Camino</v>
          </cell>
          <cell r="I3592" t="str">
            <v>09167</v>
          </cell>
        </row>
        <row r="3593">
          <cell r="H3593" t="str">
            <v>Hornos</v>
          </cell>
          <cell r="I3593" t="str">
            <v>23043</v>
          </cell>
        </row>
        <row r="3594">
          <cell r="H3594" t="str">
            <v>Hornos de Moncalvillo</v>
          </cell>
          <cell r="I3594" t="str">
            <v>26078</v>
          </cell>
        </row>
        <row r="3595">
          <cell r="H3595" t="str">
            <v>Horra, La</v>
          </cell>
          <cell r="I3595" t="str">
            <v>09168</v>
          </cell>
        </row>
        <row r="3596">
          <cell r="H3596" t="str">
            <v>Horta de Sant Joan</v>
          </cell>
          <cell r="I3596" t="str">
            <v>43071</v>
          </cell>
        </row>
        <row r="3597">
          <cell r="H3597" t="str">
            <v>Hortezuela de Océn</v>
          </cell>
          <cell r="I3597" t="str">
            <v>19145</v>
          </cell>
        </row>
        <row r="3598">
          <cell r="H3598" t="str">
            <v>Hortigüela</v>
          </cell>
          <cell r="I3598" t="str">
            <v>09169</v>
          </cell>
        </row>
        <row r="3599">
          <cell r="H3599" t="str">
            <v>Hospital de Órbigo</v>
          </cell>
          <cell r="I3599" t="str">
            <v>24082</v>
          </cell>
        </row>
        <row r="3600">
          <cell r="H3600" t="str">
            <v>Hospitalet de Llobregat, L'</v>
          </cell>
          <cell r="I3600" t="str">
            <v>08101</v>
          </cell>
        </row>
        <row r="3601">
          <cell r="H3601" t="str">
            <v>Hostalets de Pierola, Els</v>
          </cell>
          <cell r="I3601" t="str">
            <v>08162</v>
          </cell>
        </row>
        <row r="3602">
          <cell r="H3602" t="str">
            <v>Hostalric</v>
          </cell>
          <cell r="I3602" t="str">
            <v>17083</v>
          </cell>
        </row>
        <row r="3603">
          <cell r="H3603" t="str">
            <v>Hoya, La</v>
          </cell>
          <cell r="I3603" t="str">
            <v>37163</v>
          </cell>
        </row>
        <row r="3604">
          <cell r="H3604" t="str">
            <v>Hoya-Gonzalo</v>
          </cell>
          <cell r="I3604" t="str">
            <v>02040</v>
          </cell>
        </row>
        <row r="3605">
          <cell r="H3605" t="str">
            <v>Hoyales de Roa</v>
          </cell>
          <cell r="I3605" t="str">
            <v>09170</v>
          </cell>
        </row>
        <row r="3606">
          <cell r="H3606" t="str">
            <v>Hoyo de Manzanares</v>
          </cell>
          <cell r="I3606" t="str">
            <v>28072</v>
          </cell>
        </row>
        <row r="3607">
          <cell r="H3607" t="str">
            <v>Hoyo de Pinares, El</v>
          </cell>
          <cell r="I3607" t="str">
            <v>05102</v>
          </cell>
        </row>
        <row r="3608">
          <cell r="H3608" t="str">
            <v>Hoyocasero</v>
          </cell>
          <cell r="I3608" t="str">
            <v>05101</v>
          </cell>
        </row>
        <row r="3609">
          <cell r="H3609" t="str">
            <v>Hoyorredondo</v>
          </cell>
          <cell r="I3609" t="str">
            <v>05103</v>
          </cell>
        </row>
        <row r="3610">
          <cell r="H3610" t="str">
            <v>Hoyos</v>
          </cell>
          <cell r="I3610" t="str">
            <v>10100</v>
          </cell>
        </row>
        <row r="3611">
          <cell r="H3611" t="str">
            <v>Hoyos de Miguel Muñoz</v>
          </cell>
          <cell r="I3611" t="str">
            <v>05106</v>
          </cell>
        </row>
        <row r="3612">
          <cell r="H3612" t="str">
            <v>Hoyos del Collado</v>
          </cell>
          <cell r="I3612" t="str">
            <v>05104</v>
          </cell>
        </row>
        <row r="3613">
          <cell r="H3613" t="str">
            <v>Hoyos del Espino</v>
          </cell>
          <cell r="I3613" t="str">
            <v>05105</v>
          </cell>
        </row>
        <row r="3614">
          <cell r="H3614" t="str">
            <v>Hoz de Jaca</v>
          </cell>
          <cell r="I3614" t="str">
            <v>22122</v>
          </cell>
        </row>
        <row r="3615">
          <cell r="H3615" t="str">
            <v>Hoz y Costean</v>
          </cell>
          <cell r="I3615" t="str">
            <v>22908</v>
          </cell>
        </row>
        <row r="3616">
          <cell r="H3616" t="str">
            <v>Huarte/Uharte</v>
          </cell>
          <cell r="I3616" t="str">
            <v>31122</v>
          </cell>
        </row>
        <row r="3617">
          <cell r="H3617" t="str">
            <v>Huecas</v>
          </cell>
          <cell r="I3617" t="str">
            <v>45077</v>
          </cell>
        </row>
        <row r="3618">
          <cell r="H3618" t="str">
            <v>Huécija</v>
          </cell>
          <cell r="I3618" t="str">
            <v>04051</v>
          </cell>
        </row>
        <row r="3619">
          <cell r="H3619" t="str">
            <v>Huélaga</v>
          </cell>
          <cell r="I3619" t="str">
            <v>10101</v>
          </cell>
        </row>
        <row r="3620">
          <cell r="H3620" t="str">
            <v>Huélago</v>
          </cell>
          <cell r="I3620" t="str">
            <v>18096</v>
          </cell>
        </row>
        <row r="3621">
          <cell r="H3621" t="str">
            <v>Huélamo</v>
          </cell>
          <cell r="I3621" t="str">
            <v>16107</v>
          </cell>
        </row>
        <row r="3622">
          <cell r="H3622" t="str">
            <v>Huelma</v>
          </cell>
          <cell r="I3622" t="str">
            <v>23044</v>
          </cell>
        </row>
        <row r="3623">
          <cell r="H3623" t="str">
            <v>Huelva</v>
          </cell>
          <cell r="I3623" t="str">
            <v>21041</v>
          </cell>
        </row>
        <row r="3624">
          <cell r="H3624" t="str">
            <v>Huelves</v>
          </cell>
          <cell r="I3624" t="str">
            <v>16108</v>
          </cell>
        </row>
        <row r="3625">
          <cell r="H3625" t="str">
            <v>Huéneja</v>
          </cell>
          <cell r="I3625" t="str">
            <v>18097</v>
          </cell>
        </row>
        <row r="3626">
          <cell r="H3626" t="str">
            <v>Huércal de Almería</v>
          </cell>
          <cell r="I3626" t="str">
            <v>04052</v>
          </cell>
        </row>
        <row r="3627">
          <cell r="H3627" t="str">
            <v>Huércal-Overa</v>
          </cell>
          <cell r="I3627" t="str">
            <v>04053</v>
          </cell>
        </row>
        <row r="3628">
          <cell r="H3628" t="str">
            <v>Huércanos</v>
          </cell>
          <cell r="I3628" t="str">
            <v>26079</v>
          </cell>
        </row>
        <row r="3629">
          <cell r="H3629" t="str">
            <v>Huerce, La</v>
          </cell>
          <cell r="I3629" t="str">
            <v>19146</v>
          </cell>
        </row>
        <row r="3630">
          <cell r="H3630" t="str">
            <v>Huérguina</v>
          </cell>
          <cell r="I3630" t="str">
            <v>16109</v>
          </cell>
        </row>
        <row r="3631">
          <cell r="H3631" t="str">
            <v>Huérmeces</v>
          </cell>
          <cell r="I3631" t="str">
            <v>09172</v>
          </cell>
        </row>
        <row r="3632">
          <cell r="H3632" t="str">
            <v>Huérmeces del Cerro</v>
          </cell>
          <cell r="I3632" t="str">
            <v>19147</v>
          </cell>
        </row>
        <row r="3633">
          <cell r="H3633" t="str">
            <v>Huerta</v>
          </cell>
          <cell r="I3633" t="str">
            <v>37164</v>
          </cell>
        </row>
        <row r="3634">
          <cell r="H3634" t="str">
            <v>Huerta de Arriba</v>
          </cell>
          <cell r="I3634" t="str">
            <v>09173</v>
          </cell>
        </row>
        <row r="3635">
          <cell r="H3635" t="str">
            <v>Huerta de la Obispalía</v>
          </cell>
          <cell r="I3635" t="str">
            <v>16110</v>
          </cell>
        </row>
        <row r="3636">
          <cell r="H3636" t="str">
            <v>Huerta de Rey</v>
          </cell>
          <cell r="I3636" t="str">
            <v>09174</v>
          </cell>
        </row>
        <row r="3637">
          <cell r="H3637" t="str">
            <v>Huerta de Valdecarábanos</v>
          </cell>
          <cell r="I3637" t="str">
            <v>45078</v>
          </cell>
        </row>
        <row r="3638">
          <cell r="H3638" t="str">
            <v>Huerta del Marquesado</v>
          </cell>
          <cell r="I3638" t="str">
            <v>16111</v>
          </cell>
        </row>
        <row r="3639">
          <cell r="H3639" t="str">
            <v>Huertahernando</v>
          </cell>
          <cell r="I3639" t="str">
            <v>19148</v>
          </cell>
        </row>
        <row r="3640">
          <cell r="H3640" t="str">
            <v>Huerto</v>
          </cell>
          <cell r="I3640" t="str">
            <v>22124</v>
          </cell>
        </row>
        <row r="3641">
          <cell r="H3641" t="str">
            <v>Huertos, Los</v>
          </cell>
          <cell r="I3641" t="str">
            <v>40103</v>
          </cell>
        </row>
        <row r="3642">
          <cell r="H3642" t="str">
            <v>Huesa</v>
          </cell>
          <cell r="I3642" t="str">
            <v>23045</v>
          </cell>
        </row>
        <row r="3643">
          <cell r="H3643" t="str">
            <v>Huesa del Común</v>
          </cell>
          <cell r="I3643" t="str">
            <v>44125</v>
          </cell>
        </row>
        <row r="3644">
          <cell r="H3644" t="str">
            <v>Huesca</v>
          </cell>
          <cell r="I3644" t="str">
            <v>22125</v>
          </cell>
        </row>
        <row r="3645">
          <cell r="H3645" t="str">
            <v>Huéscar</v>
          </cell>
          <cell r="I3645" t="str">
            <v>18098</v>
          </cell>
        </row>
        <row r="3646">
          <cell r="H3646" t="str">
            <v>Huete</v>
          </cell>
          <cell r="I3646" t="str">
            <v>16112</v>
          </cell>
        </row>
        <row r="3647">
          <cell r="H3647" t="str">
            <v>Huétor de Santillán</v>
          </cell>
          <cell r="I3647" t="str">
            <v>18099</v>
          </cell>
        </row>
        <row r="3648">
          <cell r="H3648" t="str">
            <v>Huétor Tájar</v>
          </cell>
          <cell r="I3648" t="str">
            <v>18100</v>
          </cell>
        </row>
        <row r="3649">
          <cell r="H3649" t="str">
            <v>Huétor Vega</v>
          </cell>
          <cell r="I3649" t="str">
            <v>18101</v>
          </cell>
        </row>
        <row r="3650">
          <cell r="H3650" t="str">
            <v>Huévar del Aljarafe</v>
          </cell>
          <cell r="I3650" t="str">
            <v>41051</v>
          </cell>
        </row>
        <row r="3651">
          <cell r="H3651" t="str">
            <v>Humada</v>
          </cell>
          <cell r="I3651" t="str">
            <v>09175</v>
          </cell>
        </row>
        <row r="3652">
          <cell r="H3652" t="str">
            <v>Humanes</v>
          </cell>
          <cell r="I3652" t="str">
            <v>19151</v>
          </cell>
        </row>
        <row r="3653">
          <cell r="H3653" t="str">
            <v>Humanes de Madrid</v>
          </cell>
          <cell r="I3653" t="str">
            <v>28073</v>
          </cell>
        </row>
        <row r="3654">
          <cell r="H3654" t="str">
            <v>Humilladero</v>
          </cell>
          <cell r="I3654" t="str">
            <v>29059</v>
          </cell>
        </row>
        <row r="3655">
          <cell r="H3655" t="str">
            <v>Hurones</v>
          </cell>
          <cell r="I3655" t="str">
            <v>09176</v>
          </cell>
        </row>
        <row r="3656">
          <cell r="H3656" t="str">
            <v>Hurtumpascual</v>
          </cell>
          <cell r="I3656" t="str">
            <v>05107</v>
          </cell>
        </row>
        <row r="3657">
          <cell r="H3657" t="str">
            <v>Husillos</v>
          </cell>
          <cell r="I3657" t="str">
            <v>34088</v>
          </cell>
        </row>
        <row r="3658">
          <cell r="H3658" t="str">
            <v>Ibahernando</v>
          </cell>
          <cell r="I3658" t="str">
            <v>10102</v>
          </cell>
        </row>
        <row r="3659">
          <cell r="H3659" t="str">
            <v>Ibargoiti</v>
          </cell>
          <cell r="I3659" t="str">
            <v>31124</v>
          </cell>
        </row>
        <row r="3660">
          <cell r="H3660" t="str">
            <v>Ibarra</v>
          </cell>
          <cell r="I3660" t="str">
            <v>20042</v>
          </cell>
        </row>
        <row r="3661">
          <cell r="H3661" t="str">
            <v>Ibarrangelu</v>
          </cell>
          <cell r="I3661" t="str">
            <v>48048</v>
          </cell>
        </row>
        <row r="3662">
          <cell r="H3662" t="str">
            <v>Ibdes</v>
          </cell>
          <cell r="I3662" t="str">
            <v>50125</v>
          </cell>
        </row>
        <row r="3663">
          <cell r="H3663" t="str">
            <v>Ibeas de Juarros</v>
          </cell>
          <cell r="I3663" t="str">
            <v>09177</v>
          </cell>
        </row>
        <row r="3664">
          <cell r="H3664" t="str">
            <v>Ibi</v>
          </cell>
          <cell r="I3664" t="str">
            <v>03079</v>
          </cell>
        </row>
        <row r="3665">
          <cell r="H3665" t="str">
            <v>Ibieca</v>
          </cell>
          <cell r="I3665" t="str">
            <v>22126</v>
          </cell>
        </row>
        <row r="3666">
          <cell r="H3666" t="str">
            <v>Ibrillos</v>
          </cell>
          <cell r="I3666" t="str">
            <v>09178</v>
          </cell>
        </row>
        <row r="3667">
          <cell r="H3667" t="str">
            <v>Ibros</v>
          </cell>
          <cell r="I3667" t="str">
            <v>23046</v>
          </cell>
        </row>
        <row r="3668">
          <cell r="H3668" t="str">
            <v>Icod de los Vinos</v>
          </cell>
          <cell r="I3668" t="str">
            <v>38022</v>
          </cell>
        </row>
        <row r="3669">
          <cell r="H3669" t="str">
            <v>Idiazabal</v>
          </cell>
          <cell r="I3669" t="str">
            <v>20043</v>
          </cell>
        </row>
        <row r="3670">
          <cell r="H3670" t="str">
            <v>Igantzi</v>
          </cell>
          <cell r="I3670" t="str">
            <v>31259</v>
          </cell>
        </row>
        <row r="3671">
          <cell r="H3671" t="str">
            <v>Igea</v>
          </cell>
          <cell r="I3671" t="str">
            <v>26080</v>
          </cell>
        </row>
        <row r="3672">
          <cell r="H3672" t="str">
            <v>Iglesiarrubia</v>
          </cell>
          <cell r="I3672" t="str">
            <v>09179</v>
          </cell>
        </row>
        <row r="3673">
          <cell r="H3673" t="str">
            <v>Iglesias</v>
          </cell>
          <cell r="I3673" t="str">
            <v>09180</v>
          </cell>
        </row>
        <row r="3674">
          <cell r="H3674" t="str">
            <v>Iglesuela del Cid, La</v>
          </cell>
          <cell r="I3674" t="str">
            <v>44126</v>
          </cell>
        </row>
        <row r="3675">
          <cell r="H3675" t="str">
            <v>Iglesuela del Tiétar, La</v>
          </cell>
          <cell r="I3675" t="str">
            <v>45079</v>
          </cell>
        </row>
        <row r="3676">
          <cell r="H3676" t="str">
            <v>Igorre</v>
          </cell>
          <cell r="I3676" t="str">
            <v>48094</v>
          </cell>
        </row>
        <row r="3677">
          <cell r="H3677" t="str">
            <v>Igriés</v>
          </cell>
          <cell r="I3677" t="str">
            <v>22127</v>
          </cell>
        </row>
        <row r="3678">
          <cell r="H3678" t="str">
            <v>Igualada</v>
          </cell>
          <cell r="I3678" t="str">
            <v>08102</v>
          </cell>
        </row>
        <row r="3679">
          <cell r="H3679" t="str">
            <v>Igualeja</v>
          </cell>
          <cell r="I3679" t="str">
            <v>29060</v>
          </cell>
        </row>
        <row r="3680">
          <cell r="H3680" t="str">
            <v>Igúzquiza</v>
          </cell>
          <cell r="I3680" t="str">
            <v>31125</v>
          </cell>
        </row>
        <row r="3681">
          <cell r="H3681" t="str">
            <v>Ikaztegieta</v>
          </cell>
          <cell r="I3681" t="str">
            <v>20044</v>
          </cell>
        </row>
        <row r="3682">
          <cell r="H3682" t="str">
            <v>Ilche</v>
          </cell>
          <cell r="I3682" t="str">
            <v>22128</v>
          </cell>
        </row>
        <row r="3683">
          <cell r="H3683" t="str">
            <v>Illa de Arousa, A</v>
          </cell>
          <cell r="I3683" t="str">
            <v>36901</v>
          </cell>
        </row>
        <row r="3684">
          <cell r="H3684" t="str">
            <v>Illán de Vacas</v>
          </cell>
          <cell r="I3684" t="str">
            <v>45080</v>
          </cell>
        </row>
        <row r="3685">
          <cell r="H3685" t="str">
            <v>Illano</v>
          </cell>
          <cell r="I3685" t="str">
            <v>33029</v>
          </cell>
        </row>
        <row r="3686">
          <cell r="H3686" t="str">
            <v>Íllar</v>
          </cell>
          <cell r="I3686" t="str">
            <v>04054</v>
          </cell>
        </row>
        <row r="3687">
          <cell r="H3687" t="str">
            <v>Illescas</v>
          </cell>
          <cell r="I3687" t="str">
            <v>45081</v>
          </cell>
        </row>
        <row r="3688">
          <cell r="H3688" t="str">
            <v>Íllora</v>
          </cell>
          <cell r="I3688" t="str">
            <v>18102</v>
          </cell>
        </row>
        <row r="3689">
          <cell r="H3689" t="str">
            <v>Illueca</v>
          </cell>
          <cell r="I3689" t="str">
            <v>50126</v>
          </cell>
        </row>
        <row r="3690">
          <cell r="H3690" t="str">
            <v>Imotz</v>
          </cell>
          <cell r="I3690" t="str">
            <v>31126</v>
          </cell>
        </row>
        <row r="3691">
          <cell r="H3691" t="str">
            <v>Inca</v>
          </cell>
          <cell r="I3691" t="str">
            <v>07027</v>
          </cell>
        </row>
        <row r="3692">
          <cell r="H3692" t="str">
            <v>Incio, O</v>
          </cell>
          <cell r="I3692" t="str">
            <v>27024</v>
          </cell>
        </row>
        <row r="3693">
          <cell r="H3693" t="str">
            <v>Ingenio</v>
          </cell>
          <cell r="I3693" t="str">
            <v>35011</v>
          </cell>
        </row>
        <row r="3694">
          <cell r="H3694" t="str">
            <v>Iniesta</v>
          </cell>
          <cell r="I3694" t="str">
            <v>16113</v>
          </cell>
        </row>
        <row r="3695">
          <cell r="H3695" t="str">
            <v>Iniéstola</v>
          </cell>
          <cell r="I3695" t="str">
            <v>19153</v>
          </cell>
        </row>
        <row r="3696">
          <cell r="H3696" t="str">
            <v>Instinción</v>
          </cell>
          <cell r="I3696" t="str">
            <v>04055</v>
          </cell>
        </row>
        <row r="3697">
          <cell r="H3697" t="str">
            <v>Inviernas, Las</v>
          </cell>
          <cell r="I3697" t="str">
            <v>19154</v>
          </cell>
        </row>
        <row r="3698">
          <cell r="H3698" t="str">
            <v>Irañeta</v>
          </cell>
          <cell r="I3698" t="str">
            <v>31127</v>
          </cell>
        </row>
        <row r="3699">
          <cell r="H3699" t="str">
            <v>Irixo, O</v>
          </cell>
          <cell r="I3699" t="str">
            <v>32035</v>
          </cell>
        </row>
        <row r="3700">
          <cell r="H3700" t="str">
            <v>Irixoa</v>
          </cell>
          <cell r="I3700" t="str">
            <v>15039</v>
          </cell>
        </row>
        <row r="3701">
          <cell r="H3701" t="str">
            <v>Iruela, La</v>
          </cell>
          <cell r="I3701" t="str">
            <v>23047</v>
          </cell>
        </row>
        <row r="3702">
          <cell r="H3702" t="str">
            <v>Iruelos</v>
          </cell>
          <cell r="I3702" t="str">
            <v>37165</v>
          </cell>
        </row>
        <row r="3703">
          <cell r="H3703" t="str">
            <v>Irueste</v>
          </cell>
          <cell r="I3703" t="str">
            <v>19155</v>
          </cell>
        </row>
        <row r="3704">
          <cell r="H3704" t="str">
            <v>Irun</v>
          </cell>
          <cell r="I3704" t="str">
            <v>20045</v>
          </cell>
        </row>
        <row r="3705">
          <cell r="H3705" t="str">
            <v>Iruña Oka/Iruña de Oca</v>
          </cell>
          <cell r="I3705" t="str">
            <v>01901</v>
          </cell>
        </row>
        <row r="3706">
          <cell r="H3706" t="str">
            <v>Irura</v>
          </cell>
          <cell r="I3706" t="str">
            <v>20046</v>
          </cell>
        </row>
        <row r="3707">
          <cell r="H3707" t="str">
            <v>Iruraiz-Gauna</v>
          </cell>
          <cell r="I3707" t="str">
            <v>01027</v>
          </cell>
        </row>
        <row r="3708">
          <cell r="H3708" t="str">
            <v>Irurtzun</v>
          </cell>
          <cell r="I3708" t="str">
            <v>31904</v>
          </cell>
        </row>
        <row r="3709">
          <cell r="H3709" t="str">
            <v>Isaba/Izaba</v>
          </cell>
          <cell r="I3709" t="str">
            <v>31128</v>
          </cell>
        </row>
        <row r="3710">
          <cell r="H3710" t="str">
            <v>Isábena</v>
          </cell>
          <cell r="I3710" t="str">
            <v>22129</v>
          </cell>
        </row>
        <row r="3711">
          <cell r="H3711" t="str">
            <v>Isar</v>
          </cell>
          <cell r="I3711" t="str">
            <v>09181</v>
          </cell>
        </row>
        <row r="3712">
          <cell r="H3712" t="str">
            <v>Íscar</v>
          </cell>
          <cell r="I3712" t="str">
            <v>47075</v>
          </cell>
        </row>
        <row r="3713">
          <cell r="H3713" t="str">
            <v>Isla Cristina</v>
          </cell>
          <cell r="I3713" t="str">
            <v>21042</v>
          </cell>
        </row>
        <row r="3714">
          <cell r="H3714" t="str">
            <v>Isla Mayor</v>
          </cell>
          <cell r="I3714" t="str">
            <v>41902</v>
          </cell>
        </row>
        <row r="3715">
          <cell r="H3715" t="str">
            <v>Isona i Conca Dellà</v>
          </cell>
          <cell r="I3715" t="str">
            <v>25115</v>
          </cell>
        </row>
        <row r="3716">
          <cell r="H3716" t="str">
            <v>Isòvol</v>
          </cell>
          <cell r="I3716" t="str">
            <v>17084</v>
          </cell>
        </row>
        <row r="3717">
          <cell r="H3717" t="str">
            <v>Ispaster</v>
          </cell>
          <cell r="I3717" t="str">
            <v>48049</v>
          </cell>
        </row>
        <row r="3718">
          <cell r="H3718" t="str">
            <v>Istán</v>
          </cell>
          <cell r="I3718" t="str">
            <v>29061</v>
          </cell>
        </row>
        <row r="3719">
          <cell r="H3719" t="str">
            <v>Isuerre</v>
          </cell>
          <cell r="I3719" t="str">
            <v>50128</v>
          </cell>
        </row>
        <row r="3720">
          <cell r="H3720" t="str">
            <v>Itero de la Vega</v>
          </cell>
          <cell r="I3720" t="str">
            <v>34089</v>
          </cell>
        </row>
        <row r="3721">
          <cell r="H3721" t="str">
            <v>Itero del Castillo</v>
          </cell>
          <cell r="I3721" t="str">
            <v>09182</v>
          </cell>
        </row>
        <row r="3722">
          <cell r="H3722" t="str">
            <v>Ítrabo</v>
          </cell>
          <cell r="I3722" t="str">
            <v>18103</v>
          </cell>
        </row>
        <row r="3723">
          <cell r="H3723" t="str">
            <v>Itsasondo</v>
          </cell>
          <cell r="I3723" t="str">
            <v>20047</v>
          </cell>
        </row>
        <row r="3724">
          <cell r="H3724" t="str">
            <v>Ituero de Azaba</v>
          </cell>
          <cell r="I3724" t="str">
            <v>37166</v>
          </cell>
        </row>
        <row r="3725">
          <cell r="H3725" t="str">
            <v>Ituero y Lama</v>
          </cell>
          <cell r="I3725" t="str">
            <v>40104</v>
          </cell>
        </row>
        <row r="3726">
          <cell r="H3726" t="str">
            <v>Ituren</v>
          </cell>
          <cell r="I3726" t="str">
            <v>31129</v>
          </cell>
        </row>
        <row r="3727">
          <cell r="H3727" t="str">
            <v>Iturmendi</v>
          </cell>
          <cell r="I3727" t="str">
            <v>31130</v>
          </cell>
        </row>
        <row r="3728">
          <cell r="H3728" t="str">
            <v>Iurreta</v>
          </cell>
          <cell r="I3728" t="str">
            <v>48910</v>
          </cell>
        </row>
        <row r="3729">
          <cell r="H3729" t="str">
            <v>Ivars de Noguera</v>
          </cell>
          <cell r="I3729" t="str">
            <v>25112</v>
          </cell>
        </row>
        <row r="3730">
          <cell r="H3730" t="str">
            <v>Ivars d'Urgell</v>
          </cell>
          <cell r="I3730" t="str">
            <v>25113</v>
          </cell>
        </row>
        <row r="3731">
          <cell r="H3731" t="str">
            <v>Ivorra</v>
          </cell>
          <cell r="I3731" t="str">
            <v>25114</v>
          </cell>
        </row>
        <row r="3732">
          <cell r="H3732" t="str">
            <v>Iza/Itza</v>
          </cell>
          <cell r="I3732" t="str">
            <v>31131</v>
          </cell>
        </row>
        <row r="3733">
          <cell r="H3733" t="str">
            <v>Izagaondoa</v>
          </cell>
          <cell r="I3733" t="str">
            <v>31132</v>
          </cell>
        </row>
        <row r="3734">
          <cell r="H3734" t="str">
            <v>Izagre</v>
          </cell>
          <cell r="I3734" t="str">
            <v>24084</v>
          </cell>
        </row>
        <row r="3735">
          <cell r="H3735" t="str">
            <v>Izalzu/Itzaltzu</v>
          </cell>
          <cell r="I3735" t="str">
            <v>31133</v>
          </cell>
        </row>
        <row r="3736">
          <cell r="H3736" t="str">
            <v>Iznájar</v>
          </cell>
          <cell r="I3736" t="str">
            <v>14037</v>
          </cell>
        </row>
        <row r="3737">
          <cell r="H3737" t="str">
            <v>Iznalloz</v>
          </cell>
          <cell r="I3737" t="str">
            <v>18105</v>
          </cell>
        </row>
        <row r="3738">
          <cell r="H3738" t="str">
            <v>Iznate</v>
          </cell>
          <cell r="I3738" t="str">
            <v>29062</v>
          </cell>
        </row>
        <row r="3739">
          <cell r="H3739" t="str">
            <v>Iznatoraf</v>
          </cell>
          <cell r="I3739" t="str">
            <v>23048</v>
          </cell>
        </row>
        <row r="3740">
          <cell r="H3740" t="str">
            <v>Izurtza</v>
          </cell>
          <cell r="I3740" t="str">
            <v>48050</v>
          </cell>
        </row>
        <row r="3741">
          <cell r="H3741" t="str">
            <v>Jabaloyas</v>
          </cell>
          <cell r="I3741" t="str">
            <v>44127</v>
          </cell>
        </row>
        <row r="3742">
          <cell r="H3742" t="str">
            <v>Jabalquinto</v>
          </cell>
          <cell r="I3742" t="str">
            <v>23049</v>
          </cell>
        </row>
        <row r="3743">
          <cell r="H3743" t="str">
            <v>Jabugo</v>
          </cell>
          <cell r="I3743" t="str">
            <v>21043</v>
          </cell>
        </row>
        <row r="3744">
          <cell r="H3744" t="str">
            <v>Jaca</v>
          </cell>
          <cell r="I3744" t="str">
            <v>22130</v>
          </cell>
        </row>
        <row r="3745">
          <cell r="H3745" t="str">
            <v>Jacarilla</v>
          </cell>
          <cell r="I3745" t="str">
            <v>03080</v>
          </cell>
        </row>
        <row r="3746">
          <cell r="H3746" t="str">
            <v>Jadraque</v>
          </cell>
          <cell r="I3746" t="str">
            <v>19156</v>
          </cell>
        </row>
        <row r="3747">
          <cell r="H3747" t="str">
            <v>Jaén</v>
          </cell>
          <cell r="I3747" t="str">
            <v>23050</v>
          </cell>
        </row>
        <row r="3748">
          <cell r="H3748" t="str">
            <v>Jafre</v>
          </cell>
          <cell r="I3748" t="str">
            <v>17085</v>
          </cell>
        </row>
        <row r="3749">
          <cell r="H3749" t="str">
            <v>Jalance</v>
          </cell>
          <cell r="I3749" t="str">
            <v>46142</v>
          </cell>
        </row>
        <row r="3750">
          <cell r="H3750" t="str">
            <v>Jalón de Cameros</v>
          </cell>
          <cell r="I3750" t="str">
            <v>26081</v>
          </cell>
        </row>
        <row r="3751">
          <cell r="H3751" t="str">
            <v>Jambrina</v>
          </cell>
          <cell r="I3751" t="str">
            <v>49096</v>
          </cell>
        </row>
        <row r="3752">
          <cell r="H3752" t="str">
            <v>Jamilena</v>
          </cell>
          <cell r="I3752" t="str">
            <v>23051</v>
          </cell>
        </row>
        <row r="3753">
          <cell r="H3753" t="str">
            <v>Jana, la</v>
          </cell>
          <cell r="I3753" t="str">
            <v>12070</v>
          </cell>
        </row>
        <row r="3754">
          <cell r="H3754" t="str">
            <v>Jaraba</v>
          </cell>
          <cell r="I3754" t="str">
            <v>50129</v>
          </cell>
        </row>
        <row r="3755">
          <cell r="H3755" t="str">
            <v>Jarafuel</v>
          </cell>
          <cell r="I3755" t="str">
            <v>46144</v>
          </cell>
        </row>
        <row r="3756">
          <cell r="H3756" t="str">
            <v>Jaraicejo</v>
          </cell>
          <cell r="I3756" t="str">
            <v>10103</v>
          </cell>
        </row>
        <row r="3757">
          <cell r="H3757" t="str">
            <v>Jaraíz de la Vera</v>
          </cell>
          <cell r="I3757" t="str">
            <v>10104</v>
          </cell>
        </row>
        <row r="3758">
          <cell r="H3758" t="str">
            <v>Jaramillo de la Fuente</v>
          </cell>
          <cell r="I3758" t="str">
            <v>09183</v>
          </cell>
        </row>
        <row r="3759">
          <cell r="H3759" t="str">
            <v>Jaramillo Quemado</v>
          </cell>
          <cell r="I3759" t="str">
            <v>09184</v>
          </cell>
        </row>
        <row r="3760">
          <cell r="H3760" t="str">
            <v>Jarandilla de la Vera</v>
          </cell>
          <cell r="I3760" t="str">
            <v>10105</v>
          </cell>
        </row>
        <row r="3761">
          <cell r="H3761" t="str">
            <v>Jarilla</v>
          </cell>
          <cell r="I3761" t="str">
            <v>10106</v>
          </cell>
        </row>
        <row r="3762">
          <cell r="H3762" t="str">
            <v>Jarque de Moncayo</v>
          </cell>
          <cell r="I3762" t="str">
            <v>50130</v>
          </cell>
        </row>
        <row r="3763">
          <cell r="H3763" t="str">
            <v>Jasa</v>
          </cell>
          <cell r="I3763" t="str">
            <v>22131</v>
          </cell>
        </row>
        <row r="3764">
          <cell r="H3764" t="str">
            <v>Játar</v>
          </cell>
          <cell r="I3764" t="str">
            <v>18106</v>
          </cell>
        </row>
        <row r="3765">
          <cell r="H3765" t="str">
            <v>Jaulín</v>
          </cell>
          <cell r="I3765" t="str">
            <v>50131</v>
          </cell>
        </row>
        <row r="3766">
          <cell r="H3766" t="str">
            <v>Jaurrieta</v>
          </cell>
          <cell r="I3766" t="str">
            <v>31134</v>
          </cell>
        </row>
        <row r="3767">
          <cell r="H3767" t="str">
            <v>Javier</v>
          </cell>
          <cell r="I3767" t="str">
            <v>31135</v>
          </cell>
        </row>
        <row r="3768">
          <cell r="H3768" t="str">
            <v>Jayena</v>
          </cell>
          <cell r="I3768" t="str">
            <v>18107</v>
          </cell>
        </row>
        <row r="3769">
          <cell r="H3769" t="str">
            <v>Jerez de la Frontera</v>
          </cell>
          <cell r="I3769" t="str">
            <v>11020</v>
          </cell>
        </row>
        <row r="3770">
          <cell r="H3770" t="str">
            <v>Jerez de los Caballeros</v>
          </cell>
          <cell r="I3770" t="str">
            <v>06070</v>
          </cell>
        </row>
        <row r="3771">
          <cell r="H3771" t="str">
            <v>Jérez del Marquesado</v>
          </cell>
          <cell r="I3771" t="str">
            <v>18108</v>
          </cell>
        </row>
        <row r="3772">
          <cell r="H3772" t="str">
            <v>Jérica</v>
          </cell>
          <cell r="I3772" t="str">
            <v>12071</v>
          </cell>
        </row>
        <row r="3773">
          <cell r="H3773" t="str">
            <v>Jerte</v>
          </cell>
          <cell r="I3773" t="str">
            <v>10107</v>
          </cell>
        </row>
        <row r="3774">
          <cell r="H3774" t="str">
            <v>Jete</v>
          </cell>
          <cell r="I3774" t="str">
            <v>18109</v>
          </cell>
        </row>
        <row r="3775">
          <cell r="H3775" t="str">
            <v>Jimena</v>
          </cell>
          <cell r="I3775" t="str">
            <v>23052</v>
          </cell>
        </row>
        <row r="3776">
          <cell r="H3776" t="str">
            <v>Jimena de la Frontera</v>
          </cell>
          <cell r="I3776" t="str">
            <v>11021</v>
          </cell>
        </row>
        <row r="3777">
          <cell r="H3777" t="str">
            <v>Jimera de Líbar</v>
          </cell>
          <cell r="I3777" t="str">
            <v>29063</v>
          </cell>
        </row>
        <row r="3778">
          <cell r="H3778" t="str">
            <v>Jirueque</v>
          </cell>
          <cell r="I3778" t="str">
            <v>19157</v>
          </cell>
        </row>
        <row r="3779">
          <cell r="H3779" t="str">
            <v>Joarilla de las Matas</v>
          </cell>
          <cell r="I3779" t="str">
            <v>24086</v>
          </cell>
        </row>
        <row r="3780">
          <cell r="H3780" t="str">
            <v>Jódar</v>
          </cell>
          <cell r="I3780" t="str">
            <v>23053</v>
          </cell>
        </row>
        <row r="3781">
          <cell r="H3781" t="str">
            <v>Jonquera, La</v>
          </cell>
          <cell r="I3781" t="str">
            <v>17086</v>
          </cell>
        </row>
        <row r="3782">
          <cell r="H3782" t="str">
            <v>Jorba</v>
          </cell>
          <cell r="I3782" t="str">
            <v>08103</v>
          </cell>
        </row>
        <row r="3783">
          <cell r="H3783" t="str">
            <v>Jorcas</v>
          </cell>
          <cell r="I3783" t="str">
            <v>44130</v>
          </cell>
        </row>
        <row r="3784">
          <cell r="H3784" t="str">
            <v>Jorquera</v>
          </cell>
          <cell r="I3784" t="str">
            <v>02041</v>
          </cell>
        </row>
        <row r="3785">
          <cell r="H3785" t="str">
            <v>Josa</v>
          </cell>
          <cell r="I3785" t="str">
            <v>44131</v>
          </cell>
        </row>
        <row r="3786">
          <cell r="H3786" t="str">
            <v>Josa i Tuixén</v>
          </cell>
          <cell r="I3786" t="str">
            <v>25910</v>
          </cell>
        </row>
        <row r="3787">
          <cell r="H3787" t="str">
            <v>Joyosa, La</v>
          </cell>
          <cell r="I3787" t="str">
            <v>50132</v>
          </cell>
        </row>
        <row r="3788">
          <cell r="H3788" t="str">
            <v>Juarros de Riomoros</v>
          </cell>
          <cell r="I3788" t="str">
            <v>40105</v>
          </cell>
        </row>
        <row r="3789">
          <cell r="H3789" t="str">
            <v>Juarros de Voltoya</v>
          </cell>
          <cell r="I3789" t="str">
            <v>40106</v>
          </cell>
        </row>
        <row r="3790">
          <cell r="H3790" t="str">
            <v>Jubrique</v>
          </cell>
          <cell r="I3790" t="str">
            <v>29064</v>
          </cell>
        </row>
        <row r="3791">
          <cell r="H3791" t="str">
            <v>Juià</v>
          </cell>
          <cell r="I3791" t="str">
            <v>17087</v>
          </cell>
        </row>
        <row r="3792">
          <cell r="H3792" t="str">
            <v>Jumilla</v>
          </cell>
          <cell r="I3792" t="str">
            <v>30022</v>
          </cell>
        </row>
        <row r="3793">
          <cell r="H3793" t="str">
            <v>Jun</v>
          </cell>
          <cell r="I3793" t="str">
            <v>18111</v>
          </cell>
        </row>
        <row r="3794">
          <cell r="H3794" t="str">
            <v>Junciana</v>
          </cell>
          <cell r="I3794" t="str">
            <v>05108</v>
          </cell>
        </row>
        <row r="3795">
          <cell r="H3795" t="str">
            <v>Juncosa</v>
          </cell>
          <cell r="I3795" t="str">
            <v>25118</v>
          </cell>
        </row>
        <row r="3796">
          <cell r="H3796" t="str">
            <v>Juneda</v>
          </cell>
          <cell r="I3796" t="str">
            <v>25119</v>
          </cell>
        </row>
        <row r="3797">
          <cell r="H3797" t="str">
            <v>Junta de Traslaloma</v>
          </cell>
          <cell r="I3797" t="str">
            <v>09189</v>
          </cell>
        </row>
        <row r="3798">
          <cell r="H3798" t="str">
            <v>Junta de Villalba de Losa</v>
          </cell>
          <cell r="I3798" t="str">
            <v>09190</v>
          </cell>
        </row>
        <row r="3799">
          <cell r="H3799" t="str">
            <v>Jurisdicción de Lara</v>
          </cell>
          <cell r="I3799" t="str">
            <v>09191</v>
          </cell>
        </row>
        <row r="3800">
          <cell r="H3800" t="str">
            <v>Juslapeña/Txulapain</v>
          </cell>
          <cell r="I3800" t="str">
            <v>31136</v>
          </cell>
        </row>
        <row r="3801">
          <cell r="H3801" t="str">
            <v>Justel</v>
          </cell>
          <cell r="I3801" t="str">
            <v>49097</v>
          </cell>
        </row>
        <row r="3802">
          <cell r="H3802" t="str">
            <v>Juviles</v>
          </cell>
          <cell r="I3802" t="str">
            <v>18112</v>
          </cell>
        </row>
        <row r="3803">
          <cell r="H3803" t="str">
            <v>Juzbado</v>
          </cell>
          <cell r="I3803" t="str">
            <v>37167</v>
          </cell>
        </row>
        <row r="3804">
          <cell r="H3804" t="str">
            <v>Júzcar</v>
          </cell>
          <cell r="I3804" t="str">
            <v>29065</v>
          </cell>
        </row>
        <row r="3805">
          <cell r="H3805" t="str">
            <v>Karrantza Harana/Valle de Carranza</v>
          </cell>
          <cell r="I3805" t="str">
            <v>48022</v>
          </cell>
        </row>
        <row r="3806">
          <cell r="H3806" t="str">
            <v>Kortezubi</v>
          </cell>
          <cell r="I3806" t="str">
            <v>48907</v>
          </cell>
        </row>
        <row r="3807">
          <cell r="H3807" t="str">
            <v>Kripan</v>
          </cell>
          <cell r="I3807" t="str">
            <v>01019</v>
          </cell>
        </row>
        <row r="3808">
          <cell r="H3808" t="str">
            <v>Kuartango</v>
          </cell>
          <cell r="I3808" t="str">
            <v>01020</v>
          </cell>
        </row>
        <row r="3809">
          <cell r="H3809" t="str">
            <v>Labajos</v>
          </cell>
          <cell r="I3809" t="str">
            <v>40107</v>
          </cell>
        </row>
        <row r="3810">
          <cell r="H3810" t="str">
            <v>Labastida/Bastida</v>
          </cell>
          <cell r="I3810" t="str">
            <v>01028</v>
          </cell>
        </row>
        <row r="3811">
          <cell r="H3811" t="str">
            <v>Labores, Las</v>
          </cell>
          <cell r="I3811" t="str">
            <v>13050</v>
          </cell>
        </row>
        <row r="3812">
          <cell r="H3812" t="str">
            <v>Labuerda</v>
          </cell>
          <cell r="I3812" t="str">
            <v>22133</v>
          </cell>
        </row>
        <row r="3813">
          <cell r="H3813" t="str">
            <v>Láchar</v>
          </cell>
          <cell r="I3813" t="str">
            <v>18115</v>
          </cell>
        </row>
        <row r="3814">
          <cell r="H3814" t="str">
            <v>Ladrillar</v>
          </cell>
          <cell r="I3814" t="str">
            <v>10108</v>
          </cell>
        </row>
        <row r="3815">
          <cell r="H3815" t="str">
            <v>Lagartera</v>
          </cell>
          <cell r="I3815" t="str">
            <v>45082</v>
          </cell>
        </row>
        <row r="3816">
          <cell r="H3816" t="str">
            <v>Lagartos</v>
          </cell>
          <cell r="I3816" t="str">
            <v>34091</v>
          </cell>
        </row>
        <row r="3817">
          <cell r="H3817" t="str">
            <v>Lagata</v>
          </cell>
          <cell r="I3817" t="str">
            <v>50133</v>
          </cell>
        </row>
        <row r="3818">
          <cell r="H3818" t="str">
            <v>Lagrán</v>
          </cell>
          <cell r="I3818" t="str">
            <v>01030</v>
          </cell>
        </row>
        <row r="3819">
          <cell r="H3819" t="str">
            <v>Laguardia</v>
          </cell>
          <cell r="I3819" t="str">
            <v>01031</v>
          </cell>
        </row>
        <row r="3820">
          <cell r="H3820" t="str">
            <v>Lagueruela</v>
          </cell>
          <cell r="I3820" t="str">
            <v>44132</v>
          </cell>
        </row>
        <row r="3821">
          <cell r="H3821" t="str">
            <v>Laguna Dalga</v>
          </cell>
          <cell r="I3821" t="str">
            <v>24087</v>
          </cell>
        </row>
        <row r="3822">
          <cell r="H3822" t="str">
            <v>Laguna de Cameros</v>
          </cell>
          <cell r="I3822" t="str">
            <v>26082</v>
          </cell>
        </row>
        <row r="3823">
          <cell r="H3823" t="str">
            <v>Laguna de Contreras</v>
          </cell>
          <cell r="I3823" t="str">
            <v>40108</v>
          </cell>
        </row>
        <row r="3824">
          <cell r="H3824" t="str">
            <v>Laguna de Duero</v>
          </cell>
          <cell r="I3824" t="str">
            <v>47076</v>
          </cell>
        </row>
        <row r="3825">
          <cell r="H3825" t="str">
            <v>Laguna de Negrillos</v>
          </cell>
          <cell r="I3825" t="str">
            <v>24088</v>
          </cell>
        </row>
        <row r="3826">
          <cell r="H3826" t="str">
            <v>Laguna del Marquesado</v>
          </cell>
          <cell r="I3826" t="str">
            <v>16115</v>
          </cell>
        </row>
        <row r="3827">
          <cell r="H3827" t="str">
            <v>Lagunaseca</v>
          </cell>
          <cell r="I3827" t="str">
            <v>16116</v>
          </cell>
        </row>
        <row r="3828">
          <cell r="H3828" t="str">
            <v>Lagunilla</v>
          </cell>
          <cell r="I3828" t="str">
            <v>37168</v>
          </cell>
        </row>
        <row r="3829">
          <cell r="H3829" t="str">
            <v>Lagunilla del Jubera</v>
          </cell>
          <cell r="I3829" t="str">
            <v>26083</v>
          </cell>
        </row>
        <row r="3830">
          <cell r="H3830" t="str">
            <v>Lahiguera</v>
          </cell>
          <cell r="I3830" t="str">
            <v>23040</v>
          </cell>
        </row>
        <row r="3831">
          <cell r="H3831" t="str">
            <v>Lakuntza</v>
          </cell>
          <cell r="I3831" t="str">
            <v>31138</v>
          </cell>
        </row>
        <row r="3832">
          <cell r="H3832" t="str">
            <v>Lalín</v>
          </cell>
          <cell r="I3832" t="str">
            <v>36024</v>
          </cell>
        </row>
        <row r="3833">
          <cell r="H3833" t="str">
            <v>Laluenga</v>
          </cell>
          <cell r="I3833" t="str">
            <v>22135</v>
          </cell>
        </row>
        <row r="3834">
          <cell r="H3834" t="str">
            <v>Lalueza</v>
          </cell>
          <cell r="I3834" t="str">
            <v>22136</v>
          </cell>
        </row>
        <row r="3835">
          <cell r="H3835" t="str">
            <v>Lama, A</v>
          </cell>
          <cell r="I3835" t="str">
            <v>36025</v>
          </cell>
        </row>
        <row r="3836">
          <cell r="H3836" t="str">
            <v>Lamasón</v>
          </cell>
          <cell r="I3836" t="str">
            <v>39034</v>
          </cell>
        </row>
        <row r="3837">
          <cell r="H3837" t="str">
            <v>Lana</v>
          </cell>
          <cell r="I3837" t="str">
            <v>31139</v>
          </cell>
        </row>
        <row r="3838">
          <cell r="H3838" t="str">
            <v>Lanaja</v>
          </cell>
          <cell r="I3838" t="str">
            <v>22137</v>
          </cell>
        </row>
        <row r="3839">
          <cell r="H3839" t="str">
            <v>Láncara</v>
          </cell>
          <cell r="I3839" t="str">
            <v>27026</v>
          </cell>
        </row>
        <row r="3840">
          <cell r="H3840" t="str">
            <v>Lanciego/Lantziego</v>
          </cell>
          <cell r="I3840" t="str">
            <v>01032</v>
          </cell>
        </row>
        <row r="3841">
          <cell r="H3841" t="str">
            <v>Landete</v>
          </cell>
          <cell r="I3841" t="str">
            <v>16117</v>
          </cell>
        </row>
        <row r="3842">
          <cell r="H3842" t="str">
            <v>Lanestosa</v>
          </cell>
          <cell r="I3842" t="str">
            <v>48051</v>
          </cell>
        </row>
        <row r="3843">
          <cell r="H3843" t="str">
            <v>Langa</v>
          </cell>
          <cell r="I3843" t="str">
            <v>05109</v>
          </cell>
        </row>
        <row r="3844">
          <cell r="H3844" t="str">
            <v>Langa de Duero</v>
          </cell>
          <cell r="I3844" t="str">
            <v>42103</v>
          </cell>
        </row>
        <row r="3845">
          <cell r="H3845" t="str">
            <v>Langa del Castillo</v>
          </cell>
          <cell r="I3845" t="str">
            <v>50134</v>
          </cell>
        </row>
        <row r="3846">
          <cell r="H3846" t="str">
            <v>Langayo</v>
          </cell>
          <cell r="I3846" t="str">
            <v>47077</v>
          </cell>
        </row>
        <row r="3847">
          <cell r="H3847" t="str">
            <v>Languilla</v>
          </cell>
          <cell r="I3847" t="str">
            <v>40109</v>
          </cell>
        </row>
        <row r="3848">
          <cell r="H3848" t="str">
            <v>Lanjarón</v>
          </cell>
          <cell r="I3848" t="str">
            <v>18116</v>
          </cell>
        </row>
        <row r="3849">
          <cell r="H3849" t="str">
            <v>Lantadilla</v>
          </cell>
          <cell r="I3849" t="str">
            <v>34092</v>
          </cell>
        </row>
        <row r="3850">
          <cell r="H3850" t="str">
            <v>Lanteira</v>
          </cell>
          <cell r="I3850" t="str">
            <v>18117</v>
          </cell>
        </row>
        <row r="3851">
          <cell r="H3851" t="str">
            <v>Lantejuela</v>
          </cell>
          <cell r="I3851" t="str">
            <v>41052</v>
          </cell>
        </row>
        <row r="3852">
          <cell r="H3852" t="str">
            <v>Lantz</v>
          </cell>
          <cell r="I3852" t="str">
            <v>31140</v>
          </cell>
        </row>
        <row r="3853">
          <cell r="H3853" t="str">
            <v>Lanzahíta</v>
          </cell>
          <cell r="I3853" t="str">
            <v>05110</v>
          </cell>
        </row>
        <row r="3854">
          <cell r="H3854" t="str">
            <v>Lanzuela</v>
          </cell>
          <cell r="I3854" t="str">
            <v>44133</v>
          </cell>
        </row>
        <row r="3855">
          <cell r="H3855" t="str">
            <v>Lapa, La</v>
          </cell>
          <cell r="I3855" t="str">
            <v>06071</v>
          </cell>
        </row>
        <row r="3856">
          <cell r="H3856" t="str">
            <v>Laperdiguera</v>
          </cell>
          <cell r="I3856" t="str">
            <v>22139</v>
          </cell>
        </row>
        <row r="3857">
          <cell r="H3857" t="str">
            <v>Lapoblación</v>
          </cell>
          <cell r="I3857" t="str">
            <v>31141</v>
          </cell>
        </row>
        <row r="3858">
          <cell r="H3858" t="str">
            <v>Lapuebla de Labarca</v>
          </cell>
          <cell r="I3858" t="str">
            <v>01033</v>
          </cell>
        </row>
        <row r="3859">
          <cell r="H3859" t="str">
            <v>Lardero</v>
          </cell>
          <cell r="I3859" t="str">
            <v>26084</v>
          </cell>
        </row>
        <row r="3860">
          <cell r="H3860" t="str">
            <v>Laredo</v>
          </cell>
          <cell r="I3860" t="str">
            <v>39035</v>
          </cell>
        </row>
        <row r="3861">
          <cell r="H3861" t="str">
            <v>Larouco</v>
          </cell>
          <cell r="I3861" t="str">
            <v>32038</v>
          </cell>
        </row>
        <row r="3862">
          <cell r="H3862" t="str">
            <v>Laroya</v>
          </cell>
          <cell r="I3862" t="str">
            <v>04056</v>
          </cell>
        </row>
        <row r="3863">
          <cell r="H3863" t="str">
            <v>Larrabetzu</v>
          </cell>
          <cell r="I3863" t="str">
            <v>48052</v>
          </cell>
        </row>
        <row r="3864">
          <cell r="H3864" t="str">
            <v>Larraga</v>
          </cell>
          <cell r="I3864" t="str">
            <v>31142</v>
          </cell>
        </row>
        <row r="3865">
          <cell r="H3865" t="str">
            <v>Larraona</v>
          </cell>
          <cell r="I3865" t="str">
            <v>31143</v>
          </cell>
        </row>
        <row r="3866">
          <cell r="H3866" t="str">
            <v>Larraul</v>
          </cell>
          <cell r="I3866" t="str">
            <v>20048</v>
          </cell>
        </row>
        <row r="3867">
          <cell r="H3867" t="str">
            <v>Larraun</v>
          </cell>
          <cell r="I3867" t="str">
            <v>31144</v>
          </cell>
        </row>
        <row r="3868">
          <cell r="H3868" t="str">
            <v>Larrodrigo</v>
          </cell>
          <cell r="I3868" t="str">
            <v>37169</v>
          </cell>
        </row>
        <row r="3869">
          <cell r="H3869" t="str">
            <v>Larva</v>
          </cell>
          <cell r="I3869" t="str">
            <v>23054</v>
          </cell>
        </row>
        <row r="3870">
          <cell r="H3870" t="str">
            <v>Lasarte-Oria</v>
          </cell>
          <cell r="I3870" t="str">
            <v>20902</v>
          </cell>
        </row>
        <row r="3871">
          <cell r="H3871" t="str">
            <v>Lascellas-Ponzano</v>
          </cell>
          <cell r="I3871" t="str">
            <v>22141</v>
          </cell>
        </row>
        <row r="3872">
          <cell r="H3872" t="str">
            <v>Lascuarre</v>
          </cell>
          <cell r="I3872" t="str">
            <v>22142</v>
          </cell>
        </row>
        <row r="3873">
          <cell r="H3873" t="str">
            <v>Laspaúles</v>
          </cell>
          <cell r="I3873" t="str">
            <v>22143</v>
          </cell>
        </row>
        <row r="3874">
          <cell r="H3874" t="str">
            <v>Laspuña</v>
          </cell>
          <cell r="I3874" t="str">
            <v>22144</v>
          </cell>
        </row>
        <row r="3875">
          <cell r="H3875" t="str">
            <v>Lastras de Cuéllar</v>
          </cell>
          <cell r="I3875" t="str">
            <v>40110</v>
          </cell>
        </row>
        <row r="3876">
          <cell r="H3876" t="str">
            <v>Lastras del Pozo</v>
          </cell>
          <cell r="I3876" t="str">
            <v>40111</v>
          </cell>
        </row>
        <row r="3877">
          <cell r="H3877" t="str">
            <v>Lastrilla, La</v>
          </cell>
          <cell r="I3877" t="str">
            <v>40112</v>
          </cell>
        </row>
        <row r="3878">
          <cell r="H3878" t="str">
            <v>Laudio/Llodio</v>
          </cell>
          <cell r="I3878" t="str">
            <v>01036</v>
          </cell>
        </row>
        <row r="3879">
          <cell r="H3879" t="str">
            <v>Láujar de Andarax</v>
          </cell>
          <cell r="I3879" t="str">
            <v>04057</v>
          </cell>
        </row>
        <row r="3880">
          <cell r="H3880" t="str">
            <v>Laukiz</v>
          </cell>
          <cell r="I3880" t="str">
            <v>48053</v>
          </cell>
        </row>
        <row r="3881">
          <cell r="H3881" t="str">
            <v>Laxe</v>
          </cell>
          <cell r="I3881" t="str">
            <v>15040</v>
          </cell>
        </row>
        <row r="3882">
          <cell r="H3882" t="str">
            <v>Layana</v>
          </cell>
          <cell r="I3882" t="str">
            <v>50135</v>
          </cell>
        </row>
        <row r="3883">
          <cell r="H3883" t="str">
            <v>Layos</v>
          </cell>
          <cell r="I3883" t="str">
            <v>45083</v>
          </cell>
        </row>
        <row r="3884">
          <cell r="H3884" t="str">
            <v>Laza</v>
          </cell>
          <cell r="I3884" t="str">
            <v>32039</v>
          </cell>
        </row>
        <row r="3885">
          <cell r="H3885" t="str">
            <v>Lazagurría</v>
          </cell>
          <cell r="I3885" t="str">
            <v>31145</v>
          </cell>
        </row>
        <row r="3886">
          <cell r="H3886" t="str">
            <v>Lazkao</v>
          </cell>
          <cell r="I3886" t="str">
            <v>20049</v>
          </cell>
        </row>
        <row r="3887">
          <cell r="H3887" t="str">
            <v>Leaburu</v>
          </cell>
          <cell r="I3887" t="str">
            <v>20050</v>
          </cell>
        </row>
        <row r="3888">
          <cell r="H3888" t="str">
            <v>Leache/Leatxe</v>
          </cell>
          <cell r="I3888" t="str">
            <v>31146</v>
          </cell>
        </row>
        <row r="3889">
          <cell r="H3889" t="str">
            <v>Lebrija</v>
          </cell>
          <cell r="I3889" t="str">
            <v>41053</v>
          </cell>
        </row>
        <row r="3890">
          <cell r="H3890" t="str">
            <v>Lechón</v>
          </cell>
          <cell r="I3890" t="str">
            <v>50138</v>
          </cell>
        </row>
        <row r="3891">
          <cell r="H3891" t="str">
            <v>Leciñena</v>
          </cell>
          <cell r="I3891" t="str">
            <v>50137</v>
          </cell>
        </row>
        <row r="3892">
          <cell r="H3892" t="str">
            <v>Lecrín</v>
          </cell>
          <cell r="I3892" t="str">
            <v>18119</v>
          </cell>
        </row>
        <row r="3893">
          <cell r="H3893" t="str">
            <v>Ledanca</v>
          </cell>
          <cell r="I3893" t="str">
            <v>19159</v>
          </cell>
        </row>
        <row r="3894">
          <cell r="H3894" t="str">
            <v>Ledaña</v>
          </cell>
          <cell r="I3894" t="str">
            <v>16118</v>
          </cell>
        </row>
        <row r="3895">
          <cell r="H3895" t="str">
            <v>Ledesma</v>
          </cell>
          <cell r="I3895" t="str">
            <v>37170</v>
          </cell>
        </row>
        <row r="3896">
          <cell r="H3896" t="str">
            <v>Ledesma de la Cogolla</v>
          </cell>
          <cell r="I3896" t="str">
            <v>26086</v>
          </cell>
        </row>
        <row r="3897">
          <cell r="H3897" t="str">
            <v>Ledigos</v>
          </cell>
          <cell r="I3897" t="str">
            <v>34094</v>
          </cell>
        </row>
        <row r="3898">
          <cell r="H3898" t="str">
            <v>Ledrada</v>
          </cell>
          <cell r="I3898" t="str">
            <v>37171</v>
          </cell>
        </row>
        <row r="3899">
          <cell r="H3899" t="str">
            <v>Leganés</v>
          </cell>
          <cell r="I3899" t="str">
            <v>28074</v>
          </cell>
        </row>
        <row r="3900">
          <cell r="H3900" t="str">
            <v>Leganiel</v>
          </cell>
          <cell r="I3900" t="str">
            <v>16119</v>
          </cell>
        </row>
        <row r="3901">
          <cell r="H3901" t="str">
            <v>Legarda</v>
          </cell>
          <cell r="I3901" t="str">
            <v>31147</v>
          </cell>
        </row>
        <row r="3902">
          <cell r="H3902" t="str">
            <v>Legaria</v>
          </cell>
          <cell r="I3902" t="str">
            <v>31148</v>
          </cell>
        </row>
        <row r="3903">
          <cell r="H3903" t="str">
            <v>Legazpi</v>
          </cell>
          <cell r="I3903" t="str">
            <v>20051</v>
          </cell>
        </row>
        <row r="3904">
          <cell r="H3904" t="str">
            <v>Legorreta</v>
          </cell>
          <cell r="I3904" t="str">
            <v>20052</v>
          </cell>
        </row>
        <row r="3905">
          <cell r="H3905" t="str">
            <v>Legutio</v>
          </cell>
          <cell r="I3905" t="str">
            <v>01058</v>
          </cell>
        </row>
        <row r="3906">
          <cell r="H3906" t="str">
            <v>Leintz-Gatzaga</v>
          </cell>
          <cell r="I3906" t="str">
            <v>20068</v>
          </cell>
        </row>
        <row r="3907">
          <cell r="H3907" t="str">
            <v>Leioa</v>
          </cell>
          <cell r="I3907" t="str">
            <v>48054</v>
          </cell>
        </row>
        <row r="3908">
          <cell r="H3908" t="str">
            <v>Leiro</v>
          </cell>
          <cell r="I3908" t="str">
            <v>32040</v>
          </cell>
        </row>
        <row r="3909">
          <cell r="H3909" t="str">
            <v>Leitza</v>
          </cell>
          <cell r="I3909" t="str">
            <v>31149</v>
          </cell>
        </row>
        <row r="3910">
          <cell r="H3910" t="str">
            <v>Leiva</v>
          </cell>
          <cell r="I3910" t="str">
            <v>26087</v>
          </cell>
        </row>
        <row r="3911">
          <cell r="H3911" t="str">
            <v>Lekeitio</v>
          </cell>
          <cell r="I3911" t="str">
            <v>48057</v>
          </cell>
        </row>
        <row r="3912">
          <cell r="H3912" t="str">
            <v>Lekunberri</v>
          </cell>
          <cell r="I3912" t="str">
            <v>31908</v>
          </cell>
        </row>
        <row r="3913">
          <cell r="H3913" t="str">
            <v>Lemoa</v>
          </cell>
          <cell r="I3913" t="str">
            <v>48055</v>
          </cell>
        </row>
        <row r="3914">
          <cell r="H3914" t="str">
            <v>Lemoiz</v>
          </cell>
          <cell r="I3914" t="str">
            <v>48056</v>
          </cell>
        </row>
        <row r="3915">
          <cell r="H3915" t="str">
            <v>Lentegí</v>
          </cell>
          <cell r="I3915" t="str">
            <v>18120</v>
          </cell>
        </row>
        <row r="3916">
          <cell r="H3916" t="str">
            <v>León</v>
          </cell>
          <cell r="I3916" t="str">
            <v>24089</v>
          </cell>
        </row>
        <row r="3917">
          <cell r="H3917" t="str">
            <v>Leoz/Leotz</v>
          </cell>
          <cell r="I3917" t="str">
            <v>31150</v>
          </cell>
        </row>
        <row r="3918">
          <cell r="H3918" t="str">
            <v>Lepe</v>
          </cell>
          <cell r="I3918" t="str">
            <v>21044</v>
          </cell>
        </row>
        <row r="3919">
          <cell r="H3919" t="str">
            <v>Lerga</v>
          </cell>
          <cell r="I3919" t="str">
            <v>31151</v>
          </cell>
        </row>
        <row r="3920">
          <cell r="H3920" t="str">
            <v>Lerín</v>
          </cell>
          <cell r="I3920" t="str">
            <v>31152</v>
          </cell>
        </row>
        <row r="3921">
          <cell r="H3921" t="str">
            <v>Lerma</v>
          </cell>
          <cell r="I3921" t="str">
            <v>09194</v>
          </cell>
        </row>
        <row r="3922">
          <cell r="H3922" t="str">
            <v>Les</v>
          </cell>
          <cell r="I3922" t="str">
            <v>25121</v>
          </cell>
        </row>
        <row r="3923">
          <cell r="H3923" t="str">
            <v>Lesaka</v>
          </cell>
          <cell r="I3923" t="str">
            <v>31153</v>
          </cell>
        </row>
        <row r="3924">
          <cell r="H3924" t="str">
            <v>Letur</v>
          </cell>
          <cell r="I3924" t="str">
            <v>02042</v>
          </cell>
        </row>
        <row r="3925">
          <cell r="H3925" t="str">
            <v>Letux</v>
          </cell>
          <cell r="I3925" t="str">
            <v>50139</v>
          </cell>
        </row>
        <row r="3926">
          <cell r="H3926" t="str">
            <v>Leza</v>
          </cell>
          <cell r="I3926" t="str">
            <v>01034</v>
          </cell>
        </row>
        <row r="3927">
          <cell r="H3927" t="str">
            <v>Leza de Río Leza</v>
          </cell>
          <cell r="I3927" t="str">
            <v>26088</v>
          </cell>
        </row>
        <row r="3928">
          <cell r="H3928" t="str">
            <v>Lezama</v>
          </cell>
          <cell r="I3928" t="str">
            <v>48081</v>
          </cell>
        </row>
        <row r="3929">
          <cell r="H3929" t="str">
            <v>Lezaun</v>
          </cell>
          <cell r="I3929" t="str">
            <v>31154</v>
          </cell>
        </row>
        <row r="3930">
          <cell r="H3930" t="str">
            <v>Lezo</v>
          </cell>
          <cell r="I3930" t="str">
            <v>20053</v>
          </cell>
        </row>
        <row r="3931">
          <cell r="H3931" t="str">
            <v>Lezuza</v>
          </cell>
          <cell r="I3931" t="str">
            <v>02043</v>
          </cell>
        </row>
        <row r="3932">
          <cell r="H3932" t="str">
            <v>Librilla</v>
          </cell>
          <cell r="I3932" t="str">
            <v>30023</v>
          </cell>
        </row>
        <row r="3933">
          <cell r="H3933" t="str">
            <v>Libros</v>
          </cell>
          <cell r="I3933" t="str">
            <v>44135</v>
          </cell>
        </row>
        <row r="3934">
          <cell r="H3934" t="str">
            <v>Liceras</v>
          </cell>
          <cell r="I3934" t="str">
            <v>42105</v>
          </cell>
        </row>
        <row r="3935">
          <cell r="H3935" t="str">
            <v>Liédena</v>
          </cell>
          <cell r="I3935" t="str">
            <v>31155</v>
          </cell>
        </row>
        <row r="3936">
          <cell r="H3936" t="str">
            <v>Liendo</v>
          </cell>
          <cell r="I3936" t="str">
            <v>39036</v>
          </cell>
        </row>
        <row r="3937">
          <cell r="H3937" t="str">
            <v>Liérganes</v>
          </cell>
          <cell r="I3937" t="str">
            <v>39037</v>
          </cell>
        </row>
        <row r="3938">
          <cell r="H3938" t="str">
            <v>Liétor</v>
          </cell>
          <cell r="I3938" t="str">
            <v>02044</v>
          </cell>
        </row>
        <row r="3939">
          <cell r="H3939" t="str">
            <v>Líjar</v>
          </cell>
          <cell r="I3939" t="str">
            <v>04058</v>
          </cell>
        </row>
        <row r="3940">
          <cell r="H3940" t="str">
            <v>Lillo</v>
          </cell>
          <cell r="I3940" t="str">
            <v>45084</v>
          </cell>
        </row>
        <row r="3941">
          <cell r="H3941" t="str">
            <v>Limpias</v>
          </cell>
          <cell r="I3941" t="str">
            <v>39038</v>
          </cell>
        </row>
        <row r="3942">
          <cell r="H3942" t="str">
            <v>Linares</v>
          </cell>
          <cell r="I3942" t="str">
            <v>23055</v>
          </cell>
        </row>
        <row r="3943">
          <cell r="H3943" t="str">
            <v>Linares de la Sierra</v>
          </cell>
          <cell r="I3943" t="str">
            <v>21045</v>
          </cell>
        </row>
        <row r="3944">
          <cell r="H3944" t="str">
            <v>Linares de Mora</v>
          </cell>
          <cell r="I3944" t="str">
            <v>44137</v>
          </cell>
        </row>
        <row r="3945">
          <cell r="H3945" t="str">
            <v>Linares de Riofrío</v>
          </cell>
          <cell r="I3945" t="str">
            <v>37172</v>
          </cell>
        </row>
        <row r="3946">
          <cell r="H3946" t="str">
            <v>Linyola</v>
          </cell>
          <cell r="I3946" t="str">
            <v>25122</v>
          </cell>
        </row>
        <row r="3947">
          <cell r="H3947" t="str">
            <v>Litago</v>
          </cell>
          <cell r="I3947" t="str">
            <v>50140</v>
          </cell>
        </row>
        <row r="3948">
          <cell r="H3948" t="str">
            <v>Lituénigo</v>
          </cell>
          <cell r="I3948" t="str">
            <v>50141</v>
          </cell>
        </row>
        <row r="3949">
          <cell r="H3949" t="str">
            <v>Lizartza</v>
          </cell>
          <cell r="I3949" t="str">
            <v>20054</v>
          </cell>
        </row>
        <row r="3950">
          <cell r="H3950" t="str">
            <v>Lizoain-Arriasgoiti/Lizoainibar-Arriasgoiti</v>
          </cell>
          <cell r="I3950" t="str">
            <v>31156</v>
          </cell>
        </row>
        <row r="3951">
          <cell r="H3951" t="str">
            <v>Llacuna, La</v>
          </cell>
          <cell r="I3951" t="str">
            <v>08104</v>
          </cell>
        </row>
        <row r="3952">
          <cell r="H3952" t="str">
            <v>Lladó</v>
          </cell>
          <cell r="I3952" t="str">
            <v>17088</v>
          </cell>
        </row>
        <row r="3953">
          <cell r="H3953" t="str">
            <v>Lladorre</v>
          </cell>
          <cell r="I3953" t="str">
            <v>25123</v>
          </cell>
        </row>
        <row r="3954">
          <cell r="H3954" t="str">
            <v>Lladurs</v>
          </cell>
          <cell r="I3954" t="str">
            <v>25124</v>
          </cell>
        </row>
        <row r="3955">
          <cell r="H3955" t="str">
            <v>Llagosta, La</v>
          </cell>
          <cell r="I3955" t="str">
            <v>08105</v>
          </cell>
        </row>
        <row r="3956">
          <cell r="H3956" t="str">
            <v>Llagostera</v>
          </cell>
          <cell r="I3956" t="str">
            <v>17089</v>
          </cell>
        </row>
        <row r="3957">
          <cell r="H3957" t="str">
            <v>Llamas de la Ribera</v>
          </cell>
          <cell r="I3957" t="str">
            <v>24092</v>
          </cell>
        </row>
        <row r="3958">
          <cell r="H3958" t="str">
            <v>Llambilles</v>
          </cell>
          <cell r="I3958" t="str">
            <v>17090</v>
          </cell>
        </row>
        <row r="3959">
          <cell r="H3959" t="str">
            <v>Llanars</v>
          </cell>
          <cell r="I3959" t="str">
            <v>17091</v>
          </cell>
        </row>
        <row r="3960">
          <cell r="H3960" t="str">
            <v>Llançà</v>
          </cell>
          <cell r="I3960" t="str">
            <v>17092</v>
          </cell>
        </row>
        <row r="3961">
          <cell r="H3961" t="str">
            <v>Llanera de Ranes</v>
          </cell>
          <cell r="I3961" t="str">
            <v>46154</v>
          </cell>
        </row>
        <row r="3962">
          <cell r="H3962" t="str">
            <v>Llanes</v>
          </cell>
          <cell r="I3962" t="str">
            <v>33036</v>
          </cell>
        </row>
        <row r="3963">
          <cell r="H3963" t="str">
            <v>Llano de Bureba</v>
          </cell>
          <cell r="I3963" t="str">
            <v>09195</v>
          </cell>
        </row>
        <row r="3964">
          <cell r="H3964" t="str">
            <v>Llano de Olmedo</v>
          </cell>
          <cell r="I3964" t="str">
            <v>47079</v>
          </cell>
        </row>
        <row r="3965">
          <cell r="H3965" t="str">
            <v>Llanos de Aridane, Los</v>
          </cell>
          <cell r="I3965" t="str">
            <v>38024</v>
          </cell>
        </row>
        <row r="3966">
          <cell r="H3966" t="str">
            <v>Llanos de Tormes, Los</v>
          </cell>
          <cell r="I3966" t="str">
            <v>05113</v>
          </cell>
        </row>
        <row r="3967">
          <cell r="H3967" t="str">
            <v>Llanos del Caudillo</v>
          </cell>
          <cell r="I3967" t="str">
            <v>13904</v>
          </cell>
        </row>
        <row r="3968">
          <cell r="H3968" t="str">
            <v>Llardecans</v>
          </cell>
          <cell r="I3968" t="str">
            <v>25125</v>
          </cell>
        </row>
        <row r="3969">
          <cell r="H3969" t="str">
            <v>Llaurí</v>
          </cell>
          <cell r="I3969" t="str">
            <v>46155</v>
          </cell>
        </row>
        <row r="3970">
          <cell r="H3970" t="str">
            <v>Llavorsí</v>
          </cell>
          <cell r="I3970" t="str">
            <v>25126</v>
          </cell>
        </row>
        <row r="3971">
          <cell r="H3971" t="str">
            <v>Lledó</v>
          </cell>
          <cell r="I3971" t="str">
            <v>44141</v>
          </cell>
        </row>
        <row r="3972">
          <cell r="H3972" t="str">
            <v>Lleida</v>
          </cell>
          <cell r="I3972" t="str">
            <v>25120</v>
          </cell>
        </row>
        <row r="3973">
          <cell r="H3973" t="str">
            <v>Llera</v>
          </cell>
          <cell r="I3973" t="str">
            <v>06073</v>
          </cell>
        </row>
        <row r="3974">
          <cell r="H3974" t="str">
            <v>Llerena</v>
          </cell>
          <cell r="I3974" t="str">
            <v>06074</v>
          </cell>
        </row>
        <row r="3975">
          <cell r="H3975" t="str">
            <v>Llers</v>
          </cell>
          <cell r="I3975" t="str">
            <v>17093</v>
          </cell>
        </row>
        <row r="3976">
          <cell r="H3976" t="str">
            <v>Lles de Cerdanya</v>
          </cell>
          <cell r="I3976" t="str">
            <v>25127</v>
          </cell>
        </row>
        <row r="3977">
          <cell r="H3977" t="str">
            <v>Llíber</v>
          </cell>
          <cell r="I3977" t="str">
            <v>03085</v>
          </cell>
        </row>
        <row r="3978">
          <cell r="H3978" t="str">
            <v>Lliçà d'Amunt</v>
          </cell>
          <cell r="I3978" t="str">
            <v>08107</v>
          </cell>
        </row>
        <row r="3979">
          <cell r="H3979" t="str">
            <v>Lliçà de Vall</v>
          </cell>
          <cell r="I3979" t="str">
            <v>08108</v>
          </cell>
        </row>
        <row r="3980">
          <cell r="H3980" t="str">
            <v>Llimiana</v>
          </cell>
          <cell r="I3980" t="str">
            <v>25128</v>
          </cell>
        </row>
        <row r="3981">
          <cell r="H3981" t="str">
            <v>Llinars del Vallès</v>
          </cell>
          <cell r="I3981" t="str">
            <v>08106</v>
          </cell>
        </row>
        <row r="3982">
          <cell r="H3982" t="str">
            <v>Llíria</v>
          </cell>
          <cell r="I3982" t="str">
            <v>46147</v>
          </cell>
        </row>
        <row r="3983">
          <cell r="H3983" t="str">
            <v>Llívia</v>
          </cell>
          <cell r="I3983" t="str">
            <v>17094</v>
          </cell>
        </row>
        <row r="3984">
          <cell r="H3984" t="str">
            <v>Lloar, El</v>
          </cell>
          <cell r="I3984" t="str">
            <v>43072</v>
          </cell>
        </row>
        <row r="3985">
          <cell r="H3985" t="str">
            <v>Llobera</v>
          </cell>
          <cell r="I3985" t="str">
            <v>25129</v>
          </cell>
        </row>
        <row r="3986">
          <cell r="H3986" t="str">
            <v>Llocnou de la Corona</v>
          </cell>
          <cell r="I3986" t="str">
            <v>46152</v>
          </cell>
        </row>
        <row r="3987">
          <cell r="H3987" t="str">
            <v>Llocnou de Sant Jeroni</v>
          </cell>
          <cell r="I3987" t="str">
            <v>46153</v>
          </cell>
        </row>
        <row r="3988">
          <cell r="H3988" t="str">
            <v>Llocnou d'En Fenollet</v>
          </cell>
          <cell r="I3988" t="str">
            <v>46151</v>
          </cell>
        </row>
        <row r="3989">
          <cell r="H3989" t="str">
            <v>Llombai</v>
          </cell>
          <cell r="I3989" t="str">
            <v>46156</v>
          </cell>
        </row>
        <row r="3990">
          <cell r="H3990" t="str">
            <v>Llorac</v>
          </cell>
          <cell r="I3990" t="str">
            <v>43073</v>
          </cell>
        </row>
        <row r="3991">
          <cell r="H3991" t="str">
            <v>Llorenç del Penedès</v>
          </cell>
          <cell r="I3991" t="str">
            <v>43074</v>
          </cell>
        </row>
        <row r="3992">
          <cell r="H3992" t="str">
            <v>Lloret de Mar</v>
          </cell>
          <cell r="I3992" t="str">
            <v>17095</v>
          </cell>
        </row>
        <row r="3993">
          <cell r="H3993" t="str">
            <v>Lloret de Vistalegre</v>
          </cell>
          <cell r="I3993" t="str">
            <v>07028</v>
          </cell>
        </row>
        <row r="3994">
          <cell r="H3994" t="str">
            <v>Llosa de Ranes, la</v>
          </cell>
          <cell r="I3994" t="str">
            <v>46157</v>
          </cell>
        </row>
        <row r="3995">
          <cell r="H3995" t="str">
            <v>Llosa, la</v>
          </cell>
          <cell r="I3995" t="str">
            <v>12074</v>
          </cell>
        </row>
        <row r="3996">
          <cell r="H3996" t="str">
            <v>Llosses, Les</v>
          </cell>
          <cell r="I3996" t="str">
            <v>17096</v>
          </cell>
        </row>
        <row r="3997">
          <cell r="H3997" t="str">
            <v>Lluçà</v>
          </cell>
          <cell r="I3997" t="str">
            <v>08109</v>
          </cell>
        </row>
        <row r="3998">
          <cell r="H3998" t="str">
            <v>Llucena/Lucena del Cid</v>
          </cell>
          <cell r="I3998" t="str">
            <v>12072</v>
          </cell>
        </row>
        <row r="3999">
          <cell r="H3999" t="str">
            <v>Llucmajor</v>
          </cell>
          <cell r="I3999" t="str">
            <v>07031</v>
          </cell>
        </row>
        <row r="4000">
          <cell r="H4000" t="str">
            <v>Llutxent</v>
          </cell>
          <cell r="I4000" t="str">
            <v>46150</v>
          </cell>
        </row>
        <row r="4001">
          <cell r="H4001" t="str">
            <v>Loarre</v>
          </cell>
          <cell r="I4001" t="str">
            <v>22149</v>
          </cell>
        </row>
        <row r="4002">
          <cell r="H4002" t="str">
            <v>Lobeira</v>
          </cell>
          <cell r="I4002" t="str">
            <v>32041</v>
          </cell>
        </row>
        <row r="4003">
          <cell r="H4003" t="str">
            <v>Lobera de Onsella</v>
          </cell>
          <cell r="I4003" t="str">
            <v>50142</v>
          </cell>
        </row>
        <row r="4004">
          <cell r="H4004" t="str">
            <v>Lobios</v>
          </cell>
          <cell r="I4004" t="str">
            <v>32042</v>
          </cell>
        </row>
        <row r="4005">
          <cell r="H4005" t="str">
            <v>Lobón</v>
          </cell>
          <cell r="I4005" t="str">
            <v>06072</v>
          </cell>
        </row>
        <row r="4006">
          <cell r="H4006" t="str">
            <v>Lobras</v>
          </cell>
          <cell r="I4006" t="str">
            <v>18121</v>
          </cell>
        </row>
        <row r="4007">
          <cell r="H4007" t="str">
            <v>Lodosa</v>
          </cell>
          <cell r="I4007" t="str">
            <v>31157</v>
          </cell>
        </row>
        <row r="4008">
          <cell r="H4008" t="str">
            <v>Loeches</v>
          </cell>
          <cell r="I4008" t="str">
            <v>28075</v>
          </cell>
        </row>
        <row r="4009">
          <cell r="H4009" t="str">
            <v>Logroño</v>
          </cell>
          <cell r="I4009" t="str">
            <v>26089</v>
          </cell>
        </row>
        <row r="4010">
          <cell r="H4010" t="str">
            <v>Logrosán</v>
          </cell>
          <cell r="I4010" t="str">
            <v>10109</v>
          </cell>
        </row>
        <row r="4011">
          <cell r="H4011" t="str">
            <v>Loiu</v>
          </cell>
          <cell r="I4011" t="str">
            <v>48903</v>
          </cell>
        </row>
        <row r="4012">
          <cell r="H4012" t="str">
            <v>Loja</v>
          </cell>
          <cell r="I4012" t="str">
            <v>18122</v>
          </cell>
        </row>
        <row r="4013">
          <cell r="H4013" t="str">
            <v>Loma de Ucieza</v>
          </cell>
          <cell r="I4013" t="str">
            <v>34903</v>
          </cell>
        </row>
        <row r="4014">
          <cell r="H4014" t="str">
            <v>Lomas</v>
          </cell>
          <cell r="I4014" t="str">
            <v>34096</v>
          </cell>
        </row>
        <row r="4015">
          <cell r="H4015" t="str">
            <v>Lominchar</v>
          </cell>
          <cell r="I4015" t="str">
            <v>45085</v>
          </cell>
        </row>
        <row r="4016">
          <cell r="H4016" t="str">
            <v>Lomoviejo</v>
          </cell>
          <cell r="I4016" t="str">
            <v>47078</v>
          </cell>
        </row>
        <row r="4017">
          <cell r="H4017" t="str">
            <v>Longares</v>
          </cell>
          <cell r="I4017" t="str">
            <v>50143</v>
          </cell>
        </row>
        <row r="4018">
          <cell r="H4018" t="str">
            <v>Longás</v>
          </cell>
          <cell r="I4018" t="str">
            <v>50144</v>
          </cell>
        </row>
        <row r="4019">
          <cell r="H4019" t="str">
            <v>Lónguida/Longida</v>
          </cell>
          <cell r="I4019" t="str">
            <v>31158</v>
          </cell>
        </row>
        <row r="4020">
          <cell r="H4020" t="str">
            <v>Lopera</v>
          </cell>
          <cell r="I4020" t="str">
            <v>23056</v>
          </cell>
        </row>
        <row r="4021">
          <cell r="H4021" t="str">
            <v>Loporzano</v>
          </cell>
          <cell r="I4021" t="str">
            <v>22150</v>
          </cell>
        </row>
        <row r="4022">
          <cell r="H4022" t="str">
            <v>Lora de Estepa</v>
          </cell>
          <cell r="I4022" t="str">
            <v>41054</v>
          </cell>
        </row>
        <row r="4023">
          <cell r="H4023" t="str">
            <v>Lora del Río</v>
          </cell>
          <cell r="I4023" t="str">
            <v>41055</v>
          </cell>
        </row>
        <row r="4024">
          <cell r="H4024" t="str">
            <v>Loranca de Tajuña</v>
          </cell>
          <cell r="I4024" t="str">
            <v>19160</v>
          </cell>
        </row>
        <row r="4025">
          <cell r="H4025" t="str">
            <v>Lorca</v>
          </cell>
          <cell r="I4025" t="str">
            <v>30024</v>
          </cell>
        </row>
        <row r="4026">
          <cell r="H4026" t="str">
            <v>Loriguilla</v>
          </cell>
          <cell r="I4026" t="str">
            <v>46148</v>
          </cell>
        </row>
        <row r="4027">
          <cell r="H4027" t="str">
            <v>Lorquí</v>
          </cell>
          <cell r="I4027" t="str">
            <v>30025</v>
          </cell>
        </row>
        <row r="4028">
          <cell r="H4028" t="str">
            <v>Losa del Obispo</v>
          </cell>
          <cell r="I4028" t="str">
            <v>46149</v>
          </cell>
        </row>
        <row r="4029">
          <cell r="H4029" t="str">
            <v>Losa, La</v>
          </cell>
          <cell r="I4029" t="str">
            <v>40113</v>
          </cell>
        </row>
        <row r="4030">
          <cell r="H4030" t="str">
            <v>Losacino</v>
          </cell>
          <cell r="I4030" t="str">
            <v>49098</v>
          </cell>
        </row>
        <row r="4031">
          <cell r="H4031" t="str">
            <v>Losacio</v>
          </cell>
          <cell r="I4031" t="str">
            <v>49099</v>
          </cell>
        </row>
        <row r="4032">
          <cell r="H4032" t="str">
            <v>Losar de la Vera</v>
          </cell>
          <cell r="I4032" t="str">
            <v>10110</v>
          </cell>
        </row>
        <row r="4033">
          <cell r="H4033" t="str">
            <v>Losar del Barco, El</v>
          </cell>
          <cell r="I4033" t="str">
            <v>05112</v>
          </cell>
        </row>
        <row r="4034">
          <cell r="H4034" t="str">
            <v>Loscorrales</v>
          </cell>
          <cell r="I4034" t="str">
            <v>22151</v>
          </cell>
        </row>
        <row r="4035">
          <cell r="H4035" t="str">
            <v>Loscos</v>
          </cell>
          <cell r="I4035" t="str">
            <v>44138</v>
          </cell>
        </row>
        <row r="4036">
          <cell r="H4036" t="str">
            <v>Losilla, La</v>
          </cell>
          <cell r="I4036" t="str">
            <v>42106</v>
          </cell>
        </row>
        <row r="4037">
          <cell r="H4037" t="str">
            <v>Lourenzá</v>
          </cell>
          <cell r="I4037" t="str">
            <v>27027</v>
          </cell>
        </row>
        <row r="4038">
          <cell r="H4038" t="str">
            <v>Lousame</v>
          </cell>
          <cell r="I4038" t="str">
            <v>15042</v>
          </cell>
        </row>
        <row r="4039">
          <cell r="H4039" t="str">
            <v>Lozoya</v>
          </cell>
          <cell r="I4039" t="str">
            <v>28076</v>
          </cell>
        </row>
        <row r="4040">
          <cell r="H4040" t="str">
            <v>Lozoyuela-Navas-Sieteiglesias</v>
          </cell>
          <cell r="I4040" t="str">
            <v>28901</v>
          </cell>
        </row>
        <row r="4041">
          <cell r="H4041" t="str">
            <v>Lubián</v>
          </cell>
          <cell r="I4041" t="str">
            <v>49100</v>
          </cell>
        </row>
        <row r="4042">
          <cell r="H4042" t="str">
            <v>Lubrín</v>
          </cell>
          <cell r="I4042" t="str">
            <v>04059</v>
          </cell>
        </row>
        <row r="4043">
          <cell r="H4043" t="str">
            <v>Lucainena de las Torres</v>
          </cell>
          <cell r="I4043" t="str">
            <v>04060</v>
          </cell>
        </row>
        <row r="4044">
          <cell r="H4044" t="str">
            <v>Lúcar</v>
          </cell>
          <cell r="I4044" t="str">
            <v>04061</v>
          </cell>
        </row>
        <row r="4045">
          <cell r="H4045" t="str">
            <v>Lucena</v>
          </cell>
          <cell r="I4045" t="str">
            <v>14038</v>
          </cell>
        </row>
        <row r="4046">
          <cell r="H4046" t="str">
            <v>Lucena de Jalón</v>
          </cell>
          <cell r="I4046" t="str">
            <v>50146</v>
          </cell>
        </row>
        <row r="4047">
          <cell r="H4047" t="str">
            <v>Lucena del Puerto</v>
          </cell>
          <cell r="I4047" t="str">
            <v>21046</v>
          </cell>
        </row>
        <row r="4048">
          <cell r="H4048" t="str">
            <v>Luceni</v>
          </cell>
          <cell r="I4048" t="str">
            <v>50147</v>
          </cell>
        </row>
        <row r="4049">
          <cell r="H4049" t="str">
            <v>Luciana</v>
          </cell>
          <cell r="I4049" t="str">
            <v>13051</v>
          </cell>
        </row>
        <row r="4050">
          <cell r="H4050" t="str">
            <v>Lucillos</v>
          </cell>
          <cell r="I4050" t="str">
            <v>45086</v>
          </cell>
        </row>
        <row r="4051">
          <cell r="H4051" t="str">
            <v>Ludiente</v>
          </cell>
          <cell r="I4051" t="str">
            <v>12073</v>
          </cell>
        </row>
        <row r="4052">
          <cell r="H4052" t="str">
            <v>Luelmo</v>
          </cell>
          <cell r="I4052" t="str">
            <v>49101</v>
          </cell>
        </row>
        <row r="4053">
          <cell r="H4053" t="str">
            <v>Luena</v>
          </cell>
          <cell r="I4053" t="str">
            <v>39039</v>
          </cell>
        </row>
        <row r="4054">
          <cell r="H4054" t="str">
            <v>Luesia</v>
          </cell>
          <cell r="I4054" t="str">
            <v>50148</v>
          </cell>
        </row>
        <row r="4055">
          <cell r="H4055" t="str">
            <v>Luesma</v>
          </cell>
          <cell r="I4055" t="str">
            <v>50149</v>
          </cell>
        </row>
        <row r="4056">
          <cell r="H4056" t="str">
            <v>Lugo</v>
          </cell>
          <cell r="I4056" t="str">
            <v>27028</v>
          </cell>
        </row>
        <row r="4057">
          <cell r="H4057" t="str">
            <v>Lugros</v>
          </cell>
          <cell r="I4057" t="str">
            <v>18123</v>
          </cell>
        </row>
        <row r="4058">
          <cell r="H4058" t="str">
            <v>Luisiana, La</v>
          </cell>
          <cell r="I4058" t="str">
            <v>41056</v>
          </cell>
        </row>
        <row r="4059">
          <cell r="H4059" t="str">
            <v>Lújar</v>
          </cell>
          <cell r="I4059" t="str">
            <v>18124</v>
          </cell>
        </row>
        <row r="4060">
          <cell r="H4060" t="str">
            <v>Lumbier</v>
          </cell>
          <cell r="I4060" t="str">
            <v>31159</v>
          </cell>
        </row>
        <row r="4061">
          <cell r="H4061" t="str">
            <v>Lumbrales</v>
          </cell>
          <cell r="I4061" t="str">
            <v>37173</v>
          </cell>
        </row>
        <row r="4062">
          <cell r="H4062" t="str">
            <v>Lumbreras de Cameros</v>
          </cell>
          <cell r="I4062" t="str">
            <v>26091</v>
          </cell>
        </row>
        <row r="4063">
          <cell r="H4063" t="str">
            <v>Lumpiaque</v>
          </cell>
          <cell r="I4063" t="str">
            <v>50150</v>
          </cell>
        </row>
        <row r="4064">
          <cell r="H4064" t="str">
            <v>Luna</v>
          </cell>
          <cell r="I4064" t="str">
            <v>50151</v>
          </cell>
        </row>
        <row r="4065">
          <cell r="H4065" t="str">
            <v>Lupiana</v>
          </cell>
          <cell r="I4065" t="str">
            <v>19161</v>
          </cell>
        </row>
        <row r="4066">
          <cell r="H4066" t="str">
            <v>Lupiñén-Ortilla</v>
          </cell>
          <cell r="I4066" t="str">
            <v>22905</v>
          </cell>
        </row>
        <row r="4067">
          <cell r="H4067" t="str">
            <v>Lupión</v>
          </cell>
          <cell r="I4067" t="str">
            <v>23057</v>
          </cell>
        </row>
        <row r="4068">
          <cell r="H4068" t="str">
            <v>Luque</v>
          </cell>
          <cell r="I4068" t="str">
            <v>14039</v>
          </cell>
        </row>
        <row r="4069">
          <cell r="H4069" t="str">
            <v>Luquin</v>
          </cell>
          <cell r="I4069" t="str">
            <v>31160</v>
          </cell>
        </row>
        <row r="4070">
          <cell r="H4070" t="str">
            <v>Luyego</v>
          </cell>
          <cell r="I4070" t="str">
            <v>24091</v>
          </cell>
        </row>
        <row r="4071">
          <cell r="H4071" t="str">
            <v>Luzaga</v>
          </cell>
          <cell r="I4071" t="str">
            <v>19162</v>
          </cell>
        </row>
        <row r="4072">
          <cell r="H4072" t="str">
            <v>Luzaide/Valcarlos</v>
          </cell>
          <cell r="I4072" t="str">
            <v>31248</v>
          </cell>
        </row>
        <row r="4073">
          <cell r="H4073" t="str">
            <v>Luzón</v>
          </cell>
          <cell r="I4073" t="str">
            <v>19163</v>
          </cell>
        </row>
        <row r="4074">
          <cell r="H4074" t="str">
            <v>Macael</v>
          </cell>
          <cell r="I4074" t="str">
            <v>04062</v>
          </cell>
        </row>
        <row r="4075">
          <cell r="H4075" t="str">
            <v>Maçanet de Cabrenys</v>
          </cell>
          <cell r="I4075" t="str">
            <v>17102</v>
          </cell>
        </row>
        <row r="4076">
          <cell r="H4076" t="str">
            <v>Maçanet de la Selva</v>
          </cell>
          <cell r="I4076" t="str">
            <v>17103</v>
          </cell>
        </row>
        <row r="4077">
          <cell r="H4077" t="str">
            <v>Macastre</v>
          </cell>
          <cell r="I4077" t="str">
            <v>46158</v>
          </cell>
        </row>
        <row r="4078">
          <cell r="H4078" t="str">
            <v>Maceda</v>
          </cell>
          <cell r="I4078" t="str">
            <v>32043</v>
          </cell>
        </row>
        <row r="4079">
          <cell r="H4079" t="str">
            <v>Machacón</v>
          </cell>
          <cell r="I4079" t="str">
            <v>37175</v>
          </cell>
        </row>
        <row r="4080">
          <cell r="H4080" t="str">
            <v>Macharaviaya</v>
          </cell>
          <cell r="I4080" t="str">
            <v>29066</v>
          </cell>
        </row>
        <row r="4081">
          <cell r="H4081" t="str">
            <v>Macotera</v>
          </cell>
          <cell r="I4081" t="str">
            <v>37174</v>
          </cell>
        </row>
        <row r="4082">
          <cell r="H4082" t="str">
            <v>Madarcos</v>
          </cell>
          <cell r="I4082" t="str">
            <v>28078</v>
          </cell>
        </row>
        <row r="4083">
          <cell r="H4083" t="str">
            <v>Maderal, El</v>
          </cell>
          <cell r="I4083" t="str">
            <v>49102</v>
          </cell>
        </row>
        <row r="4084">
          <cell r="H4084" t="str">
            <v>Maderuelo</v>
          </cell>
          <cell r="I4084" t="str">
            <v>40115</v>
          </cell>
        </row>
        <row r="4085">
          <cell r="H4085" t="str">
            <v>Madremanya</v>
          </cell>
          <cell r="I4085" t="str">
            <v>17097</v>
          </cell>
        </row>
        <row r="4086">
          <cell r="H4086" t="str">
            <v>Madrid</v>
          </cell>
          <cell r="I4086" t="str">
            <v>28079</v>
          </cell>
        </row>
        <row r="4087">
          <cell r="H4087" t="str">
            <v>Madridanos</v>
          </cell>
          <cell r="I4087" t="str">
            <v>49103</v>
          </cell>
        </row>
        <row r="4088">
          <cell r="H4088" t="str">
            <v>Madridejos</v>
          </cell>
          <cell r="I4088" t="str">
            <v>45087</v>
          </cell>
        </row>
        <row r="4089">
          <cell r="H4089" t="str">
            <v>Madrigal de la Vera</v>
          </cell>
          <cell r="I4089" t="str">
            <v>10111</v>
          </cell>
        </row>
        <row r="4090">
          <cell r="H4090" t="str">
            <v>Madrigal de las Altas Torres</v>
          </cell>
          <cell r="I4090" t="str">
            <v>05114</v>
          </cell>
        </row>
        <row r="4091">
          <cell r="H4091" t="str">
            <v>Madrigal del Monte</v>
          </cell>
          <cell r="I4091" t="str">
            <v>09196</v>
          </cell>
        </row>
        <row r="4092">
          <cell r="H4092" t="str">
            <v>Madrigalejo</v>
          </cell>
          <cell r="I4092" t="str">
            <v>10112</v>
          </cell>
        </row>
        <row r="4093">
          <cell r="H4093" t="str">
            <v>Madrigalejo del Monte</v>
          </cell>
          <cell r="I4093" t="str">
            <v>09197</v>
          </cell>
        </row>
        <row r="4094">
          <cell r="H4094" t="str">
            <v>Madrigueras</v>
          </cell>
          <cell r="I4094" t="str">
            <v>02045</v>
          </cell>
        </row>
        <row r="4095">
          <cell r="H4095" t="str">
            <v>Madroñal</v>
          </cell>
          <cell r="I4095" t="str">
            <v>37176</v>
          </cell>
        </row>
        <row r="4096">
          <cell r="H4096" t="str">
            <v>Madroñera</v>
          </cell>
          <cell r="I4096" t="str">
            <v>10113</v>
          </cell>
        </row>
        <row r="4097">
          <cell r="H4097" t="str">
            <v>Madroño, El</v>
          </cell>
          <cell r="I4097" t="str">
            <v>41057</v>
          </cell>
        </row>
        <row r="4098">
          <cell r="H4098" t="str">
            <v>Maella</v>
          </cell>
          <cell r="I4098" t="str">
            <v>50152</v>
          </cell>
        </row>
        <row r="4099">
          <cell r="H4099" t="str">
            <v>Maello</v>
          </cell>
          <cell r="I4099" t="str">
            <v>05115</v>
          </cell>
        </row>
        <row r="4100">
          <cell r="H4100" t="str">
            <v>Magacela</v>
          </cell>
          <cell r="I4100" t="str">
            <v>06075</v>
          </cell>
        </row>
        <row r="4101">
          <cell r="H4101" t="str">
            <v>Magallón</v>
          </cell>
          <cell r="I4101" t="str">
            <v>50153</v>
          </cell>
        </row>
        <row r="4102">
          <cell r="H4102" t="str">
            <v>Magán</v>
          </cell>
          <cell r="I4102" t="str">
            <v>45088</v>
          </cell>
        </row>
        <row r="4103">
          <cell r="H4103" t="str">
            <v>Magaña</v>
          </cell>
          <cell r="I4103" t="str">
            <v>42107</v>
          </cell>
        </row>
        <row r="4104">
          <cell r="H4104" t="str">
            <v>Magaz de Pisuerga</v>
          </cell>
          <cell r="I4104" t="str">
            <v>34098</v>
          </cell>
        </row>
        <row r="4105">
          <cell r="H4105" t="str">
            <v>Maguilla</v>
          </cell>
          <cell r="I4105" t="str">
            <v>06076</v>
          </cell>
        </row>
        <row r="4106">
          <cell r="H4106" t="str">
            <v>Mahamud</v>
          </cell>
          <cell r="I4106" t="str">
            <v>09198</v>
          </cell>
        </row>
        <row r="4107">
          <cell r="H4107" t="str">
            <v>Mahide</v>
          </cell>
          <cell r="I4107" t="str">
            <v>49104</v>
          </cell>
        </row>
        <row r="4108">
          <cell r="H4108" t="str">
            <v>Mahora</v>
          </cell>
          <cell r="I4108" t="str">
            <v>02046</v>
          </cell>
        </row>
        <row r="4109">
          <cell r="H4109" t="str">
            <v>Maià de Montcal</v>
          </cell>
          <cell r="I4109" t="str">
            <v>17098</v>
          </cell>
        </row>
        <row r="4110">
          <cell r="H4110" t="str">
            <v>Maials</v>
          </cell>
          <cell r="I4110" t="str">
            <v>25133</v>
          </cell>
        </row>
        <row r="4111">
          <cell r="H4111" t="str">
            <v>Maíllo, El</v>
          </cell>
          <cell r="I4111" t="str">
            <v>37177</v>
          </cell>
        </row>
        <row r="4112">
          <cell r="H4112" t="str">
            <v>Mainar</v>
          </cell>
          <cell r="I4112" t="str">
            <v>50154</v>
          </cell>
        </row>
        <row r="4113">
          <cell r="H4113" t="str">
            <v>Maire de Castroponce</v>
          </cell>
          <cell r="I4113" t="str">
            <v>49105</v>
          </cell>
        </row>
        <row r="4114">
          <cell r="H4114" t="str">
            <v>Mairena del Alcor</v>
          </cell>
          <cell r="I4114" t="str">
            <v>41058</v>
          </cell>
        </row>
        <row r="4115">
          <cell r="H4115" t="str">
            <v>Mairena del Aljarafe</v>
          </cell>
          <cell r="I4115" t="str">
            <v>41059</v>
          </cell>
        </row>
        <row r="4116">
          <cell r="H4116" t="str">
            <v>Majadahonda</v>
          </cell>
          <cell r="I4116" t="str">
            <v>28080</v>
          </cell>
        </row>
        <row r="4117">
          <cell r="H4117" t="str">
            <v>Majadas</v>
          </cell>
          <cell r="I4117" t="str">
            <v>10114</v>
          </cell>
        </row>
        <row r="4118">
          <cell r="H4118" t="str">
            <v>Majadas, Las</v>
          </cell>
          <cell r="I4118" t="str">
            <v>16121</v>
          </cell>
        </row>
        <row r="4119">
          <cell r="H4119" t="str">
            <v>Majaelrayo</v>
          </cell>
          <cell r="I4119" t="str">
            <v>19165</v>
          </cell>
        </row>
        <row r="4120">
          <cell r="H4120" t="str">
            <v>Maján</v>
          </cell>
          <cell r="I4120" t="str">
            <v>42108</v>
          </cell>
        </row>
        <row r="4121">
          <cell r="H4121" t="str">
            <v>Málaga</v>
          </cell>
          <cell r="I4121" t="str">
            <v>29067</v>
          </cell>
        </row>
        <row r="4122">
          <cell r="H4122" t="str">
            <v>Málaga del Fresno</v>
          </cell>
          <cell r="I4122" t="str">
            <v>19166</v>
          </cell>
        </row>
        <row r="4123">
          <cell r="H4123" t="str">
            <v>Malagón</v>
          </cell>
          <cell r="I4123" t="str">
            <v>13052</v>
          </cell>
        </row>
        <row r="4124">
          <cell r="H4124" t="str">
            <v>Malaguilla</v>
          </cell>
          <cell r="I4124" t="str">
            <v>19167</v>
          </cell>
        </row>
        <row r="4125">
          <cell r="H4125" t="str">
            <v>Malahá, La</v>
          </cell>
          <cell r="I4125" t="str">
            <v>18126</v>
          </cell>
        </row>
        <row r="4126">
          <cell r="H4126" t="str">
            <v>Malanquilla</v>
          </cell>
          <cell r="I4126" t="str">
            <v>50155</v>
          </cell>
        </row>
        <row r="4127">
          <cell r="H4127" t="str">
            <v>Malcocinado</v>
          </cell>
          <cell r="I4127" t="str">
            <v>06077</v>
          </cell>
        </row>
        <row r="4128">
          <cell r="H4128" t="str">
            <v>Maldà</v>
          </cell>
          <cell r="I4128" t="str">
            <v>25130</v>
          </cell>
        </row>
        <row r="4129">
          <cell r="H4129" t="str">
            <v>Maleján</v>
          </cell>
          <cell r="I4129" t="str">
            <v>50156</v>
          </cell>
        </row>
        <row r="4130">
          <cell r="H4130" t="str">
            <v>Malgrat de Mar</v>
          </cell>
          <cell r="I4130" t="str">
            <v>08110</v>
          </cell>
        </row>
        <row r="4131">
          <cell r="H4131" t="str">
            <v>Malla</v>
          </cell>
          <cell r="I4131" t="str">
            <v>08111</v>
          </cell>
        </row>
        <row r="4132">
          <cell r="H4132" t="str">
            <v>Mallabia</v>
          </cell>
          <cell r="I4132" t="str">
            <v>48058</v>
          </cell>
        </row>
        <row r="4133">
          <cell r="H4133" t="str">
            <v>Mallén</v>
          </cell>
          <cell r="I4133" t="str">
            <v>50160</v>
          </cell>
        </row>
        <row r="4134">
          <cell r="H4134" t="str">
            <v>Malón</v>
          </cell>
          <cell r="I4134" t="str">
            <v>50157</v>
          </cell>
        </row>
        <row r="4135">
          <cell r="H4135" t="str">
            <v>Malpartida</v>
          </cell>
          <cell r="I4135" t="str">
            <v>37178</v>
          </cell>
        </row>
        <row r="4136">
          <cell r="H4136" t="str">
            <v>Malpartida de Cáceres</v>
          </cell>
          <cell r="I4136" t="str">
            <v>10115</v>
          </cell>
        </row>
        <row r="4137">
          <cell r="H4137" t="str">
            <v>Malpartida de Corneja</v>
          </cell>
          <cell r="I4137" t="str">
            <v>05116</v>
          </cell>
        </row>
        <row r="4138">
          <cell r="H4138" t="str">
            <v>Malpartida de la Serena</v>
          </cell>
          <cell r="I4138" t="str">
            <v>06078</v>
          </cell>
        </row>
        <row r="4139">
          <cell r="H4139" t="str">
            <v>Malpartida de Plasencia</v>
          </cell>
          <cell r="I4139" t="str">
            <v>10116</v>
          </cell>
        </row>
        <row r="4140">
          <cell r="H4140" t="str">
            <v>Malpica de Bergantiños</v>
          </cell>
          <cell r="I4140" t="str">
            <v>15043</v>
          </cell>
        </row>
        <row r="4141">
          <cell r="H4141" t="str">
            <v>Malpica de Tajo</v>
          </cell>
          <cell r="I4141" t="str">
            <v>45089</v>
          </cell>
        </row>
        <row r="4142">
          <cell r="H4142" t="str">
            <v>Maluenda</v>
          </cell>
          <cell r="I4142" t="str">
            <v>50159</v>
          </cell>
        </row>
        <row r="4143">
          <cell r="H4143" t="str">
            <v>Malva</v>
          </cell>
          <cell r="I4143" t="str">
            <v>49107</v>
          </cell>
        </row>
        <row r="4144">
          <cell r="H4144" t="str">
            <v>Mamblas</v>
          </cell>
          <cell r="I4144" t="str">
            <v>05117</v>
          </cell>
        </row>
        <row r="4145">
          <cell r="H4145" t="str">
            <v>Mambrilla de Castrejón</v>
          </cell>
          <cell r="I4145" t="str">
            <v>09199</v>
          </cell>
        </row>
        <row r="4146">
          <cell r="H4146" t="str">
            <v>Mambrillas de Lara</v>
          </cell>
          <cell r="I4146" t="str">
            <v>09200</v>
          </cell>
        </row>
        <row r="4147">
          <cell r="H4147" t="str">
            <v>Mamolar</v>
          </cell>
          <cell r="I4147" t="str">
            <v>09201</v>
          </cell>
        </row>
        <row r="4148">
          <cell r="H4148" t="str">
            <v>Manacor</v>
          </cell>
          <cell r="I4148" t="str">
            <v>07033</v>
          </cell>
        </row>
        <row r="4149">
          <cell r="H4149" t="str">
            <v>Mancera de Abajo</v>
          </cell>
          <cell r="I4149" t="str">
            <v>37179</v>
          </cell>
        </row>
        <row r="4150">
          <cell r="H4150" t="str">
            <v>Mancera de Arriba</v>
          </cell>
          <cell r="I4150" t="str">
            <v>05118</v>
          </cell>
        </row>
        <row r="4151">
          <cell r="H4151" t="str">
            <v>Mancha Real</v>
          </cell>
          <cell r="I4151" t="str">
            <v>23058</v>
          </cell>
        </row>
        <row r="4152">
          <cell r="H4152" t="str">
            <v>Manchita</v>
          </cell>
          <cell r="I4152" t="str">
            <v>06079</v>
          </cell>
        </row>
        <row r="4153">
          <cell r="H4153" t="str">
            <v>Manchones</v>
          </cell>
          <cell r="I4153" t="str">
            <v>50161</v>
          </cell>
        </row>
        <row r="4154">
          <cell r="H4154" t="str">
            <v>Manciles</v>
          </cell>
          <cell r="I4154" t="str">
            <v>09202</v>
          </cell>
        </row>
        <row r="4155">
          <cell r="H4155" t="str">
            <v>Mandayona</v>
          </cell>
          <cell r="I4155" t="str">
            <v>19168</v>
          </cell>
        </row>
        <row r="4156">
          <cell r="H4156" t="str">
            <v>Manganeses de la Lampreana</v>
          </cell>
          <cell r="I4156" t="str">
            <v>49108</v>
          </cell>
        </row>
        <row r="4157">
          <cell r="H4157" t="str">
            <v>Manganeses de la Polvorosa</v>
          </cell>
          <cell r="I4157" t="str">
            <v>49109</v>
          </cell>
        </row>
        <row r="4158">
          <cell r="H4158" t="str">
            <v>Manilva</v>
          </cell>
          <cell r="I4158" t="str">
            <v>29068</v>
          </cell>
        </row>
        <row r="4159">
          <cell r="H4159" t="str">
            <v>Manises</v>
          </cell>
          <cell r="I4159" t="str">
            <v>46159</v>
          </cell>
        </row>
        <row r="4160">
          <cell r="H4160" t="str">
            <v>Manjabálago y Ortigosa de Rioalmar</v>
          </cell>
          <cell r="I4160" t="str">
            <v>05119</v>
          </cell>
        </row>
        <row r="4161">
          <cell r="H4161" t="str">
            <v>Manjarrés</v>
          </cell>
          <cell r="I4161" t="str">
            <v>26092</v>
          </cell>
        </row>
        <row r="4162">
          <cell r="H4162" t="str">
            <v>Manlleu</v>
          </cell>
          <cell r="I4162" t="str">
            <v>08112</v>
          </cell>
        </row>
        <row r="4163">
          <cell r="H4163" t="str">
            <v>Manquillos</v>
          </cell>
          <cell r="I4163" t="str">
            <v>34099</v>
          </cell>
        </row>
        <row r="4164">
          <cell r="H4164" t="str">
            <v>Manresa</v>
          </cell>
          <cell r="I4164" t="str">
            <v>08113</v>
          </cell>
        </row>
        <row r="4165">
          <cell r="H4165" t="str">
            <v>Mansilla de la Sierra</v>
          </cell>
          <cell r="I4165" t="str">
            <v>26093</v>
          </cell>
        </row>
        <row r="4166">
          <cell r="H4166" t="str">
            <v>Mansilla de las Mulas</v>
          </cell>
          <cell r="I4166" t="str">
            <v>24094</v>
          </cell>
        </row>
        <row r="4167">
          <cell r="H4167" t="str">
            <v>Mansilla Mayor</v>
          </cell>
          <cell r="I4167" t="str">
            <v>24095</v>
          </cell>
        </row>
        <row r="4168">
          <cell r="H4168" t="str">
            <v>Mantiel</v>
          </cell>
          <cell r="I4168" t="str">
            <v>19169</v>
          </cell>
        </row>
        <row r="4169">
          <cell r="H4169" t="str">
            <v>Manuel</v>
          </cell>
          <cell r="I4169" t="str">
            <v>46160</v>
          </cell>
        </row>
        <row r="4170">
          <cell r="H4170" t="str">
            <v>Manzanal de Arriba</v>
          </cell>
          <cell r="I4170" t="str">
            <v>49110</v>
          </cell>
        </row>
        <row r="4171">
          <cell r="H4171" t="str">
            <v>Manzanal de los Infantes</v>
          </cell>
          <cell r="I4171" t="str">
            <v>49112</v>
          </cell>
        </row>
        <row r="4172">
          <cell r="H4172" t="str">
            <v>Manzanal del Barco</v>
          </cell>
          <cell r="I4172" t="str">
            <v>49111</v>
          </cell>
        </row>
        <row r="4173">
          <cell r="H4173" t="str">
            <v>Manzanares</v>
          </cell>
          <cell r="I4173" t="str">
            <v>13053</v>
          </cell>
        </row>
        <row r="4174">
          <cell r="H4174" t="str">
            <v>Manzanares de Rioja</v>
          </cell>
          <cell r="I4174" t="str">
            <v>26094</v>
          </cell>
        </row>
        <row r="4175">
          <cell r="H4175" t="str">
            <v>Manzanares el Real</v>
          </cell>
          <cell r="I4175" t="str">
            <v>28082</v>
          </cell>
        </row>
        <row r="4176">
          <cell r="H4176" t="str">
            <v>Manzaneda</v>
          </cell>
          <cell r="I4176" t="str">
            <v>32044</v>
          </cell>
        </row>
        <row r="4177">
          <cell r="H4177" t="str">
            <v>Manzaneque</v>
          </cell>
          <cell r="I4177" t="str">
            <v>45090</v>
          </cell>
        </row>
        <row r="4178">
          <cell r="H4178" t="str">
            <v>Manzanera</v>
          </cell>
          <cell r="I4178" t="str">
            <v>44143</v>
          </cell>
        </row>
        <row r="4179">
          <cell r="H4179" t="str">
            <v>Manzanilla</v>
          </cell>
          <cell r="I4179" t="str">
            <v>21047</v>
          </cell>
        </row>
        <row r="4180">
          <cell r="H4180" t="str">
            <v>Manzanillo</v>
          </cell>
          <cell r="I4180" t="str">
            <v>47080</v>
          </cell>
        </row>
        <row r="4181">
          <cell r="H4181" t="str">
            <v>Manzano, El</v>
          </cell>
          <cell r="I4181" t="str">
            <v>37180</v>
          </cell>
        </row>
        <row r="4182">
          <cell r="H4182" t="str">
            <v>Mañaria</v>
          </cell>
          <cell r="I4182" t="str">
            <v>48059</v>
          </cell>
        </row>
        <row r="4183">
          <cell r="H4183" t="str">
            <v>Mañeru</v>
          </cell>
          <cell r="I4183" t="str">
            <v>31161</v>
          </cell>
        </row>
        <row r="4184">
          <cell r="H4184" t="str">
            <v>Maó</v>
          </cell>
          <cell r="I4184" t="str">
            <v>07032</v>
          </cell>
        </row>
        <row r="4185">
          <cell r="H4185" t="str">
            <v>Maqueda</v>
          </cell>
          <cell r="I4185" t="str">
            <v>45091</v>
          </cell>
        </row>
        <row r="4186">
          <cell r="H4186" t="str">
            <v>Mara</v>
          </cell>
          <cell r="I4186" t="str">
            <v>50162</v>
          </cell>
        </row>
        <row r="4187">
          <cell r="H4187" t="str">
            <v>Maracena</v>
          </cell>
          <cell r="I4187" t="str">
            <v>18127</v>
          </cell>
        </row>
        <row r="4188">
          <cell r="H4188" t="str">
            <v>Maranchón</v>
          </cell>
          <cell r="I4188" t="str">
            <v>19170</v>
          </cell>
        </row>
        <row r="4189">
          <cell r="H4189" t="str">
            <v>Maraña</v>
          </cell>
          <cell r="I4189" t="str">
            <v>24096</v>
          </cell>
        </row>
        <row r="4190">
          <cell r="H4190" t="str">
            <v>Marañón</v>
          </cell>
          <cell r="I4190" t="str">
            <v>31162</v>
          </cell>
        </row>
        <row r="4191">
          <cell r="H4191" t="str">
            <v>Marazoleja</v>
          </cell>
          <cell r="I4191" t="str">
            <v>40903</v>
          </cell>
        </row>
        <row r="4192">
          <cell r="H4192" t="str">
            <v>Marazuela</v>
          </cell>
          <cell r="I4192" t="str">
            <v>40118</v>
          </cell>
        </row>
        <row r="4193">
          <cell r="H4193" t="str">
            <v>Marbella</v>
          </cell>
          <cell r="I4193" t="str">
            <v>29069</v>
          </cell>
        </row>
        <row r="4194">
          <cell r="H4194" t="str">
            <v>Marçà</v>
          </cell>
          <cell r="I4194" t="str">
            <v>43076</v>
          </cell>
        </row>
        <row r="4195">
          <cell r="H4195" t="str">
            <v>Marchagaz</v>
          </cell>
          <cell r="I4195" t="str">
            <v>10117</v>
          </cell>
        </row>
        <row r="4196">
          <cell r="H4196" t="str">
            <v>Marchal</v>
          </cell>
          <cell r="I4196" t="str">
            <v>18128</v>
          </cell>
        </row>
        <row r="4197">
          <cell r="H4197" t="str">
            <v>Marchamalo</v>
          </cell>
          <cell r="I4197" t="str">
            <v>19171</v>
          </cell>
        </row>
        <row r="4198">
          <cell r="H4198" t="str">
            <v>Marchena</v>
          </cell>
          <cell r="I4198" t="str">
            <v>41060</v>
          </cell>
        </row>
        <row r="4199">
          <cell r="H4199" t="str">
            <v>Marcilla</v>
          </cell>
          <cell r="I4199" t="str">
            <v>31163</v>
          </cell>
        </row>
        <row r="4200">
          <cell r="H4200" t="str">
            <v>Marcilla de Campos</v>
          </cell>
          <cell r="I4200" t="str">
            <v>34101</v>
          </cell>
        </row>
        <row r="4201">
          <cell r="H4201" t="str">
            <v>Margalef</v>
          </cell>
          <cell r="I4201" t="str">
            <v>43075</v>
          </cell>
        </row>
        <row r="4202">
          <cell r="H4202" t="str">
            <v>Marganell</v>
          </cell>
          <cell r="I4202" t="str">
            <v>08242</v>
          </cell>
        </row>
        <row r="4203">
          <cell r="H4203" t="str">
            <v>María</v>
          </cell>
          <cell r="I4203" t="str">
            <v>04063</v>
          </cell>
        </row>
        <row r="4204">
          <cell r="H4204" t="str">
            <v>María de Huerva</v>
          </cell>
          <cell r="I4204" t="str">
            <v>50163</v>
          </cell>
        </row>
        <row r="4205">
          <cell r="H4205" t="str">
            <v>Mariana</v>
          </cell>
          <cell r="I4205" t="str">
            <v>16122</v>
          </cell>
        </row>
        <row r="4206">
          <cell r="H4206" t="str">
            <v>Marín</v>
          </cell>
          <cell r="I4206" t="str">
            <v>36026</v>
          </cell>
        </row>
        <row r="4207">
          <cell r="H4207" t="str">
            <v>Marina de Cudeyo</v>
          </cell>
          <cell r="I4207" t="str">
            <v>39040</v>
          </cell>
        </row>
        <row r="4208">
          <cell r="H4208" t="str">
            <v>Marinaleda</v>
          </cell>
          <cell r="I4208" t="str">
            <v>41061</v>
          </cell>
        </row>
        <row r="4209">
          <cell r="H4209" t="str">
            <v>Marines</v>
          </cell>
          <cell r="I4209" t="str">
            <v>46161</v>
          </cell>
        </row>
        <row r="4210">
          <cell r="H4210" t="str">
            <v>Marines, Los</v>
          </cell>
          <cell r="I4210" t="str">
            <v>21048</v>
          </cell>
        </row>
        <row r="4211">
          <cell r="H4211" t="str">
            <v>Marjaliza</v>
          </cell>
          <cell r="I4211" t="str">
            <v>45092</v>
          </cell>
        </row>
        <row r="4212">
          <cell r="H4212" t="str">
            <v>Markina-Xemein</v>
          </cell>
          <cell r="I4212" t="str">
            <v>48060</v>
          </cell>
        </row>
        <row r="4213">
          <cell r="H4213" t="str">
            <v>Marlín</v>
          </cell>
          <cell r="I4213" t="str">
            <v>05120</v>
          </cell>
        </row>
        <row r="4214">
          <cell r="H4214" t="str">
            <v>Marmolejo</v>
          </cell>
          <cell r="I4214" t="str">
            <v>23059</v>
          </cell>
        </row>
        <row r="4215">
          <cell r="H4215" t="str">
            <v>Marracos</v>
          </cell>
          <cell r="I4215" t="str">
            <v>50902</v>
          </cell>
        </row>
        <row r="4216">
          <cell r="H4216" t="str">
            <v>Marratxí</v>
          </cell>
          <cell r="I4216" t="str">
            <v>07036</v>
          </cell>
        </row>
        <row r="4217">
          <cell r="H4217" t="str">
            <v>Marrupe</v>
          </cell>
          <cell r="I4217" t="str">
            <v>45093</v>
          </cell>
        </row>
        <row r="4218">
          <cell r="H4218" t="str">
            <v>Martiago</v>
          </cell>
          <cell r="I4218" t="str">
            <v>37181</v>
          </cell>
        </row>
        <row r="4219">
          <cell r="H4219" t="str">
            <v>Martiherrero</v>
          </cell>
          <cell r="I4219" t="str">
            <v>05121</v>
          </cell>
        </row>
        <row r="4220">
          <cell r="H4220" t="str">
            <v>Martín de la Jara</v>
          </cell>
          <cell r="I4220" t="str">
            <v>41062</v>
          </cell>
        </row>
        <row r="4221">
          <cell r="H4221" t="str">
            <v>Martín de Yeltes</v>
          </cell>
          <cell r="I4221" t="str">
            <v>37183</v>
          </cell>
        </row>
        <row r="4222">
          <cell r="H4222" t="str">
            <v>Martín Miguel</v>
          </cell>
          <cell r="I4222" t="str">
            <v>40119</v>
          </cell>
        </row>
        <row r="4223">
          <cell r="H4223" t="str">
            <v>Martín Muñoz de la Dehesa</v>
          </cell>
          <cell r="I4223" t="str">
            <v>40120</v>
          </cell>
        </row>
        <row r="4224">
          <cell r="H4224" t="str">
            <v>Martín Muñoz de las Posadas</v>
          </cell>
          <cell r="I4224" t="str">
            <v>40121</v>
          </cell>
        </row>
        <row r="4225">
          <cell r="H4225" t="str">
            <v>Martinamor</v>
          </cell>
          <cell r="I4225" t="str">
            <v>37182</v>
          </cell>
        </row>
        <row r="4226">
          <cell r="H4226" t="str">
            <v>Martínez</v>
          </cell>
          <cell r="I4226" t="str">
            <v>05122</v>
          </cell>
        </row>
        <row r="4227">
          <cell r="H4227" t="str">
            <v>Martorell</v>
          </cell>
          <cell r="I4227" t="str">
            <v>08114</v>
          </cell>
        </row>
        <row r="4228">
          <cell r="H4228" t="str">
            <v>Martorelles</v>
          </cell>
          <cell r="I4228" t="str">
            <v>08115</v>
          </cell>
        </row>
        <row r="4229">
          <cell r="H4229" t="str">
            <v>Martos</v>
          </cell>
          <cell r="I4229" t="str">
            <v>23060</v>
          </cell>
        </row>
        <row r="4230">
          <cell r="H4230" t="str">
            <v>Marugán</v>
          </cell>
          <cell r="I4230" t="str">
            <v>40122</v>
          </cell>
        </row>
        <row r="4231">
          <cell r="H4231" t="str">
            <v>Maruri-Jatabe</v>
          </cell>
          <cell r="I4231" t="str">
            <v>48061</v>
          </cell>
        </row>
        <row r="4232">
          <cell r="H4232" t="str">
            <v>Marzales</v>
          </cell>
          <cell r="I4232" t="str">
            <v>47081</v>
          </cell>
        </row>
        <row r="4233">
          <cell r="H4233" t="str">
            <v>Mas de Barberans</v>
          </cell>
          <cell r="I4233" t="str">
            <v>43077</v>
          </cell>
        </row>
        <row r="4234">
          <cell r="H4234" t="str">
            <v>Masarac</v>
          </cell>
          <cell r="I4234" t="str">
            <v>17100</v>
          </cell>
        </row>
        <row r="4235">
          <cell r="H4235" t="str">
            <v>Mascaraque</v>
          </cell>
          <cell r="I4235" t="str">
            <v>45094</v>
          </cell>
        </row>
        <row r="4236">
          <cell r="H4236" t="str">
            <v>Masdenverge</v>
          </cell>
          <cell r="I4236" t="str">
            <v>43078</v>
          </cell>
        </row>
        <row r="4237">
          <cell r="H4237" t="str">
            <v>Masegosa</v>
          </cell>
          <cell r="I4237" t="str">
            <v>16123</v>
          </cell>
        </row>
        <row r="4238">
          <cell r="H4238" t="str">
            <v>Masegoso</v>
          </cell>
          <cell r="I4238" t="str">
            <v>02047</v>
          </cell>
        </row>
        <row r="4239">
          <cell r="H4239" t="str">
            <v>Masegoso de Tajuña</v>
          </cell>
          <cell r="I4239" t="str">
            <v>19172</v>
          </cell>
        </row>
        <row r="4240">
          <cell r="H4240" t="str">
            <v>Maside</v>
          </cell>
          <cell r="I4240" t="str">
            <v>32045</v>
          </cell>
        </row>
        <row r="4241">
          <cell r="H4241" t="str">
            <v>Masies de Roda, Les</v>
          </cell>
          <cell r="I4241" t="str">
            <v>08116</v>
          </cell>
        </row>
        <row r="4242">
          <cell r="H4242" t="str">
            <v>Masies de Voltregà, Les</v>
          </cell>
          <cell r="I4242" t="str">
            <v>08117</v>
          </cell>
        </row>
        <row r="4243">
          <cell r="H4243" t="str">
            <v>Masllorenç</v>
          </cell>
          <cell r="I4243" t="str">
            <v>43079</v>
          </cell>
        </row>
        <row r="4244">
          <cell r="H4244" t="str">
            <v>Masnou, El</v>
          </cell>
          <cell r="I4244" t="str">
            <v>08118</v>
          </cell>
        </row>
        <row r="4245">
          <cell r="H4245" t="str">
            <v>Masó, La</v>
          </cell>
          <cell r="I4245" t="str">
            <v>43080</v>
          </cell>
        </row>
        <row r="4246">
          <cell r="H4246" t="str">
            <v>Maspujols</v>
          </cell>
          <cell r="I4246" t="str">
            <v>43081</v>
          </cell>
        </row>
        <row r="4247">
          <cell r="H4247" t="str">
            <v>Masquefa</v>
          </cell>
          <cell r="I4247" t="str">
            <v>08119</v>
          </cell>
        </row>
        <row r="4248">
          <cell r="H4248" t="str">
            <v>Masroig, El</v>
          </cell>
          <cell r="I4248" t="str">
            <v>43082</v>
          </cell>
        </row>
        <row r="4249">
          <cell r="H4249" t="str">
            <v>Massalavés</v>
          </cell>
          <cell r="I4249" t="str">
            <v>46162</v>
          </cell>
        </row>
        <row r="4250">
          <cell r="H4250" t="str">
            <v>Massalcoreig</v>
          </cell>
          <cell r="I4250" t="str">
            <v>25131</v>
          </cell>
        </row>
        <row r="4251">
          <cell r="H4251" t="str">
            <v>Massalfassar</v>
          </cell>
          <cell r="I4251" t="str">
            <v>46163</v>
          </cell>
        </row>
        <row r="4252">
          <cell r="H4252" t="str">
            <v>Massamagrell</v>
          </cell>
          <cell r="I4252" t="str">
            <v>46164</v>
          </cell>
        </row>
        <row r="4253">
          <cell r="H4253" t="str">
            <v>Massanassa</v>
          </cell>
          <cell r="I4253" t="str">
            <v>46165</v>
          </cell>
        </row>
        <row r="4254">
          <cell r="H4254" t="str">
            <v>Massanes</v>
          </cell>
          <cell r="I4254" t="str">
            <v>17101</v>
          </cell>
        </row>
        <row r="4255">
          <cell r="H4255" t="str">
            <v>Massoteres</v>
          </cell>
          <cell r="I4255" t="str">
            <v>25132</v>
          </cell>
        </row>
        <row r="4256">
          <cell r="H4256" t="str">
            <v>Masueco</v>
          </cell>
          <cell r="I4256" t="str">
            <v>37184</v>
          </cell>
        </row>
        <row r="4257">
          <cell r="H4257" t="str">
            <v>Mata de Alcántara</v>
          </cell>
          <cell r="I4257" t="str">
            <v>10118</v>
          </cell>
        </row>
        <row r="4258">
          <cell r="H4258" t="str">
            <v>Mata de Cuéllar</v>
          </cell>
          <cell r="I4258" t="str">
            <v>40124</v>
          </cell>
        </row>
        <row r="4259">
          <cell r="H4259" t="str">
            <v>Mata de Ledesma, La</v>
          </cell>
          <cell r="I4259" t="str">
            <v>37186</v>
          </cell>
        </row>
        <row r="4260">
          <cell r="H4260" t="str">
            <v>Mata de Morella, la</v>
          </cell>
          <cell r="I4260" t="str">
            <v>12075</v>
          </cell>
        </row>
        <row r="4261">
          <cell r="H4261" t="str">
            <v>Mata, La</v>
          </cell>
          <cell r="I4261" t="str">
            <v>45095</v>
          </cell>
        </row>
        <row r="4262">
          <cell r="H4262" t="str">
            <v>Matabuena</v>
          </cell>
          <cell r="I4262" t="str">
            <v>40123</v>
          </cell>
        </row>
        <row r="4263">
          <cell r="H4263" t="str">
            <v>Matadeón de los Oteros</v>
          </cell>
          <cell r="I4263" t="str">
            <v>24097</v>
          </cell>
        </row>
        <row r="4264">
          <cell r="H4264" t="str">
            <v>Matadepera</v>
          </cell>
          <cell r="I4264" t="str">
            <v>08120</v>
          </cell>
        </row>
        <row r="4265">
          <cell r="H4265" t="str">
            <v>Matalebreras</v>
          </cell>
          <cell r="I4265" t="str">
            <v>42110</v>
          </cell>
        </row>
        <row r="4266">
          <cell r="H4266" t="str">
            <v>Matamala de Almazán</v>
          </cell>
          <cell r="I4266" t="str">
            <v>42111</v>
          </cell>
        </row>
        <row r="4267">
          <cell r="H4267" t="str">
            <v>Matanza</v>
          </cell>
          <cell r="I4267" t="str">
            <v>24099</v>
          </cell>
        </row>
        <row r="4268">
          <cell r="H4268" t="str">
            <v>Matanza de Acentejo, La</v>
          </cell>
          <cell r="I4268" t="str">
            <v>38025</v>
          </cell>
        </row>
        <row r="4269">
          <cell r="H4269" t="str">
            <v>Matapozuelos</v>
          </cell>
          <cell r="I4269" t="str">
            <v>47082</v>
          </cell>
        </row>
        <row r="4270">
          <cell r="H4270" t="str">
            <v>Mataró</v>
          </cell>
          <cell r="I4270" t="str">
            <v>08121</v>
          </cell>
        </row>
        <row r="4271">
          <cell r="H4271" t="str">
            <v>Matarrubia</v>
          </cell>
          <cell r="I4271" t="str">
            <v>19173</v>
          </cell>
        </row>
        <row r="4272">
          <cell r="H4272" t="str">
            <v>Matet</v>
          </cell>
          <cell r="I4272" t="str">
            <v>12076</v>
          </cell>
        </row>
        <row r="4273">
          <cell r="H4273" t="str">
            <v>Matilla de Arzón</v>
          </cell>
          <cell r="I4273" t="str">
            <v>49113</v>
          </cell>
        </row>
        <row r="4274">
          <cell r="H4274" t="str">
            <v>Matilla de los Caños</v>
          </cell>
          <cell r="I4274" t="str">
            <v>47083</v>
          </cell>
        </row>
        <row r="4275">
          <cell r="H4275" t="str">
            <v>Matilla de los Caños del Río</v>
          </cell>
          <cell r="I4275" t="str">
            <v>37187</v>
          </cell>
        </row>
        <row r="4276">
          <cell r="H4276" t="str">
            <v>Matilla la Seca</v>
          </cell>
          <cell r="I4276" t="str">
            <v>49114</v>
          </cell>
        </row>
        <row r="4277">
          <cell r="H4277" t="str">
            <v>Matilla, La</v>
          </cell>
          <cell r="I4277" t="str">
            <v>40125</v>
          </cell>
        </row>
        <row r="4278">
          <cell r="H4278" t="str">
            <v>Matillas</v>
          </cell>
          <cell r="I4278" t="str">
            <v>19174</v>
          </cell>
        </row>
        <row r="4279">
          <cell r="H4279" t="str">
            <v>Matute</v>
          </cell>
          <cell r="I4279" t="str">
            <v>26095</v>
          </cell>
        </row>
        <row r="4280">
          <cell r="H4280" t="str">
            <v>Maya, La</v>
          </cell>
          <cell r="I4280" t="str">
            <v>37188</v>
          </cell>
        </row>
        <row r="4281">
          <cell r="H4281" t="str">
            <v>Mayalde</v>
          </cell>
          <cell r="I4281" t="str">
            <v>49115</v>
          </cell>
        </row>
        <row r="4282">
          <cell r="H4282" t="str">
            <v>Mayorga</v>
          </cell>
          <cell r="I4282" t="str">
            <v>47084</v>
          </cell>
        </row>
        <row r="4283">
          <cell r="H4283" t="str">
            <v>Mazaleón</v>
          </cell>
          <cell r="I4283" t="str">
            <v>44147</v>
          </cell>
        </row>
        <row r="4284">
          <cell r="H4284" t="str">
            <v>Mazarambroz</v>
          </cell>
          <cell r="I4284" t="str">
            <v>45096</v>
          </cell>
        </row>
        <row r="4285">
          <cell r="H4285" t="str">
            <v>Mazarete</v>
          </cell>
          <cell r="I4285" t="str">
            <v>19175</v>
          </cell>
        </row>
        <row r="4286">
          <cell r="H4286" t="str">
            <v>Mazaricos</v>
          </cell>
          <cell r="I4286" t="str">
            <v>15045</v>
          </cell>
        </row>
        <row r="4287">
          <cell r="H4287" t="str">
            <v>Mazariegos</v>
          </cell>
          <cell r="I4287" t="str">
            <v>34102</v>
          </cell>
        </row>
        <row r="4288">
          <cell r="H4288" t="str">
            <v>Mazarrón</v>
          </cell>
          <cell r="I4288" t="str">
            <v>30026</v>
          </cell>
        </row>
        <row r="4289">
          <cell r="H4289" t="str">
            <v>Mazcuerras</v>
          </cell>
          <cell r="I4289" t="str">
            <v>39041</v>
          </cell>
        </row>
        <row r="4290">
          <cell r="H4290" t="str">
            <v>Mazuecos de Valdeginate</v>
          </cell>
          <cell r="I4290" t="str">
            <v>34103</v>
          </cell>
        </row>
        <row r="4291">
          <cell r="H4291" t="str">
            <v>Mazuela</v>
          </cell>
          <cell r="I4291" t="str">
            <v>09206</v>
          </cell>
        </row>
        <row r="4292">
          <cell r="H4292" t="str">
            <v>Meaño</v>
          </cell>
          <cell r="I4292" t="str">
            <v>36027</v>
          </cell>
        </row>
        <row r="4293">
          <cell r="H4293" t="str">
            <v>Mecerreyes</v>
          </cell>
          <cell r="I4293" t="str">
            <v>09208</v>
          </cell>
        </row>
        <row r="4294">
          <cell r="H4294" t="str">
            <v>Meco</v>
          </cell>
          <cell r="I4294" t="str">
            <v>28083</v>
          </cell>
        </row>
        <row r="4295">
          <cell r="H4295" t="str">
            <v>Medellín</v>
          </cell>
          <cell r="I4295" t="str">
            <v>06080</v>
          </cell>
        </row>
        <row r="4296">
          <cell r="H4296" t="str">
            <v>Mediana de Aragón</v>
          </cell>
          <cell r="I4296" t="str">
            <v>50164</v>
          </cell>
        </row>
        <row r="4297">
          <cell r="H4297" t="str">
            <v>Mediana de Voltoya</v>
          </cell>
          <cell r="I4297" t="str">
            <v>05123</v>
          </cell>
        </row>
        <row r="4298">
          <cell r="H4298" t="str">
            <v>Medina de las Torres</v>
          </cell>
          <cell r="I4298" t="str">
            <v>06081</v>
          </cell>
        </row>
        <row r="4299">
          <cell r="H4299" t="str">
            <v>Medina de Rioseco</v>
          </cell>
          <cell r="I4299" t="str">
            <v>47086</v>
          </cell>
        </row>
        <row r="4300">
          <cell r="H4300" t="str">
            <v>Medina del Campo</v>
          </cell>
          <cell r="I4300" t="str">
            <v>47085</v>
          </cell>
        </row>
        <row r="4301">
          <cell r="H4301" t="str">
            <v>Medina Sidonia</v>
          </cell>
          <cell r="I4301" t="str">
            <v>11023</v>
          </cell>
        </row>
        <row r="4302">
          <cell r="H4302" t="str">
            <v>Medinaceli</v>
          </cell>
          <cell r="I4302" t="str">
            <v>42113</v>
          </cell>
        </row>
        <row r="4303">
          <cell r="H4303" t="str">
            <v>Medinilla</v>
          </cell>
          <cell r="I4303" t="str">
            <v>05124</v>
          </cell>
        </row>
        <row r="4304">
          <cell r="H4304" t="str">
            <v>Medio Cudeyo</v>
          </cell>
          <cell r="I4304" t="str">
            <v>39042</v>
          </cell>
        </row>
        <row r="4305">
          <cell r="H4305" t="str">
            <v>Mediona</v>
          </cell>
          <cell r="I4305" t="str">
            <v>08122</v>
          </cell>
        </row>
        <row r="4306">
          <cell r="H4306" t="str">
            <v>Medranda</v>
          </cell>
          <cell r="I4306" t="str">
            <v>19177</v>
          </cell>
        </row>
        <row r="4307">
          <cell r="H4307" t="str">
            <v>Medrano</v>
          </cell>
          <cell r="I4307" t="str">
            <v>26096</v>
          </cell>
        </row>
        <row r="4308">
          <cell r="H4308" t="str">
            <v>Megeces</v>
          </cell>
          <cell r="I4308" t="str">
            <v>47087</v>
          </cell>
        </row>
        <row r="4309">
          <cell r="H4309" t="str">
            <v>Megina</v>
          </cell>
          <cell r="I4309" t="str">
            <v>19178</v>
          </cell>
        </row>
        <row r="4310">
          <cell r="H4310" t="str">
            <v>Meira</v>
          </cell>
          <cell r="I4310" t="str">
            <v>27029</v>
          </cell>
        </row>
        <row r="4311">
          <cell r="H4311" t="str">
            <v>Meis</v>
          </cell>
          <cell r="I4311" t="str">
            <v>36028</v>
          </cell>
        </row>
        <row r="4312">
          <cell r="H4312" t="str">
            <v>Mejorada</v>
          </cell>
          <cell r="I4312" t="str">
            <v>45097</v>
          </cell>
        </row>
        <row r="4313">
          <cell r="H4313" t="str">
            <v>Mejorada del Campo</v>
          </cell>
          <cell r="I4313" t="str">
            <v>28084</v>
          </cell>
        </row>
        <row r="4314">
          <cell r="H4314" t="str">
            <v>Melgar de Abajo</v>
          </cell>
          <cell r="I4314" t="str">
            <v>47088</v>
          </cell>
        </row>
        <row r="4315">
          <cell r="H4315" t="str">
            <v>Melgar de Arriba</v>
          </cell>
          <cell r="I4315" t="str">
            <v>47089</v>
          </cell>
        </row>
        <row r="4316">
          <cell r="H4316" t="str">
            <v>Melgar de Fernamental</v>
          </cell>
          <cell r="I4316" t="str">
            <v>09211</v>
          </cell>
        </row>
        <row r="4317">
          <cell r="H4317" t="str">
            <v>Melgar de Tera</v>
          </cell>
          <cell r="I4317" t="str">
            <v>49116</v>
          </cell>
        </row>
        <row r="4318">
          <cell r="H4318" t="str">
            <v>Melgar de Yuso</v>
          </cell>
          <cell r="I4318" t="str">
            <v>34104</v>
          </cell>
        </row>
        <row r="4319">
          <cell r="H4319" t="str">
            <v>Meliana</v>
          </cell>
          <cell r="I4319" t="str">
            <v>46166</v>
          </cell>
        </row>
        <row r="4320">
          <cell r="H4320" t="str">
            <v>Mélida</v>
          </cell>
          <cell r="I4320" t="str">
            <v>31164</v>
          </cell>
        </row>
        <row r="4321">
          <cell r="H4321" t="str">
            <v>Melide</v>
          </cell>
          <cell r="I4321" t="str">
            <v>15046</v>
          </cell>
        </row>
        <row r="4322">
          <cell r="H4322" t="str">
            <v>Melón</v>
          </cell>
          <cell r="I4322" t="str">
            <v>32046</v>
          </cell>
        </row>
        <row r="4323">
          <cell r="H4323" t="str">
            <v>Melque de Cercos</v>
          </cell>
          <cell r="I4323" t="str">
            <v>40126</v>
          </cell>
        </row>
        <row r="4324">
          <cell r="H4324" t="str">
            <v>Membibre de la Hoz</v>
          </cell>
          <cell r="I4324" t="str">
            <v>40127</v>
          </cell>
        </row>
        <row r="4325">
          <cell r="H4325" t="str">
            <v>Membribe de la Sierra</v>
          </cell>
          <cell r="I4325" t="str">
            <v>37189</v>
          </cell>
        </row>
        <row r="4326">
          <cell r="H4326" t="str">
            <v>Membrilla</v>
          </cell>
          <cell r="I4326" t="str">
            <v>13054</v>
          </cell>
        </row>
        <row r="4327">
          <cell r="H4327" t="str">
            <v>Membrillera</v>
          </cell>
          <cell r="I4327" t="str">
            <v>19179</v>
          </cell>
        </row>
        <row r="4328">
          <cell r="H4328" t="str">
            <v>Membrío</v>
          </cell>
          <cell r="I4328" t="str">
            <v>10119</v>
          </cell>
        </row>
        <row r="4329">
          <cell r="H4329" t="str">
            <v>Menàrguens</v>
          </cell>
          <cell r="I4329" t="str">
            <v>25134</v>
          </cell>
        </row>
        <row r="4330">
          <cell r="H4330" t="str">
            <v>Menasalbas</v>
          </cell>
          <cell r="I4330" t="str">
            <v>45098</v>
          </cell>
        </row>
        <row r="4331">
          <cell r="H4331" t="str">
            <v>Mendaro</v>
          </cell>
          <cell r="I4331" t="str">
            <v>20901</v>
          </cell>
        </row>
        <row r="4332">
          <cell r="H4332" t="str">
            <v>Mendata</v>
          </cell>
          <cell r="I4332" t="str">
            <v>48062</v>
          </cell>
        </row>
        <row r="4333">
          <cell r="H4333" t="str">
            <v>Mendavia</v>
          </cell>
          <cell r="I4333" t="str">
            <v>31165</v>
          </cell>
        </row>
        <row r="4334">
          <cell r="H4334" t="str">
            <v>Mendaza</v>
          </cell>
          <cell r="I4334" t="str">
            <v>31166</v>
          </cell>
        </row>
        <row r="4335">
          <cell r="H4335" t="str">
            <v>Mendexa</v>
          </cell>
          <cell r="I4335" t="str">
            <v>48063</v>
          </cell>
        </row>
        <row r="4336">
          <cell r="H4336" t="str">
            <v>Mendigorria</v>
          </cell>
          <cell r="I4336" t="str">
            <v>31167</v>
          </cell>
        </row>
        <row r="4337">
          <cell r="H4337" t="str">
            <v>Meneses de Campos</v>
          </cell>
          <cell r="I4337" t="str">
            <v>34106</v>
          </cell>
        </row>
        <row r="4338">
          <cell r="H4338" t="str">
            <v>Mengabril</v>
          </cell>
          <cell r="I4338" t="str">
            <v>06082</v>
          </cell>
        </row>
        <row r="4339">
          <cell r="H4339" t="str">
            <v>Mengamuñoz</v>
          </cell>
          <cell r="I4339" t="str">
            <v>05125</v>
          </cell>
        </row>
        <row r="4340">
          <cell r="H4340" t="str">
            <v>Mengíbar</v>
          </cell>
          <cell r="I4340" t="str">
            <v>23061</v>
          </cell>
        </row>
        <row r="4341">
          <cell r="H4341" t="str">
            <v>Méntrida</v>
          </cell>
          <cell r="I4341" t="str">
            <v>45099</v>
          </cell>
        </row>
        <row r="4342">
          <cell r="H4342" t="str">
            <v>Meñaka</v>
          </cell>
          <cell r="I4342" t="str">
            <v>48064</v>
          </cell>
        </row>
        <row r="4343">
          <cell r="H4343" t="str">
            <v>Meranges</v>
          </cell>
          <cell r="I4343" t="str">
            <v>17099</v>
          </cell>
        </row>
        <row r="4344">
          <cell r="H4344" t="str">
            <v>Merca, A</v>
          </cell>
          <cell r="I4344" t="str">
            <v>32047</v>
          </cell>
        </row>
        <row r="4345">
          <cell r="H4345" t="str">
            <v>Mercadal, Es</v>
          </cell>
          <cell r="I4345" t="str">
            <v>07037</v>
          </cell>
        </row>
        <row r="4346">
          <cell r="H4346" t="str">
            <v>Mérida</v>
          </cell>
          <cell r="I4346" t="str">
            <v>06083</v>
          </cell>
        </row>
        <row r="4347">
          <cell r="H4347" t="str">
            <v>Merindad de Montija</v>
          </cell>
          <cell r="I4347" t="str">
            <v>09214</v>
          </cell>
        </row>
        <row r="4348">
          <cell r="H4348" t="str">
            <v>Merindad de Río Ubierna</v>
          </cell>
          <cell r="I4348" t="str">
            <v>09906</v>
          </cell>
        </row>
        <row r="4349">
          <cell r="H4349" t="str">
            <v>Merindad de Sotoscueva</v>
          </cell>
          <cell r="I4349" t="str">
            <v>09215</v>
          </cell>
        </row>
        <row r="4350">
          <cell r="H4350" t="str">
            <v>Merindad de Valdeporres</v>
          </cell>
          <cell r="I4350" t="str">
            <v>09216</v>
          </cell>
        </row>
        <row r="4351">
          <cell r="H4351" t="str">
            <v>Merindad de Valdivielso</v>
          </cell>
          <cell r="I4351" t="str">
            <v>09217</v>
          </cell>
        </row>
        <row r="4352">
          <cell r="H4352" t="str">
            <v>Meruelo</v>
          </cell>
          <cell r="I4352" t="str">
            <v>39043</v>
          </cell>
        </row>
        <row r="4353">
          <cell r="H4353" t="str">
            <v>Mesas de Ibor</v>
          </cell>
          <cell r="I4353" t="str">
            <v>10120</v>
          </cell>
        </row>
        <row r="4354">
          <cell r="H4354" t="str">
            <v>Mesas, Las</v>
          </cell>
          <cell r="I4354" t="str">
            <v>16124</v>
          </cell>
        </row>
        <row r="4355">
          <cell r="H4355" t="str">
            <v>Mesegar de Corneja</v>
          </cell>
          <cell r="I4355" t="str">
            <v>05126</v>
          </cell>
        </row>
        <row r="4356">
          <cell r="H4356" t="str">
            <v>Mesegar de Tajo</v>
          </cell>
          <cell r="I4356" t="str">
            <v>45100</v>
          </cell>
        </row>
        <row r="4357">
          <cell r="H4357" t="str">
            <v>Mesía</v>
          </cell>
          <cell r="I4357" t="str">
            <v>15047</v>
          </cell>
        </row>
        <row r="4358">
          <cell r="H4358" t="str">
            <v>Mesones de Isuela</v>
          </cell>
          <cell r="I4358" t="str">
            <v>50166</v>
          </cell>
        </row>
        <row r="4359">
          <cell r="H4359" t="str">
            <v>Mestanza</v>
          </cell>
          <cell r="I4359" t="str">
            <v>13055</v>
          </cell>
        </row>
        <row r="4360">
          <cell r="H4360" t="str">
            <v>Metauten</v>
          </cell>
          <cell r="I4360" t="str">
            <v>31168</v>
          </cell>
        </row>
        <row r="4361">
          <cell r="H4361" t="str">
            <v>Mezalocha</v>
          </cell>
          <cell r="I4361" t="str">
            <v>50167</v>
          </cell>
        </row>
        <row r="4362">
          <cell r="H4362" t="str">
            <v>Mezquita, A</v>
          </cell>
          <cell r="I4362" t="str">
            <v>32048</v>
          </cell>
        </row>
        <row r="4363">
          <cell r="H4363" t="str">
            <v>Miajadas</v>
          </cell>
          <cell r="I4363" t="str">
            <v>10121</v>
          </cell>
        </row>
        <row r="4364">
          <cell r="H4364" t="str">
            <v>Mianos</v>
          </cell>
          <cell r="I4364" t="str">
            <v>50168</v>
          </cell>
        </row>
        <row r="4365">
          <cell r="H4365" t="str">
            <v>Micereces de Tera</v>
          </cell>
          <cell r="I4365" t="str">
            <v>49117</v>
          </cell>
        </row>
        <row r="4366">
          <cell r="H4366" t="str">
            <v>Micieces de Ojeda</v>
          </cell>
          <cell r="I4366" t="str">
            <v>34107</v>
          </cell>
        </row>
        <row r="4367">
          <cell r="H4367" t="str">
            <v>Miedes de Aragón</v>
          </cell>
          <cell r="I4367" t="str">
            <v>50169</v>
          </cell>
        </row>
        <row r="4368">
          <cell r="H4368" t="str">
            <v>Miedes de Atienza</v>
          </cell>
          <cell r="I4368" t="str">
            <v>19181</v>
          </cell>
        </row>
        <row r="4369">
          <cell r="H4369" t="str">
            <v>Miengo</v>
          </cell>
          <cell r="I4369" t="str">
            <v>39044</v>
          </cell>
        </row>
        <row r="4370">
          <cell r="H4370" t="str">
            <v>Miera</v>
          </cell>
          <cell r="I4370" t="str">
            <v>39045</v>
          </cell>
        </row>
        <row r="4371">
          <cell r="H4371" t="str">
            <v>Mieres</v>
          </cell>
          <cell r="I4371" t="str">
            <v>17105</v>
          </cell>
        </row>
        <row r="4372">
          <cell r="H4372" t="str">
            <v>Mierla, La</v>
          </cell>
          <cell r="I4372" t="str">
            <v>19182</v>
          </cell>
        </row>
        <row r="4373">
          <cell r="H4373" t="str">
            <v>Mieza</v>
          </cell>
          <cell r="I4373" t="str">
            <v>37190</v>
          </cell>
        </row>
        <row r="4374">
          <cell r="H4374" t="str">
            <v>Migjorn Gran, Es</v>
          </cell>
          <cell r="I4374" t="str">
            <v>07902</v>
          </cell>
        </row>
        <row r="4375">
          <cell r="H4375" t="str">
            <v>Miguel Esteban</v>
          </cell>
          <cell r="I4375" t="str">
            <v>45101</v>
          </cell>
        </row>
        <row r="4376">
          <cell r="H4376" t="str">
            <v>Migueláñez</v>
          </cell>
          <cell r="I4376" t="str">
            <v>40128</v>
          </cell>
        </row>
        <row r="4377">
          <cell r="H4377" t="str">
            <v>Miguelturra</v>
          </cell>
          <cell r="I4377" t="str">
            <v>13056</v>
          </cell>
        </row>
        <row r="4378">
          <cell r="H4378" t="str">
            <v>Mijares</v>
          </cell>
          <cell r="I4378" t="str">
            <v>05127</v>
          </cell>
        </row>
        <row r="4379">
          <cell r="H4379" t="str">
            <v>Mijas</v>
          </cell>
          <cell r="I4379" t="str">
            <v>29070</v>
          </cell>
        </row>
        <row r="4380">
          <cell r="H4380" t="str">
            <v>Milà, El</v>
          </cell>
          <cell r="I4380" t="str">
            <v>43083</v>
          </cell>
        </row>
        <row r="4381">
          <cell r="H4381" t="str">
            <v>Milagro</v>
          </cell>
          <cell r="I4381" t="str">
            <v>31169</v>
          </cell>
        </row>
        <row r="4382">
          <cell r="H4382" t="str">
            <v>Milagros</v>
          </cell>
          <cell r="I4382" t="str">
            <v>09218</v>
          </cell>
        </row>
        <row r="4383">
          <cell r="H4383" t="str">
            <v>Milano, El</v>
          </cell>
          <cell r="I4383" t="str">
            <v>37191</v>
          </cell>
        </row>
        <row r="4384">
          <cell r="H4384" t="str">
            <v>Millana</v>
          </cell>
          <cell r="I4384" t="str">
            <v>19184</v>
          </cell>
        </row>
        <row r="4385">
          <cell r="H4385" t="str">
            <v>Millanes</v>
          </cell>
          <cell r="I4385" t="str">
            <v>10122</v>
          </cell>
        </row>
        <row r="4386">
          <cell r="H4386" t="str">
            <v>Millares</v>
          </cell>
          <cell r="I4386" t="str">
            <v>46167</v>
          </cell>
        </row>
        <row r="4387">
          <cell r="H4387" t="str">
            <v>Millena</v>
          </cell>
          <cell r="I4387" t="str">
            <v>03086</v>
          </cell>
        </row>
        <row r="4388">
          <cell r="H4388" t="str">
            <v>Milles de la Polvorosa</v>
          </cell>
          <cell r="I4388" t="str">
            <v>49118</v>
          </cell>
        </row>
        <row r="4389">
          <cell r="H4389" t="str">
            <v>Milmarcos</v>
          </cell>
          <cell r="I4389" t="str">
            <v>19183</v>
          </cell>
        </row>
        <row r="4390">
          <cell r="H4390" t="str">
            <v>Minas de Riotinto</v>
          </cell>
          <cell r="I4390" t="str">
            <v>21049</v>
          </cell>
        </row>
        <row r="4391">
          <cell r="H4391" t="str">
            <v>Minaya</v>
          </cell>
          <cell r="I4391" t="str">
            <v>02048</v>
          </cell>
        </row>
        <row r="4392">
          <cell r="H4392" t="str">
            <v>Minglanilla</v>
          </cell>
          <cell r="I4392" t="str">
            <v>16125</v>
          </cell>
        </row>
        <row r="4393">
          <cell r="H4393" t="str">
            <v>Mingorría</v>
          </cell>
          <cell r="I4393" t="str">
            <v>05128</v>
          </cell>
        </row>
        <row r="4394">
          <cell r="H4394" t="str">
            <v>Miño</v>
          </cell>
          <cell r="I4394" t="str">
            <v>15048</v>
          </cell>
        </row>
        <row r="4395">
          <cell r="H4395" t="str">
            <v>Miño de Medinaceli</v>
          </cell>
          <cell r="I4395" t="str">
            <v>42115</v>
          </cell>
        </row>
        <row r="4396">
          <cell r="H4396" t="str">
            <v>Miño de San Esteban</v>
          </cell>
          <cell r="I4396" t="str">
            <v>42116</v>
          </cell>
        </row>
        <row r="4397">
          <cell r="H4397" t="str">
            <v>Miñosa, La</v>
          </cell>
          <cell r="I4397" t="str">
            <v>19185</v>
          </cell>
        </row>
        <row r="4398">
          <cell r="H4398" t="str">
            <v>Mira</v>
          </cell>
          <cell r="I4398" t="str">
            <v>16126</v>
          </cell>
        </row>
        <row r="4399">
          <cell r="H4399" t="str">
            <v>Mirabel</v>
          </cell>
          <cell r="I4399" t="str">
            <v>10123</v>
          </cell>
        </row>
        <row r="4400">
          <cell r="H4400" t="str">
            <v>Mirabueno</v>
          </cell>
          <cell r="I4400" t="str">
            <v>19186</v>
          </cell>
        </row>
        <row r="4401">
          <cell r="H4401" t="str">
            <v>Miraflores de la Sierra</v>
          </cell>
          <cell r="I4401" t="str">
            <v>28085</v>
          </cell>
        </row>
        <row r="4402">
          <cell r="H4402" t="str">
            <v>Mirafuentes</v>
          </cell>
          <cell r="I4402" t="str">
            <v>31170</v>
          </cell>
        </row>
        <row r="4403">
          <cell r="H4403" t="str">
            <v>Miralcamp</v>
          </cell>
          <cell r="I4403" t="str">
            <v>25135</v>
          </cell>
        </row>
        <row r="4404">
          <cell r="H4404" t="str">
            <v>Miralrío</v>
          </cell>
          <cell r="I4404" t="str">
            <v>19187</v>
          </cell>
        </row>
        <row r="4405">
          <cell r="H4405" t="str">
            <v>Miramar</v>
          </cell>
          <cell r="I4405" t="str">
            <v>46168</v>
          </cell>
        </row>
        <row r="4406">
          <cell r="H4406" t="str">
            <v>Mirambel</v>
          </cell>
          <cell r="I4406" t="str">
            <v>44149</v>
          </cell>
        </row>
        <row r="4407">
          <cell r="H4407" t="str">
            <v>Miranda de Arga</v>
          </cell>
          <cell r="I4407" t="str">
            <v>31171</v>
          </cell>
        </row>
        <row r="4408">
          <cell r="H4408" t="str">
            <v>Miranda de Azán</v>
          </cell>
          <cell r="I4408" t="str">
            <v>37192</v>
          </cell>
        </row>
        <row r="4409">
          <cell r="H4409" t="str">
            <v>Miranda del Castañar</v>
          </cell>
          <cell r="I4409" t="str">
            <v>37193</v>
          </cell>
        </row>
        <row r="4410">
          <cell r="H4410" t="str">
            <v>Mirandilla</v>
          </cell>
          <cell r="I4410" t="str">
            <v>06084</v>
          </cell>
        </row>
        <row r="4411">
          <cell r="H4411" t="str">
            <v>Miravet</v>
          </cell>
          <cell r="I4411" t="str">
            <v>43084</v>
          </cell>
        </row>
        <row r="4412">
          <cell r="H4412" t="str">
            <v>Mirón, El</v>
          </cell>
          <cell r="I4412" t="str">
            <v>05129</v>
          </cell>
        </row>
        <row r="4413">
          <cell r="H4413" t="str">
            <v>Mironcillo</v>
          </cell>
          <cell r="I4413" t="str">
            <v>05130</v>
          </cell>
        </row>
        <row r="4414">
          <cell r="H4414" t="str">
            <v>Mirueña de los Infanzones</v>
          </cell>
          <cell r="I4414" t="str">
            <v>05131</v>
          </cell>
        </row>
        <row r="4415">
          <cell r="H4415" t="str">
            <v>Mislata</v>
          </cell>
          <cell r="I4415" t="str">
            <v>46169</v>
          </cell>
        </row>
        <row r="4416">
          <cell r="H4416" t="str">
            <v>Moaña</v>
          </cell>
          <cell r="I4416" t="str">
            <v>36029</v>
          </cell>
        </row>
        <row r="4417">
          <cell r="H4417" t="str">
            <v>Mocejón</v>
          </cell>
          <cell r="I4417" t="str">
            <v>45102</v>
          </cell>
        </row>
        <row r="4418">
          <cell r="H4418" t="str">
            <v>Mochales</v>
          </cell>
          <cell r="I4418" t="str">
            <v>19188</v>
          </cell>
        </row>
        <row r="4419">
          <cell r="H4419" t="str">
            <v>Moclín</v>
          </cell>
          <cell r="I4419" t="str">
            <v>18132</v>
          </cell>
        </row>
        <row r="4420">
          <cell r="H4420" t="str">
            <v>Moclinejo</v>
          </cell>
          <cell r="I4420" t="str">
            <v>29071</v>
          </cell>
        </row>
        <row r="4421">
          <cell r="H4421" t="str">
            <v>Modúbar de la Emparedada</v>
          </cell>
          <cell r="I4421" t="str">
            <v>09221</v>
          </cell>
        </row>
        <row r="4422">
          <cell r="H4422" t="str">
            <v>Mogán</v>
          </cell>
          <cell r="I4422" t="str">
            <v>35012</v>
          </cell>
        </row>
        <row r="4423">
          <cell r="H4423" t="str">
            <v>Mogarraz</v>
          </cell>
          <cell r="I4423" t="str">
            <v>37194</v>
          </cell>
        </row>
        <row r="4424">
          <cell r="H4424" t="str">
            <v>Moguer</v>
          </cell>
          <cell r="I4424" t="str">
            <v>21050</v>
          </cell>
        </row>
        <row r="4425">
          <cell r="H4425" t="str">
            <v>Mohedas de Granadilla</v>
          </cell>
          <cell r="I4425" t="str">
            <v>10124</v>
          </cell>
        </row>
        <row r="4426">
          <cell r="H4426" t="str">
            <v>Mohedas de la Jara</v>
          </cell>
          <cell r="I4426" t="str">
            <v>45103</v>
          </cell>
        </row>
        <row r="4427">
          <cell r="H4427" t="str">
            <v>Mohernando</v>
          </cell>
          <cell r="I4427" t="str">
            <v>19189</v>
          </cell>
        </row>
        <row r="4428">
          <cell r="H4428" t="str">
            <v>Moià</v>
          </cell>
          <cell r="I4428" t="str">
            <v>08138</v>
          </cell>
        </row>
        <row r="4429">
          <cell r="H4429" t="str">
            <v>Moixent/Mogente</v>
          </cell>
          <cell r="I4429" t="str">
            <v>46170</v>
          </cell>
        </row>
        <row r="4430">
          <cell r="H4430" t="str">
            <v>Mojácar</v>
          </cell>
          <cell r="I4430" t="str">
            <v>04064</v>
          </cell>
        </row>
        <row r="4431">
          <cell r="H4431" t="str">
            <v>Mojados</v>
          </cell>
          <cell r="I4431" t="str">
            <v>47090</v>
          </cell>
        </row>
        <row r="4432">
          <cell r="H4432" t="str">
            <v>Mojonera, La</v>
          </cell>
          <cell r="I4432" t="str">
            <v>04903</v>
          </cell>
        </row>
        <row r="4433">
          <cell r="H4433" t="str">
            <v>Molacillos</v>
          </cell>
          <cell r="I4433" t="str">
            <v>49119</v>
          </cell>
        </row>
        <row r="4434">
          <cell r="H4434" t="str">
            <v>Molar, El</v>
          </cell>
          <cell r="I4434" t="str">
            <v>28086</v>
          </cell>
        </row>
        <row r="4435">
          <cell r="H4435" t="str">
            <v>Molar, El</v>
          </cell>
          <cell r="I4435" t="str">
            <v>43085</v>
          </cell>
        </row>
        <row r="4436">
          <cell r="H4436" t="str">
            <v>Molares, Los</v>
          </cell>
          <cell r="I4436" t="str">
            <v>41063</v>
          </cell>
        </row>
        <row r="4437">
          <cell r="H4437" t="str">
            <v>Molezuelas de la Carballeda</v>
          </cell>
          <cell r="I4437" t="str">
            <v>49120</v>
          </cell>
        </row>
        <row r="4438">
          <cell r="H4438" t="str">
            <v>Molina de Aragón</v>
          </cell>
          <cell r="I4438" t="str">
            <v>19190</v>
          </cell>
        </row>
        <row r="4439">
          <cell r="H4439" t="str">
            <v>Molina de Segura</v>
          </cell>
          <cell r="I4439" t="str">
            <v>30027</v>
          </cell>
        </row>
        <row r="4440">
          <cell r="H4440" t="str">
            <v>Molinicos</v>
          </cell>
          <cell r="I4440" t="str">
            <v>02049</v>
          </cell>
        </row>
        <row r="4441">
          <cell r="H4441" t="str">
            <v>Molinillo</v>
          </cell>
          <cell r="I4441" t="str">
            <v>37195</v>
          </cell>
        </row>
        <row r="4442">
          <cell r="H4442" t="str">
            <v>Molinos de Duero</v>
          </cell>
          <cell r="I4442" t="str">
            <v>42117</v>
          </cell>
        </row>
        <row r="4443">
          <cell r="H4443" t="str">
            <v>Molinos, Los</v>
          </cell>
          <cell r="I4443" t="str">
            <v>28087</v>
          </cell>
        </row>
        <row r="4444">
          <cell r="H4444" t="str">
            <v>Molins de Rei</v>
          </cell>
          <cell r="I4444" t="str">
            <v>08123</v>
          </cell>
        </row>
        <row r="4445">
          <cell r="H4445" t="str">
            <v>Molledo</v>
          </cell>
          <cell r="I4445" t="str">
            <v>39046</v>
          </cell>
        </row>
        <row r="4446">
          <cell r="H4446" t="str">
            <v>Mollerussa</v>
          </cell>
          <cell r="I4446" t="str">
            <v>25137</v>
          </cell>
        </row>
        <row r="4447">
          <cell r="H4447" t="str">
            <v>Mollet de Peralada</v>
          </cell>
          <cell r="I4447" t="str">
            <v>17106</v>
          </cell>
        </row>
        <row r="4448">
          <cell r="H4448" t="str">
            <v>Mollet del Vallès</v>
          </cell>
          <cell r="I4448" t="str">
            <v>08124</v>
          </cell>
        </row>
        <row r="4449">
          <cell r="H4449" t="str">
            <v>Mollina</v>
          </cell>
          <cell r="I4449" t="str">
            <v>29072</v>
          </cell>
        </row>
        <row r="4450">
          <cell r="H4450" t="str">
            <v>Molló</v>
          </cell>
          <cell r="I4450" t="str">
            <v>17107</v>
          </cell>
        </row>
        <row r="4451">
          <cell r="H4451" t="str">
            <v>Molsosa, La</v>
          </cell>
          <cell r="I4451" t="str">
            <v>25136</v>
          </cell>
        </row>
        <row r="4452">
          <cell r="H4452" t="str">
            <v>Molvízar</v>
          </cell>
          <cell r="I4452" t="str">
            <v>18133</v>
          </cell>
        </row>
        <row r="4453">
          <cell r="H4453" t="str">
            <v>Mombeltrán</v>
          </cell>
          <cell r="I4453" t="str">
            <v>05132</v>
          </cell>
        </row>
        <row r="4454">
          <cell r="H4454" t="str">
            <v>Momblona</v>
          </cell>
          <cell r="I4454" t="str">
            <v>42118</v>
          </cell>
        </row>
        <row r="4455">
          <cell r="H4455" t="str">
            <v>Mombuey</v>
          </cell>
          <cell r="I4455" t="str">
            <v>49121</v>
          </cell>
        </row>
        <row r="4456">
          <cell r="H4456" t="str">
            <v>Monachil</v>
          </cell>
          <cell r="I4456" t="str">
            <v>18134</v>
          </cell>
        </row>
        <row r="4457">
          <cell r="H4457" t="str">
            <v>Monasterio</v>
          </cell>
          <cell r="I4457" t="str">
            <v>19191</v>
          </cell>
        </row>
        <row r="4458">
          <cell r="H4458" t="str">
            <v>Monasterio de la Sierra</v>
          </cell>
          <cell r="I4458" t="str">
            <v>09223</v>
          </cell>
        </row>
        <row r="4459">
          <cell r="H4459" t="str">
            <v>Monasterio de Rodilla</v>
          </cell>
          <cell r="I4459" t="str">
            <v>09224</v>
          </cell>
        </row>
        <row r="4460">
          <cell r="H4460" t="str">
            <v>Monasterio de Vega</v>
          </cell>
          <cell r="I4460" t="str">
            <v>47091</v>
          </cell>
        </row>
        <row r="4461">
          <cell r="H4461" t="str">
            <v>Moncada</v>
          </cell>
          <cell r="I4461" t="str">
            <v>46171</v>
          </cell>
        </row>
        <row r="4462">
          <cell r="H4462" t="str">
            <v>Moncalvillo</v>
          </cell>
          <cell r="I4462" t="str">
            <v>09225</v>
          </cell>
        </row>
        <row r="4463">
          <cell r="H4463" t="str">
            <v>Moncofa</v>
          </cell>
          <cell r="I4463" t="str">
            <v>12077</v>
          </cell>
        </row>
        <row r="4464">
          <cell r="H4464" t="str">
            <v>Monda</v>
          </cell>
          <cell r="I4464" t="str">
            <v>29073</v>
          </cell>
        </row>
        <row r="4465">
          <cell r="H4465" t="str">
            <v>Mondariz</v>
          </cell>
          <cell r="I4465" t="str">
            <v>36030</v>
          </cell>
        </row>
        <row r="4466">
          <cell r="H4466" t="str">
            <v>Mondariz-Balneario</v>
          </cell>
          <cell r="I4466" t="str">
            <v>36031</v>
          </cell>
        </row>
        <row r="4467">
          <cell r="H4467" t="str">
            <v>Mondoñedo</v>
          </cell>
          <cell r="I4467" t="str">
            <v>27030</v>
          </cell>
        </row>
        <row r="4468">
          <cell r="H4468" t="str">
            <v>Monegrillo</v>
          </cell>
          <cell r="I4468" t="str">
            <v>50170</v>
          </cell>
        </row>
        <row r="4469">
          <cell r="H4469" t="str">
            <v>Monesma y Cajigar</v>
          </cell>
          <cell r="I4469" t="str">
            <v>22155</v>
          </cell>
        </row>
        <row r="4470">
          <cell r="H4470" t="str">
            <v>Monesterio</v>
          </cell>
          <cell r="I4470" t="str">
            <v>06085</v>
          </cell>
        </row>
        <row r="4471">
          <cell r="H4471" t="str">
            <v>Moneva</v>
          </cell>
          <cell r="I4471" t="str">
            <v>50171</v>
          </cell>
        </row>
        <row r="4472">
          <cell r="H4472" t="str">
            <v>Monfarracinos</v>
          </cell>
          <cell r="I4472" t="str">
            <v>49122</v>
          </cell>
        </row>
        <row r="4473">
          <cell r="H4473" t="str">
            <v>Monflorite-Lascasas</v>
          </cell>
          <cell r="I4473" t="str">
            <v>22156</v>
          </cell>
        </row>
        <row r="4474">
          <cell r="H4474" t="str">
            <v>Monforte de la Sierra</v>
          </cell>
          <cell r="I4474" t="str">
            <v>37196</v>
          </cell>
        </row>
        <row r="4475">
          <cell r="H4475" t="str">
            <v>Monforte de Lemos</v>
          </cell>
          <cell r="I4475" t="str">
            <v>27031</v>
          </cell>
        </row>
        <row r="4476">
          <cell r="H4476" t="str">
            <v>Monforte de Moyuela</v>
          </cell>
          <cell r="I4476" t="str">
            <v>44152</v>
          </cell>
        </row>
        <row r="4477">
          <cell r="H4477" t="str">
            <v>Monforte del Cid</v>
          </cell>
          <cell r="I4477" t="str">
            <v>03088</v>
          </cell>
        </row>
        <row r="4478">
          <cell r="H4478" t="str">
            <v>Monistrol de Calders</v>
          </cell>
          <cell r="I4478" t="str">
            <v>08128</v>
          </cell>
        </row>
        <row r="4479">
          <cell r="H4479" t="str">
            <v>Monistrol de Montserrat</v>
          </cell>
          <cell r="I4479" t="str">
            <v>08127</v>
          </cell>
        </row>
        <row r="4480">
          <cell r="H4480" t="str">
            <v>Monleón</v>
          </cell>
          <cell r="I4480" t="str">
            <v>37197</v>
          </cell>
        </row>
        <row r="4481">
          <cell r="H4481" t="str">
            <v>Monleras</v>
          </cell>
          <cell r="I4481" t="str">
            <v>37198</v>
          </cell>
        </row>
        <row r="4482">
          <cell r="H4482" t="str">
            <v>Monòver/Monóvar</v>
          </cell>
          <cell r="I4482" t="str">
            <v>03089</v>
          </cell>
        </row>
        <row r="4483">
          <cell r="H4483" t="str">
            <v>Monreal de Ariza</v>
          </cell>
          <cell r="I4483" t="str">
            <v>50172</v>
          </cell>
        </row>
        <row r="4484">
          <cell r="H4484" t="str">
            <v>Monreal del Campo</v>
          </cell>
          <cell r="I4484" t="str">
            <v>44153</v>
          </cell>
        </row>
        <row r="4485">
          <cell r="H4485" t="str">
            <v>Monreal del Llano</v>
          </cell>
          <cell r="I4485" t="str">
            <v>16128</v>
          </cell>
        </row>
        <row r="4486">
          <cell r="H4486" t="str">
            <v>Monreal/Elo</v>
          </cell>
          <cell r="I4486" t="str">
            <v>31172</v>
          </cell>
        </row>
        <row r="4487">
          <cell r="H4487" t="str">
            <v>Monroy</v>
          </cell>
          <cell r="I4487" t="str">
            <v>10125</v>
          </cell>
        </row>
        <row r="4488">
          <cell r="H4488" t="str">
            <v>Monsagro</v>
          </cell>
          <cell r="I4488" t="str">
            <v>37199</v>
          </cell>
        </row>
        <row r="4489">
          <cell r="H4489" t="str">
            <v>Monsalupe</v>
          </cell>
          <cell r="I4489" t="str">
            <v>05133</v>
          </cell>
        </row>
        <row r="4490">
          <cell r="H4490" t="str">
            <v>Montagut i Oix</v>
          </cell>
          <cell r="I4490" t="str">
            <v>17109</v>
          </cell>
        </row>
        <row r="4491">
          <cell r="H4491" t="str">
            <v>Montalbán de Córdoba</v>
          </cell>
          <cell r="I4491" t="str">
            <v>14040</v>
          </cell>
        </row>
        <row r="4492">
          <cell r="H4492" t="str">
            <v>Montalbanejo</v>
          </cell>
          <cell r="I4492" t="str">
            <v>16129</v>
          </cell>
        </row>
        <row r="4493">
          <cell r="H4493" t="str">
            <v>Montalbo</v>
          </cell>
          <cell r="I4493" t="str">
            <v>16130</v>
          </cell>
        </row>
        <row r="4494">
          <cell r="H4494" t="str">
            <v>Montalvos</v>
          </cell>
          <cell r="I4494" t="str">
            <v>02050</v>
          </cell>
        </row>
        <row r="4495">
          <cell r="H4495" t="str">
            <v>Montamarta</v>
          </cell>
          <cell r="I4495" t="str">
            <v>49123</v>
          </cell>
        </row>
        <row r="4496">
          <cell r="H4496" t="str">
            <v>Montán</v>
          </cell>
          <cell r="I4496" t="str">
            <v>12078</v>
          </cell>
        </row>
        <row r="4497">
          <cell r="H4497" t="str">
            <v>Montánchez</v>
          </cell>
          <cell r="I4497" t="str">
            <v>10126</v>
          </cell>
        </row>
        <row r="4498">
          <cell r="H4498" t="str">
            <v>Montanejos</v>
          </cell>
          <cell r="I4498" t="str">
            <v>12079</v>
          </cell>
        </row>
        <row r="4499">
          <cell r="H4499" t="str">
            <v>Montanuy</v>
          </cell>
          <cell r="I4499" t="str">
            <v>22157</v>
          </cell>
        </row>
        <row r="4500">
          <cell r="H4500" t="str">
            <v>Montarrón</v>
          </cell>
          <cell r="I4500" t="str">
            <v>19193</v>
          </cell>
        </row>
        <row r="4501">
          <cell r="H4501" t="str">
            <v>Montaverner</v>
          </cell>
          <cell r="I4501" t="str">
            <v>46173</v>
          </cell>
        </row>
        <row r="4502">
          <cell r="H4502" t="str">
            <v>Montblanc</v>
          </cell>
          <cell r="I4502" t="str">
            <v>43086</v>
          </cell>
        </row>
        <row r="4503">
          <cell r="H4503" t="str">
            <v>Montbrió del Camp</v>
          </cell>
          <cell r="I4503" t="str">
            <v>43088</v>
          </cell>
        </row>
        <row r="4504">
          <cell r="H4504" t="str">
            <v>Montcada i Reixac</v>
          </cell>
          <cell r="I4504" t="str">
            <v>08125</v>
          </cell>
        </row>
        <row r="4505">
          <cell r="H4505" t="str">
            <v>Montclar</v>
          </cell>
          <cell r="I4505" t="str">
            <v>08130</v>
          </cell>
        </row>
        <row r="4506">
          <cell r="H4506" t="str">
            <v>Monteagudo</v>
          </cell>
          <cell r="I4506" t="str">
            <v>31173</v>
          </cell>
        </row>
        <row r="4507">
          <cell r="H4507" t="str">
            <v>Monteagudo de las Salinas</v>
          </cell>
          <cell r="I4507" t="str">
            <v>16131</v>
          </cell>
        </row>
        <row r="4508">
          <cell r="H4508" t="str">
            <v>Monteagudo de las Vicarías</v>
          </cell>
          <cell r="I4508" t="str">
            <v>42119</v>
          </cell>
        </row>
        <row r="4509">
          <cell r="H4509" t="str">
            <v>Monteagudo del Castillo</v>
          </cell>
          <cell r="I4509" t="str">
            <v>44156</v>
          </cell>
        </row>
        <row r="4510">
          <cell r="H4510" t="str">
            <v>Montealegre de Campos</v>
          </cell>
          <cell r="I4510" t="str">
            <v>47092</v>
          </cell>
        </row>
        <row r="4511">
          <cell r="H4511" t="str">
            <v>Montealegre del Castillo</v>
          </cell>
          <cell r="I4511" t="str">
            <v>02051</v>
          </cell>
        </row>
        <row r="4512">
          <cell r="H4512" t="str">
            <v>Montearagón</v>
          </cell>
          <cell r="I4512" t="str">
            <v>45104</v>
          </cell>
        </row>
        <row r="4513">
          <cell r="H4513" t="str">
            <v>Montecorto</v>
          </cell>
          <cell r="I4513" t="str">
            <v>29903</v>
          </cell>
        </row>
        <row r="4514">
          <cell r="H4514" t="str">
            <v>Montederramo</v>
          </cell>
          <cell r="I4514" t="str">
            <v>32049</v>
          </cell>
        </row>
        <row r="4515">
          <cell r="H4515" t="str">
            <v>Montefrío</v>
          </cell>
          <cell r="I4515" t="str">
            <v>18135</v>
          </cell>
        </row>
        <row r="4516">
          <cell r="H4516" t="str">
            <v>Montehermoso</v>
          </cell>
          <cell r="I4516" t="str">
            <v>10127</v>
          </cell>
        </row>
        <row r="4517">
          <cell r="H4517" t="str">
            <v>Montejaque</v>
          </cell>
          <cell r="I4517" t="str">
            <v>29074</v>
          </cell>
        </row>
        <row r="4518">
          <cell r="H4518" t="str">
            <v>Montejícar</v>
          </cell>
          <cell r="I4518" t="str">
            <v>18136</v>
          </cell>
        </row>
        <row r="4519">
          <cell r="H4519" t="str">
            <v>Montejo</v>
          </cell>
          <cell r="I4519" t="str">
            <v>37200</v>
          </cell>
        </row>
        <row r="4520">
          <cell r="H4520" t="str">
            <v>Montejo de Arévalo</v>
          </cell>
          <cell r="I4520" t="str">
            <v>40129</v>
          </cell>
        </row>
        <row r="4521">
          <cell r="H4521" t="str">
            <v>Montejo de la Sierra</v>
          </cell>
          <cell r="I4521" t="str">
            <v>28088</v>
          </cell>
        </row>
        <row r="4522">
          <cell r="H4522" t="str">
            <v>Montejo de la Vega de la Serrezuela</v>
          </cell>
          <cell r="I4522" t="str">
            <v>40130</v>
          </cell>
        </row>
        <row r="4523">
          <cell r="H4523" t="str">
            <v>Montejo de Tiermes</v>
          </cell>
          <cell r="I4523" t="str">
            <v>42120</v>
          </cell>
        </row>
        <row r="4524">
          <cell r="H4524" t="str">
            <v>Montellà i Martinet</v>
          </cell>
          <cell r="I4524" t="str">
            <v>25139</v>
          </cell>
        </row>
        <row r="4525">
          <cell r="H4525" t="str">
            <v>Montellano</v>
          </cell>
          <cell r="I4525" t="str">
            <v>41064</v>
          </cell>
        </row>
        <row r="4526">
          <cell r="H4526" t="str">
            <v>Montemayor</v>
          </cell>
          <cell r="I4526" t="str">
            <v>14041</v>
          </cell>
        </row>
        <row r="4527">
          <cell r="H4527" t="str">
            <v>Montemayor de Pililla</v>
          </cell>
          <cell r="I4527" t="str">
            <v>47093</v>
          </cell>
        </row>
        <row r="4528">
          <cell r="H4528" t="str">
            <v>Montemayor del Río</v>
          </cell>
          <cell r="I4528" t="str">
            <v>37201</v>
          </cell>
        </row>
        <row r="4529">
          <cell r="H4529" t="str">
            <v>Montemolín</v>
          </cell>
          <cell r="I4529" t="str">
            <v>06086</v>
          </cell>
        </row>
        <row r="4530">
          <cell r="H4530" t="str">
            <v>Montenegro de Cameros</v>
          </cell>
          <cell r="I4530" t="str">
            <v>42121</v>
          </cell>
        </row>
        <row r="4531">
          <cell r="H4531" t="str">
            <v>Monterde</v>
          </cell>
          <cell r="I4531" t="str">
            <v>50173</v>
          </cell>
        </row>
        <row r="4532">
          <cell r="H4532" t="str">
            <v>Monterde de Albarracín</v>
          </cell>
          <cell r="I4532" t="str">
            <v>44157</v>
          </cell>
        </row>
        <row r="4533">
          <cell r="H4533" t="str">
            <v>Monterrei</v>
          </cell>
          <cell r="I4533" t="str">
            <v>32050</v>
          </cell>
        </row>
        <row r="4534">
          <cell r="H4534" t="str">
            <v>Monterroso</v>
          </cell>
          <cell r="I4534" t="str">
            <v>27032</v>
          </cell>
        </row>
        <row r="4535">
          <cell r="H4535" t="str">
            <v>Monterrubio</v>
          </cell>
          <cell r="I4535" t="str">
            <v>40131</v>
          </cell>
        </row>
        <row r="4536">
          <cell r="H4536" t="str">
            <v>Monterrubio de Armuña</v>
          </cell>
          <cell r="I4536" t="str">
            <v>37202</v>
          </cell>
        </row>
        <row r="4537">
          <cell r="H4537" t="str">
            <v>Monterrubio de la Demanda</v>
          </cell>
          <cell r="I4537" t="str">
            <v>09226</v>
          </cell>
        </row>
        <row r="4538">
          <cell r="H4538" t="str">
            <v>Monterrubio de la Serena</v>
          </cell>
          <cell r="I4538" t="str">
            <v>06087</v>
          </cell>
        </row>
        <row r="4539">
          <cell r="H4539" t="str">
            <v>Monterrubio de la Sierra</v>
          </cell>
          <cell r="I4539" t="str">
            <v>37203</v>
          </cell>
        </row>
        <row r="4540">
          <cell r="H4540" t="str">
            <v>Montesa</v>
          </cell>
          <cell r="I4540" t="str">
            <v>46174</v>
          </cell>
        </row>
        <row r="4541">
          <cell r="H4541" t="str">
            <v>Montesclaros</v>
          </cell>
          <cell r="I4541" t="str">
            <v>45105</v>
          </cell>
        </row>
        <row r="4542">
          <cell r="H4542" t="str">
            <v>Montesinos, Los</v>
          </cell>
          <cell r="I4542" t="str">
            <v>03903</v>
          </cell>
        </row>
        <row r="4543">
          <cell r="H4543" t="str">
            <v>Montesquiu</v>
          </cell>
          <cell r="I4543" t="str">
            <v>08131</v>
          </cell>
        </row>
        <row r="4544">
          <cell r="H4544" t="str">
            <v>Montferrer i Castellbò</v>
          </cell>
          <cell r="I4544" t="str">
            <v>25140</v>
          </cell>
        </row>
        <row r="4545">
          <cell r="H4545" t="str">
            <v>Montferri</v>
          </cell>
          <cell r="I4545" t="str">
            <v>43089</v>
          </cell>
        </row>
        <row r="4546">
          <cell r="H4546" t="str">
            <v>Montgai</v>
          </cell>
          <cell r="I4546" t="str">
            <v>25138</v>
          </cell>
        </row>
        <row r="4547">
          <cell r="H4547" t="str">
            <v>Montgat</v>
          </cell>
          <cell r="I4547" t="str">
            <v>08126</v>
          </cell>
        </row>
        <row r="4548">
          <cell r="H4548" t="str">
            <v>Montiel</v>
          </cell>
          <cell r="I4548" t="str">
            <v>13057</v>
          </cell>
        </row>
        <row r="4549">
          <cell r="H4549" t="str">
            <v>Montijo</v>
          </cell>
          <cell r="I4549" t="str">
            <v>06088</v>
          </cell>
        </row>
        <row r="4550">
          <cell r="H4550" t="str">
            <v>Montilla</v>
          </cell>
          <cell r="I4550" t="str">
            <v>14042</v>
          </cell>
        </row>
        <row r="4551">
          <cell r="H4551" t="str">
            <v>Montillana</v>
          </cell>
          <cell r="I4551" t="str">
            <v>18137</v>
          </cell>
        </row>
        <row r="4552">
          <cell r="H4552" t="str">
            <v>Montitxelvo/Montichelvo</v>
          </cell>
          <cell r="I4552" t="str">
            <v>46175</v>
          </cell>
        </row>
        <row r="4553">
          <cell r="H4553" t="str">
            <v>Montizón</v>
          </cell>
          <cell r="I4553" t="str">
            <v>23062</v>
          </cell>
        </row>
        <row r="4554">
          <cell r="H4554" t="str">
            <v>Montmajor</v>
          </cell>
          <cell r="I4554" t="str">
            <v>08132</v>
          </cell>
        </row>
        <row r="4555">
          <cell r="H4555" t="str">
            <v>Montmaneu</v>
          </cell>
          <cell r="I4555" t="str">
            <v>08133</v>
          </cell>
        </row>
        <row r="4556">
          <cell r="H4556" t="str">
            <v>Montmell, El</v>
          </cell>
          <cell r="I4556" t="str">
            <v>43090</v>
          </cell>
        </row>
        <row r="4557">
          <cell r="H4557" t="str">
            <v>Montmeló</v>
          </cell>
          <cell r="I4557" t="str">
            <v>08135</v>
          </cell>
        </row>
        <row r="4558">
          <cell r="H4558" t="str">
            <v>Montoliu de Lleida</v>
          </cell>
          <cell r="I4558" t="str">
            <v>25142</v>
          </cell>
        </row>
        <row r="4559">
          <cell r="H4559" t="str">
            <v>Montoliu de Segarra</v>
          </cell>
          <cell r="I4559" t="str">
            <v>25141</v>
          </cell>
        </row>
        <row r="4560">
          <cell r="H4560" t="str">
            <v>Montón</v>
          </cell>
          <cell r="I4560" t="str">
            <v>50174</v>
          </cell>
        </row>
        <row r="4561">
          <cell r="H4561" t="str">
            <v>Montorio</v>
          </cell>
          <cell r="I4561" t="str">
            <v>09227</v>
          </cell>
        </row>
        <row r="4562">
          <cell r="H4562" t="str">
            <v>Montornès de Segarra</v>
          </cell>
          <cell r="I4562" t="str">
            <v>25143</v>
          </cell>
        </row>
        <row r="4563">
          <cell r="H4563" t="str">
            <v>Montornès del Vallès</v>
          </cell>
          <cell r="I4563" t="str">
            <v>08136</v>
          </cell>
        </row>
        <row r="4564">
          <cell r="H4564" t="str">
            <v>Montoro</v>
          </cell>
          <cell r="I4564" t="str">
            <v>14043</v>
          </cell>
        </row>
        <row r="4565">
          <cell r="H4565" t="str">
            <v>Mont-ral</v>
          </cell>
          <cell r="I4565" t="str">
            <v>43091</v>
          </cell>
        </row>
        <row r="4566">
          <cell r="H4566" t="str">
            <v>Mont-ras</v>
          </cell>
          <cell r="I4566" t="str">
            <v>17110</v>
          </cell>
        </row>
        <row r="4567">
          <cell r="H4567" t="str">
            <v>Montroi/Montroy</v>
          </cell>
          <cell r="I4567" t="str">
            <v>46176</v>
          </cell>
        </row>
        <row r="4568">
          <cell r="H4568" t="str">
            <v>Mont-roig del Camp</v>
          </cell>
          <cell r="I4568" t="str">
            <v>43092</v>
          </cell>
        </row>
        <row r="4569">
          <cell r="H4569" t="str">
            <v>Montseny</v>
          </cell>
          <cell r="I4569" t="str">
            <v>08137</v>
          </cell>
        </row>
        <row r="4570">
          <cell r="H4570" t="str">
            <v>Montserrat</v>
          </cell>
          <cell r="I4570" t="str">
            <v>46172</v>
          </cell>
        </row>
        <row r="4571">
          <cell r="H4571" t="str">
            <v>Montuïri</v>
          </cell>
          <cell r="I4571" t="str">
            <v>07038</v>
          </cell>
        </row>
        <row r="4572">
          <cell r="H4572" t="str">
            <v>Monturque</v>
          </cell>
          <cell r="I4572" t="str">
            <v>14044</v>
          </cell>
        </row>
        <row r="4573">
          <cell r="H4573" t="str">
            <v>Monzón</v>
          </cell>
          <cell r="I4573" t="str">
            <v>22158</v>
          </cell>
        </row>
        <row r="4574">
          <cell r="H4574" t="str">
            <v>Monzón de Campos</v>
          </cell>
          <cell r="I4574" t="str">
            <v>34108</v>
          </cell>
        </row>
        <row r="4575">
          <cell r="H4575" t="str">
            <v>Mora</v>
          </cell>
          <cell r="I4575" t="str">
            <v>45106</v>
          </cell>
        </row>
        <row r="4576">
          <cell r="H4576" t="str">
            <v>Mora de Rubielos</v>
          </cell>
          <cell r="I4576" t="str">
            <v>44158</v>
          </cell>
        </row>
        <row r="4577">
          <cell r="H4577" t="str">
            <v>Móra d'Ebre</v>
          </cell>
          <cell r="I4577" t="str">
            <v>43093</v>
          </cell>
        </row>
        <row r="4578">
          <cell r="H4578" t="str">
            <v>Móra la Nova</v>
          </cell>
          <cell r="I4578" t="str">
            <v>43094</v>
          </cell>
        </row>
        <row r="4579">
          <cell r="H4579" t="str">
            <v>Moradillo de Roa</v>
          </cell>
          <cell r="I4579" t="str">
            <v>09228</v>
          </cell>
        </row>
        <row r="4580">
          <cell r="H4580" t="str">
            <v>Moral de Calatrava</v>
          </cell>
          <cell r="I4580" t="str">
            <v>13058</v>
          </cell>
        </row>
        <row r="4581">
          <cell r="H4581" t="str">
            <v>Moral de Hornuez</v>
          </cell>
          <cell r="I4581" t="str">
            <v>40132</v>
          </cell>
        </row>
        <row r="4582">
          <cell r="H4582" t="str">
            <v>Moral de la Reina</v>
          </cell>
          <cell r="I4582" t="str">
            <v>47094</v>
          </cell>
        </row>
        <row r="4583">
          <cell r="H4583" t="str">
            <v>Moral de Sayago</v>
          </cell>
          <cell r="I4583" t="str">
            <v>49124</v>
          </cell>
        </row>
        <row r="4584">
          <cell r="H4584" t="str">
            <v>Moraleda de Zafayona</v>
          </cell>
          <cell r="I4584" t="str">
            <v>18138</v>
          </cell>
        </row>
        <row r="4585">
          <cell r="H4585" t="str">
            <v>Moraleja</v>
          </cell>
          <cell r="I4585" t="str">
            <v>10128</v>
          </cell>
        </row>
        <row r="4586">
          <cell r="H4586" t="str">
            <v>Moraleja de Enmedio</v>
          </cell>
          <cell r="I4586" t="str">
            <v>28089</v>
          </cell>
        </row>
        <row r="4587">
          <cell r="H4587" t="str">
            <v>Moraleja de las Panaderas</v>
          </cell>
          <cell r="I4587" t="str">
            <v>47095</v>
          </cell>
        </row>
        <row r="4588">
          <cell r="H4588" t="str">
            <v>Moraleja de Matacabras</v>
          </cell>
          <cell r="I4588" t="str">
            <v>05134</v>
          </cell>
        </row>
        <row r="4589">
          <cell r="H4589" t="str">
            <v>Moraleja de Sayago</v>
          </cell>
          <cell r="I4589" t="str">
            <v>49126</v>
          </cell>
        </row>
        <row r="4590">
          <cell r="H4590" t="str">
            <v>Moraleja del Vino</v>
          </cell>
          <cell r="I4590" t="str">
            <v>49125</v>
          </cell>
        </row>
        <row r="4591">
          <cell r="H4591" t="str">
            <v>Morales de Campos</v>
          </cell>
          <cell r="I4591" t="str">
            <v>47096</v>
          </cell>
        </row>
        <row r="4592">
          <cell r="H4592" t="str">
            <v>Morales de Rey</v>
          </cell>
          <cell r="I4592" t="str">
            <v>49128</v>
          </cell>
        </row>
        <row r="4593">
          <cell r="H4593" t="str">
            <v>Morales de Toro</v>
          </cell>
          <cell r="I4593" t="str">
            <v>49129</v>
          </cell>
        </row>
        <row r="4594">
          <cell r="H4594" t="str">
            <v>Morales de Valverde</v>
          </cell>
          <cell r="I4594" t="str">
            <v>49130</v>
          </cell>
        </row>
        <row r="4595">
          <cell r="H4595" t="str">
            <v>Morales del Vino</v>
          </cell>
          <cell r="I4595" t="str">
            <v>49127</v>
          </cell>
        </row>
        <row r="4596">
          <cell r="H4596" t="str">
            <v>Moralina</v>
          </cell>
          <cell r="I4596" t="str">
            <v>49131</v>
          </cell>
        </row>
        <row r="4597">
          <cell r="H4597" t="str">
            <v>Moralzarzal</v>
          </cell>
          <cell r="I4597" t="str">
            <v>28090</v>
          </cell>
        </row>
        <row r="4598">
          <cell r="H4598" t="str">
            <v>Moraña</v>
          </cell>
          <cell r="I4598" t="str">
            <v>36032</v>
          </cell>
        </row>
        <row r="4599">
          <cell r="H4599" t="str">
            <v>Morasverdes</v>
          </cell>
          <cell r="I4599" t="str">
            <v>37204</v>
          </cell>
        </row>
        <row r="4600">
          <cell r="H4600" t="str">
            <v>Morata de Jalón</v>
          </cell>
          <cell r="I4600" t="str">
            <v>50175</v>
          </cell>
        </row>
        <row r="4601">
          <cell r="H4601" t="str">
            <v>Morata de Jiloca</v>
          </cell>
          <cell r="I4601" t="str">
            <v>50176</v>
          </cell>
        </row>
        <row r="4602">
          <cell r="H4602" t="str">
            <v>Morata de Tajuña</v>
          </cell>
          <cell r="I4602" t="str">
            <v>28091</v>
          </cell>
        </row>
        <row r="4603">
          <cell r="H4603" t="str">
            <v>Moratalla</v>
          </cell>
          <cell r="I4603" t="str">
            <v>30028</v>
          </cell>
        </row>
        <row r="4604">
          <cell r="H4604" t="str">
            <v>Moratilla de los Meleros</v>
          </cell>
          <cell r="I4604" t="str">
            <v>19194</v>
          </cell>
        </row>
        <row r="4605">
          <cell r="H4605" t="str">
            <v>Moratinos</v>
          </cell>
          <cell r="I4605" t="str">
            <v>34109</v>
          </cell>
        </row>
        <row r="4606">
          <cell r="H4606" t="str">
            <v>Morcillo</v>
          </cell>
          <cell r="I4606" t="str">
            <v>10129</v>
          </cell>
        </row>
        <row r="4607">
          <cell r="H4607" t="str">
            <v>Moreda de Álava/Moreda Araba</v>
          </cell>
          <cell r="I4607" t="str">
            <v>01039</v>
          </cell>
        </row>
        <row r="4608">
          <cell r="H4608" t="str">
            <v>Morelábor</v>
          </cell>
          <cell r="I4608" t="str">
            <v>18909</v>
          </cell>
        </row>
        <row r="4609">
          <cell r="H4609" t="str">
            <v>Morell, El</v>
          </cell>
          <cell r="I4609" t="str">
            <v>43095</v>
          </cell>
        </row>
        <row r="4610">
          <cell r="H4610" t="str">
            <v>Morella</v>
          </cell>
          <cell r="I4610" t="str">
            <v>12080</v>
          </cell>
        </row>
        <row r="4611">
          <cell r="H4611" t="str">
            <v>Morenilla</v>
          </cell>
          <cell r="I4611" t="str">
            <v>19195</v>
          </cell>
        </row>
        <row r="4612">
          <cell r="H4612" t="str">
            <v>Morentin</v>
          </cell>
          <cell r="I4612" t="str">
            <v>31174</v>
          </cell>
        </row>
        <row r="4613">
          <cell r="H4613" t="str">
            <v>Morera de Montsant, La</v>
          </cell>
          <cell r="I4613" t="str">
            <v>43096</v>
          </cell>
        </row>
        <row r="4614">
          <cell r="H4614" t="str">
            <v>Morera, La</v>
          </cell>
          <cell r="I4614" t="str">
            <v>06089</v>
          </cell>
        </row>
        <row r="4615">
          <cell r="H4615" t="str">
            <v>Moreruela de los Infanzones</v>
          </cell>
          <cell r="I4615" t="str">
            <v>49132</v>
          </cell>
        </row>
        <row r="4616">
          <cell r="H4616" t="str">
            <v>Moreruela de Tábara</v>
          </cell>
          <cell r="I4616" t="str">
            <v>49133</v>
          </cell>
        </row>
        <row r="4617">
          <cell r="H4617" t="str">
            <v>Morés</v>
          </cell>
          <cell r="I4617" t="str">
            <v>50177</v>
          </cell>
        </row>
        <row r="4618">
          <cell r="H4618" t="str">
            <v>Morga</v>
          </cell>
          <cell r="I4618" t="str">
            <v>48066</v>
          </cell>
        </row>
        <row r="4619">
          <cell r="H4619" t="str">
            <v>Moriles</v>
          </cell>
          <cell r="I4619" t="str">
            <v>14045</v>
          </cell>
        </row>
        <row r="4620">
          <cell r="H4620" t="str">
            <v>Morille</v>
          </cell>
          <cell r="I4620" t="str">
            <v>37205</v>
          </cell>
        </row>
        <row r="4621">
          <cell r="H4621" t="str">
            <v>Moríñigo</v>
          </cell>
          <cell r="I4621" t="str">
            <v>37206</v>
          </cell>
        </row>
        <row r="4622">
          <cell r="H4622" t="str">
            <v>Moriscos</v>
          </cell>
          <cell r="I4622" t="str">
            <v>37207</v>
          </cell>
        </row>
        <row r="4623">
          <cell r="H4623" t="str">
            <v>Morón de Almazán</v>
          </cell>
          <cell r="I4623" t="str">
            <v>42123</v>
          </cell>
        </row>
        <row r="4624">
          <cell r="H4624" t="str">
            <v>Morón de la Frontera</v>
          </cell>
          <cell r="I4624" t="str">
            <v>41065</v>
          </cell>
        </row>
        <row r="4625">
          <cell r="H4625" t="str">
            <v>Moronta</v>
          </cell>
          <cell r="I4625" t="str">
            <v>37208</v>
          </cell>
        </row>
        <row r="4626">
          <cell r="H4626" t="str">
            <v>Moros</v>
          </cell>
          <cell r="I4626" t="str">
            <v>50178</v>
          </cell>
        </row>
        <row r="4627">
          <cell r="H4627" t="str">
            <v>Mos</v>
          </cell>
          <cell r="I4627" t="str">
            <v>36033</v>
          </cell>
        </row>
        <row r="4628">
          <cell r="H4628" t="str">
            <v>Moscardón</v>
          </cell>
          <cell r="I4628" t="str">
            <v>44159</v>
          </cell>
        </row>
        <row r="4629">
          <cell r="H4629" t="str">
            <v>Mosqueruela</v>
          </cell>
          <cell r="I4629" t="str">
            <v>44160</v>
          </cell>
        </row>
        <row r="4630">
          <cell r="H4630" t="str">
            <v>Móstoles</v>
          </cell>
          <cell r="I4630" t="str">
            <v>28092</v>
          </cell>
        </row>
        <row r="4631">
          <cell r="H4631" t="str">
            <v>Mota de Altarejos</v>
          </cell>
          <cell r="I4631" t="str">
            <v>16132</v>
          </cell>
        </row>
        <row r="4632">
          <cell r="H4632" t="str">
            <v>Mota del Cuervo</v>
          </cell>
          <cell r="I4632" t="str">
            <v>16133</v>
          </cell>
        </row>
        <row r="4633">
          <cell r="H4633" t="str">
            <v>Mota del Marqués</v>
          </cell>
          <cell r="I4633" t="str">
            <v>47097</v>
          </cell>
        </row>
        <row r="4634">
          <cell r="H4634" t="str">
            <v>Motilla del Palancar</v>
          </cell>
          <cell r="I4634" t="str">
            <v>16134</v>
          </cell>
        </row>
        <row r="4635">
          <cell r="H4635" t="str">
            <v>Motilleja</v>
          </cell>
          <cell r="I4635" t="str">
            <v>02052</v>
          </cell>
        </row>
        <row r="4636">
          <cell r="H4636" t="str">
            <v>Motril</v>
          </cell>
          <cell r="I4636" t="str">
            <v>18140</v>
          </cell>
        </row>
        <row r="4637">
          <cell r="H4637" t="str">
            <v>Moya</v>
          </cell>
          <cell r="I4637" t="str">
            <v>16135</v>
          </cell>
        </row>
        <row r="4638">
          <cell r="H4638" t="str">
            <v>Moya</v>
          </cell>
          <cell r="I4638" t="str">
            <v>35013</v>
          </cell>
        </row>
        <row r="4639">
          <cell r="H4639" t="str">
            <v>Moyuela</v>
          </cell>
          <cell r="I4639" t="str">
            <v>50179</v>
          </cell>
        </row>
        <row r="4640">
          <cell r="H4640" t="str">
            <v>Mozárbez</v>
          </cell>
          <cell r="I4640" t="str">
            <v>37209</v>
          </cell>
        </row>
        <row r="4641">
          <cell r="H4641" t="str">
            <v>Mozoncillo</v>
          </cell>
          <cell r="I4641" t="str">
            <v>40134</v>
          </cell>
        </row>
        <row r="4642">
          <cell r="H4642" t="str">
            <v>Mozota</v>
          </cell>
          <cell r="I4642" t="str">
            <v>50180</v>
          </cell>
        </row>
        <row r="4643">
          <cell r="H4643" t="str">
            <v>Mucientes</v>
          </cell>
          <cell r="I4643" t="str">
            <v>47098</v>
          </cell>
        </row>
        <row r="4644">
          <cell r="H4644" t="str">
            <v>Mudarra, La</v>
          </cell>
          <cell r="I4644" t="str">
            <v>47099</v>
          </cell>
        </row>
        <row r="4645">
          <cell r="H4645" t="str">
            <v>Muduex</v>
          </cell>
          <cell r="I4645" t="str">
            <v>19196</v>
          </cell>
        </row>
        <row r="4646">
          <cell r="H4646" t="str">
            <v>Muel</v>
          </cell>
          <cell r="I4646" t="str">
            <v>50181</v>
          </cell>
        </row>
        <row r="4647">
          <cell r="H4647" t="str">
            <v>Muela, La</v>
          </cell>
          <cell r="I4647" t="str">
            <v>50182</v>
          </cell>
        </row>
        <row r="4648">
          <cell r="H4648" t="str">
            <v>Muelas de los Caballeros</v>
          </cell>
          <cell r="I4648" t="str">
            <v>49134</v>
          </cell>
        </row>
        <row r="4649">
          <cell r="H4649" t="str">
            <v>Muelas del Pan</v>
          </cell>
          <cell r="I4649" t="str">
            <v>49135</v>
          </cell>
        </row>
        <row r="4650">
          <cell r="H4650" t="str">
            <v>Mues</v>
          </cell>
          <cell r="I4650" t="str">
            <v>31175</v>
          </cell>
        </row>
        <row r="4651">
          <cell r="H4651" t="str">
            <v>Muga de Sayago</v>
          </cell>
          <cell r="I4651" t="str">
            <v>49136</v>
          </cell>
        </row>
        <row r="4652">
          <cell r="H4652" t="str">
            <v>Mugardos</v>
          </cell>
          <cell r="I4652" t="str">
            <v>15051</v>
          </cell>
        </row>
        <row r="4653">
          <cell r="H4653" t="str">
            <v>Muíños</v>
          </cell>
          <cell r="I4653" t="str">
            <v>32051</v>
          </cell>
        </row>
        <row r="4654">
          <cell r="H4654" t="str">
            <v>Mula</v>
          </cell>
          <cell r="I4654" t="str">
            <v>30029</v>
          </cell>
        </row>
        <row r="4655">
          <cell r="H4655" t="str">
            <v>Mundaka</v>
          </cell>
          <cell r="I4655" t="str">
            <v>48068</v>
          </cell>
        </row>
        <row r="4656">
          <cell r="H4656" t="str">
            <v>Munébrega</v>
          </cell>
          <cell r="I4656" t="str">
            <v>50183</v>
          </cell>
        </row>
        <row r="4657">
          <cell r="H4657" t="str">
            <v>Munera</v>
          </cell>
          <cell r="I4657" t="str">
            <v>02053</v>
          </cell>
        </row>
        <row r="4658">
          <cell r="H4658" t="str">
            <v>Mungia</v>
          </cell>
          <cell r="I4658" t="str">
            <v>48069</v>
          </cell>
        </row>
        <row r="4659">
          <cell r="H4659" t="str">
            <v>Munilla</v>
          </cell>
          <cell r="I4659" t="str">
            <v>26098</v>
          </cell>
        </row>
        <row r="4660">
          <cell r="H4660" t="str">
            <v>Munitibar-Arbatzegi Gerrikaitz</v>
          </cell>
          <cell r="I4660" t="str">
            <v>48007</v>
          </cell>
        </row>
        <row r="4661">
          <cell r="H4661" t="str">
            <v>Muntanyola</v>
          </cell>
          <cell r="I4661" t="str">
            <v>08129</v>
          </cell>
        </row>
        <row r="4662">
          <cell r="H4662" t="str">
            <v>Muñana</v>
          </cell>
          <cell r="I4662" t="str">
            <v>05135</v>
          </cell>
        </row>
        <row r="4663">
          <cell r="H4663" t="str">
            <v>Muñico</v>
          </cell>
          <cell r="I4663" t="str">
            <v>05136</v>
          </cell>
        </row>
        <row r="4664">
          <cell r="H4664" t="str">
            <v>Muñogalindo</v>
          </cell>
          <cell r="I4664" t="str">
            <v>05138</v>
          </cell>
        </row>
        <row r="4665">
          <cell r="H4665" t="str">
            <v>Muñogrande</v>
          </cell>
          <cell r="I4665" t="str">
            <v>05139</v>
          </cell>
        </row>
        <row r="4666">
          <cell r="H4666" t="str">
            <v>Muñomer del Peco</v>
          </cell>
          <cell r="I4666" t="str">
            <v>05140</v>
          </cell>
        </row>
        <row r="4667">
          <cell r="H4667" t="str">
            <v>Muñopedro</v>
          </cell>
          <cell r="I4667" t="str">
            <v>40135</v>
          </cell>
        </row>
        <row r="4668">
          <cell r="H4668" t="str">
            <v>Muñopepe</v>
          </cell>
          <cell r="I4668" t="str">
            <v>05141</v>
          </cell>
        </row>
        <row r="4669">
          <cell r="H4669" t="str">
            <v>Muñosancho</v>
          </cell>
          <cell r="I4669" t="str">
            <v>05142</v>
          </cell>
        </row>
        <row r="4670">
          <cell r="H4670" t="str">
            <v>Muñotello</v>
          </cell>
          <cell r="I4670" t="str">
            <v>05143</v>
          </cell>
        </row>
        <row r="4671">
          <cell r="H4671" t="str">
            <v>Muñoveros</v>
          </cell>
          <cell r="I4671" t="str">
            <v>40136</v>
          </cell>
        </row>
        <row r="4672">
          <cell r="H4672" t="str">
            <v>Mura</v>
          </cell>
          <cell r="I4672" t="str">
            <v>08139</v>
          </cell>
        </row>
        <row r="4673">
          <cell r="H4673" t="str">
            <v>Murchante</v>
          </cell>
          <cell r="I4673" t="str">
            <v>31176</v>
          </cell>
        </row>
        <row r="4674">
          <cell r="H4674" t="str">
            <v>Murcia</v>
          </cell>
          <cell r="I4674" t="str">
            <v>30030</v>
          </cell>
        </row>
        <row r="4675">
          <cell r="H4675" t="str">
            <v>Murero</v>
          </cell>
          <cell r="I4675" t="str">
            <v>50184</v>
          </cell>
        </row>
        <row r="4676">
          <cell r="H4676" t="str">
            <v>Muriel</v>
          </cell>
          <cell r="I4676" t="str">
            <v>47100</v>
          </cell>
        </row>
        <row r="4677">
          <cell r="H4677" t="str">
            <v>Muriel de la Fuente</v>
          </cell>
          <cell r="I4677" t="str">
            <v>42124</v>
          </cell>
        </row>
        <row r="4678">
          <cell r="H4678" t="str">
            <v>Muriel Viejo</v>
          </cell>
          <cell r="I4678" t="str">
            <v>42125</v>
          </cell>
        </row>
        <row r="4679">
          <cell r="H4679" t="str">
            <v>Murieta</v>
          </cell>
          <cell r="I4679" t="str">
            <v>31177</v>
          </cell>
        </row>
        <row r="4680">
          <cell r="H4680" t="str">
            <v>Murillo de Gállego</v>
          </cell>
          <cell r="I4680" t="str">
            <v>50185</v>
          </cell>
        </row>
        <row r="4681">
          <cell r="H4681" t="str">
            <v>Murillo de Río Leza</v>
          </cell>
          <cell r="I4681" t="str">
            <v>26099</v>
          </cell>
        </row>
        <row r="4682">
          <cell r="H4682" t="str">
            <v>Murillo el Cuende</v>
          </cell>
          <cell r="I4682" t="str">
            <v>31178</v>
          </cell>
        </row>
        <row r="4683">
          <cell r="H4683" t="str">
            <v>Murillo el Fruto</v>
          </cell>
          <cell r="I4683" t="str">
            <v>31179</v>
          </cell>
        </row>
        <row r="4684">
          <cell r="H4684" t="str">
            <v>Murla</v>
          </cell>
          <cell r="I4684" t="str">
            <v>03091</v>
          </cell>
        </row>
        <row r="4685">
          <cell r="H4685" t="str">
            <v>Muro de Aguas</v>
          </cell>
          <cell r="I4685" t="str">
            <v>26100</v>
          </cell>
        </row>
        <row r="4686">
          <cell r="H4686" t="str">
            <v>Muro de Alcoy</v>
          </cell>
          <cell r="I4686" t="str">
            <v>03092</v>
          </cell>
        </row>
        <row r="4687">
          <cell r="H4687" t="str">
            <v>Muro en Cameros</v>
          </cell>
          <cell r="I4687" t="str">
            <v>26101</v>
          </cell>
        </row>
        <row r="4688">
          <cell r="H4688" t="str">
            <v>Muros</v>
          </cell>
          <cell r="I4688" t="str">
            <v>15053</v>
          </cell>
        </row>
        <row r="4689">
          <cell r="H4689" t="str">
            <v>Muros de Nalón</v>
          </cell>
          <cell r="I4689" t="str">
            <v>33039</v>
          </cell>
        </row>
        <row r="4690">
          <cell r="H4690" t="str">
            <v>Murtas</v>
          </cell>
          <cell r="I4690" t="str">
            <v>18141</v>
          </cell>
        </row>
        <row r="4691">
          <cell r="H4691" t="str">
            <v>Murueta</v>
          </cell>
          <cell r="I4691" t="str">
            <v>48908</v>
          </cell>
        </row>
        <row r="4692">
          <cell r="H4692" t="str">
            <v>Muruzábal</v>
          </cell>
          <cell r="I4692" t="str">
            <v>31180</v>
          </cell>
        </row>
        <row r="4693">
          <cell r="H4693" t="str">
            <v>Museros</v>
          </cell>
          <cell r="I4693" t="str">
            <v>46177</v>
          </cell>
        </row>
        <row r="4694">
          <cell r="H4694" t="str">
            <v>Muskiz</v>
          </cell>
          <cell r="I4694" t="str">
            <v>48071</v>
          </cell>
        </row>
        <row r="4695">
          <cell r="H4695" t="str">
            <v>Mutiloa</v>
          </cell>
          <cell r="I4695" t="str">
            <v>20057</v>
          </cell>
        </row>
        <row r="4696">
          <cell r="H4696" t="str">
            <v>Mutriku</v>
          </cell>
          <cell r="I4696" t="str">
            <v>20056</v>
          </cell>
        </row>
        <row r="4697">
          <cell r="H4697" t="str">
            <v>Mutxamel</v>
          </cell>
          <cell r="I4697" t="str">
            <v>03090</v>
          </cell>
        </row>
        <row r="4698">
          <cell r="H4698" t="str">
            <v>Muxía</v>
          </cell>
          <cell r="I4698" t="str">
            <v>15052</v>
          </cell>
        </row>
        <row r="4699">
          <cell r="H4699" t="str">
            <v>Muxika</v>
          </cell>
          <cell r="I4699" t="str">
            <v>48067</v>
          </cell>
        </row>
        <row r="4700">
          <cell r="H4700" t="str">
            <v>Nabarniz</v>
          </cell>
          <cell r="I4700" t="str">
            <v>48909</v>
          </cell>
        </row>
        <row r="4701">
          <cell r="H4701" t="str">
            <v>Nacimiento</v>
          </cell>
          <cell r="I4701" t="str">
            <v>04065</v>
          </cell>
        </row>
        <row r="4702">
          <cell r="H4702" t="str">
            <v>Nafría de Ucero</v>
          </cell>
          <cell r="I4702" t="str">
            <v>42127</v>
          </cell>
        </row>
        <row r="4703">
          <cell r="H4703" t="str">
            <v>Nájera</v>
          </cell>
          <cell r="I4703" t="str">
            <v>26102</v>
          </cell>
        </row>
        <row r="4704">
          <cell r="H4704" t="str">
            <v>Nalda</v>
          </cell>
          <cell r="I4704" t="str">
            <v>26103</v>
          </cell>
        </row>
        <row r="4705">
          <cell r="H4705" t="str">
            <v>Nalec</v>
          </cell>
          <cell r="I4705" t="str">
            <v>25145</v>
          </cell>
        </row>
        <row r="4706">
          <cell r="H4706" t="str">
            <v>Nambroca</v>
          </cell>
          <cell r="I4706" t="str">
            <v>45107</v>
          </cell>
        </row>
        <row r="4707">
          <cell r="H4707" t="str">
            <v>Nàquera/Náquera</v>
          </cell>
          <cell r="I4707" t="str">
            <v>46178</v>
          </cell>
        </row>
        <row r="4708">
          <cell r="H4708" t="str">
            <v>Narboneta</v>
          </cell>
          <cell r="I4708" t="str">
            <v>16137</v>
          </cell>
        </row>
        <row r="4709">
          <cell r="H4709" t="str">
            <v>Narón</v>
          </cell>
          <cell r="I4709" t="str">
            <v>15054</v>
          </cell>
        </row>
        <row r="4710">
          <cell r="H4710" t="str">
            <v>Narrillos del Álamo</v>
          </cell>
          <cell r="I4710" t="str">
            <v>05144</v>
          </cell>
        </row>
        <row r="4711">
          <cell r="H4711" t="str">
            <v>Narrillos del Rebollar</v>
          </cell>
          <cell r="I4711" t="str">
            <v>05145</v>
          </cell>
        </row>
        <row r="4712">
          <cell r="H4712" t="str">
            <v>Narros</v>
          </cell>
          <cell r="I4712" t="str">
            <v>42128</v>
          </cell>
        </row>
        <row r="4713">
          <cell r="H4713" t="str">
            <v>Narros de Matalayegua</v>
          </cell>
          <cell r="I4713" t="str">
            <v>37211</v>
          </cell>
        </row>
        <row r="4714">
          <cell r="H4714" t="str">
            <v>Narros de Saldueña</v>
          </cell>
          <cell r="I4714" t="str">
            <v>05149</v>
          </cell>
        </row>
        <row r="4715">
          <cell r="H4715" t="str">
            <v>Narros del Castillo</v>
          </cell>
          <cell r="I4715" t="str">
            <v>05147</v>
          </cell>
        </row>
        <row r="4716">
          <cell r="H4716" t="str">
            <v>Narros del Puerto</v>
          </cell>
          <cell r="I4716" t="str">
            <v>05148</v>
          </cell>
        </row>
        <row r="4717">
          <cell r="H4717" t="str">
            <v>Naut Aran</v>
          </cell>
          <cell r="I4717" t="str">
            <v>25025</v>
          </cell>
        </row>
        <row r="4718">
          <cell r="H4718" t="str">
            <v>Nava de Arévalo</v>
          </cell>
          <cell r="I4718" t="str">
            <v>05152</v>
          </cell>
        </row>
        <row r="4719">
          <cell r="H4719" t="str">
            <v>Nava de Béjar</v>
          </cell>
          <cell r="I4719" t="str">
            <v>37213</v>
          </cell>
        </row>
        <row r="4720">
          <cell r="H4720" t="str">
            <v>Nava de Francia</v>
          </cell>
          <cell r="I4720" t="str">
            <v>37214</v>
          </cell>
        </row>
        <row r="4721">
          <cell r="H4721" t="str">
            <v>Nava de la Asunción</v>
          </cell>
          <cell r="I4721" t="str">
            <v>40138</v>
          </cell>
        </row>
        <row r="4722">
          <cell r="H4722" t="str">
            <v>Nava de Ricomalillo, La</v>
          </cell>
          <cell r="I4722" t="str">
            <v>45108</v>
          </cell>
        </row>
        <row r="4723">
          <cell r="H4723" t="str">
            <v>Nava de Roa</v>
          </cell>
          <cell r="I4723" t="str">
            <v>09229</v>
          </cell>
        </row>
        <row r="4724">
          <cell r="H4724" t="str">
            <v>Nava de Santiago, La</v>
          </cell>
          <cell r="I4724" t="str">
            <v>06090</v>
          </cell>
        </row>
        <row r="4725">
          <cell r="H4725" t="str">
            <v>Nava de Sotrobal</v>
          </cell>
          <cell r="I4725" t="str">
            <v>37215</v>
          </cell>
        </row>
        <row r="4726">
          <cell r="H4726" t="str">
            <v>Nava del Barco</v>
          </cell>
          <cell r="I4726" t="str">
            <v>05153</v>
          </cell>
        </row>
        <row r="4727">
          <cell r="H4727" t="str">
            <v>Nava del Rey</v>
          </cell>
          <cell r="I4727" t="str">
            <v>47101</v>
          </cell>
        </row>
        <row r="4728">
          <cell r="H4728" t="str">
            <v>Nava, La</v>
          </cell>
          <cell r="I4728" t="str">
            <v>21051</v>
          </cell>
        </row>
        <row r="4729">
          <cell r="H4729" t="str">
            <v>Navacarros</v>
          </cell>
          <cell r="I4729" t="str">
            <v>37212</v>
          </cell>
        </row>
        <row r="4730">
          <cell r="H4730" t="str">
            <v>Navacepedilla de Corneja</v>
          </cell>
          <cell r="I4730" t="str">
            <v>05151</v>
          </cell>
        </row>
        <row r="4731">
          <cell r="H4731" t="str">
            <v>Navacerrada</v>
          </cell>
          <cell r="I4731" t="str">
            <v>28093</v>
          </cell>
        </row>
        <row r="4732">
          <cell r="H4732" t="str">
            <v>Navaconcejo</v>
          </cell>
          <cell r="I4732" t="str">
            <v>10130</v>
          </cell>
        </row>
        <row r="4733">
          <cell r="H4733" t="str">
            <v>Navadijos</v>
          </cell>
          <cell r="I4733" t="str">
            <v>05154</v>
          </cell>
        </row>
        <row r="4734">
          <cell r="H4734" t="str">
            <v>Navaescurial</v>
          </cell>
          <cell r="I4734" t="str">
            <v>05155</v>
          </cell>
        </row>
        <row r="4735">
          <cell r="H4735" t="str">
            <v>Navafría</v>
          </cell>
          <cell r="I4735" t="str">
            <v>40139</v>
          </cell>
        </row>
        <row r="4736">
          <cell r="H4736" t="str">
            <v>Navahermosa</v>
          </cell>
          <cell r="I4736" t="str">
            <v>45109</v>
          </cell>
        </row>
        <row r="4737">
          <cell r="H4737" t="str">
            <v>Navahondilla</v>
          </cell>
          <cell r="I4737" t="str">
            <v>05156</v>
          </cell>
        </row>
        <row r="4738">
          <cell r="H4738" t="str">
            <v>Navajas</v>
          </cell>
          <cell r="I4738" t="str">
            <v>12081</v>
          </cell>
        </row>
        <row r="4739">
          <cell r="H4739" t="str">
            <v>Navajún</v>
          </cell>
          <cell r="I4739" t="str">
            <v>26104</v>
          </cell>
        </row>
        <row r="4740">
          <cell r="H4740" t="str">
            <v>Naval</v>
          </cell>
          <cell r="I4740" t="str">
            <v>22160</v>
          </cell>
        </row>
        <row r="4741">
          <cell r="H4741" t="str">
            <v>Navalacruz</v>
          </cell>
          <cell r="I4741" t="str">
            <v>05157</v>
          </cell>
        </row>
        <row r="4742">
          <cell r="H4742" t="str">
            <v>Navalafuente</v>
          </cell>
          <cell r="I4742" t="str">
            <v>28094</v>
          </cell>
        </row>
        <row r="4743">
          <cell r="H4743" t="str">
            <v>Navalagamella</v>
          </cell>
          <cell r="I4743" t="str">
            <v>28095</v>
          </cell>
        </row>
        <row r="4744">
          <cell r="H4744" t="str">
            <v>Navalcán</v>
          </cell>
          <cell r="I4744" t="str">
            <v>45110</v>
          </cell>
        </row>
        <row r="4745">
          <cell r="H4745" t="str">
            <v>Navalcarnero</v>
          </cell>
          <cell r="I4745" t="str">
            <v>28096</v>
          </cell>
        </row>
        <row r="4746">
          <cell r="H4746" t="str">
            <v>Navaleno</v>
          </cell>
          <cell r="I4746" t="str">
            <v>42129</v>
          </cell>
        </row>
        <row r="4747">
          <cell r="H4747" t="str">
            <v>Navales</v>
          </cell>
          <cell r="I4747" t="str">
            <v>37216</v>
          </cell>
        </row>
        <row r="4748">
          <cell r="H4748" t="str">
            <v>Navalilla</v>
          </cell>
          <cell r="I4748" t="str">
            <v>40140</v>
          </cell>
        </row>
        <row r="4749">
          <cell r="H4749" t="str">
            <v>Navalmanzano</v>
          </cell>
          <cell r="I4749" t="str">
            <v>40141</v>
          </cell>
        </row>
        <row r="4750">
          <cell r="H4750" t="str">
            <v>Navalmoral</v>
          </cell>
          <cell r="I4750" t="str">
            <v>05158</v>
          </cell>
        </row>
        <row r="4751">
          <cell r="H4751" t="str">
            <v>Navalmoral de Béjar</v>
          </cell>
          <cell r="I4751" t="str">
            <v>37217</v>
          </cell>
        </row>
        <row r="4752">
          <cell r="H4752" t="str">
            <v>Navalmoral de la Mata</v>
          </cell>
          <cell r="I4752" t="str">
            <v>10131</v>
          </cell>
        </row>
        <row r="4753">
          <cell r="H4753" t="str">
            <v>Navalmoralejo</v>
          </cell>
          <cell r="I4753" t="str">
            <v>45111</v>
          </cell>
        </row>
        <row r="4754">
          <cell r="H4754" t="str">
            <v>Navalmorales, Los</v>
          </cell>
          <cell r="I4754" t="str">
            <v>45112</v>
          </cell>
        </row>
        <row r="4755">
          <cell r="H4755" t="str">
            <v>Navalonguilla</v>
          </cell>
          <cell r="I4755" t="str">
            <v>05159</v>
          </cell>
        </row>
        <row r="4756">
          <cell r="H4756" t="str">
            <v>Navalosa</v>
          </cell>
          <cell r="I4756" t="str">
            <v>05160</v>
          </cell>
        </row>
        <row r="4757">
          <cell r="H4757" t="str">
            <v>Navalperal de Pinares</v>
          </cell>
          <cell r="I4757" t="str">
            <v>05161</v>
          </cell>
        </row>
        <row r="4758">
          <cell r="H4758" t="str">
            <v>Navalperal de Tormes</v>
          </cell>
          <cell r="I4758" t="str">
            <v>05162</v>
          </cell>
        </row>
        <row r="4759">
          <cell r="H4759" t="str">
            <v>Navalpino</v>
          </cell>
          <cell r="I4759" t="str">
            <v>13059</v>
          </cell>
        </row>
        <row r="4760">
          <cell r="H4760" t="str">
            <v>Navalucillos, Los</v>
          </cell>
          <cell r="I4760" t="str">
            <v>45113</v>
          </cell>
        </row>
        <row r="4761">
          <cell r="H4761" t="str">
            <v>Navaluenga</v>
          </cell>
          <cell r="I4761" t="str">
            <v>05163</v>
          </cell>
        </row>
        <row r="4762">
          <cell r="H4762" t="str">
            <v>Navalvillar de Ibor</v>
          </cell>
          <cell r="I4762" t="str">
            <v>10132</v>
          </cell>
        </row>
        <row r="4763">
          <cell r="H4763" t="str">
            <v>Navalvillar de Pela</v>
          </cell>
          <cell r="I4763" t="str">
            <v>06091</v>
          </cell>
        </row>
        <row r="4764">
          <cell r="H4764" t="str">
            <v>Navamorales</v>
          </cell>
          <cell r="I4764" t="str">
            <v>37218</v>
          </cell>
        </row>
        <row r="4765">
          <cell r="H4765" t="str">
            <v>Navamorcuende</v>
          </cell>
          <cell r="I4765" t="str">
            <v>45114</v>
          </cell>
        </row>
        <row r="4766">
          <cell r="H4766" t="str">
            <v>Navaquesera</v>
          </cell>
          <cell r="I4766" t="str">
            <v>05164</v>
          </cell>
        </row>
        <row r="4767">
          <cell r="H4767" t="str">
            <v>Navarcles</v>
          </cell>
          <cell r="I4767" t="str">
            <v>08140</v>
          </cell>
        </row>
        <row r="4768">
          <cell r="H4768" t="str">
            <v>Navardún</v>
          </cell>
          <cell r="I4768" t="str">
            <v>50186</v>
          </cell>
        </row>
        <row r="4769">
          <cell r="H4769" t="str">
            <v>Navares de Ayuso</v>
          </cell>
          <cell r="I4769" t="str">
            <v>40142</v>
          </cell>
        </row>
        <row r="4770">
          <cell r="H4770" t="str">
            <v>Navares de Enmedio</v>
          </cell>
          <cell r="I4770" t="str">
            <v>40143</v>
          </cell>
        </row>
        <row r="4771">
          <cell r="H4771" t="str">
            <v>Navares de las Cuevas</v>
          </cell>
          <cell r="I4771" t="str">
            <v>40144</v>
          </cell>
        </row>
        <row r="4772">
          <cell r="H4772" t="str">
            <v>Navaridas</v>
          </cell>
          <cell r="I4772" t="str">
            <v>01041</v>
          </cell>
        </row>
        <row r="4773">
          <cell r="H4773" t="str">
            <v>Navarredonda de Gredos</v>
          </cell>
          <cell r="I4773" t="str">
            <v>05165</v>
          </cell>
        </row>
        <row r="4774">
          <cell r="H4774" t="str">
            <v>Navarredonda de la Rinconada</v>
          </cell>
          <cell r="I4774" t="str">
            <v>37219</v>
          </cell>
        </row>
        <row r="4775">
          <cell r="H4775" t="str">
            <v>Navarredonda y San Mamés</v>
          </cell>
          <cell r="I4775" t="str">
            <v>28097</v>
          </cell>
        </row>
        <row r="4776">
          <cell r="H4776" t="str">
            <v>Navarredondilla</v>
          </cell>
          <cell r="I4776" t="str">
            <v>05166</v>
          </cell>
        </row>
        <row r="4777">
          <cell r="H4777" t="str">
            <v>Navarrés</v>
          </cell>
          <cell r="I4777" t="str">
            <v>46179</v>
          </cell>
        </row>
        <row r="4778">
          <cell r="H4778" t="str">
            <v>Navarrete</v>
          </cell>
          <cell r="I4778" t="str">
            <v>26105</v>
          </cell>
        </row>
        <row r="4779">
          <cell r="H4779" t="str">
            <v>Navarrevisca</v>
          </cell>
          <cell r="I4779" t="str">
            <v>05167</v>
          </cell>
        </row>
        <row r="4780">
          <cell r="H4780" t="str">
            <v>Navàs</v>
          </cell>
          <cell r="I4780" t="str">
            <v>08141</v>
          </cell>
        </row>
        <row r="4781">
          <cell r="H4781" t="str">
            <v>Navas de Estena</v>
          </cell>
          <cell r="I4781" t="str">
            <v>13060</v>
          </cell>
        </row>
        <row r="4782">
          <cell r="H4782" t="str">
            <v>Navas de Jadraque, Las</v>
          </cell>
          <cell r="I4782" t="str">
            <v>19197</v>
          </cell>
        </row>
        <row r="4783">
          <cell r="H4783" t="str">
            <v>Navas de Jorquera</v>
          </cell>
          <cell r="I4783" t="str">
            <v>02054</v>
          </cell>
        </row>
        <row r="4784">
          <cell r="H4784" t="str">
            <v>Navas de la Concepción, Las</v>
          </cell>
          <cell r="I4784" t="str">
            <v>41066</v>
          </cell>
        </row>
        <row r="4785">
          <cell r="H4785" t="str">
            <v>Navas de Oro</v>
          </cell>
          <cell r="I4785" t="str">
            <v>40145</v>
          </cell>
        </row>
        <row r="4786">
          <cell r="H4786" t="str">
            <v>Navas de Riofrío</v>
          </cell>
          <cell r="I4786" t="str">
            <v>40904</v>
          </cell>
        </row>
        <row r="4787">
          <cell r="H4787" t="str">
            <v>Navas de San Antonio</v>
          </cell>
          <cell r="I4787" t="str">
            <v>40146</v>
          </cell>
        </row>
        <row r="4788">
          <cell r="H4788" t="str">
            <v>Navas de San Juan</v>
          </cell>
          <cell r="I4788" t="str">
            <v>23063</v>
          </cell>
        </row>
        <row r="4789">
          <cell r="H4789" t="str">
            <v>Navas del Madroño</v>
          </cell>
          <cell r="I4789" t="str">
            <v>10133</v>
          </cell>
        </row>
        <row r="4790">
          <cell r="H4790" t="str">
            <v>Navas del Marqués, Las</v>
          </cell>
          <cell r="I4790" t="str">
            <v>05168</v>
          </cell>
        </row>
        <row r="4791">
          <cell r="H4791" t="str">
            <v>Navas del Rey</v>
          </cell>
          <cell r="I4791" t="str">
            <v>28099</v>
          </cell>
        </row>
        <row r="4792">
          <cell r="H4792" t="str">
            <v>Navascués/Nabaskoze</v>
          </cell>
          <cell r="I4792" t="str">
            <v>31181</v>
          </cell>
        </row>
        <row r="4793">
          <cell r="H4793" t="str">
            <v>Navasfrías</v>
          </cell>
          <cell r="I4793" t="str">
            <v>37221</v>
          </cell>
        </row>
        <row r="4794">
          <cell r="H4794" t="str">
            <v>Navata</v>
          </cell>
          <cell r="I4794" t="str">
            <v>17111</v>
          </cell>
        </row>
        <row r="4795">
          <cell r="H4795" t="str">
            <v>Navatalgordo</v>
          </cell>
          <cell r="I4795" t="str">
            <v>05169</v>
          </cell>
        </row>
        <row r="4796">
          <cell r="H4796" t="str">
            <v>Navatejares</v>
          </cell>
          <cell r="I4796" t="str">
            <v>05170</v>
          </cell>
        </row>
        <row r="4797">
          <cell r="H4797" t="str">
            <v>Navès</v>
          </cell>
          <cell r="I4797" t="str">
            <v>25146</v>
          </cell>
        </row>
        <row r="4798">
          <cell r="H4798" t="str">
            <v>Navezuelas</v>
          </cell>
          <cell r="I4798" t="str">
            <v>10134</v>
          </cell>
        </row>
        <row r="4799">
          <cell r="H4799" t="str">
            <v>Navia</v>
          </cell>
          <cell r="I4799" t="str">
            <v>33041</v>
          </cell>
        </row>
        <row r="4800">
          <cell r="H4800" t="str">
            <v>Navia de Suarna</v>
          </cell>
          <cell r="I4800" t="str">
            <v>27034</v>
          </cell>
        </row>
        <row r="4801">
          <cell r="H4801" t="str">
            <v>Navianos de Valverde</v>
          </cell>
          <cell r="I4801" t="str">
            <v>49137</v>
          </cell>
        </row>
        <row r="4802">
          <cell r="H4802" t="str">
            <v>Nazar</v>
          </cell>
          <cell r="I4802" t="str">
            <v>31182</v>
          </cell>
        </row>
        <row r="4803">
          <cell r="H4803" t="str">
            <v>Nebreda</v>
          </cell>
          <cell r="I4803" t="str">
            <v>09231</v>
          </cell>
        </row>
        <row r="4804">
          <cell r="H4804" t="str">
            <v>Neda</v>
          </cell>
          <cell r="I4804" t="str">
            <v>15055</v>
          </cell>
        </row>
        <row r="4805">
          <cell r="H4805" t="str">
            <v>Negredo</v>
          </cell>
          <cell r="I4805" t="str">
            <v>19198</v>
          </cell>
        </row>
        <row r="4806">
          <cell r="H4806" t="str">
            <v>Negreira</v>
          </cell>
          <cell r="I4806" t="str">
            <v>15056</v>
          </cell>
        </row>
        <row r="4807">
          <cell r="H4807" t="str">
            <v>Negrilla de Palencia</v>
          </cell>
          <cell r="I4807" t="str">
            <v>37222</v>
          </cell>
        </row>
        <row r="4808">
          <cell r="H4808" t="str">
            <v>Negueira de Muñiz</v>
          </cell>
          <cell r="I4808" t="str">
            <v>27035</v>
          </cell>
        </row>
        <row r="4809">
          <cell r="H4809" t="str">
            <v>Neila</v>
          </cell>
          <cell r="I4809" t="str">
            <v>09232</v>
          </cell>
        </row>
        <row r="4810">
          <cell r="H4810" t="str">
            <v>Neila de San Miguel</v>
          </cell>
          <cell r="I4810" t="str">
            <v>05171</v>
          </cell>
        </row>
        <row r="4811">
          <cell r="H4811" t="str">
            <v>Nepas</v>
          </cell>
          <cell r="I4811" t="str">
            <v>42130</v>
          </cell>
        </row>
        <row r="4812">
          <cell r="H4812" t="str">
            <v>Nerja</v>
          </cell>
          <cell r="I4812" t="str">
            <v>29075</v>
          </cell>
        </row>
        <row r="4813">
          <cell r="H4813" t="str">
            <v>Nerpio</v>
          </cell>
          <cell r="I4813" t="str">
            <v>02055</v>
          </cell>
        </row>
        <row r="4814">
          <cell r="H4814" t="str">
            <v>Nerva</v>
          </cell>
          <cell r="I4814" t="str">
            <v>21052</v>
          </cell>
        </row>
        <row r="4815">
          <cell r="H4815" t="str">
            <v>Nestares</v>
          </cell>
          <cell r="I4815" t="str">
            <v>26106</v>
          </cell>
        </row>
        <row r="4816">
          <cell r="H4816" t="str">
            <v>Nevada</v>
          </cell>
          <cell r="I4816" t="str">
            <v>18903</v>
          </cell>
        </row>
        <row r="4817">
          <cell r="H4817" t="str">
            <v>Neves, As</v>
          </cell>
          <cell r="I4817" t="str">
            <v>36034</v>
          </cell>
        </row>
        <row r="4818">
          <cell r="H4818" t="str">
            <v>Niebla</v>
          </cell>
          <cell r="I4818" t="str">
            <v>21053</v>
          </cell>
        </row>
        <row r="4819">
          <cell r="H4819" t="str">
            <v>Nieva</v>
          </cell>
          <cell r="I4819" t="str">
            <v>40148</v>
          </cell>
        </row>
        <row r="4820">
          <cell r="H4820" t="str">
            <v>Nieva de Cameros</v>
          </cell>
          <cell r="I4820" t="str">
            <v>26107</v>
          </cell>
        </row>
        <row r="4821">
          <cell r="H4821" t="str">
            <v>Nigrán</v>
          </cell>
          <cell r="I4821" t="str">
            <v>36035</v>
          </cell>
        </row>
        <row r="4822">
          <cell r="H4822" t="str">
            <v>Nigüelas</v>
          </cell>
          <cell r="I4822" t="str">
            <v>18143</v>
          </cell>
        </row>
        <row r="4823">
          <cell r="H4823" t="str">
            <v>Nigüella</v>
          </cell>
          <cell r="I4823" t="str">
            <v>50187</v>
          </cell>
        </row>
        <row r="4824">
          <cell r="H4824" t="str">
            <v>Niharra</v>
          </cell>
          <cell r="I4824" t="str">
            <v>05172</v>
          </cell>
        </row>
        <row r="4825">
          <cell r="H4825" t="str">
            <v>Níjar</v>
          </cell>
          <cell r="I4825" t="str">
            <v>04066</v>
          </cell>
        </row>
        <row r="4826">
          <cell r="H4826" t="str">
            <v>Nívar</v>
          </cell>
          <cell r="I4826" t="str">
            <v>18144</v>
          </cell>
        </row>
        <row r="4827">
          <cell r="H4827" t="str">
            <v>Noáin (Valle de Elorz)/Noain (Elortzibar)</v>
          </cell>
          <cell r="I4827" t="str">
            <v>31088</v>
          </cell>
        </row>
        <row r="4828">
          <cell r="H4828" t="str">
            <v>Noalejo</v>
          </cell>
          <cell r="I4828" t="str">
            <v>23064</v>
          </cell>
        </row>
        <row r="4829">
          <cell r="H4829" t="str">
            <v>Noblejas</v>
          </cell>
          <cell r="I4829" t="str">
            <v>45115</v>
          </cell>
        </row>
        <row r="4830">
          <cell r="H4830" t="str">
            <v>Noez</v>
          </cell>
          <cell r="I4830" t="str">
            <v>45116</v>
          </cell>
        </row>
        <row r="4831">
          <cell r="H4831" t="str">
            <v>Nogais, As</v>
          </cell>
          <cell r="I4831" t="str">
            <v>27037</v>
          </cell>
        </row>
        <row r="4832">
          <cell r="H4832" t="str">
            <v>Nogal de las Huertas</v>
          </cell>
          <cell r="I4832" t="str">
            <v>34112</v>
          </cell>
        </row>
        <row r="4833">
          <cell r="H4833" t="str">
            <v>Nogales</v>
          </cell>
          <cell r="I4833" t="str">
            <v>06092</v>
          </cell>
        </row>
        <row r="4834">
          <cell r="H4834" t="str">
            <v>Nogueira de Ramuín</v>
          </cell>
          <cell r="I4834" t="str">
            <v>32052</v>
          </cell>
        </row>
        <row r="4835">
          <cell r="H4835" t="str">
            <v>Noguera de Albarracín</v>
          </cell>
          <cell r="I4835" t="str">
            <v>44163</v>
          </cell>
        </row>
        <row r="4836">
          <cell r="H4836" t="str">
            <v>Nogueras</v>
          </cell>
          <cell r="I4836" t="str">
            <v>44164</v>
          </cell>
        </row>
        <row r="4837">
          <cell r="H4837" t="str">
            <v>Nogueruelas</v>
          </cell>
          <cell r="I4837" t="str">
            <v>44165</v>
          </cell>
        </row>
        <row r="4838">
          <cell r="H4838" t="str">
            <v>Noia</v>
          </cell>
          <cell r="I4838" t="str">
            <v>15057</v>
          </cell>
        </row>
        <row r="4839">
          <cell r="H4839" t="str">
            <v>Noja</v>
          </cell>
          <cell r="I4839" t="str">
            <v>39047</v>
          </cell>
        </row>
        <row r="4840">
          <cell r="H4840" t="str">
            <v>Nolay</v>
          </cell>
          <cell r="I4840" t="str">
            <v>42131</v>
          </cell>
        </row>
        <row r="4841">
          <cell r="H4841" t="str">
            <v>Nombela</v>
          </cell>
          <cell r="I4841" t="str">
            <v>45117</v>
          </cell>
        </row>
        <row r="4842">
          <cell r="H4842" t="str">
            <v>Nombrevilla</v>
          </cell>
          <cell r="I4842" t="str">
            <v>50188</v>
          </cell>
        </row>
        <row r="4843">
          <cell r="H4843" t="str">
            <v>Nou de Berguedà, La</v>
          </cell>
          <cell r="I4843" t="str">
            <v>08142</v>
          </cell>
        </row>
        <row r="4844">
          <cell r="H4844" t="str">
            <v>Nou de Gaià, La</v>
          </cell>
          <cell r="I4844" t="str">
            <v>43097</v>
          </cell>
        </row>
        <row r="4845">
          <cell r="H4845" t="str">
            <v>Novales</v>
          </cell>
          <cell r="I4845" t="str">
            <v>22162</v>
          </cell>
        </row>
        <row r="4846">
          <cell r="H4846" t="str">
            <v>Novallas</v>
          </cell>
          <cell r="I4846" t="str">
            <v>50190</v>
          </cell>
        </row>
        <row r="4847">
          <cell r="H4847" t="str">
            <v>Novelda</v>
          </cell>
          <cell r="I4847" t="str">
            <v>03093</v>
          </cell>
        </row>
        <row r="4848">
          <cell r="H4848" t="str">
            <v>Novés</v>
          </cell>
          <cell r="I4848" t="str">
            <v>45118</v>
          </cell>
        </row>
        <row r="4849">
          <cell r="H4849" t="str">
            <v>Novetlè</v>
          </cell>
          <cell r="I4849" t="str">
            <v>46180</v>
          </cell>
        </row>
        <row r="4850">
          <cell r="H4850" t="str">
            <v>Noviercas</v>
          </cell>
          <cell r="I4850" t="str">
            <v>42132</v>
          </cell>
        </row>
        <row r="4851">
          <cell r="H4851" t="str">
            <v>Novillas</v>
          </cell>
          <cell r="I4851" t="str">
            <v>50191</v>
          </cell>
        </row>
        <row r="4852">
          <cell r="H4852" t="str">
            <v>Nucia, la</v>
          </cell>
          <cell r="I4852" t="str">
            <v>03094</v>
          </cell>
        </row>
        <row r="4853">
          <cell r="H4853" t="str">
            <v>Nueno</v>
          </cell>
          <cell r="I4853" t="str">
            <v>22163</v>
          </cell>
        </row>
        <row r="4854">
          <cell r="H4854" t="str">
            <v>Nueva Carteya</v>
          </cell>
          <cell r="I4854" t="str">
            <v>14046</v>
          </cell>
        </row>
        <row r="4855">
          <cell r="H4855" t="str">
            <v>Nueva Villa de las Torres</v>
          </cell>
          <cell r="I4855" t="str">
            <v>47102</v>
          </cell>
        </row>
        <row r="4856">
          <cell r="H4856" t="str">
            <v>Nuévalos</v>
          </cell>
          <cell r="I4856" t="str">
            <v>50192</v>
          </cell>
        </row>
        <row r="4857">
          <cell r="H4857" t="str">
            <v>Nuevo Baztán</v>
          </cell>
          <cell r="I4857" t="str">
            <v>28100</v>
          </cell>
        </row>
        <row r="4858">
          <cell r="H4858" t="str">
            <v>Nuez de Ebro</v>
          </cell>
          <cell r="I4858" t="str">
            <v>50193</v>
          </cell>
        </row>
        <row r="4859">
          <cell r="H4859" t="str">
            <v>Nules</v>
          </cell>
          <cell r="I4859" t="str">
            <v>12082</v>
          </cell>
        </row>
        <row r="4860">
          <cell r="H4860" t="str">
            <v>Nulles</v>
          </cell>
          <cell r="I4860" t="str">
            <v>43098</v>
          </cell>
        </row>
        <row r="4861">
          <cell r="H4861" t="str">
            <v>Numancia de la Sagra</v>
          </cell>
          <cell r="I4861" t="str">
            <v>45119</v>
          </cell>
        </row>
        <row r="4862">
          <cell r="H4862" t="str">
            <v>Nuño Gómez</v>
          </cell>
          <cell r="I4862" t="str">
            <v>45120</v>
          </cell>
        </row>
        <row r="4863">
          <cell r="H4863" t="str">
            <v>Nuñomoral</v>
          </cell>
          <cell r="I4863" t="str">
            <v>10135</v>
          </cell>
        </row>
        <row r="4864">
          <cell r="H4864" t="str">
            <v>Obanos</v>
          </cell>
          <cell r="I4864" t="str">
            <v>31183</v>
          </cell>
        </row>
        <row r="4865">
          <cell r="H4865" t="str">
            <v>Ocaña</v>
          </cell>
          <cell r="I4865" t="str">
            <v>45121</v>
          </cell>
        </row>
        <row r="4866">
          <cell r="H4866" t="str">
            <v>Ocentejo</v>
          </cell>
          <cell r="I4866" t="str">
            <v>19199</v>
          </cell>
        </row>
        <row r="4867">
          <cell r="H4867" t="str">
            <v>Ochagavía/Otsagabia</v>
          </cell>
          <cell r="I4867" t="str">
            <v>31185</v>
          </cell>
        </row>
        <row r="4868">
          <cell r="H4868" t="str">
            <v>Ochánduri</v>
          </cell>
          <cell r="I4868" t="str">
            <v>26109</v>
          </cell>
        </row>
        <row r="4869">
          <cell r="H4869" t="str">
            <v>Oco</v>
          </cell>
          <cell r="I4869" t="str">
            <v>31184</v>
          </cell>
        </row>
        <row r="4870">
          <cell r="H4870" t="str">
            <v>Ocón</v>
          </cell>
          <cell r="I4870" t="str">
            <v>26108</v>
          </cell>
        </row>
        <row r="4871">
          <cell r="H4871" t="str">
            <v>Odèn</v>
          </cell>
          <cell r="I4871" t="str">
            <v>25148</v>
          </cell>
        </row>
        <row r="4872">
          <cell r="H4872" t="str">
            <v>Òdena</v>
          </cell>
          <cell r="I4872" t="str">
            <v>08143</v>
          </cell>
        </row>
        <row r="4873">
          <cell r="H4873" t="str">
            <v>Odieta</v>
          </cell>
          <cell r="I4873" t="str">
            <v>31186</v>
          </cell>
        </row>
        <row r="4874">
          <cell r="H4874" t="str">
            <v>Odón</v>
          </cell>
          <cell r="I4874" t="str">
            <v>44168</v>
          </cell>
        </row>
        <row r="4875">
          <cell r="H4875" t="str">
            <v>Ogassa</v>
          </cell>
          <cell r="I4875" t="str">
            <v>17112</v>
          </cell>
        </row>
        <row r="4876">
          <cell r="H4876" t="str">
            <v>Ogíjares</v>
          </cell>
          <cell r="I4876" t="str">
            <v>18145</v>
          </cell>
        </row>
        <row r="4877">
          <cell r="H4877" t="str">
            <v>Ohanes</v>
          </cell>
          <cell r="I4877" t="str">
            <v>04067</v>
          </cell>
        </row>
        <row r="4878">
          <cell r="H4878" t="str">
            <v>Oia</v>
          </cell>
          <cell r="I4878" t="str">
            <v>36036</v>
          </cell>
        </row>
        <row r="4879">
          <cell r="H4879" t="str">
            <v>Oiartzun</v>
          </cell>
          <cell r="I4879" t="str">
            <v>20063</v>
          </cell>
        </row>
        <row r="4880">
          <cell r="H4880" t="str">
            <v>Oímbra</v>
          </cell>
          <cell r="I4880" t="str">
            <v>32053</v>
          </cell>
        </row>
        <row r="4881">
          <cell r="H4881" t="str">
            <v>Oiz</v>
          </cell>
          <cell r="I4881" t="str">
            <v>31187</v>
          </cell>
        </row>
        <row r="4882">
          <cell r="H4882" t="str">
            <v>Ojacastro</v>
          </cell>
          <cell r="I4882" t="str">
            <v>26110</v>
          </cell>
        </row>
        <row r="4883">
          <cell r="H4883" t="str">
            <v>Ojén</v>
          </cell>
          <cell r="I4883" t="str">
            <v>29076</v>
          </cell>
        </row>
        <row r="4884">
          <cell r="H4884" t="str">
            <v>Ojós</v>
          </cell>
          <cell r="I4884" t="str">
            <v>30031</v>
          </cell>
        </row>
        <row r="4885">
          <cell r="H4885" t="str">
            <v>Ojos Negros</v>
          </cell>
          <cell r="I4885" t="str">
            <v>44169</v>
          </cell>
        </row>
        <row r="4886">
          <cell r="H4886" t="str">
            <v>Ojos-Albos</v>
          </cell>
          <cell r="I4886" t="str">
            <v>05173</v>
          </cell>
        </row>
        <row r="4887">
          <cell r="H4887" t="str">
            <v>Okondo</v>
          </cell>
          <cell r="I4887" t="str">
            <v>01042</v>
          </cell>
        </row>
        <row r="4888">
          <cell r="H4888" t="str">
            <v>Olaberria</v>
          </cell>
          <cell r="I4888" t="str">
            <v>20058</v>
          </cell>
        </row>
        <row r="4889">
          <cell r="H4889" t="str">
            <v>Olaibar</v>
          </cell>
          <cell r="I4889" t="str">
            <v>31188</v>
          </cell>
        </row>
        <row r="4890">
          <cell r="H4890" t="str">
            <v>Olazti/Olazagutía</v>
          </cell>
          <cell r="I4890" t="str">
            <v>31189</v>
          </cell>
        </row>
        <row r="4891">
          <cell r="H4891" t="str">
            <v>Olba</v>
          </cell>
          <cell r="I4891" t="str">
            <v>44171</v>
          </cell>
        </row>
        <row r="4892">
          <cell r="H4892" t="str">
            <v>Olea de Boedo</v>
          </cell>
          <cell r="I4892" t="str">
            <v>34113</v>
          </cell>
        </row>
        <row r="4893">
          <cell r="H4893" t="str">
            <v>Oleiros</v>
          </cell>
          <cell r="I4893" t="str">
            <v>15058</v>
          </cell>
        </row>
        <row r="4894">
          <cell r="H4894" t="str">
            <v>Olejua</v>
          </cell>
          <cell r="I4894" t="str">
            <v>31190</v>
          </cell>
        </row>
        <row r="4895">
          <cell r="H4895" t="str">
            <v>Olèrdola</v>
          </cell>
          <cell r="I4895" t="str">
            <v>08145</v>
          </cell>
        </row>
        <row r="4896">
          <cell r="H4896" t="str">
            <v>Olesa de Bonesvalls</v>
          </cell>
          <cell r="I4896" t="str">
            <v>08146</v>
          </cell>
        </row>
        <row r="4897">
          <cell r="H4897" t="str">
            <v>Olesa de Montserrat</v>
          </cell>
          <cell r="I4897" t="str">
            <v>08147</v>
          </cell>
        </row>
        <row r="4898">
          <cell r="H4898" t="str">
            <v>Oliana</v>
          </cell>
          <cell r="I4898" t="str">
            <v>25149</v>
          </cell>
        </row>
        <row r="4899">
          <cell r="H4899" t="str">
            <v>Olías del Rey</v>
          </cell>
          <cell r="I4899" t="str">
            <v>45122</v>
          </cell>
        </row>
        <row r="4900">
          <cell r="H4900" t="str">
            <v>Oliola</v>
          </cell>
          <cell r="I4900" t="str">
            <v>25150</v>
          </cell>
        </row>
        <row r="4901">
          <cell r="H4901" t="str">
            <v>Olite/Erriberri</v>
          </cell>
          <cell r="I4901" t="str">
            <v>31191</v>
          </cell>
        </row>
        <row r="4902">
          <cell r="H4902" t="str">
            <v>Olius</v>
          </cell>
          <cell r="I4902" t="str">
            <v>25151</v>
          </cell>
        </row>
        <row r="4903">
          <cell r="H4903" t="str">
            <v>Oliva</v>
          </cell>
          <cell r="I4903" t="str">
            <v>46181</v>
          </cell>
        </row>
        <row r="4904">
          <cell r="H4904" t="str">
            <v>Oliva de la Frontera</v>
          </cell>
          <cell r="I4904" t="str">
            <v>06093</v>
          </cell>
        </row>
        <row r="4905">
          <cell r="H4905" t="str">
            <v>Oliva de Mérida</v>
          </cell>
          <cell r="I4905" t="str">
            <v>06094</v>
          </cell>
        </row>
        <row r="4906">
          <cell r="H4906" t="str">
            <v>Oliva de Plasencia</v>
          </cell>
          <cell r="I4906" t="str">
            <v>10136</v>
          </cell>
        </row>
        <row r="4907">
          <cell r="H4907" t="str">
            <v>Oliva, La</v>
          </cell>
          <cell r="I4907" t="str">
            <v>35014</v>
          </cell>
        </row>
        <row r="4908">
          <cell r="H4908" t="str">
            <v>Olivar, El</v>
          </cell>
          <cell r="I4908" t="str">
            <v>19200</v>
          </cell>
        </row>
        <row r="4909">
          <cell r="H4909" t="str">
            <v>Olivares</v>
          </cell>
          <cell r="I4909" t="str">
            <v>41067</v>
          </cell>
        </row>
        <row r="4910">
          <cell r="H4910" t="str">
            <v>Olivares de Duero</v>
          </cell>
          <cell r="I4910" t="str">
            <v>47103</v>
          </cell>
        </row>
        <row r="4911">
          <cell r="H4911" t="str">
            <v>Olivares de Júcar</v>
          </cell>
          <cell r="I4911" t="str">
            <v>16139</v>
          </cell>
        </row>
        <row r="4912">
          <cell r="H4912" t="str">
            <v>Olivella</v>
          </cell>
          <cell r="I4912" t="str">
            <v>08148</v>
          </cell>
        </row>
        <row r="4913">
          <cell r="H4913" t="str">
            <v>Olivenza</v>
          </cell>
          <cell r="I4913" t="str">
            <v>06095</v>
          </cell>
        </row>
        <row r="4914">
          <cell r="H4914" t="str">
            <v>Ollauri</v>
          </cell>
          <cell r="I4914" t="str">
            <v>26111</v>
          </cell>
        </row>
        <row r="4915">
          <cell r="H4915" t="str">
            <v>Olleria, l'</v>
          </cell>
          <cell r="I4915" t="str">
            <v>46183</v>
          </cell>
        </row>
        <row r="4916">
          <cell r="H4916" t="str">
            <v>Olmeda de Cobeta</v>
          </cell>
          <cell r="I4916" t="str">
            <v>19201</v>
          </cell>
        </row>
        <row r="4917">
          <cell r="H4917" t="str">
            <v>Olmeda de Jadraque, La</v>
          </cell>
          <cell r="I4917" t="str">
            <v>19202</v>
          </cell>
        </row>
        <row r="4918">
          <cell r="H4918" t="str">
            <v>Olmeda de la Cuesta</v>
          </cell>
          <cell r="I4918" t="str">
            <v>16140</v>
          </cell>
        </row>
        <row r="4919">
          <cell r="H4919" t="str">
            <v>Olmeda de las Fuentes</v>
          </cell>
          <cell r="I4919" t="str">
            <v>28101</v>
          </cell>
        </row>
        <row r="4920">
          <cell r="H4920" t="str">
            <v>Olmeda del Rey</v>
          </cell>
          <cell r="I4920" t="str">
            <v>16141</v>
          </cell>
        </row>
        <row r="4921">
          <cell r="H4921" t="str">
            <v>Olmedilla de Alarcón</v>
          </cell>
          <cell r="I4921" t="str">
            <v>16142</v>
          </cell>
        </row>
        <row r="4922">
          <cell r="H4922" t="str">
            <v>Olmedilla de Eliz</v>
          </cell>
          <cell r="I4922" t="str">
            <v>16143</v>
          </cell>
        </row>
        <row r="4923">
          <cell r="H4923" t="str">
            <v>Olmedillo de Roa</v>
          </cell>
          <cell r="I4923" t="str">
            <v>09235</v>
          </cell>
        </row>
        <row r="4924">
          <cell r="H4924" t="str">
            <v>Olmedo</v>
          </cell>
          <cell r="I4924" t="str">
            <v>47104</v>
          </cell>
        </row>
        <row r="4925">
          <cell r="H4925" t="str">
            <v>Olmedo de Camaces</v>
          </cell>
          <cell r="I4925" t="str">
            <v>37223</v>
          </cell>
        </row>
        <row r="4926">
          <cell r="H4926" t="str">
            <v>Olmillos de Castro</v>
          </cell>
          <cell r="I4926" t="str">
            <v>49138</v>
          </cell>
        </row>
        <row r="4927">
          <cell r="H4927" t="str">
            <v>Olmillos de Muñó</v>
          </cell>
          <cell r="I4927" t="str">
            <v>09236</v>
          </cell>
        </row>
        <row r="4928">
          <cell r="H4928" t="str">
            <v>Olmos de Esgueva</v>
          </cell>
          <cell r="I4928" t="str">
            <v>47105</v>
          </cell>
        </row>
        <row r="4929">
          <cell r="H4929" t="str">
            <v>Olmos de Peñafiel</v>
          </cell>
          <cell r="I4929" t="str">
            <v>47106</v>
          </cell>
        </row>
        <row r="4930">
          <cell r="H4930" t="str">
            <v>Olocau</v>
          </cell>
          <cell r="I4930" t="str">
            <v>46182</v>
          </cell>
        </row>
        <row r="4931">
          <cell r="H4931" t="str">
            <v>Olocau del Rey</v>
          </cell>
          <cell r="I4931" t="str">
            <v>12083</v>
          </cell>
        </row>
        <row r="4932">
          <cell r="H4932" t="str">
            <v>Olombrada</v>
          </cell>
          <cell r="I4932" t="str">
            <v>40149</v>
          </cell>
        </row>
        <row r="4933">
          <cell r="H4933" t="str">
            <v>Olóriz/Oloritz</v>
          </cell>
          <cell r="I4933" t="str">
            <v>31192</v>
          </cell>
        </row>
        <row r="4934">
          <cell r="H4934" t="str">
            <v>Olost</v>
          </cell>
          <cell r="I4934" t="str">
            <v>08149</v>
          </cell>
        </row>
        <row r="4935">
          <cell r="H4935" t="str">
            <v>Olot</v>
          </cell>
          <cell r="I4935" t="str">
            <v>17114</v>
          </cell>
        </row>
        <row r="4936">
          <cell r="H4936" t="str">
            <v>Oluges, Les</v>
          </cell>
          <cell r="I4936" t="str">
            <v>25152</v>
          </cell>
        </row>
        <row r="4937">
          <cell r="H4937" t="str">
            <v>Olula de Castro</v>
          </cell>
          <cell r="I4937" t="str">
            <v>04068</v>
          </cell>
        </row>
        <row r="4938">
          <cell r="H4938" t="str">
            <v>Olula del Río</v>
          </cell>
          <cell r="I4938" t="str">
            <v>04069</v>
          </cell>
        </row>
        <row r="4939">
          <cell r="H4939" t="str">
            <v>Olvan</v>
          </cell>
          <cell r="I4939" t="str">
            <v>08144</v>
          </cell>
        </row>
        <row r="4940">
          <cell r="H4940" t="str">
            <v>Ólvega</v>
          </cell>
          <cell r="I4940" t="str">
            <v>42134</v>
          </cell>
        </row>
        <row r="4941">
          <cell r="H4941" t="str">
            <v>Olvena</v>
          </cell>
          <cell r="I4941" t="str">
            <v>22164</v>
          </cell>
        </row>
        <row r="4942">
          <cell r="H4942" t="str">
            <v>Olvera</v>
          </cell>
          <cell r="I4942" t="str">
            <v>11024</v>
          </cell>
        </row>
        <row r="4943">
          <cell r="H4943" t="str">
            <v>Olvés</v>
          </cell>
          <cell r="I4943" t="str">
            <v>50194</v>
          </cell>
        </row>
        <row r="4944">
          <cell r="H4944" t="str">
            <v>Omellons, Els</v>
          </cell>
          <cell r="I4944" t="str">
            <v>25153</v>
          </cell>
        </row>
        <row r="4945">
          <cell r="H4945" t="str">
            <v>Omells de na Gaia, Els</v>
          </cell>
          <cell r="I4945" t="str">
            <v>25154</v>
          </cell>
        </row>
        <row r="4946">
          <cell r="H4946" t="str">
            <v>Oncala</v>
          </cell>
          <cell r="I4946" t="str">
            <v>42135</v>
          </cell>
        </row>
        <row r="4947">
          <cell r="H4947" t="str">
            <v>Onda</v>
          </cell>
          <cell r="I4947" t="str">
            <v>12084</v>
          </cell>
        </row>
        <row r="4948">
          <cell r="H4948" t="str">
            <v>Ondara</v>
          </cell>
          <cell r="I4948" t="str">
            <v>03095</v>
          </cell>
        </row>
        <row r="4949">
          <cell r="H4949" t="str">
            <v>Ondarroa</v>
          </cell>
          <cell r="I4949" t="str">
            <v>48073</v>
          </cell>
        </row>
        <row r="4950">
          <cell r="H4950" t="str">
            <v>Onil</v>
          </cell>
          <cell r="I4950" t="str">
            <v>03096</v>
          </cell>
        </row>
        <row r="4951">
          <cell r="H4951" t="str">
            <v>Onís</v>
          </cell>
          <cell r="I4951" t="str">
            <v>33043</v>
          </cell>
        </row>
        <row r="4952">
          <cell r="H4952" t="str">
            <v>Ontígola</v>
          </cell>
          <cell r="I4952" t="str">
            <v>45123</v>
          </cell>
        </row>
        <row r="4953">
          <cell r="H4953" t="str">
            <v>Ontinyent</v>
          </cell>
          <cell r="I4953" t="str">
            <v>46184</v>
          </cell>
        </row>
        <row r="4954">
          <cell r="H4954" t="str">
            <v>Ontiñena</v>
          </cell>
          <cell r="I4954" t="str">
            <v>22165</v>
          </cell>
        </row>
        <row r="4955">
          <cell r="H4955" t="str">
            <v>Ontur</v>
          </cell>
          <cell r="I4955" t="str">
            <v>02056</v>
          </cell>
        </row>
        <row r="4956">
          <cell r="H4956" t="str">
            <v>Onzonilla</v>
          </cell>
          <cell r="I4956" t="str">
            <v>24105</v>
          </cell>
        </row>
        <row r="4957">
          <cell r="H4957" t="str">
            <v>Oñati</v>
          </cell>
          <cell r="I4957" t="str">
            <v>20059</v>
          </cell>
        </row>
        <row r="4958">
          <cell r="H4958" t="str">
            <v>Oquillas</v>
          </cell>
          <cell r="I4958" t="str">
            <v>09239</v>
          </cell>
        </row>
        <row r="4959">
          <cell r="H4959" t="str">
            <v>Orba</v>
          </cell>
          <cell r="I4959" t="str">
            <v>03097</v>
          </cell>
        </row>
        <row r="4960">
          <cell r="H4960" t="str">
            <v>Orbada, La</v>
          </cell>
          <cell r="I4960" t="str">
            <v>37224</v>
          </cell>
        </row>
        <row r="4961">
          <cell r="H4961" t="str">
            <v>Orbaizeta</v>
          </cell>
          <cell r="I4961" t="str">
            <v>31195</v>
          </cell>
        </row>
        <row r="4962">
          <cell r="H4962" t="str">
            <v>Orbaneja Riopico</v>
          </cell>
          <cell r="I4962" t="str">
            <v>09241</v>
          </cell>
        </row>
        <row r="4963">
          <cell r="H4963" t="str">
            <v>Orbara</v>
          </cell>
          <cell r="I4963" t="str">
            <v>31196</v>
          </cell>
        </row>
        <row r="4964">
          <cell r="H4964" t="str">
            <v>Orbita</v>
          </cell>
          <cell r="I4964" t="str">
            <v>05174</v>
          </cell>
        </row>
        <row r="4965">
          <cell r="H4965" t="str">
            <v>Orcajo</v>
          </cell>
          <cell r="I4965" t="str">
            <v>50195</v>
          </cell>
        </row>
        <row r="4966">
          <cell r="H4966" t="str">
            <v>Orce</v>
          </cell>
          <cell r="I4966" t="str">
            <v>18146</v>
          </cell>
        </row>
        <row r="4967">
          <cell r="H4967" t="str">
            <v>Orcera</v>
          </cell>
          <cell r="I4967" t="str">
            <v>23065</v>
          </cell>
        </row>
        <row r="4968">
          <cell r="H4968" t="str">
            <v>Ordial, El</v>
          </cell>
          <cell r="I4968" t="str">
            <v>19203</v>
          </cell>
        </row>
        <row r="4969">
          <cell r="H4969" t="str">
            <v>Ordis</v>
          </cell>
          <cell r="I4969" t="str">
            <v>17115</v>
          </cell>
        </row>
        <row r="4970">
          <cell r="H4970" t="str">
            <v>Ordizia</v>
          </cell>
          <cell r="I4970" t="str">
            <v>20076</v>
          </cell>
        </row>
        <row r="4971">
          <cell r="H4971" t="str">
            <v>Orea</v>
          </cell>
          <cell r="I4971" t="str">
            <v>19204</v>
          </cell>
        </row>
        <row r="4972">
          <cell r="H4972" t="str">
            <v>Orejana</v>
          </cell>
          <cell r="I4972" t="str">
            <v>40150</v>
          </cell>
        </row>
        <row r="4973">
          <cell r="H4973" t="str">
            <v>Orellana de la Sierra</v>
          </cell>
          <cell r="I4973" t="str">
            <v>06096</v>
          </cell>
        </row>
        <row r="4974">
          <cell r="H4974" t="str">
            <v>Orellana la Vieja</v>
          </cell>
          <cell r="I4974" t="str">
            <v>06097</v>
          </cell>
        </row>
        <row r="4975">
          <cell r="H4975" t="str">
            <v>Orendain</v>
          </cell>
          <cell r="I4975" t="str">
            <v>20905</v>
          </cell>
        </row>
        <row r="4976">
          <cell r="H4976" t="str">
            <v>Orera</v>
          </cell>
          <cell r="I4976" t="str">
            <v>50196</v>
          </cell>
        </row>
        <row r="4977">
          <cell r="H4977" t="str">
            <v>Orés</v>
          </cell>
          <cell r="I4977" t="str">
            <v>50197</v>
          </cell>
        </row>
        <row r="4978">
          <cell r="H4978" t="str">
            <v>Orexa</v>
          </cell>
          <cell r="I4978" t="str">
            <v>20060</v>
          </cell>
        </row>
        <row r="4979">
          <cell r="H4979" t="str">
            <v>Organyà</v>
          </cell>
          <cell r="I4979" t="str">
            <v>25155</v>
          </cell>
        </row>
        <row r="4980">
          <cell r="H4980" t="str">
            <v>Orgaz</v>
          </cell>
          <cell r="I4980" t="str">
            <v>45124</v>
          </cell>
        </row>
        <row r="4981">
          <cell r="H4981" t="str">
            <v>Órgiva</v>
          </cell>
          <cell r="I4981" t="str">
            <v>18147</v>
          </cell>
        </row>
        <row r="4982">
          <cell r="H4982" t="str">
            <v>Oria</v>
          </cell>
          <cell r="I4982" t="str">
            <v>04070</v>
          </cell>
        </row>
        <row r="4983">
          <cell r="H4983" t="str">
            <v>Orihuela</v>
          </cell>
          <cell r="I4983" t="str">
            <v>03099</v>
          </cell>
        </row>
        <row r="4984">
          <cell r="H4984" t="str">
            <v>Orihuela del Tremedal</v>
          </cell>
          <cell r="I4984" t="str">
            <v>44174</v>
          </cell>
        </row>
        <row r="4985">
          <cell r="H4985" t="str">
            <v>Orio</v>
          </cell>
          <cell r="I4985" t="str">
            <v>20061</v>
          </cell>
        </row>
        <row r="4986">
          <cell r="H4986" t="str">
            <v>Orís</v>
          </cell>
          <cell r="I4986" t="str">
            <v>08150</v>
          </cell>
        </row>
        <row r="4987">
          <cell r="H4987" t="str">
            <v>Orísoain</v>
          </cell>
          <cell r="I4987" t="str">
            <v>31197</v>
          </cell>
        </row>
        <row r="4988">
          <cell r="H4988" t="str">
            <v>Oristà</v>
          </cell>
          <cell r="I4988" t="str">
            <v>08151</v>
          </cell>
        </row>
        <row r="4989">
          <cell r="H4989" t="str">
            <v>Orkoien</v>
          </cell>
          <cell r="I4989" t="str">
            <v>31906</v>
          </cell>
        </row>
        <row r="4990">
          <cell r="H4990" t="str">
            <v>Ormaiztegi</v>
          </cell>
          <cell r="I4990" t="str">
            <v>20062</v>
          </cell>
        </row>
        <row r="4991">
          <cell r="H4991" t="str">
            <v>Oronz/Orontze</v>
          </cell>
          <cell r="I4991" t="str">
            <v>31198</v>
          </cell>
        </row>
        <row r="4992">
          <cell r="H4992" t="str">
            <v>Oropesa</v>
          </cell>
          <cell r="I4992" t="str">
            <v>45125</v>
          </cell>
        </row>
        <row r="4993">
          <cell r="H4993" t="str">
            <v>Oroso</v>
          </cell>
          <cell r="I4993" t="str">
            <v>15060</v>
          </cell>
        </row>
        <row r="4994">
          <cell r="H4994" t="str">
            <v>Orotava, La</v>
          </cell>
          <cell r="I4994" t="str">
            <v>38026</v>
          </cell>
        </row>
        <row r="4995">
          <cell r="H4995" t="str">
            <v>Oroz-Betelu/Orotz-Betelu</v>
          </cell>
          <cell r="I4995" t="str">
            <v>31199</v>
          </cell>
        </row>
        <row r="4996">
          <cell r="H4996" t="str">
            <v>Orozko</v>
          </cell>
          <cell r="I4996" t="str">
            <v>48075</v>
          </cell>
        </row>
        <row r="4997">
          <cell r="H4997" t="str">
            <v>Orpesa/Oropesa del Mar</v>
          </cell>
          <cell r="I4997" t="str">
            <v>12085</v>
          </cell>
        </row>
        <row r="4998">
          <cell r="H4998" t="str">
            <v>Orpí</v>
          </cell>
          <cell r="I4998" t="str">
            <v>08152</v>
          </cell>
        </row>
        <row r="4999">
          <cell r="H4999" t="str">
            <v>Orreaga/Roncesvalles</v>
          </cell>
          <cell r="I4999" t="str">
            <v>31211</v>
          </cell>
        </row>
        <row r="5000">
          <cell r="H5000" t="str">
            <v>Orrios</v>
          </cell>
          <cell r="I5000" t="str">
            <v>44175</v>
          </cell>
        </row>
        <row r="5001">
          <cell r="H5001" t="str">
            <v>Òrrius</v>
          </cell>
          <cell r="I5001" t="str">
            <v>08153</v>
          </cell>
        </row>
        <row r="5002">
          <cell r="H5002" t="str">
            <v>Ortigosa de Cameros</v>
          </cell>
          <cell r="I5002" t="str">
            <v>26112</v>
          </cell>
        </row>
        <row r="5003">
          <cell r="H5003" t="str">
            <v>Ortigosa de Pestaño</v>
          </cell>
          <cell r="I5003" t="str">
            <v>40151</v>
          </cell>
        </row>
        <row r="5004">
          <cell r="H5004" t="str">
            <v>Ortigosa del Monte</v>
          </cell>
          <cell r="I5004" t="str">
            <v>40901</v>
          </cell>
        </row>
        <row r="5005">
          <cell r="H5005" t="str">
            <v>Ortuella</v>
          </cell>
          <cell r="I5005" t="str">
            <v>48083</v>
          </cell>
        </row>
        <row r="5006">
          <cell r="H5006" t="str">
            <v>Orusco de Tajuña</v>
          </cell>
          <cell r="I5006" t="str">
            <v>28102</v>
          </cell>
        </row>
        <row r="5007">
          <cell r="H5007" t="str">
            <v>Orxa, l'/Lorcha</v>
          </cell>
          <cell r="I5007" t="str">
            <v>03084</v>
          </cell>
        </row>
        <row r="5008">
          <cell r="H5008" t="str">
            <v>Orxeta</v>
          </cell>
          <cell r="I5008" t="str">
            <v>03098</v>
          </cell>
        </row>
        <row r="5009">
          <cell r="H5009" t="str">
            <v>Os de Balaguer</v>
          </cell>
          <cell r="I5009" t="str">
            <v>25156</v>
          </cell>
        </row>
        <row r="5010">
          <cell r="H5010" t="str">
            <v>Osa de la Vega</v>
          </cell>
          <cell r="I5010" t="str">
            <v>16145</v>
          </cell>
        </row>
        <row r="5011">
          <cell r="H5011" t="str">
            <v>Oseja</v>
          </cell>
          <cell r="I5011" t="str">
            <v>50198</v>
          </cell>
        </row>
        <row r="5012">
          <cell r="H5012" t="str">
            <v>Oseja de Sajambre</v>
          </cell>
          <cell r="I5012" t="str">
            <v>24106</v>
          </cell>
        </row>
        <row r="5013">
          <cell r="H5013" t="str">
            <v>Osera de Ebro</v>
          </cell>
          <cell r="I5013" t="str">
            <v>50199</v>
          </cell>
        </row>
        <row r="5014">
          <cell r="H5014" t="str">
            <v>Oso, El</v>
          </cell>
          <cell r="I5014" t="str">
            <v>05175</v>
          </cell>
        </row>
        <row r="5015">
          <cell r="H5015" t="str">
            <v>Osor</v>
          </cell>
          <cell r="I5015" t="str">
            <v>17116</v>
          </cell>
        </row>
        <row r="5016">
          <cell r="H5016" t="str">
            <v>Osornillo</v>
          </cell>
          <cell r="I5016" t="str">
            <v>34116</v>
          </cell>
        </row>
        <row r="5017">
          <cell r="H5017" t="str">
            <v>Osorno la Mayor</v>
          </cell>
          <cell r="I5017" t="str">
            <v>34901</v>
          </cell>
        </row>
        <row r="5018">
          <cell r="H5018" t="str">
            <v>Ossa de Montiel</v>
          </cell>
          <cell r="I5018" t="str">
            <v>02057</v>
          </cell>
        </row>
        <row r="5019">
          <cell r="H5019" t="str">
            <v>Osso de Cinca</v>
          </cell>
          <cell r="I5019" t="str">
            <v>22167</v>
          </cell>
        </row>
        <row r="5020">
          <cell r="H5020" t="str">
            <v>Ossó de Sió</v>
          </cell>
          <cell r="I5020" t="str">
            <v>25157</v>
          </cell>
        </row>
        <row r="5021">
          <cell r="H5021" t="str">
            <v>Osuna</v>
          </cell>
          <cell r="I5021" t="str">
            <v>41068</v>
          </cell>
        </row>
        <row r="5022">
          <cell r="H5022" t="str">
            <v>Oteiza</v>
          </cell>
          <cell r="I5022" t="str">
            <v>31200</v>
          </cell>
        </row>
        <row r="5023">
          <cell r="H5023" t="str">
            <v>Otero</v>
          </cell>
          <cell r="I5023" t="str">
            <v>45126</v>
          </cell>
        </row>
        <row r="5024">
          <cell r="H5024" t="str">
            <v>Otero de Bodas</v>
          </cell>
          <cell r="I5024" t="str">
            <v>49139</v>
          </cell>
        </row>
        <row r="5025">
          <cell r="H5025" t="str">
            <v>Otero de Herreros</v>
          </cell>
          <cell r="I5025" t="str">
            <v>40152</v>
          </cell>
        </row>
        <row r="5026">
          <cell r="H5026" t="str">
            <v>Otívar</v>
          </cell>
          <cell r="I5026" t="str">
            <v>18148</v>
          </cell>
        </row>
        <row r="5027">
          <cell r="H5027" t="str">
            <v>Otos</v>
          </cell>
          <cell r="I5027" t="str">
            <v>46185</v>
          </cell>
        </row>
        <row r="5028">
          <cell r="H5028" t="str">
            <v>Otxandio</v>
          </cell>
          <cell r="I5028" t="str">
            <v>48072</v>
          </cell>
        </row>
        <row r="5029">
          <cell r="H5029" t="str">
            <v>Ourense</v>
          </cell>
          <cell r="I5029" t="str">
            <v>32054</v>
          </cell>
        </row>
        <row r="5030">
          <cell r="H5030" t="str">
            <v>Ourol</v>
          </cell>
          <cell r="I5030" t="str">
            <v>27038</v>
          </cell>
        </row>
        <row r="5031">
          <cell r="H5031" t="str">
            <v>Outeiro de Rei</v>
          </cell>
          <cell r="I5031" t="str">
            <v>27039</v>
          </cell>
        </row>
        <row r="5032">
          <cell r="H5032" t="str">
            <v>Outes</v>
          </cell>
          <cell r="I5032" t="str">
            <v>15062</v>
          </cell>
        </row>
        <row r="5033">
          <cell r="H5033" t="str">
            <v>Oyón-Oion</v>
          </cell>
          <cell r="I5033" t="str">
            <v>01043</v>
          </cell>
        </row>
        <row r="5034">
          <cell r="H5034" t="str">
            <v>Oza-Cesuras</v>
          </cell>
          <cell r="I5034" t="str">
            <v>15902</v>
          </cell>
        </row>
        <row r="5035">
          <cell r="H5035" t="str">
            <v>Pacs del Penedès</v>
          </cell>
          <cell r="I5035" t="str">
            <v>08154</v>
          </cell>
        </row>
        <row r="5036">
          <cell r="H5036" t="str">
            <v>Paderne</v>
          </cell>
          <cell r="I5036" t="str">
            <v>15064</v>
          </cell>
        </row>
        <row r="5037">
          <cell r="H5037" t="str">
            <v>Paderne de Allariz</v>
          </cell>
          <cell r="I5037" t="str">
            <v>32055</v>
          </cell>
        </row>
        <row r="5038">
          <cell r="H5038" t="str">
            <v>Padiernos</v>
          </cell>
          <cell r="I5038" t="str">
            <v>05176</v>
          </cell>
        </row>
        <row r="5039">
          <cell r="H5039" t="str">
            <v>Padilla de Abajo</v>
          </cell>
          <cell r="I5039" t="str">
            <v>09242</v>
          </cell>
        </row>
        <row r="5040">
          <cell r="H5040" t="str">
            <v>Padilla de Arriba</v>
          </cell>
          <cell r="I5040" t="str">
            <v>09243</v>
          </cell>
        </row>
        <row r="5041">
          <cell r="H5041" t="str">
            <v>Padrenda</v>
          </cell>
          <cell r="I5041" t="str">
            <v>32056</v>
          </cell>
        </row>
        <row r="5042">
          <cell r="H5042" t="str">
            <v>Padrón</v>
          </cell>
          <cell r="I5042" t="str">
            <v>15065</v>
          </cell>
        </row>
        <row r="5043">
          <cell r="H5043" t="str">
            <v>Padrones de Bureba</v>
          </cell>
          <cell r="I5043" t="str">
            <v>09244</v>
          </cell>
        </row>
        <row r="5044">
          <cell r="H5044" t="str">
            <v>Padul</v>
          </cell>
          <cell r="I5044" t="str">
            <v>18150</v>
          </cell>
        </row>
        <row r="5045">
          <cell r="H5045" t="str">
            <v>Padules</v>
          </cell>
          <cell r="I5045" t="str">
            <v>04071</v>
          </cell>
        </row>
        <row r="5046">
          <cell r="H5046" t="str">
            <v>Paiporta</v>
          </cell>
          <cell r="I5046" t="str">
            <v>46186</v>
          </cell>
        </row>
        <row r="5047">
          <cell r="H5047" t="str">
            <v>Pájara</v>
          </cell>
          <cell r="I5047" t="str">
            <v>35015</v>
          </cell>
        </row>
        <row r="5048">
          <cell r="H5048" t="str">
            <v>Pajarejos</v>
          </cell>
          <cell r="I5048" t="str">
            <v>40154</v>
          </cell>
        </row>
        <row r="5049">
          <cell r="H5049" t="str">
            <v>Pajares de Adaja</v>
          </cell>
          <cell r="I5049" t="str">
            <v>05177</v>
          </cell>
        </row>
        <row r="5050">
          <cell r="H5050" t="str">
            <v>Pajares de la Laguna</v>
          </cell>
          <cell r="I5050" t="str">
            <v>37225</v>
          </cell>
        </row>
        <row r="5051">
          <cell r="H5051" t="str">
            <v>Pajares de la Lampreana</v>
          </cell>
          <cell r="I5051" t="str">
            <v>49141</v>
          </cell>
        </row>
        <row r="5052">
          <cell r="H5052" t="str">
            <v>Pajares de los Oteros</v>
          </cell>
          <cell r="I5052" t="str">
            <v>24107</v>
          </cell>
        </row>
        <row r="5053">
          <cell r="H5053" t="str">
            <v>Pajarón</v>
          </cell>
          <cell r="I5053" t="str">
            <v>16146</v>
          </cell>
        </row>
        <row r="5054">
          <cell r="H5054" t="str">
            <v>Pajaroncillo</v>
          </cell>
          <cell r="I5054" t="str">
            <v>16147</v>
          </cell>
        </row>
        <row r="5055">
          <cell r="H5055" t="str">
            <v>Palacios de Goda</v>
          </cell>
          <cell r="I5055" t="str">
            <v>05178</v>
          </cell>
        </row>
        <row r="5056">
          <cell r="H5056" t="str">
            <v>Palacios de la Sierra</v>
          </cell>
          <cell r="I5056" t="str">
            <v>09246</v>
          </cell>
        </row>
        <row r="5057">
          <cell r="H5057" t="str">
            <v>Palacios de la Valduerna</v>
          </cell>
          <cell r="I5057" t="str">
            <v>24108</v>
          </cell>
        </row>
        <row r="5058">
          <cell r="H5058" t="str">
            <v>Palacios de Riopisuerga</v>
          </cell>
          <cell r="I5058" t="str">
            <v>09247</v>
          </cell>
        </row>
        <row r="5059">
          <cell r="H5059" t="str">
            <v>Palacios de Sanabria</v>
          </cell>
          <cell r="I5059" t="str">
            <v>49143</v>
          </cell>
        </row>
        <row r="5060">
          <cell r="H5060" t="str">
            <v>Palacios del Arzobispo</v>
          </cell>
          <cell r="I5060" t="str">
            <v>37226</v>
          </cell>
        </row>
        <row r="5061">
          <cell r="H5061" t="str">
            <v>Palacios del Pan</v>
          </cell>
          <cell r="I5061" t="str">
            <v>49142</v>
          </cell>
        </row>
        <row r="5062">
          <cell r="H5062" t="str">
            <v>Palacios y Villafranca, Los</v>
          </cell>
          <cell r="I5062" t="str">
            <v>41069</v>
          </cell>
        </row>
        <row r="5063">
          <cell r="H5063" t="str">
            <v>Palaciosrubios</v>
          </cell>
          <cell r="I5063" t="str">
            <v>37228</v>
          </cell>
        </row>
        <row r="5064">
          <cell r="H5064" t="str">
            <v>Palafolls</v>
          </cell>
          <cell r="I5064" t="str">
            <v>08155</v>
          </cell>
        </row>
        <row r="5065">
          <cell r="H5065" t="str">
            <v>Palafrugell</v>
          </cell>
          <cell r="I5065" t="str">
            <v>17117</v>
          </cell>
        </row>
        <row r="5066">
          <cell r="H5066" t="str">
            <v>Palamós</v>
          </cell>
          <cell r="I5066" t="str">
            <v>17118</v>
          </cell>
        </row>
        <row r="5067">
          <cell r="H5067" t="str">
            <v>Palanques</v>
          </cell>
          <cell r="I5067" t="str">
            <v>12087</v>
          </cell>
        </row>
        <row r="5068">
          <cell r="H5068" t="str">
            <v>Palas de Rei</v>
          </cell>
          <cell r="I5068" t="str">
            <v>27040</v>
          </cell>
        </row>
        <row r="5069">
          <cell r="H5069" t="str">
            <v>Palau d'Anglesola, El</v>
          </cell>
          <cell r="I5069" t="str">
            <v>25158</v>
          </cell>
        </row>
        <row r="5070">
          <cell r="H5070" t="str">
            <v>Palau de Santa Eulàlia</v>
          </cell>
          <cell r="I5070" t="str">
            <v>17119</v>
          </cell>
        </row>
        <row r="5071">
          <cell r="H5071" t="str">
            <v>Palau-sator</v>
          </cell>
          <cell r="I5071" t="str">
            <v>17121</v>
          </cell>
        </row>
        <row r="5072">
          <cell r="H5072" t="str">
            <v>Palau-saverdera</v>
          </cell>
          <cell r="I5072" t="str">
            <v>17120</v>
          </cell>
        </row>
        <row r="5073">
          <cell r="H5073" t="str">
            <v>Palau-solità i Plegamans</v>
          </cell>
          <cell r="I5073" t="str">
            <v>08156</v>
          </cell>
        </row>
        <row r="5074">
          <cell r="H5074" t="str">
            <v>Palazuelo de Vedija</v>
          </cell>
          <cell r="I5074" t="str">
            <v>47109</v>
          </cell>
        </row>
        <row r="5075">
          <cell r="H5075" t="str">
            <v>Palazuelos de Eresma</v>
          </cell>
          <cell r="I5075" t="str">
            <v>40155</v>
          </cell>
        </row>
        <row r="5076">
          <cell r="H5076" t="str">
            <v>Palazuelos de la Sierra</v>
          </cell>
          <cell r="I5076" t="str">
            <v>09248</v>
          </cell>
        </row>
        <row r="5077">
          <cell r="H5077" t="str">
            <v>Palazuelos de Muñó</v>
          </cell>
          <cell r="I5077" t="str">
            <v>09249</v>
          </cell>
        </row>
        <row r="5078">
          <cell r="H5078" t="str">
            <v>Palencia</v>
          </cell>
          <cell r="I5078" t="str">
            <v>34120</v>
          </cell>
        </row>
        <row r="5079">
          <cell r="H5079" t="str">
            <v>Palencia de Negrilla</v>
          </cell>
          <cell r="I5079" t="str">
            <v>37229</v>
          </cell>
        </row>
        <row r="5080">
          <cell r="H5080" t="str">
            <v>Palenciana</v>
          </cell>
          <cell r="I5080" t="str">
            <v>14048</v>
          </cell>
        </row>
        <row r="5081">
          <cell r="H5081" t="str">
            <v>Palenzuela</v>
          </cell>
          <cell r="I5081" t="str">
            <v>34121</v>
          </cell>
        </row>
        <row r="5082">
          <cell r="H5082" t="str">
            <v>Pallaresos, Els</v>
          </cell>
          <cell r="I5082" t="str">
            <v>43100</v>
          </cell>
        </row>
        <row r="5083">
          <cell r="H5083" t="str">
            <v>Pallejà</v>
          </cell>
          <cell r="I5083" t="str">
            <v>08157</v>
          </cell>
        </row>
        <row r="5084">
          <cell r="H5084" t="str">
            <v>Palma</v>
          </cell>
          <cell r="I5084" t="str">
            <v>07040</v>
          </cell>
        </row>
        <row r="5085">
          <cell r="H5085" t="str">
            <v>Palma de Cervelló, La</v>
          </cell>
          <cell r="I5085" t="str">
            <v>08905</v>
          </cell>
        </row>
        <row r="5086">
          <cell r="H5086" t="str">
            <v>Palma de Gandía</v>
          </cell>
          <cell r="I5086" t="str">
            <v>46187</v>
          </cell>
        </row>
        <row r="5087">
          <cell r="H5087" t="str">
            <v>Palma d'Ebre, La</v>
          </cell>
          <cell r="I5087" t="str">
            <v>43099</v>
          </cell>
        </row>
        <row r="5088">
          <cell r="H5088" t="str">
            <v>Palma del Condado, La</v>
          </cell>
          <cell r="I5088" t="str">
            <v>21054</v>
          </cell>
        </row>
        <row r="5089">
          <cell r="H5089" t="str">
            <v>Palma del Río</v>
          </cell>
          <cell r="I5089" t="str">
            <v>14049</v>
          </cell>
        </row>
        <row r="5090">
          <cell r="H5090" t="str">
            <v>Pálmaces de Jadraque</v>
          </cell>
          <cell r="I5090" t="str">
            <v>19208</v>
          </cell>
        </row>
        <row r="5091">
          <cell r="H5091" t="str">
            <v>Palmar de Troya, El</v>
          </cell>
          <cell r="I5091" t="str">
            <v>41904</v>
          </cell>
        </row>
        <row r="5092">
          <cell r="H5092" t="str">
            <v>Palmas de Gran Canaria, Las</v>
          </cell>
          <cell r="I5092" t="str">
            <v>35016</v>
          </cell>
        </row>
        <row r="5093">
          <cell r="H5093" t="str">
            <v>Palmera</v>
          </cell>
          <cell r="I5093" t="str">
            <v>46188</v>
          </cell>
        </row>
        <row r="5094">
          <cell r="H5094" t="str">
            <v>Palo</v>
          </cell>
          <cell r="I5094" t="str">
            <v>22168</v>
          </cell>
        </row>
        <row r="5095">
          <cell r="H5095" t="str">
            <v>Palol de Revardit</v>
          </cell>
          <cell r="I5095" t="str">
            <v>17123</v>
          </cell>
        </row>
        <row r="5096">
          <cell r="H5096" t="str">
            <v>Palomar, el</v>
          </cell>
          <cell r="I5096" t="str">
            <v>46189</v>
          </cell>
        </row>
        <row r="5097">
          <cell r="H5097" t="str">
            <v>Palomares del Campo</v>
          </cell>
          <cell r="I5097" t="str">
            <v>16148</v>
          </cell>
        </row>
        <row r="5098">
          <cell r="H5098" t="str">
            <v>Palomares del Río</v>
          </cell>
          <cell r="I5098" t="str">
            <v>41070</v>
          </cell>
        </row>
        <row r="5099">
          <cell r="H5099" t="str">
            <v>Palomas</v>
          </cell>
          <cell r="I5099" t="str">
            <v>06098</v>
          </cell>
        </row>
        <row r="5100">
          <cell r="H5100" t="str">
            <v>Palomeque</v>
          </cell>
          <cell r="I5100" t="str">
            <v>45127</v>
          </cell>
        </row>
        <row r="5101">
          <cell r="H5101" t="str">
            <v>Palomera</v>
          </cell>
          <cell r="I5101" t="str">
            <v>16149</v>
          </cell>
        </row>
        <row r="5102">
          <cell r="H5102" t="str">
            <v>Palomero</v>
          </cell>
          <cell r="I5102" t="str">
            <v>10137</v>
          </cell>
        </row>
        <row r="5103">
          <cell r="H5103" t="str">
            <v>Palos de la Frontera</v>
          </cell>
          <cell r="I5103" t="str">
            <v>21055</v>
          </cell>
        </row>
        <row r="5104">
          <cell r="H5104" t="str">
            <v>Pals</v>
          </cell>
          <cell r="I5104" t="str">
            <v>17124</v>
          </cell>
        </row>
        <row r="5105">
          <cell r="H5105" t="str">
            <v>Pampaneira</v>
          </cell>
          <cell r="I5105" t="str">
            <v>18151</v>
          </cell>
        </row>
        <row r="5106">
          <cell r="H5106" t="str">
            <v>Pampliega</v>
          </cell>
          <cell r="I5106" t="str">
            <v>09250</v>
          </cell>
        </row>
        <row r="5107">
          <cell r="H5107" t="str">
            <v>Pamplona/Iruña</v>
          </cell>
          <cell r="I5107" t="str">
            <v>31201</v>
          </cell>
        </row>
        <row r="5108">
          <cell r="H5108" t="str">
            <v>Paniza</v>
          </cell>
          <cell r="I5108" t="str">
            <v>50200</v>
          </cell>
        </row>
        <row r="5109">
          <cell r="H5109" t="str">
            <v>Panticosa</v>
          </cell>
          <cell r="I5109" t="str">
            <v>22170</v>
          </cell>
        </row>
        <row r="5110">
          <cell r="H5110" t="str">
            <v>Pantoja</v>
          </cell>
          <cell r="I5110" t="str">
            <v>45128</v>
          </cell>
        </row>
        <row r="5111">
          <cell r="H5111" t="str">
            <v>Pantón</v>
          </cell>
          <cell r="I5111" t="str">
            <v>27041</v>
          </cell>
        </row>
        <row r="5112">
          <cell r="H5112" t="str">
            <v>Papatrigo</v>
          </cell>
          <cell r="I5112" t="str">
            <v>05179</v>
          </cell>
        </row>
        <row r="5113">
          <cell r="H5113" t="str">
            <v>Papiol, El</v>
          </cell>
          <cell r="I5113" t="str">
            <v>08158</v>
          </cell>
        </row>
        <row r="5114">
          <cell r="H5114" t="str">
            <v>Paracuellos</v>
          </cell>
          <cell r="I5114" t="str">
            <v>16150</v>
          </cell>
        </row>
        <row r="5115">
          <cell r="H5115" t="str">
            <v>Paracuellos de Jarama</v>
          </cell>
          <cell r="I5115" t="str">
            <v>28104</v>
          </cell>
        </row>
        <row r="5116">
          <cell r="H5116" t="str">
            <v>Paracuellos de Jiloca</v>
          </cell>
          <cell r="I5116" t="str">
            <v>50201</v>
          </cell>
        </row>
        <row r="5117">
          <cell r="H5117" t="str">
            <v>Paracuellos de la Ribera</v>
          </cell>
          <cell r="I5117" t="str">
            <v>50202</v>
          </cell>
        </row>
        <row r="5118">
          <cell r="H5118" t="str">
            <v>Parada de Arriba</v>
          </cell>
          <cell r="I5118" t="str">
            <v>37230</v>
          </cell>
        </row>
        <row r="5119">
          <cell r="H5119" t="str">
            <v>Parada de Rubiales</v>
          </cell>
          <cell r="I5119" t="str">
            <v>37231</v>
          </cell>
        </row>
        <row r="5120">
          <cell r="H5120" t="str">
            <v>Parada de Sil</v>
          </cell>
          <cell r="I5120" t="str">
            <v>32057</v>
          </cell>
        </row>
        <row r="5121">
          <cell r="H5121" t="str">
            <v>Paradas</v>
          </cell>
          <cell r="I5121" t="str">
            <v>41071</v>
          </cell>
        </row>
        <row r="5122">
          <cell r="H5122" t="str">
            <v>Paradela</v>
          </cell>
          <cell r="I5122" t="str">
            <v>27042</v>
          </cell>
        </row>
        <row r="5123">
          <cell r="H5123" t="str">
            <v>Paradinas de San Juan</v>
          </cell>
          <cell r="I5123" t="str">
            <v>37232</v>
          </cell>
        </row>
        <row r="5124">
          <cell r="H5124" t="str">
            <v>Páramo de Boedo</v>
          </cell>
          <cell r="I5124" t="str">
            <v>34122</v>
          </cell>
        </row>
        <row r="5125">
          <cell r="H5125" t="str">
            <v>Páramo, O</v>
          </cell>
          <cell r="I5125" t="str">
            <v>27043</v>
          </cell>
        </row>
        <row r="5126">
          <cell r="H5126" t="str">
            <v>Parauta</v>
          </cell>
          <cell r="I5126" t="str">
            <v>29077</v>
          </cell>
        </row>
        <row r="5127">
          <cell r="H5127" t="str">
            <v>Parcent</v>
          </cell>
          <cell r="I5127" t="str">
            <v>03100</v>
          </cell>
        </row>
        <row r="5128">
          <cell r="H5128" t="str">
            <v>Pardilla</v>
          </cell>
          <cell r="I5128" t="str">
            <v>09253</v>
          </cell>
        </row>
        <row r="5129">
          <cell r="H5129" t="str">
            <v>Pardines</v>
          </cell>
          <cell r="I5129" t="str">
            <v>17125</v>
          </cell>
        </row>
        <row r="5130">
          <cell r="H5130" t="str">
            <v>Pardos</v>
          </cell>
          <cell r="I5130" t="str">
            <v>19209</v>
          </cell>
        </row>
        <row r="5131">
          <cell r="H5131" t="str">
            <v>Paredes</v>
          </cell>
          <cell r="I5131" t="str">
            <v>16151</v>
          </cell>
        </row>
        <row r="5132">
          <cell r="H5132" t="str">
            <v>Paredes de Escalona</v>
          </cell>
          <cell r="I5132" t="str">
            <v>45129</v>
          </cell>
        </row>
        <row r="5133">
          <cell r="H5133" t="str">
            <v>Paredes de Nava</v>
          </cell>
          <cell r="I5133" t="str">
            <v>34123</v>
          </cell>
        </row>
        <row r="5134">
          <cell r="H5134" t="str">
            <v>Paredes de Sigüenza</v>
          </cell>
          <cell r="I5134" t="str">
            <v>19210</v>
          </cell>
        </row>
        <row r="5135">
          <cell r="H5135" t="str">
            <v>Pareja</v>
          </cell>
          <cell r="I5135" t="str">
            <v>19211</v>
          </cell>
        </row>
        <row r="5136">
          <cell r="H5136" t="str">
            <v>Parets del Vallès</v>
          </cell>
          <cell r="I5136" t="str">
            <v>08159</v>
          </cell>
        </row>
        <row r="5137">
          <cell r="H5137" t="str">
            <v>Parla</v>
          </cell>
          <cell r="I5137" t="str">
            <v>28106</v>
          </cell>
        </row>
        <row r="5138">
          <cell r="H5138" t="str">
            <v>Parlavà</v>
          </cell>
          <cell r="I5138" t="str">
            <v>17126</v>
          </cell>
        </row>
        <row r="5139">
          <cell r="H5139" t="str">
            <v>Parra de las Vegas, La</v>
          </cell>
          <cell r="I5139" t="str">
            <v>16152</v>
          </cell>
        </row>
        <row r="5140">
          <cell r="H5140" t="str">
            <v>Parra, La</v>
          </cell>
          <cell r="I5140" t="str">
            <v>06099</v>
          </cell>
        </row>
        <row r="5141">
          <cell r="H5141" t="str">
            <v>Parral, El</v>
          </cell>
          <cell r="I5141" t="str">
            <v>05180</v>
          </cell>
        </row>
        <row r="5142">
          <cell r="H5142" t="str">
            <v>Parrilla, La</v>
          </cell>
          <cell r="I5142" t="str">
            <v>47110</v>
          </cell>
        </row>
        <row r="5143">
          <cell r="H5143" t="str">
            <v>Parrillas</v>
          </cell>
          <cell r="I5143" t="str">
            <v>45130</v>
          </cell>
        </row>
        <row r="5144">
          <cell r="H5144" t="str">
            <v>Partaloa</v>
          </cell>
          <cell r="I5144" t="str">
            <v>04072</v>
          </cell>
        </row>
        <row r="5145">
          <cell r="H5145" t="str">
            <v>Pasaia</v>
          </cell>
          <cell r="I5145" t="str">
            <v>20064</v>
          </cell>
        </row>
        <row r="5146">
          <cell r="H5146" t="str">
            <v>Pasarón de la Vera</v>
          </cell>
          <cell r="I5146" t="str">
            <v>10138</v>
          </cell>
        </row>
        <row r="5147">
          <cell r="H5147" t="str">
            <v>Pascualcobo</v>
          </cell>
          <cell r="I5147" t="str">
            <v>05181</v>
          </cell>
        </row>
        <row r="5148">
          <cell r="H5148" t="str">
            <v>Paso, El</v>
          </cell>
          <cell r="I5148" t="str">
            <v>38027</v>
          </cell>
        </row>
        <row r="5149">
          <cell r="H5149" t="str">
            <v>Passanant i Belltall</v>
          </cell>
          <cell r="I5149" t="str">
            <v>43101</v>
          </cell>
        </row>
        <row r="5150">
          <cell r="H5150" t="str">
            <v>Pastores</v>
          </cell>
          <cell r="I5150" t="str">
            <v>37233</v>
          </cell>
        </row>
        <row r="5151">
          <cell r="H5151" t="str">
            <v>Pastoriza, A</v>
          </cell>
          <cell r="I5151" t="str">
            <v>27044</v>
          </cell>
        </row>
        <row r="5152">
          <cell r="H5152" t="str">
            <v>Pastriz</v>
          </cell>
          <cell r="I5152" t="str">
            <v>50203</v>
          </cell>
        </row>
        <row r="5153">
          <cell r="H5153" t="str">
            <v>Paterna</v>
          </cell>
          <cell r="I5153" t="str">
            <v>46190</v>
          </cell>
        </row>
        <row r="5154">
          <cell r="H5154" t="str">
            <v>Paterna de Rivera</v>
          </cell>
          <cell r="I5154" t="str">
            <v>11025</v>
          </cell>
        </row>
        <row r="5155">
          <cell r="H5155" t="str">
            <v>Paterna del Campo</v>
          </cell>
          <cell r="I5155" t="str">
            <v>21056</v>
          </cell>
        </row>
        <row r="5156">
          <cell r="H5156" t="str">
            <v>Paterna del Madera</v>
          </cell>
          <cell r="I5156" t="str">
            <v>02058</v>
          </cell>
        </row>
        <row r="5157">
          <cell r="H5157" t="str">
            <v>Paterna del Río</v>
          </cell>
          <cell r="I5157" t="str">
            <v>04073</v>
          </cell>
        </row>
        <row r="5158">
          <cell r="H5158" t="str">
            <v>Patones</v>
          </cell>
          <cell r="I5158" t="str">
            <v>28107</v>
          </cell>
        </row>
        <row r="5159">
          <cell r="H5159" t="str">
            <v>Pau</v>
          </cell>
          <cell r="I5159" t="str">
            <v>17128</v>
          </cell>
        </row>
        <row r="5160">
          <cell r="H5160" t="str">
            <v>Paüls</v>
          </cell>
          <cell r="I5160" t="str">
            <v>43102</v>
          </cell>
        </row>
        <row r="5161">
          <cell r="H5161" t="str">
            <v>Pavías</v>
          </cell>
          <cell r="I5161" t="str">
            <v>12088</v>
          </cell>
        </row>
        <row r="5162">
          <cell r="H5162" t="str">
            <v>Paymogo</v>
          </cell>
          <cell r="I5162" t="str">
            <v>21057</v>
          </cell>
        </row>
        <row r="5163">
          <cell r="H5163" t="str">
            <v>Payo, El</v>
          </cell>
          <cell r="I5163" t="str">
            <v>37234</v>
          </cell>
        </row>
        <row r="5164">
          <cell r="H5164" t="str">
            <v>Pazos de Borbén</v>
          </cell>
          <cell r="I5164" t="str">
            <v>36037</v>
          </cell>
        </row>
        <row r="5165">
          <cell r="H5165" t="str">
            <v>Pazuengos</v>
          </cell>
          <cell r="I5165" t="str">
            <v>26113</v>
          </cell>
        </row>
        <row r="5166">
          <cell r="H5166" t="str">
            <v>Peal de Becerro</v>
          </cell>
          <cell r="I5166" t="str">
            <v>23066</v>
          </cell>
        </row>
        <row r="5167">
          <cell r="H5167" t="str">
            <v>Pechina</v>
          </cell>
          <cell r="I5167" t="str">
            <v>04074</v>
          </cell>
        </row>
        <row r="5168">
          <cell r="H5168" t="str">
            <v>Pedernoso, El</v>
          </cell>
          <cell r="I5168" t="str">
            <v>16153</v>
          </cell>
        </row>
        <row r="5169">
          <cell r="H5169" t="str">
            <v>Pedrafita do Cebreiro</v>
          </cell>
          <cell r="I5169" t="str">
            <v>27045</v>
          </cell>
        </row>
        <row r="5170">
          <cell r="H5170" t="str">
            <v>Pedraja de Portillo, La</v>
          </cell>
          <cell r="I5170" t="str">
            <v>47111</v>
          </cell>
        </row>
        <row r="5171">
          <cell r="H5171" t="str">
            <v>Pedrajas de San Esteban</v>
          </cell>
          <cell r="I5171" t="str">
            <v>47112</v>
          </cell>
        </row>
        <row r="5172">
          <cell r="H5172" t="str">
            <v>Pedralba</v>
          </cell>
          <cell r="I5172" t="str">
            <v>46191</v>
          </cell>
        </row>
        <row r="5173">
          <cell r="H5173" t="str">
            <v>Pedralba de la Pradería</v>
          </cell>
          <cell r="I5173" t="str">
            <v>49145</v>
          </cell>
        </row>
        <row r="5174">
          <cell r="H5174" t="str">
            <v>Pedraza</v>
          </cell>
          <cell r="I5174" t="str">
            <v>40156</v>
          </cell>
        </row>
        <row r="5175">
          <cell r="H5175" t="str">
            <v>Pedraza de Alba</v>
          </cell>
          <cell r="I5175" t="str">
            <v>37235</v>
          </cell>
        </row>
        <row r="5176">
          <cell r="H5176" t="str">
            <v>Pedraza de Campos</v>
          </cell>
          <cell r="I5176" t="str">
            <v>34125</v>
          </cell>
        </row>
        <row r="5177">
          <cell r="H5177" t="str">
            <v>Pedregal, El</v>
          </cell>
          <cell r="I5177" t="str">
            <v>19213</v>
          </cell>
        </row>
        <row r="5178">
          <cell r="H5178" t="str">
            <v>Pedreguer</v>
          </cell>
          <cell r="I5178" t="str">
            <v>03101</v>
          </cell>
        </row>
        <row r="5179">
          <cell r="H5179" t="str">
            <v>Pedrera</v>
          </cell>
          <cell r="I5179" t="str">
            <v>41072</v>
          </cell>
        </row>
        <row r="5180">
          <cell r="H5180" t="str">
            <v>Pedret i Marzà</v>
          </cell>
          <cell r="I5180" t="str">
            <v>17129</v>
          </cell>
        </row>
        <row r="5181">
          <cell r="H5181" t="str">
            <v>Pedrezuela</v>
          </cell>
          <cell r="I5181" t="str">
            <v>28108</v>
          </cell>
        </row>
        <row r="5182">
          <cell r="H5182" t="str">
            <v>Pedro Abad</v>
          </cell>
          <cell r="I5182" t="str">
            <v>14050</v>
          </cell>
        </row>
        <row r="5183">
          <cell r="H5183" t="str">
            <v>Pedro Bernardo</v>
          </cell>
          <cell r="I5183" t="str">
            <v>05182</v>
          </cell>
        </row>
        <row r="5184">
          <cell r="H5184" t="str">
            <v>Pedro Martínez</v>
          </cell>
          <cell r="I5184" t="str">
            <v>18152</v>
          </cell>
        </row>
        <row r="5185">
          <cell r="H5185" t="str">
            <v>Pedro Muñoz</v>
          </cell>
          <cell r="I5185" t="str">
            <v>13061</v>
          </cell>
        </row>
        <row r="5186">
          <cell r="H5186" t="str">
            <v>Pedroche</v>
          </cell>
          <cell r="I5186" t="str">
            <v>14051</v>
          </cell>
        </row>
        <row r="5187">
          <cell r="H5187" t="str">
            <v>Pedrola</v>
          </cell>
          <cell r="I5187" t="str">
            <v>50204</v>
          </cell>
        </row>
        <row r="5188">
          <cell r="H5188" t="str">
            <v>Pedroñeras, Las</v>
          </cell>
          <cell r="I5188" t="str">
            <v>16154</v>
          </cell>
        </row>
        <row r="5189">
          <cell r="H5189" t="str">
            <v>Pedro-Rodríguez</v>
          </cell>
          <cell r="I5189" t="str">
            <v>05183</v>
          </cell>
        </row>
        <row r="5190">
          <cell r="H5190" t="str">
            <v>Pedrosa de Duero</v>
          </cell>
          <cell r="I5190" t="str">
            <v>09256</v>
          </cell>
        </row>
        <row r="5191">
          <cell r="H5191" t="str">
            <v>Pedrosa de la Vega</v>
          </cell>
          <cell r="I5191" t="str">
            <v>34126</v>
          </cell>
        </row>
        <row r="5192">
          <cell r="H5192" t="str">
            <v>Pedrosa de Río Úrbel</v>
          </cell>
          <cell r="I5192" t="str">
            <v>09259</v>
          </cell>
        </row>
        <row r="5193">
          <cell r="H5193" t="str">
            <v>Pedrosa del Páramo</v>
          </cell>
          <cell r="I5193" t="str">
            <v>09257</v>
          </cell>
        </row>
        <row r="5194">
          <cell r="H5194" t="str">
            <v>Pedrosa del Príncipe</v>
          </cell>
          <cell r="I5194" t="str">
            <v>09258</v>
          </cell>
        </row>
        <row r="5195">
          <cell r="H5195" t="str">
            <v>Pedrosa del Rey</v>
          </cell>
          <cell r="I5195" t="str">
            <v>47113</v>
          </cell>
        </row>
        <row r="5196">
          <cell r="H5196" t="str">
            <v>Pedrosas, Las</v>
          </cell>
          <cell r="I5196" t="str">
            <v>50205</v>
          </cell>
        </row>
        <row r="5197">
          <cell r="H5197" t="str">
            <v>Pedrosillo de Alba</v>
          </cell>
          <cell r="I5197" t="str">
            <v>37236</v>
          </cell>
        </row>
        <row r="5198">
          <cell r="H5198" t="str">
            <v>Pedrosillo de los Aires</v>
          </cell>
          <cell r="I5198" t="str">
            <v>37237</v>
          </cell>
        </row>
        <row r="5199">
          <cell r="H5199" t="str">
            <v>Pedrosillo el Ralo</v>
          </cell>
          <cell r="I5199" t="str">
            <v>37238</v>
          </cell>
        </row>
        <row r="5200">
          <cell r="H5200" t="str">
            <v>Pedroso</v>
          </cell>
          <cell r="I5200" t="str">
            <v>26114</v>
          </cell>
        </row>
        <row r="5201">
          <cell r="H5201" t="str">
            <v>Pedroso de Acim</v>
          </cell>
          <cell r="I5201" t="str">
            <v>10139</v>
          </cell>
        </row>
        <row r="5202">
          <cell r="H5202" t="str">
            <v>Pedroso de la Armuña, El</v>
          </cell>
          <cell r="I5202" t="str">
            <v>37239</v>
          </cell>
        </row>
        <row r="5203">
          <cell r="H5203" t="str">
            <v>Pedroso, El</v>
          </cell>
          <cell r="I5203" t="str">
            <v>41073</v>
          </cell>
        </row>
        <row r="5204">
          <cell r="H5204" t="str">
            <v>Pegalajar</v>
          </cell>
          <cell r="I5204" t="str">
            <v>23067</v>
          </cell>
        </row>
        <row r="5205">
          <cell r="H5205" t="str">
            <v>Pego</v>
          </cell>
          <cell r="I5205" t="str">
            <v>03102</v>
          </cell>
        </row>
        <row r="5206">
          <cell r="H5206" t="str">
            <v>Pego, El</v>
          </cell>
          <cell r="I5206" t="str">
            <v>49146</v>
          </cell>
        </row>
        <row r="5207">
          <cell r="H5207" t="str">
            <v>Peguerinos</v>
          </cell>
          <cell r="I5207" t="str">
            <v>05184</v>
          </cell>
        </row>
        <row r="5208">
          <cell r="H5208" t="str">
            <v>Pelabravo</v>
          </cell>
          <cell r="I5208" t="str">
            <v>37240</v>
          </cell>
        </row>
        <row r="5209">
          <cell r="H5209" t="str">
            <v>Pelahustán</v>
          </cell>
          <cell r="I5209" t="str">
            <v>45131</v>
          </cell>
        </row>
        <row r="5210">
          <cell r="H5210" t="str">
            <v>Pelarrodríguez</v>
          </cell>
          <cell r="I5210" t="str">
            <v>37241</v>
          </cell>
        </row>
        <row r="5211">
          <cell r="H5211" t="str">
            <v>Pelayos</v>
          </cell>
          <cell r="I5211" t="str">
            <v>37242</v>
          </cell>
        </row>
        <row r="5212">
          <cell r="H5212" t="str">
            <v>Pelayos de la Presa</v>
          </cell>
          <cell r="I5212" t="str">
            <v>28109</v>
          </cell>
        </row>
        <row r="5213">
          <cell r="H5213" t="str">
            <v>Pelayos del Arroyo</v>
          </cell>
          <cell r="I5213" t="str">
            <v>40157</v>
          </cell>
        </row>
        <row r="5214">
          <cell r="H5214" t="str">
            <v>Peleagonzalo</v>
          </cell>
          <cell r="I5214" t="str">
            <v>49147</v>
          </cell>
        </row>
        <row r="5215">
          <cell r="H5215" t="str">
            <v>Peleas de Abajo</v>
          </cell>
          <cell r="I5215" t="str">
            <v>49148</v>
          </cell>
        </row>
        <row r="5216">
          <cell r="H5216" t="str">
            <v>Peligros</v>
          </cell>
          <cell r="I5216" t="str">
            <v>18153</v>
          </cell>
        </row>
        <row r="5217">
          <cell r="H5217" t="str">
            <v>Penagos</v>
          </cell>
          <cell r="I5217" t="str">
            <v>39048</v>
          </cell>
        </row>
        <row r="5218">
          <cell r="H5218" t="str">
            <v>Penàguila</v>
          </cell>
          <cell r="I5218" t="str">
            <v>03103</v>
          </cell>
        </row>
        <row r="5219">
          <cell r="H5219" t="str">
            <v>Penelles</v>
          </cell>
          <cell r="I5219" t="str">
            <v>25164</v>
          </cell>
        </row>
        <row r="5220">
          <cell r="H5220" t="str">
            <v>Peníscola/Peñíscola</v>
          </cell>
          <cell r="I5220" t="str">
            <v>12089</v>
          </cell>
        </row>
        <row r="5221">
          <cell r="H5221" t="str">
            <v>Peña, La</v>
          </cell>
          <cell r="I5221" t="str">
            <v>37243</v>
          </cell>
        </row>
        <row r="5222">
          <cell r="H5222" t="str">
            <v>Peñacaballera</v>
          </cell>
          <cell r="I5222" t="str">
            <v>37244</v>
          </cell>
        </row>
        <row r="5223">
          <cell r="H5223" t="str">
            <v>Peñacerrada-Urizaharra</v>
          </cell>
          <cell r="I5223" t="str">
            <v>01044</v>
          </cell>
        </row>
        <row r="5224">
          <cell r="H5224" t="str">
            <v>Peñafiel</v>
          </cell>
          <cell r="I5224" t="str">
            <v>47114</v>
          </cell>
        </row>
        <row r="5225">
          <cell r="H5225" t="str">
            <v>Peñaflor</v>
          </cell>
          <cell r="I5225" t="str">
            <v>41074</v>
          </cell>
        </row>
        <row r="5226">
          <cell r="H5226" t="str">
            <v>Peñaflor de Hornija</v>
          </cell>
          <cell r="I5226" t="str">
            <v>47115</v>
          </cell>
        </row>
        <row r="5227">
          <cell r="H5227" t="str">
            <v>Peñalba</v>
          </cell>
          <cell r="I5227" t="str">
            <v>22172</v>
          </cell>
        </row>
        <row r="5228">
          <cell r="H5228" t="str">
            <v>Peñalba de Ávila</v>
          </cell>
          <cell r="I5228" t="str">
            <v>05185</v>
          </cell>
        </row>
        <row r="5229">
          <cell r="H5229" t="str">
            <v>Peñalén</v>
          </cell>
          <cell r="I5229" t="str">
            <v>19214</v>
          </cell>
        </row>
        <row r="5230">
          <cell r="H5230" t="str">
            <v>Peñalsordo</v>
          </cell>
          <cell r="I5230" t="str">
            <v>06100</v>
          </cell>
        </row>
        <row r="5231">
          <cell r="H5231" t="str">
            <v>Peñalver</v>
          </cell>
          <cell r="I5231" t="str">
            <v>19215</v>
          </cell>
        </row>
        <row r="5232">
          <cell r="H5232" t="str">
            <v>Peñamellera Alta</v>
          </cell>
          <cell r="I5232" t="str">
            <v>33046</v>
          </cell>
        </row>
        <row r="5233">
          <cell r="H5233" t="str">
            <v>Peñamellera Baja</v>
          </cell>
          <cell r="I5233" t="str">
            <v>33047</v>
          </cell>
        </row>
        <row r="5234">
          <cell r="H5234" t="str">
            <v>Peñaparda</v>
          </cell>
          <cell r="I5234" t="str">
            <v>37245</v>
          </cell>
        </row>
        <row r="5235">
          <cell r="H5235" t="str">
            <v>Peñaranda de Bracamonte</v>
          </cell>
          <cell r="I5235" t="str">
            <v>37246</v>
          </cell>
        </row>
        <row r="5236">
          <cell r="H5236" t="str">
            <v>Peñaranda de Duero</v>
          </cell>
          <cell r="I5236" t="str">
            <v>09261</v>
          </cell>
        </row>
        <row r="5237">
          <cell r="H5237" t="str">
            <v>Peñarandilla</v>
          </cell>
          <cell r="I5237" t="str">
            <v>37247</v>
          </cell>
        </row>
        <row r="5238">
          <cell r="H5238" t="str">
            <v>Peñarroya de Tastavins</v>
          </cell>
          <cell r="I5238" t="str">
            <v>44179</v>
          </cell>
        </row>
        <row r="5239">
          <cell r="H5239" t="str">
            <v>Peñarrubia</v>
          </cell>
          <cell r="I5239" t="str">
            <v>39049</v>
          </cell>
        </row>
        <row r="5240">
          <cell r="H5240" t="str">
            <v>Peñas de Riglos, Las</v>
          </cell>
          <cell r="I5240" t="str">
            <v>22173</v>
          </cell>
        </row>
        <row r="5241">
          <cell r="H5241" t="str">
            <v>Peñas de San Pedro</v>
          </cell>
          <cell r="I5241" t="str">
            <v>02060</v>
          </cell>
        </row>
        <row r="5242">
          <cell r="H5242" t="str">
            <v>Peñascosa</v>
          </cell>
          <cell r="I5242" t="str">
            <v>02059</v>
          </cell>
        </row>
        <row r="5243">
          <cell r="H5243" t="str">
            <v>Peñausende</v>
          </cell>
          <cell r="I5243" t="str">
            <v>49149</v>
          </cell>
        </row>
        <row r="5244">
          <cell r="H5244" t="str">
            <v>Pepino</v>
          </cell>
          <cell r="I5244" t="str">
            <v>45132</v>
          </cell>
        </row>
        <row r="5245">
          <cell r="H5245" t="str">
            <v>Peque</v>
          </cell>
          <cell r="I5245" t="str">
            <v>49150</v>
          </cell>
        </row>
        <row r="5246">
          <cell r="H5246" t="str">
            <v>Pera, La</v>
          </cell>
          <cell r="I5246" t="str">
            <v>17130</v>
          </cell>
        </row>
        <row r="5247">
          <cell r="H5247" t="str">
            <v>Peracense</v>
          </cell>
          <cell r="I5247" t="str">
            <v>44180</v>
          </cell>
        </row>
        <row r="5248">
          <cell r="H5248" t="str">
            <v>Perafita</v>
          </cell>
          <cell r="I5248" t="str">
            <v>08160</v>
          </cell>
        </row>
        <row r="5249">
          <cell r="H5249" t="str">
            <v>Perafort</v>
          </cell>
          <cell r="I5249" t="str">
            <v>43103</v>
          </cell>
        </row>
        <row r="5250">
          <cell r="H5250" t="str">
            <v>Peral de Arlanza</v>
          </cell>
          <cell r="I5250" t="str">
            <v>09262</v>
          </cell>
        </row>
        <row r="5251">
          <cell r="H5251" t="str">
            <v>Peral, El</v>
          </cell>
          <cell r="I5251" t="str">
            <v>16155</v>
          </cell>
        </row>
        <row r="5252">
          <cell r="H5252" t="str">
            <v>Peralada</v>
          </cell>
          <cell r="I5252" t="str">
            <v>17132</v>
          </cell>
        </row>
        <row r="5253">
          <cell r="H5253" t="str">
            <v>Peraleda de la Mata</v>
          </cell>
          <cell r="I5253" t="str">
            <v>10140</v>
          </cell>
        </row>
        <row r="5254">
          <cell r="H5254" t="str">
            <v>Peraleda de San Román</v>
          </cell>
          <cell r="I5254" t="str">
            <v>10141</v>
          </cell>
        </row>
        <row r="5255">
          <cell r="H5255" t="str">
            <v>Peraleda del Zaucejo</v>
          </cell>
          <cell r="I5255" t="str">
            <v>06101</v>
          </cell>
        </row>
        <row r="5256">
          <cell r="H5256" t="str">
            <v>Peraleja, La</v>
          </cell>
          <cell r="I5256" t="str">
            <v>16156</v>
          </cell>
        </row>
        <row r="5257">
          <cell r="H5257" t="str">
            <v>Peralejos</v>
          </cell>
          <cell r="I5257" t="str">
            <v>44181</v>
          </cell>
        </row>
        <row r="5258">
          <cell r="H5258" t="str">
            <v>Peralejos de Abajo</v>
          </cell>
          <cell r="I5258" t="str">
            <v>37248</v>
          </cell>
        </row>
        <row r="5259">
          <cell r="H5259" t="str">
            <v>Peralejos de Arriba</v>
          </cell>
          <cell r="I5259" t="str">
            <v>37249</v>
          </cell>
        </row>
        <row r="5260">
          <cell r="H5260" t="str">
            <v>Peralejos de las Truchas</v>
          </cell>
          <cell r="I5260" t="str">
            <v>19216</v>
          </cell>
        </row>
        <row r="5261">
          <cell r="H5261" t="str">
            <v>Perales</v>
          </cell>
          <cell r="I5261" t="str">
            <v>34127</v>
          </cell>
        </row>
        <row r="5262">
          <cell r="H5262" t="str">
            <v>Perales de Tajuña</v>
          </cell>
          <cell r="I5262" t="str">
            <v>28110</v>
          </cell>
        </row>
        <row r="5263">
          <cell r="H5263" t="str">
            <v>Perales del Puerto</v>
          </cell>
          <cell r="I5263" t="str">
            <v>10142</v>
          </cell>
        </row>
        <row r="5264">
          <cell r="H5264" t="str">
            <v>Peralta de Alcofea</v>
          </cell>
          <cell r="I5264" t="str">
            <v>22174</v>
          </cell>
        </row>
        <row r="5265">
          <cell r="H5265" t="str">
            <v>Peralta de Calasanz</v>
          </cell>
          <cell r="I5265" t="str">
            <v>22175</v>
          </cell>
        </row>
        <row r="5266">
          <cell r="H5266" t="str">
            <v>Peralta/Azkoien</v>
          </cell>
          <cell r="I5266" t="str">
            <v>31202</v>
          </cell>
        </row>
        <row r="5267">
          <cell r="H5267" t="str">
            <v>Peraltilla</v>
          </cell>
          <cell r="I5267" t="str">
            <v>22176</v>
          </cell>
        </row>
        <row r="5268">
          <cell r="H5268" t="str">
            <v>Peralveche</v>
          </cell>
          <cell r="I5268" t="str">
            <v>19217</v>
          </cell>
        </row>
        <row r="5269">
          <cell r="H5269" t="str">
            <v>Peramola</v>
          </cell>
          <cell r="I5269" t="str">
            <v>25165</v>
          </cell>
        </row>
        <row r="5270">
          <cell r="H5270" t="str">
            <v>Perarrúa</v>
          </cell>
          <cell r="I5270" t="str">
            <v>22177</v>
          </cell>
        </row>
        <row r="5271">
          <cell r="H5271" t="str">
            <v>Perdigón, El</v>
          </cell>
          <cell r="I5271" t="str">
            <v>49151</v>
          </cell>
        </row>
        <row r="5272">
          <cell r="H5272" t="str">
            <v>Perdiguera</v>
          </cell>
          <cell r="I5272" t="str">
            <v>50206</v>
          </cell>
        </row>
        <row r="5273">
          <cell r="H5273" t="str">
            <v>Pereiro de Aguiar, O</v>
          </cell>
          <cell r="I5273" t="str">
            <v>32058</v>
          </cell>
        </row>
        <row r="5274">
          <cell r="H5274" t="str">
            <v>Perelló, El</v>
          </cell>
          <cell r="I5274" t="str">
            <v>43104</v>
          </cell>
        </row>
        <row r="5275">
          <cell r="H5275" t="str">
            <v>Pereña de la Ribera</v>
          </cell>
          <cell r="I5275" t="str">
            <v>37250</v>
          </cell>
        </row>
        <row r="5276">
          <cell r="H5276" t="str">
            <v>Pereruela</v>
          </cell>
          <cell r="I5276" t="str">
            <v>49152</v>
          </cell>
        </row>
        <row r="5277">
          <cell r="H5277" t="str">
            <v>Periana</v>
          </cell>
          <cell r="I5277" t="str">
            <v>29079</v>
          </cell>
        </row>
        <row r="5278">
          <cell r="H5278" t="str">
            <v>Perilla de Castro</v>
          </cell>
          <cell r="I5278" t="str">
            <v>49153</v>
          </cell>
        </row>
        <row r="5279">
          <cell r="H5279" t="str">
            <v>Peromingo</v>
          </cell>
          <cell r="I5279" t="str">
            <v>37251</v>
          </cell>
        </row>
        <row r="5280">
          <cell r="H5280" t="str">
            <v>Perosillo</v>
          </cell>
          <cell r="I5280" t="str">
            <v>40158</v>
          </cell>
        </row>
        <row r="5281">
          <cell r="H5281" t="str">
            <v>Peroxa, A</v>
          </cell>
          <cell r="I5281" t="str">
            <v>32059</v>
          </cell>
        </row>
        <row r="5282">
          <cell r="H5282" t="str">
            <v>Pertusa</v>
          </cell>
          <cell r="I5282" t="str">
            <v>22178</v>
          </cell>
        </row>
        <row r="5283">
          <cell r="H5283" t="str">
            <v>Pesaguero</v>
          </cell>
          <cell r="I5283" t="str">
            <v>39050</v>
          </cell>
        </row>
        <row r="5284">
          <cell r="H5284" t="str">
            <v>Pescueza</v>
          </cell>
          <cell r="I5284" t="str">
            <v>10143</v>
          </cell>
        </row>
        <row r="5285">
          <cell r="H5285" t="str">
            <v>Pesga, La</v>
          </cell>
          <cell r="I5285" t="str">
            <v>10144</v>
          </cell>
        </row>
        <row r="5286">
          <cell r="H5286" t="str">
            <v>Pesoz</v>
          </cell>
          <cell r="I5286" t="str">
            <v>33048</v>
          </cell>
        </row>
        <row r="5287">
          <cell r="H5287" t="str">
            <v>Pesquera</v>
          </cell>
          <cell r="I5287" t="str">
            <v>39051</v>
          </cell>
        </row>
        <row r="5288">
          <cell r="H5288" t="str">
            <v>Pesquera de Duero</v>
          </cell>
          <cell r="I5288" t="str">
            <v>47116</v>
          </cell>
        </row>
        <row r="5289">
          <cell r="H5289" t="str">
            <v>Pesquera, La</v>
          </cell>
          <cell r="I5289" t="str">
            <v>16157</v>
          </cell>
        </row>
        <row r="5290">
          <cell r="H5290" t="str">
            <v>Petilla de Aragón</v>
          </cell>
          <cell r="I5290" t="str">
            <v>31203</v>
          </cell>
        </row>
        <row r="5291">
          <cell r="H5291" t="str">
            <v>Petín</v>
          </cell>
          <cell r="I5291" t="str">
            <v>32060</v>
          </cell>
        </row>
        <row r="5292">
          <cell r="H5292" t="str">
            <v>Petra</v>
          </cell>
          <cell r="I5292" t="str">
            <v>07041</v>
          </cell>
        </row>
        <row r="5293">
          <cell r="H5293" t="str">
            <v>Petrer</v>
          </cell>
          <cell r="I5293" t="str">
            <v>03104</v>
          </cell>
        </row>
        <row r="5294">
          <cell r="H5294" t="str">
            <v>Petrés</v>
          </cell>
          <cell r="I5294" t="str">
            <v>46192</v>
          </cell>
        </row>
        <row r="5295">
          <cell r="H5295" t="str">
            <v>Pétrola</v>
          </cell>
          <cell r="I5295" t="str">
            <v>02061</v>
          </cell>
        </row>
        <row r="5296">
          <cell r="H5296" t="str">
            <v>Peza, La</v>
          </cell>
          <cell r="I5296" t="str">
            <v>18154</v>
          </cell>
        </row>
        <row r="5297">
          <cell r="H5297" t="str">
            <v>Pezuela de las Torres</v>
          </cell>
          <cell r="I5297" t="str">
            <v>28111</v>
          </cell>
        </row>
        <row r="5298">
          <cell r="H5298" t="str">
            <v>Pías</v>
          </cell>
          <cell r="I5298" t="str">
            <v>49154</v>
          </cell>
        </row>
        <row r="5299">
          <cell r="H5299" t="str">
            <v>Picanya</v>
          </cell>
          <cell r="I5299" t="str">
            <v>46193</v>
          </cell>
        </row>
        <row r="5300">
          <cell r="H5300" t="str">
            <v>Picassent</v>
          </cell>
          <cell r="I5300" t="str">
            <v>46194</v>
          </cell>
        </row>
        <row r="5301">
          <cell r="H5301" t="str">
            <v>Picazo, El</v>
          </cell>
          <cell r="I5301" t="str">
            <v>16158</v>
          </cell>
        </row>
        <row r="5302">
          <cell r="H5302" t="str">
            <v>Picón</v>
          </cell>
          <cell r="I5302" t="str">
            <v>13062</v>
          </cell>
        </row>
        <row r="5303">
          <cell r="H5303" t="str">
            <v>Piedrabuena</v>
          </cell>
          <cell r="I5303" t="str">
            <v>13063</v>
          </cell>
        </row>
        <row r="5304">
          <cell r="H5304" t="str">
            <v>Piedrahíta</v>
          </cell>
          <cell r="I5304" t="str">
            <v>05186</v>
          </cell>
        </row>
        <row r="5305">
          <cell r="H5305" t="str">
            <v>Piedrahita de Castro</v>
          </cell>
          <cell r="I5305" t="str">
            <v>49155</v>
          </cell>
        </row>
        <row r="5306">
          <cell r="H5306" t="str">
            <v>Piedralaves</v>
          </cell>
          <cell r="I5306" t="str">
            <v>05187</v>
          </cell>
        </row>
        <row r="5307">
          <cell r="H5307" t="str">
            <v>Piedramillera</v>
          </cell>
          <cell r="I5307" t="str">
            <v>31204</v>
          </cell>
        </row>
        <row r="5308">
          <cell r="H5308" t="str">
            <v>Piedras Albas</v>
          </cell>
          <cell r="I5308" t="str">
            <v>10145</v>
          </cell>
        </row>
        <row r="5309">
          <cell r="H5309" t="str">
            <v>Piedratajada</v>
          </cell>
          <cell r="I5309" t="str">
            <v>50207</v>
          </cell>
        </row>
        <row r="5310">
          <cell r="H5310" t="str">
            <v>Piélagos</v>
          </cell>
          <cell r="I5310" t="str">
            <v>39052</v>
          </cell>
        </row>
        <row r="5311">
          <cell r="H5311" t="str">
            <v>Piera</v>
          </cell>
          <cell r="I5311" t="str">
            <v>08161</v>
          </cell>
        </row>
        <row r="5312">
          <cell r="H5312" t="str">
            <v>Piérnigas</v>
          </cell>
          <cell r="I5312" t="str">
            <v>09265</v>
          </cell>
        </row>
        <row r="5313">
          <cell r="H5313" t="str">
            <v>Pilar de la Horadada</v>
          </cell>
          <cell r="I5313" t="str">
            <v>03902</v>
          </cell>
        </row>
        <row r="5314">
          <cell r="H5314" t="str">
            <v>Pilas</v>
          </cell>
          <cell r="I5314" t="str">
            <v>41075</v>
          </cell>
        </row>
        <row r="5315">
          <cell r="H5315" t="str">
            <v>Piles</v>
          </cell>
          <cell r="I5315" t="str">
            <v>46195</v>
          </cell>
        </row>
        <row r="5316">
          <cell r="H5316" t="str">
            <v>Piles, Les</v>
          </cell>
          <cell r="I5316" t="str">
            <v>43105</v>
          </cell>
        </row>
        <row r="5317">
          <cell r="H5317" t="str">
            <v>Pina de Ebro</v>
          </cell>
          <cell r="I5317" t="str">
            <v>50208</v>
          </cell>
        </row>
        <row r="5318">
          <cell r="H5318" t="str">
            <v>Pina de Montalgrao</v>
          </cell>
          <cell r="I5318" t="str">
            <v>12090</v>
          </cell>
        </row>
        <row r="5319">
          <cell r="H5319" t="str">
            <v>Pinar de El Hierro, El</v>
          </cell>
          <cell r="I5319" t="str">
            <v>38901</v>
          </cell>
        </row>
        <row r="5320">
          <cell r="H5320" t="str">
            <v>Pinar, El</v>
          </cell>
          <cell r="I5320" t="str">
            <v>18910</v>
          </cell>
        </row>
        <row r="5321">
          <cell r="H5321" t="str">
            <v>Pinarejo</v>
          </cell>
          <cell r="I5321" t="str">
            <v>16159</v>
          </cell>
        </row>
        <row r="5322">
          <cell r="H5322" t="str">
            <v>Pinarejos</v>
          </cell>
          <cell r="I5322" t="str">
            <v>40159</v>
          </cell>
        </row>
        <row r="5323">
          <cell r="H5323" t="str">
            <v>Pinarnegrillo</v>
          </cell>
          <cell r="I5323" t="str">
            <v>40160</v>
          </cell>
        </row>
        <row r="5324">
          <cell r="H5324" t="str">
            <v>Pineda de Gigüela</v>
          </cell>
          <cell r="I5324" t="str">
            <v>16160</v>
          </cell>
        </row>
        <row r="5325">
          <cell r="H5325" t="str">
            <v>Pineda de la Sierra</v>
          </cell>
          <cell r="I5325" t="str">
            <v>09266</v>
          </cell>
        </row>
        <row r="5326">
          <cell r="H5326" t="str">
            <v>Pineda de Mar</v>
          </cell>
          <cell r="I5326" t="str">
            <v>08163</v>
          </cell>
        </row>
        <row r="5327">
          <cell r="H5327" t="str">
            <v>Pineda Trasmonte</v>
          </cell>
          <cell r="I5327" t="str">
            <v>09267</v>
          </cell>
        </row>
        <row r="5328">
          <cell r="H5328" t="str">
            <v>Pinedas</v>
          </cell>
          <cell r="I5328" t="str">
            <v>37252</v>
          </cell>
        </row>
        <row r="5329">
          <cell r="H5329" t="str">
            <v>Pinell de Brai, El</v>
          </cell>
          <cell r="I5329" t="str">
            <v>43106</v>
          </cell>
        </row>
        <row r="5330">
          <cell r="H5330" t="str">
            <v>Pinell de Solsonès</v>
          </cell>
          <cell r="I5330" t="str">
            <v>25166</v>
          </cell>
        </row>
        <row r="5331">
          <cell r="H5331" t="str">
            <v>Pinet</v>
          </cell>
          <cell r="I5331" t="str">
            <v>46196</v>
          </cell>
        </row>
        <row r="5332">
          <cell r="H5332" t="str">
            <v>Pinilla de Jadraque</v>
          </cell>
          <cell r="I5332" t="str">
            <v>19218</v>
          </cell>
        </row>
        <row r="5333">
          <cell r="H5333" t="str">
            <v>Pinilla de los Barruecos</v>
          </cell>
          <cell r="I5333" t="str">
            <v>09268</v>
          </cell>
        </row>
        <row r="5334">
          <cell r="H5334" t="str">
            <v>Pinilla de los Moros</v>
          </cell>
          <cell r="I5334" t="str">
            <v>09269</v>
          </cell>
        </row>
        <row r="5335">
          <cell r="H5335" t="str">
            <v>Pinilla de Molina</v>
          </cell>
          <cell r="I5335" t="str">
            <v>19219</v>
          </cell>
        </row>
        <row r="5336">
          <cell r="H5336" t="str">
            <v>Pinilla de Toro</v>
          </cell>
          <cell r="I5336" t="str">
            <v>49156</v>
          </cell>
        </row>
        <row r="5337">
          <cell r="H5337" t="str">
            <v>Pinilla del Campo</v>
          </cell>
          <cell r="I5337" t="str">
            <v>42139</v>
          </cell>
        </row>
        <row r="5338">
          <cell r="H5338" t="str">
            <v>Pinilla del Valle</v>
          </cell>
          <cell r="I5338" t="str">
            <v>28112</v>
          </cell>
        </row>
        <row r="5339">
          <cell r="H5339" t="str">
            <v>Pinilla Trasmonte</v>
          </cell>
          <cell r="I5339" t="str">
            <v>09270</v>
          </cell>
        </row>
        <row r="5340">
          <cell r="H5340" t="str">
            <v>Pinillos</v>
          </cell>
          <cell r="I5340" t="str">
            <v>26115</v>
          </cell>
        </row>
        <row r="5341">
          <cell r="H5341" t="str">
            <v>Pino de Tormes, El</v>
          </cell>
          <cell r="I5341" t="str">
            <v>37253</v>
          </cell>
        </row>
        <row r="5342">
          <cell r="H5342" t="str">
            <v>Pino del Oro</v>
          </cell>
          <cell r="I5342" t="str">
            <v>49157</v>
          </cell>
        </row>
        <row r="5343">
          <cell r="H5343" t="str">
            <v>Pino del Río</v>
          </cell>
          <cell r="I5343" t="str">
            <v>34129</v>
          </cell>
        </row>
        <row r="5344">
          <cell r="H5344" t="str">
            <v>Pino, O</v>
          </cell>
          <cell r="I5344" t="str">
            <v>15066</v>
          </cell>
        </row>
        <row r="5345">
          <cell r="H5345" t="str">
            <v>Pinofranqueado</v>
          </cell>
          <cell r="I5345" t="str">
            <v>10146</v>
          </cell>
        </row>
        <row r="5346">
          <cell r="H5346" t="str">
            <v>Pinós</v>
          </cell>
          <cell r="I5346" t="str">
            <v>25167</v>
          </cell>
        </row>
        <row r="5347">
          <cell r="H5347" t="str">
            <v>Pinos Genil</v>
          </cell>
          <cell r="I5347" t="str">
            <v>18157</v>
          </cell>
        </row>
        <row r="5348">
          <cell r="H5348" t="str">
            <v>Pinos Puente</v>
          </cell>
          <cell r="I5348" t="str">
            <v>18158</v>
          </cell>
        </row>
        <row r="5349">
          <cell r="H5349" t="str">
            <v>Pinós, el/Pinoso</v>
          </cell>
          <cell r="I5349" t="str">
            <v>03105</v>
          </cell>
        </row>
        <row r="5350">
          <cell r="H5350" t="str">
            <v>Pinseque</v>
          </cell>
          <cell r="I5350" t="str">
            <v>50209</v>
          </cell>
        </row>
        <row r="5351">
          <cell r="H5351" t="str">
            <v>Pintanos, Los</v>
          </cell>
          <cell r="I5351" t="str">
            <v>50210</v>
          </cell>
        </row>
        <row r="5352">
          <cell r="H5352" t="str">
            <v>Pinto</v>
          </cell>
          <cell r="I5352" t="str">
            <v>28113</v>
          </cell>
        </row>
        <row r="5353">
          <cell r="H5353" t="str">
            <v>Piña de Campos</v>
          </cell>
          <cell r="I5353" t="str">
            <v>34130</v>
          </cell>
        </row>
        <row r="5354">
          <cell r="H5354" t="str">
            <v>Piña de Esgueva</v>
          </cell>
          <cell r="I5354" t="str">
            <v>47117</v>
          </cell>
        </row>
        <row r="5355">
          <cell r="H5355" t="str">
            <v>Píñar</v>
          </cell>
          <cell r="I5355" t="str">
            <v>18159</v>
          </cell>
        </row>
        <row r="5356">
          <cell r="H5356" t="str">
            <v>Piñel de Abajo</v>
          </cell>
          <cell r="I5356" t="str">
            <v>47118</v>
          </cell>
        </row>
        <row r="5357">
          <cell r="H5357" t="str">
            <v>Piñel de Arriba</v>
          </cell>
          <cell r="I5357" t="str">
            <v>47119</v>
          </cell>
        </row>
        <row r="5358">
          <cell r="H5358" t="str">
            <v>Piñero, El</v>
          </cell>
          <cell r="I5358" t="str">
            <v>49158</v>
          </cell>
        </row>
        <row r="5359">
          <cell r="H5359" t="str">
            <v>Piñor</v>
          </cell>
          <cell r="I5359" t="str">
            <v>32061</v>
          </cell>
        </row>
        <row r="5360">
          <cell r="H5360" t="str">
            <v>Piñuécar-Gandullas</v>
          </cell>
          <cell r="I5360" t="str">
            <v>28114</v>
          </cell>
        </row>
        <row r="5361">
          <cell r="H5361" t="str">
            <v>Piornal</v>
          </cell>
          <cell r="I5361" t="str">
            <v>10147</v>
          </cell>
        </row>
        <row r="5362">
          <cell r="H5362" t="str">
            <v>Pioz</v>
          </cell>
          <cell r="I5362" t="str">
            <v>19220</v>
          </cell>
        </row>
        <row r="5363">
          <cell r="H5363" t="str">
            <v>Piqueras</v>
          </cell>
          <cell r="I5363" t="str">
            <v>19221</v>
          </cell>
        </row>
        <row r="5364">
          <cell r="H5364" t="str">
            <v>Piqueras del Castillo</v>
          </cell>
          <cell r="I5364" t="str">
            <v>16161</v>
          </cell>
        </row>
        <row r="5365">
          <cell r="H5365" t="str">
            <v>Pira</v>
          </cell>
          <cell r="I5365" t="str">
            <v>43107</v>
          </cell>
        </row>
        <row r="5366">
          <cell r="H5366" t="str">
            <v>Piracés</v>
          </cell>
          <cell r="I5366" t="str">
            <v>22181</v>
          </cell>
        </row>
        <row r="5367">
          <cell r="H5367" t="str">
            <v>Pitiegua</v>
          </cell>
          <cell r="I5367" t="str">
            <v>37254</v>
          </cell>
        </row>
        <row r="5368">
          <cell r="H5368" t="str">
            <v>Pitillas</v>
          </cell>
          <cell r="I5368" t="str">
            <v>31205</v>
          </cell>
        </row>
        <row r="5369">
          <cell r="H5369" t="str">
            <v>Pizarra</v>
          </cell>
          <cell r="I5369" t="str">
            <v>29080</v>
          </cell>
        </row>
        <row r="5370">
          <cell r="H5370" t="str">
            <v>Pizarral</v>
          </cell>
          <cell r="I5370" t="str">
            <v>37255</v>
          </cell>
        </row>
        <row r="5371">
          <cell r="H5371" t="str">
            <v>Pla de Santa Maria, El</v>
          </cell>
          <cell r="I5371" t="str">
            <v>43108</v>
          </cell>
        </row>
        <row r="5372">
          <cell r="H5372" t="str">
            <v>Pla del Penedès, El</v>
          </cell>
          <cell r="I5372" t="str">
            <v>08164</v>
          </cell>
        </row>
        <row r="5373">
          <cell r="H5373" t="str">
            <v>Plan</v>
          </cell>
          <cell r="I5373" t="str">
            <v>22182</v>
          </cell>
        </row>
        <row r="5374">
          <cell r="H5374" t="str">
            <v>Planes</v>
          </cell>
          <cell r="I5374" t="str">
            <v>03106</v>
          </cell>
        </row>
        <row r="5375">
          <cell r="H5375" t="str">
            <v>Planes d'Hostoles, Les</v>
          </cell>
          <cell r="I5375" t="str">
            <v>17133</v>
          </cell>
        </row>
        <row r="5376">
          <cell r="H5376" t="str">
            <v>Planoles</v>
          </cell>
          <cell r="I5376" t="str">
            <v>17134</v>
          </cell>
        </row>
        <row r="5377">
          <cell r="H5377" t="str">
            <v>Plans de Sió, Els</v>
          </cell>
          <cell r="I5377" t="str">
            <v>25911</v>
          </cell>
        </row>
        <row r="5378">
          <cell r="H5378" t="str">
            <v>Plasencia</v>
          </cell>
          <cell r="I5378" t="str">
            <v>10148</v>
          </cell>
        </row>
        <row r="5379">
          <cell r="H5379" t="str">
            <v>Plasencia de Jalón</v>
          </cell>
          <cell r="I5379" t="str">
            <v>50211</v>
          </cell>
        </row>
        <row r="5380">
          <cell r="H5380" t="str">
            <v>Plasenzuela</v>
          </cell>
          <cell r="I5380" t="str">
            <v>10149</v>
          </cell>
        </row>
        <row r="5381">
          <cell r="H5381" t="str">
            <v>Pleitas</v>
          </cell>
          <cell r="I5381" t="str">
            <v>50212</v>
          </cell>
        </row>
        <row r="5382">
          <cell r="H5382" t="str">
            <v>Plenas</v>
          </cell>
          <cell r="I5382" t="str">
            <v>50213</v>
          </cell>
        </row>
        <row r="5383">
          <cell r="H5383" t="str">
            <v>Plentzia</v>
          </cell>
          <cell r="I5383" t="str">
            <v>48077</v>
          </cell>
        </row>
        <row r="5384">
          <cell r="H5384" t="str">
            <v>Pliego</v>
          </cell>
          <cell r="I5384" t="str">
            <v>30032</v>
          </cell>
        </row>
        <row r="5385">
          <cell r="H5385" t="str">
            <v>Plou</v>
          </cell>
          <cell r="I5385" t="str">
            <v>44184</v>
          </cell>
        </row>
        <row r="5386">
          <cell r="H5386" t="str">
            <v>Poal, El</v>
          </cell>
          <cell r="I5386" t="str">
            <v>25168</v>
          </cell>
        </row>
        <row r="5387">
          <cell r="H5387" t="str">
            <v>Pobla de Benifassà, la</v>
          </cell>
          <cell r="I5387" t="str">
            <v>12093</v>
          </cell>
        </row>
        <row r="5388">
          <cell r="H5388" t="str">
            <v>Pobla de Cérvoles, La</v>
          </cell>
          <cell r="I5388" t="str">
            <v>25169</v>
          </cell>
        </row>
        <row r="5389">
          <cell r="H5389" t="str">
            <v>Pobla de Claramunt, La</v>
          </cell>
          <cell r="I5389" t="str">
            <v>08165</v>
          </cell>
        </row>
        <row r="5390">
          <cell r="H5390" t="str">
            <v>Pobla de Farnals, la</v>
          </cell>
          <cell r="I5390" t="str">
            <v>46199</v>
          </cell>
        </row>
        <row r="5391">
          <cell r="H5391" t="str">
            <v>Pobla de Lillet, La</v>
          </cell>
          <cell r="I5391" t="str">
            <v>08166</v>
          </cell>
        </row>
        <row r="5392">
          <cell r="H5392" t="str">
            <v>Pobla de Mafumet, La</v>
          </cell>
          <cell r="I5392" t="str">
            <v>43109</v>
          </cell>
        </row>
        <row r="5393">
          <cell r="H5393" t="str">
            <v>Pobla de Massaluca, La</v>
          </cell>
          <cell r="I5393" t="str">
            <v>43110</v>
          </cell>
        </row>
        <row r="5394">
          <cell r="H5394" t="str">
            <v>Pobla de Montornès, La</v>
          </cell>
          <cell r="I5394" t="str">
            <v>43111</v>
          </cell>
        </row>
        <row r="5395">
          <cell r="H5395" t="str">
            <v>Pobla de Segur, La</v>
          </cell>
          <cell r="I5395" t="str">
            <v>25171</v>
          </cell>
        </row>
        <row r="5396">
          <cell r="H5396" t="str">
            <v>Pobla de Vallbona, la</v>
          </cell>
          <cell r="I5396" t="str">
            <v>46202</v>
          </cell>
        </row>
        <row r="5397">
          <cell r="H5397" t="str">
            <v>Pobla del Duc, la</v>
          </cell>
          <cell r="I5397" t="str">
            <v>46200</v>
          </cell>
        </row>
        <row r="5398">
          <cell r="H5398" t="str">
            <v>Pobla Llarga, la</v>
          </cell>
          <cell r="I5398" t="str">
            <v>46203</v>
          </cell>
        </row>
        <row r="5399">
          <cell r="H5399" t="str">
            <v>Pobla Tornesa, la</v>
          </cell>
          <cell r="I5399" t="str">
            <v>12094</v>
          </cell>
        </row>
        <row r="5400">
          <cell r="H5400" t="str">
            <v>Pobla, Sa</v>
          </cell>
          <cell r="I5400" t="str">
            <v>07044</v>
          </cell>
        </row>
        <row r="5401">
          <cell r="H5401" t="str">
            <v>Población de Arroyo</v>
          </cell>
          <cell r="I5401" t="str">
            <v>34131</v>
          </cell>
        </row>
        <row r="5402">
          <cell r="H5402" t="str">
            <v>Población de Campos</v>
          </cell>
          <cell r="I5402" t="str">
            <v>34132</v>
          </cell>
        </row>
        <row r="5403">
          <cell r="H5403" t="str">
            <v>Población de Cerrato</v>
          </cell>
          <cell r="I5403" t="str">
            <v>34133</v>
          </cell>
        </row>
        <row r="5404">
          <cell r="H5404" t="str">
            <v>Pobladura de Pelayo García</v>
          </cell>
          <cell r="I5404" t="str">
            <v>24113</v>
          </cell>
        </row>
        <row r="5405">
          <cell r="H5405" t="str">
            <v>Pobladura de Valderaduey</v>
          </cell>
          <cell r="I5405" t="str">
            <v>49160</v>
          </cell>
        </row>
        <row r="5406">
          <cell r="H5406" t="str">
            <v>Pobladura del Valle</v>
          </cell>
          <cell r="I5406" t="str">
            <v>49159</v>
          </cell>
        </row>
        <row r="5407">
          <cell r="H5407" t="str">
            <v>Poble Nou de Benitatxell, el/Benitachell</v>
          </cell>
          <cell r="I5407" t="str">
            <v>03042</v>
          </cell>
        </row>
        <row r="5408">
          <cell r="H5408" t="str">
            <v>Poblete</v>
          </cell>
          <cell r="I5408" t="str">
            <v>13064</v>
          </cell>
        </row>
        <row r="5409">
          <cell r="H5409" t="str">
            <v>Poblets, els</v>
          </cell>
          <cell r="I5409" t="str">
            <v>03901</v>
          </cell>
        </row>
        <row r="5410">
          <cell r="H5410" t="str">
            <v>Pobo de Dueñas, El</v>
          </cell>
          <cell r="I5410" t="str">
            <v>19222</v>
          </cell>
        </row>
        <row r="5411">
          <cell r="H5411" t="str">
            <v>Pobo, El</v>
          </cell>
          <cell r="I5411" t="str">
            <v>44185</v>
          </cell>
        </row>
        <row r="5412">
          <cell r="H5412" t="str">
            <v>Poboleda</v>
          </cell>
          <cell r="I5412" t="str">
            <v>43112</v>
          </cell>
        </row>
        <row r="5413">
          <cell r="H5413" t="str">
            <v>Pobra de Trives, A</v>
          </cell>
          <cell r="I5413" t="str">
            <v>32063</v>
          </cell>
        </row>
        <row r="5414">
          <cell r="H5414" t="str">
            <v>Pobra do Brollón, A</v>
          </cell>
          <cell r="I5414" t="str">
            <v>27047</v>
          </cell>
        </row>
        <row r="5415">
          <cell r="H5415" t="str">
            <v>Pobra do Caramiñal, A</v>
          </cell>
          <cell r="I5415" t="str">
            <v>15067</v>
          </cell>
        </row>
        <row r="5416">
          <cell r="H5416" t="str">
            <v>Poio</v>
          </cell>
          <cell r="I5416" t="str">
            <v>36041</v>
          </cell>
        </row>
        <row r="5417">
          <cell r="H5417" t="str">
            <v>Pol</v>
          </cell>
          <cell r="I5417" t="str">
            <v>27046</v>
          </cell>
        </row>
        <row r="5418">
          <cell r="H5418" t="str">
            <v>Polaciones</v>
          </cell>
          <cell r="I5418" t="str">
            <v>39053</v>
          </cell>
        </row>
        <row r="5419">
          <cell r="H5419" t="str">
            <v>Polán</v>
          </cell>
          <cell r="I5419" t="str">
            <v>45133</v>
          </cell>
        </row>
        <row r="5420">
          <cell r="H5420" t="str">
            <v>Polanco</v>
          </cell>
          <cell r="I5420" t="str">
            <v>39054</v>
          </cell>
        </row>
        <row r="5421">
          <cell r="H5421" t="str">
            <v>Poleñino</v>
          </cell>
          <cell r="I5421" t="str">
            <v>22184</v>
          </cell>
        </row>
        <row r="5422">
          <cell r="H5422" t="str">
            <v>Polícar</v>
          </cell>
          <cell r="I5422" t="str">
            <v>18161</v>
          </cell>
        </row>
        <row r="5423">
          <cell r="H5423" t="str">
            <v>Polinyà</v>
          </cell>
          <cell r="I5423" t="str">
            <v>08167</v>
          </cell>
        </row>
        <row r="5424">
          <cell r="H5424" t="str">
            <v>Polinyà de Xúquer</v>
          </cell>
          <cell r="I5424" t="str">
            <v>46197</v>
          </cell>
        </row>
        <row r="5425">
          <cell r="H5425" t="str">
            <v>Pollos</v>
          </cell>
          <cell r="I5425" t="str">
            <v>47121</v>
          </cell>
        </row>
        <row r="5426">
          <cell r="H5426" t="str">
            <v>Polop</v>
          </cell>
          <cell r="I5426" t="str">
            <v>03107</v>
          </cell>
        </row>
        <row r="5427">
          <cell r="H5427" t="str">
            <v>Polopos</v>
          </cell>
          <cell r="I5427" t="str">
            <v>18162</v>
          </cell>
        </row>
        <row r="5428">
          <cell r="H5428" t="str">
            <v>Pomar de Valdivia</v>
          </cell>
          <cell r="I5428" t="str">
            <v>34135</v>
          </cell>
        </row>
        <row r="5429">
          <cell r="H5429" t="str">
            <v>Pomer</v>
          </cell>
          <cell r="I5429" t="str">
            <v>50214</v>
          </cell>
        </row>
        <row r="5430">
          <cell r="H5430" t="str">
            <v>Pont d'Armentera, El</v>
          </cell>
          <cell r="I5430" t="str">
            <v>43113</v>
          </cell>
        </row>
        <row r="5431">
          <cell r="H5431" t="str">
            <v>Pont de Bar, El</v>
          </cell>
          <cell r="I5431" t="str">
            <v>25030</v>
          </cell>
        </row>
        <row r="5432">
          <cell r="H5432" t="str">
            <v>Pont de Molins</v>
          </cell>
          <cell r="I5432" t="str">
            <v>17135</v>
          </cell>
        </row>
        <row r="5433">
          <cell r="H5433" t="str">
            <v>Pont de Suert, El</v>
          </cell>
          <cell r="I5433" t="str">
            <v>25173</v>
          </cell>
        </row>
        <row r="5434">
          <cell r="H5434" t="str">
            <v>Pont de Vilomara i Rocafort, El</v>
          </cell>
          <cell r="I5434" t="str">
            <v>08182</v>
          </cell>
        </row>
        <row r="5435">
          <cell r="H5435" t="str">
            <v>Ponte Caldelas</v>
          </cell>
          <cell r="I5435" t="str">
            <v>36043</v>
          </cell>
        </row>
        <row r="5436">
          <cell r="H5436" t="str">
            <v>Ponteareas</v>
          </cell>
          <cell r="I5436" t="str">
            <v>36042</v>
          </cell>
        </row>
        <row r="5437">
          <cell r="H5437" t="str">
            <v>Ponteceso</v>
          </cell>
          <cell r="I5437" t="str">
            <v>15068</v>
          </cell>
        </row>
        <row r="5438">
          <cell r="H5438" t="str">
            <v>Pontecesures</v>
          </cell>
          <cell r="I5438" t="str">
            <v>36044</v>
          </cell>
        </row>
        <row r="5439">
          <cell r="H5439" t="str">
            <v>Pontedeume</v>
          </cell>
          <cell r="I5439" t="str">
            <v>15069</v>
          </cell>
        </row>
        <row r="5440">
          <cell r="H5440" t="str">
            <v>Pontedeva</v>
          </cell>
          <cell r="I5440" t="str">
            <v>32064</v>
          </cell>
        </row>
        <row r="5441">
          <cell r="H5441" t="str">
            <v>Pontenova, A</v>
          </cell>
          <cell r="I5441" t="str">
            <v>27048</v>
          </cell>
        </row>
        <row r="5442">
          <cell r="H5442" t="str">
            <v>Pontevedra</v>
          </cell>
          <cell r="I5442" t="str">
            <v>36038</v>
          </cell>
        </row>
        <row r="5443">
          <cell r="H5443" t="str">
            <v>Pontils</v>
          </cell>
          <cell r="I5443" t="str">
            <v>43141</v>
          </cell>
        </row>
        <row r="5444">
          <cell r="H5444" t="str">
            <v>Pontons</v>
          </cell>
          <cell r="I5444" t="str">
            <v>08168</v>
          </cell>
        </row>
        <row r="5445">
          <cell r="H5445" t="str">
            <v>Pontós</v>
          </cell>
          <cell r="I5445" t="str">
            <v>17136</v>
          </cell>
        </row>
        <row r="5446">
          <cell r="H5446" t="str">
            <v>Ponts</v>
          </cell>
          <cell r="I5446" t="str">
            <v>25172</v>
          </cell>
        </row>
        <row r="5447">
          <cell r="H5447" t="str">
            <v>Porcuna</v>
          </cell>
          <cell r="I5447" t="str">
            <v>23069</v>
          </cell>
        </row>
        <row r="5448">
          <cell r="H5448" t="str">
            <v>Porqueira</v>
          </cell>
          <cell r="I5448" t="str">
            <v>32062</v>
          </cell>
        </row>
        <row r="5449">
          <cell r="H5449" t="str">
            <v>Porqueres</v>
          </cell>
          <cell r="I5449" t="str">
            <v>17137</v>
          </cell>
        </row>
        <row r="5450">
          <cell r="H5450" t="str">
            <v>Porrera</v>
          </cell>
          <cell r="I5450" t="str">
            <v>43114</v>
          </cell>
        </row>
        <row r="5451">
          <cell r="H5451" t="str">
            <v>Porreres</v>
          </cell>
          <cell r="I5451" t="str">
            <v>07043</v>
          </cell>
        </row>
        <row r="5452">
          <cell r="H5452" t="str">
            <v>Porriño, O</v>
          </cell>
          <cell r="I5452" t="str">
            <v>36039</v>
          </cell>
        </row>
        <row r="5453">
          <cell r="H5453" t="str">
            <v>Port de la Selva, El</v>
          </cell>
          <cell r="I5453" t="str">
            <v>17140</v>
          </cell>
        </row>
        <row r="5454">
          <cell r="H5454" t="str">
            <v>Portaje</v>
          </cell>
          <cell r="I5454" t="str">
            <v>10150</v>
          </cell>
        </row>
        <row r="5455">
          <cell r="H5455" t="str">
            <v>Portalrubio de Guadamejud</v>
          </cell>
          <cell r="I5455" t="str">
            <v>16162</v>
          </cell>
        </row>
        <row r="5456">
          <cell r="H5456" t="str">
            <v>Portas</v>
          </cell>
          <cell r="I5456" t="str">
            <v>36040</v>
          </cell>
        </row>
        <row r="5457">
          <cell r="H5457" t="str">
            <v>Portbou</v>
          </cell>
          <cell r="I5457" t="str">
            <v>17138</v>
          </cell>
        </row>
        <row r="5458">
          <cell r="H5458" t="str">
            <v>Portell de Morella</v>
          </cell>
          <cell r="I5458" t="str">
            <v>12091</v>
          </cell>
        </row>
        <row r="5459">
          <cell r="H5459" t="str">
            <v>Portella, La</v>
          </cell>
          <cell r="I5459" t="str">
            <v>25174</v>
          </cell>
        </row>
        <row r="5460">
          <cell r="H5460" t="str">
            <v>Portellada, La</v>
          </cell>
          <cell r="I5460" t="str">
            <v>44187</v>
          </cell>
        </row>
        <row r="5461">
          <cell r="H5461" t="str">
            <v>Portezuelo</v>
          </cell>
          <cell r="I5461" t="str">
            <v>10151</v>
          </cell>
        </row>
        <row r="5462">
          <cell r="H5462" t="str">
            <v>Portilla</v>
          </cell>
          <cell r="I5462" t="str">
            <v>16163</v>
          </cell>
        </row>
        <row r="5463">
          <cell r="H5463" t="str">
            <v>Portillo</v>
          </cell>
          <cell r="I5463" t="str">
            <v>47122</v>
          </cell>
        </row>
        <row r="5464">
          <cell r="H5464" t="str">
            <v>Portillo de Soria</v>
          </cell>
          <cell r="I5464" t="str">
            <v>42140</v>
          </cell>
        </row>
        <row r="5465">
          <cell r="H5465" t="str">
            <v>Portillo de Toledo</v>
          </cell>
          <cell r="I5465" t="str">
            <v>45134</v>
          </cell>
        </row>
        <row r="5466">
          <cell r="H5466" t="str">
            <v>Porto</v>
          </cell>
          <cell r="I5466" t="str">
            <v>49162</v>
          </cell>
        </row>
        <row r="5467">
          <cell r="H5467" t="str">
            <v>Porto do Son</v>
          </cell>
          <cell r="I5467" t="str">
            <v>15071</v>
          </cell>
        </row>
        <row r="5468">
          <cell r="H5468" t="str">
            <v>Portomarín</v>
          </cell>
          <cell r="I5468" t="str">
            <v>27049</v>
          </cell>
        </row>
        <row r="5469">
          <cell r="H5469" t="str">
            <v>Portugalete</v>
          </cell>
          <cell r="I5469" t="str">
            <v>48078</v>
          </cell>
        </row>
        <row r="5470">
          <cell r="H5470" t="str">
            <v>Pórtugos</v>
          </cell>
          <cell r="I5470" t="str">
            <v>18163</v>
          </cell>
        </row>
        <row r="5471">
          <cell r="H5471" t="str">
            <v>Porzuna</v>
          </cell>
          <cell r="I5471" t="str">
            <v>13065</v>
          </cell>
        </row>
        <row r="5472">
          <cell r="H5472" t="str">
            <v>Posadas</v>
          </cell>
          <cell r="I5472" t="str">
            <v>14053</v>
          </cell>
        </row>
        <row r="5473">
          <cell r="H5473" t="str">
            <v>Potes</v>
          </cell>
          <cell r="I5473" t="str">
            <v>39055</v>
          </cell>
        </row>
        <row r="5474">
          <cell r="H5474" t="str">
            <v>Potries</v>
          </cell>
          <cell r="I5474" t="str">
            <v>46198</v>
          </cell>
        </row>
        <row r="5475">
          <cell r="H5475" t="str">
            <v>Poveda</v>
          </cell>
          <cell r="I5475" t="str">
            <v>05188</v>
          </cell>
        </row>
        <row r="5476">
          <cell r="H5476" t="str">
            <v>Poveda de la Sierra</v>
          </cell>
          <cell r="I5476" t="str">
            <v>19223</v>
          </cell>
        </row>
        <row r="5477">
          <cell r="H5477" t="str">
            <v>Poveda de las Cintas</v>
          </cell>
          <cell r="I5477" t="str">
            <v>37256</v>
          </cell>
        </row>
        <row r="5478">
          <cell r="H5478" t="str">
            <v>Póveda de Soria, La</v>
          </cell>
          <cell r="I5478" t="str">
            <v>42141</v>
          </cell>
        </row>
        <row r="5479">
          <cell r="H5479" t="str">
            <v>Povedilla</v>
          </cell>
          <cell r="I5479" t="str">
            <v>02062</v>
          </cell>
        </row>
        <row r="5480">
          <cell r="H5480" t="str">
            <v>Poyales del Hoyo</v>
          </cell>
          <cell r="I5480" t="str">
            <v>05189</v>
          </cell>
        </row>
        <row r="5481">
          <cell r="H5481" t="str">
            <v>Poyatos</v>
          </cell>
          <cell r="I5481" t="str">
            <v>16165</v>
          </cell>
        </row>
        <row r="5482">
          <cell r="H5482" t="str">
            <v>Poza de la Sal</v>
          </cell>
          <cell r="I5482" t="str">
            <v>09272</v>
          </cell>
        </row>
        <row r="5483">
          <cell r="H5483" t="str">
            <v>Poza de la Vega</v>
          </cell>
          <cell r="I5483" t="str">
            <v>34136</v>
          </cell>
        </row>
        <row r="5484">
          <cell r="H5484" t="str">
            <v>Pozal de Gallinas</v>
          </cell>
          <cell r="I5484" t="str">
            <v>47123</v>
          </cell>
        </row>
        <row r="5485">
          <cell r="H5485" t="str">
            <v>Pozaldez</v>
          </cell>
          <cell r="I5485" t="str">
            <v>47124</v>
          </cell>
        </row>
        <row r="5486">
          <cell r="H5486" t="str">
            <v>Pozalmuro</v>
          </cell>
          <cell r="I5486" t="str">
            <v>42142</v>
          </cell>
        </row>
        <row r="5487">
          <cell r="H5487" t="str">
            <v>Pozán de Vero</v>
          </cell>
          <cell r="I5487" t="str">
            <v>22186</v>
          </cell>
        </row>
        <row r="5488">
          <cell r="H5488" t="str">
            <v>Pozanco</v>
          </cell>
          <cell r="I5488" t="str">
            <v>05190</v>
          </cell>
        </row>
        <row r="5489">
          <cell r="H5489" t="str">
            <v>Pozo Alcón</v>
          </cell>
          <cell r="I5489" t="str">
            <v>23070</v>
          </cell>
        </row>
        <row r="5490">
          <cell r="H5490" t="str">
            <v>Pozo Cañada</v>
          </cell>
          <cell r="I5490" t="str">
            <v>02901</v>
          </cell>
        </row>
        <row r="5491">
          <cell r="H5491" t="str">
            <v>Pozo de Guadalajara</v>
          </cell>
          <cell r="I5491" t="str">
            <v>19225</v>
          </cell>
        </row>
        <row r="5492">
          <cell r="H5492" t="str">
            <v>Pozo de Urama</v>
          </cell>
          <cell r="I5492" t="str">
            <v>34137</v>
          </cell>
        </row>
        <row r="5493">
          <cell r="H5493" t="str">
            <v>Pozoamargo</v>
          </cell>
          <cell r="I5493" t="str">
            <v>16166</v>
          </cell>
        </row>
        <row r="5494">
          <cell r="H5494" t="str">
            <v>Pozoantiguo</v>
          </cell>
          <cell r="I5494" t="str">
            <v>49163</v>
          </cell>
        </row>
        <row r="5495">
          <cell r="H5495" t="str">
            <v>Pozoblanco</v>
          </cell>
          <cell r="I5495" t="str">
            <v>14054</v>
          </cell>
        </row>
        <row r="5496">
          <cell r="H5496" t="str">
            <v>Pozohondo</v>
          </cell>
          <cell r="I5496" t="str">
            <v>02063</v>
          </cell>
        </row>
        <row r="5497">
          <cell r="H5497" t="str">
            <v>Pozo-Lorente</v>
          </cell>
          <cell r="I5497" t="str">
            <v>02064</v>
          </cell>
        </row>
        <row r="5498">
          <cell r="H5498" t="str">
            <v>Pozondón</v>
          </cell>
          <cell r="I5498" t="str">
            <v>44189</v>
          </cell>
        </row>
        <row r="5499">
          <cell r="H5499" t="str">
            <v>Pozorrubielos de la Mancha</v>
          </cell>
          <cell r="I5499" t="str">
            <v>16908</v>
          </cell>
        </row>
        <row r="5500">
          <cell r="H5500" t="str">
            <v>Pozorrubio de Santiago</v>
          </cell>
          <cell r="I5500" t="str">
            <v>16167</v>
          </cell>
        </row>
        <row r="5501">
          <cell r="H5501" t="str">
            <v>Pozos de Hinojo</v>
          </cell>
          <cell r="I5501" t="str">
            <v>37257</v>
          </cell>
        </row>
        <row r="5502">
          <cell r="H5502" t="str">
            <v>Pozuel de Ariza</v>
          </cell>
          <cell r="I5502" t="str">
            <v>50215</v>
          </cell>
        </row>
        <row r="5503">
          <cell r="H5503" t="str">
            <v>Pozuel del Campo</v>
          </cell>
          <cell r="I5503" t="str">
            <v>44190</v>
          </cell>
        </row>
        <row r="5504">
          <cell r="H5504" t="str">
            <v>Pozuelo</v>
          </cell>
          <cell r="I5504" t="str">
            <v>02065</v>
          </cell>
        </row>
        <row r="5505">
          <cell r="H5505" t="str">
            <v>Pozuelo de Alarcón</v>
          </cell>
          <cell r="I5505" t="str">
            <v>28115</v>
          </cell>
        </row>
        <row r="5506">
          <cell r="H5506" t="str">
            <v>Pozuelo de Aragón</v>
          </cell>
          <cell r="I5506" t="str">
            <v>50216</v>
          </cell>
        </row>
        <row r="5507">
          <cell r="H5507" t="str">
            <v>Pozuelo de Calatrava</v>
          </cell>
          <cell r="I5507" t="str">
            <v>13066</v>
          </cell>
        </row>
        <row r="5508">
          <cell r="H5508" t="str">
            <v>Pozuelo de la Orden</v>
          </cell>
          <cell r="I5508" t="str">
            <v>47125</v>
          </cell>
        </row>
        <row r="5509">
          <cell r="H5509" t="str">
            <v>Pozuelo de Tábara</v>
          </cell>
          <cell r="I5509" t="str">
            <v>49164</v>
          </cell>
        </row>
        <row r="5510">
          <cell r="H5510" t="str">
            <v>Pozuelo de Zarzón</v>
          </cell>
          <cell r="I5510" t="str">
            <v>10152</v>
          </cell>
        </row>
        <row r="5511">
          <cell r="H5511" t="str">
            <v>Pozuelo del Páramo</v>
          </cell>
          <cell r="I5511" t="str">
            <v>24117</v>
          </cell>
        </row>
        <row r="5512">
          <cell r="H5512" t="str">
            <v>Pozuelo del Rey</v>
          </cell>
          <cell r="I5512" t="str">
            <v>28116</v>
          </cell>
        </row>
        <row r="5513">
          <cell r="H5513" t="str">
            <v>Pozuelo, El</v>
          </cell>
          <cell r="I5513" t="str">
            <v>16169</v>
          </cell>
        </row>
        <row r="5514">
          <cell r="H5514" t="str">
            <v>Pozuelos de Calatrava, Los</v>
          </cell>
          <cell r="I5514" t="str">
            <v>13067</v>
          </cell>
        </row>
        <row r="5515">
          <cell r="H5515" t="str">
            <v>Prádanos de Bureba</v>
          </cell>
          <cell r="I5515" t="str">
            <v>09273</v>
          </cell>
        </row>
        <row r="5516">
          <cell r="H5516" t="str">
            <v>Prádanos de Ojeda</v>
          </cell>
          <cell r="I5516" t="str">
            <v>34139</v>
          </cell>
        </row>
        <row r="5517">
          <cell r="H5517" t="str">
            <v>Pradejón</v>
          </cell>
          <cell r="I5517" t="str">
            <v>26117</v>
          </cell>
        </row>
        <row r="5518">
          <cell r="H5518" t="str">
            <v>Pradell de la Teixeta</v>
          </cell>
          <cell r="I5518" t="str">
            <v>43115</v>
          </cell>
        </row>
        <row r="5519">
          <cell r="H5519" t="str">
            <v>Prádena</v>
          </cell>
          <cell r="I5519" t="str">
            <v>40162</v>
          </cell>
        </row>
        <row r="5520">
          <cell r="H5520" t="str">
            <v>Prádena de Atienza</v>
          </cell>
          <cell r="I5520" t="str">
            <v>19226</v>
          </cell>
        </row>
        <row r="5521">
          <cell r="H5521" t="str">
            <v>Prádena del Rincón</v>
          </cell>
          <cell r="I5521" t="str">
            <v>28117</v>
          </cell>
        </row>
        <row r="5522">
          <cell r="H5522" t="str">
            <v>Prades</v>
          </cell>
          <cell r="I5522" t="str">
            <v>43116</v>
          </cell>
        </row>
        <row r="5523">
          <cell r="H5523" t="str">
            <v>Pradilla de Ebro</v>
          </cell>
          <cell r="I5523" t="str">
            <v>50217</v>
          </cell>
        </row>
        <row r="5524">
          <cell r="H5524" t="str">
            <v>Pradillo</v>
          </cell>
          <cell r="I5524" t="str">
            <v>26118</v>
          </cell>
        </row>
        <row r="5525">
          <cell r="H5525" t="str">
            <v>Prado</v>
          </cell>
          <cell r="I5525" t="str">
            <v>49165</v>
          </cell>
        </row>
        <row r="5526">
          <cell r="H5526" t="str">
            <v>Prado del Rey</v>
          </cell>
          <cell r="I5526" t="str">
            <v>11026</v>
          </cell>
        </row>
        <row r="5527">
          <cell r="H5527" t="str">
            <v>Pradoluengo</v>
          </cell>
          <cell r="I5527" t="str">
            <v>09274</v>
          </cell>
        </row>
        <row r="5528">
          <cell r="H5528" t="str">
            <v>Prados Redondos</v>
          </cell>
          <cell r="I5528" t="str">
            <v>19227</v>
          </cell>
        </row>
        <row r="5529">
          <cell r="H5529" t="str">
            <v>Pradosegar</v>
          </cell>
          <cell r="I5529" t="str">
            <v>05191</v>
          </cell>
        </row>
        <row r="5530">
          <cell r="H5530" t="str">
            <v>Prat de Comte</v>
          </cell>
          <cell r="I5530" t="str">
            <v>43117</v>
          </cell>
        </row>
        <row r="5531">
          <cell r="H5531" t="str">
            <v>Prat de Llobregat, El</v>
          </cell>
          <cell r="I5531" t="str">
            <v>08169</v>
          </cell>
        </row>
        <row r="5532">
          <cell r="H5532" t="str">
            <v>Pratdip</v>
          </cell>
          <cell r="I5532" t="str">
            <v>43118</v>
          </cell>
        </row>
        <row r="5533">
          <cell r="H5533" t="str">
            <v>Prats de Lluçanès</v>
          </cell>
          <cell r="I5533" t="str">
            <v>08171</v>
          </cell>
        </row>
        <row r="5534">
          <cell r="H5534" t="str">
            <v>Prats de Rei, Els</v>
          </cell>
          <cell r="I5534" t="str">
            <v>08170</v>
          </cell>
        </row>
        <row r="5535">
          <cell r="H5535" t="str">
            <v>Prats i Sansor</v>
          </cell>
          <cell r="I5535" t="str">
            <v>25175</v>
          </cell>
        </row>
        <row r="5536">
          <cell r="H5536" t="str">
            <v>Pravia</v>
          </cell>
          <cell r="I5536" t="str">
            <v>33051</v>
          </cell>
        </row>
        <row r="5537">
          <cell r="H5537" t="str">
            <v>Preixana</v>
          </cell>
          <cell r="I5537" t="str">
            <v>25176</v>
          </cell>
        </row>
        <row r="5538">
          <cell r="H5538" t="str">
            <v>Preixens</v>
          </cell>
          <cell r="I5538" t="str">
            <v>25177</v>
          </cell>
        </row>
        <row r="5539">
          <cell r="H5539" t="str">
            <v>Préjano</v>
          </cell>
          <cell r="I5539" t="str">
            <v>26119</v>
          </cell>
        </row>
        <row r="5540">
          <cell r="H5540" t="str">
            <v>Premià de Dalt</v>
          </cell>
          <cell r="I5540" t="str">
            <v>08230</v>
          </cell>
        </row>
        <row r="5541">
          <cell r="H5541" t="str">
            <v>Premià de Mar</v>
          </cell>
          <cell r="I5541" t="str">
            <v>08172</v>
          </cell>
        </row>
        <row r="5542">
          <cell r="H5542" t="str">
            <v>Presencio</v>
          </cell>
          <cell r="I5542" t="str">
            <v>09275</v>
          </cell>
        </row>
        <row r="5543">
          <cell r="H5543" t="str">
            <v>Preses, Les</v>
          </cell>
          <cell r="I5543" t="str">
            <v>17139</v>
          </cell>
        </row>
        <row r="5544">
          <cell r="H5544" t="str">
            <v>Priego</v>
          </cell>
          <cell r="I5544" t="str">
            <v>16170</v>
          </cell>
        </row>
        <row r="5545">
          <cell r="H5545" t="str">
            <v>Priego de Córdoba</v>
          </cell>
          <cell r="I5545" t="str">
            <v>14055</v>
          </cell>
        </row>
        <row r="5546">
          <cell r="H5546" t="str">
            <v>Provencio, El</v>
          </cell>
          <cell r="I5546" t="str">
            <v>16171</v>
          </cell>
        </row>
        <row r="5547">
          <cell r="H5547" t="str">
            <v>Prullans</v>
          </cell>
          <cell r="I5547" t="str">
            <v>25179</v>
          </cell>
        </row>
        <row r="5548">
          <cell r="H5548" t="str">
            <v>Pruna</v>
          </cell>
          <cell r="I5548" t="str">
            <v>41076</v>
          </cell>
        </row>
        <row r="5549">
          <cell r="H5549" t="str">
            <v>Puçol</v>
          </cell>
          <cell r="I5549" t="str">
            <v>46205</v>
          </cell>
        </row>
        <row r="5550">
          <cell r="H5550" t="str">
            <v>Puebla de Albortón</v>
          </cell>
          <cell r="I5550" t="str">
            <v>50218</v>
          </cell>
        </row>
        <row r="5551">
          <cell r="H5551" t="str">
            <v>Puebla de Alcocer</v>
          </cell>
          <cell r="I5551" t="str">
            <v>06102</v>
          </cell>
        </row>
        <row r="5552">
          <cell r="H5552" t="str">
            <v>Puebla de Alfindén, La</v>
          </cell>
          <cell r="I5552" t="str">
            <v>50219</v>
          </cell>
        </row>
        <row r="5553">
          <cell r="H5553" t="str">
            <v>Puebla de Almenara</v>
          </cell>
          <cell r="I5553" t="str">
            <v>16172</v>
          </cell>
        </row>
        <row r="5554">
          <cell r="H5554" t="str">
            <v>Puebla de Almoradiel, La</v>
          </cell>
          <cell r="I5554" t="str">
            <v>45135</v>
          </cell>
        </row>
        <row r="5555">
          <cell r="H5555" t="str">
            <v>Puebla de Arenoso</v>
          </cell>
          <cell r="I5555" t="str">
            <v>12092</v>
          </cell>
        </row>
        <row r="5556">
          <cell r="H5556" t="str">
            <v>Puebla de Arganzón, La</v>
          </cell>
          <cell r="I5556" t="str">
            <v>09276</v>
          </cell>
        </row>
        <row r="5557">
          <cell r="H5557" t="str">
            <v>Puebla de Azaba</v>
          </cell>
          <cell r="I5557" t="str">
            <v>37258</v>
          </cell>
        </row>
        <row r="5558">
          <cell r="H5558" t="str">
            <v>Puebla de Beleña</v>
          </cell>
          <cell r="I5558" t="str">
            <v>19228</v>
          </cell>
        </row>
        <row r="5559">
          <cell r="H5559" t="str">
            <v>Puebla de Castro, La</v>
          </cell>
          <cell r="I5559" t="str">
            <v>22187</v>
          </cell>
        </row>
        <row r="5560">
          <cell r="H5560" t="str">
            <v>Puebla de Cazalla, La</v>
          </cell>
          <cell r="I5560" t="str">
            <v>41077</v>
          </cell>
        </row>
        <row r="5561">
          <cell r="H5561" t="str">
            <v>Puebla de Don Fadrique</v>
          </cell>
          <cell r="I5561" t="str">
            <v>18164</v>
          </cell>
        </row>
        <row r="5562">
          <cell r="H5562" t="str">
            <v>Puebla de Don Rodrigo</v>
          </cell>
          <cell r="I5562" t="str">
            <v>13068</v>
          </cell>
        </row>
        <row r="5563">
          <cell r="H5563" t="str">
            <v>Puebla de Guzmán</v>
          </cell>
          <cell r="I5563" t="str">
            <v>21058</v>
          </cell>
        </row>
        <row r="5564">
          <cell r="H5564" t="str">
            <v>Puebla de la Calzada</v>
          </cell>
          <cell r="I5564" t="str">
            <v>06103</v>
          </cell>
        </row>
        <row r="5565">
          <cell r="H5565" t="str">
            <v>Puebla de la Reina</v>
          </cell>
          <cell r="I5565" t="str">
            <v>06104</v>
          </cell>
        </row>
        <row r="5566">
          <cell r="H5566" t="str">
            <v>Puebla de la Sierra</v>
          </cell>
          <cell r="I5566" t="str">
            <v>28118</v>
          </cell>
        </row>
        <row r="5567">
          <cell r="H5567" t="str">
            <v>Puebla de los Infantes, La</v>
          </cell>
          <cell r="I5567" t="str">
            <v>41078</v>
          </cell>
        </row>
        <row r="5568">
          <cell r="H5568" t="str">
            <v>Puebla de Montalbán, La</v>
          </cell>
          <cell r="I5568" t="str">
            <v>45136</v>
          </cell>
        </row>
        <row r="5569">
          <cell r="H5569" t="str">
            <v>Puebla de Obando</v>
          </cell>
          <cell r="I5569" t="str">
            <v>06107</v>
          </cell>
        </row>
        <row r="5570">
          <cell r="H5570" t="str">
            <v>Puebla de Pedraza</v>
          </cell>
          <cell r="I5570" t="str">
            <v>40163</v>
          </cell>
        </row>
        <row r="5571">
          <cell r="H5571" t="str">
            <v>Puebla de San Medel</v>
          </cell>
          <cell r="I5571" t="str">
            <v>37259</v>
          </cell>
        </row>
        <row r="5572">
          <cell r="H5572" t="str">
            <v>Puebla de San Miguel</v>
          </cell>
          <cell r="I5572" t="str">
            <v>46201</v>
          </cell>
        </row>
        <row r="5573">
          <cell r="H5573" t="str">
            <v>Puebla de Sanabria</v>
          </cell>
          <cell r="I5573" t="str">
            <v>49166</v>
          </cell>
        </row>
        <row r="5574">
          <cell r="H5574" t="str">
            <v>Puebla de Sancho Pérez</v>
          </cell>
          <cell r="I5574" t="str">
            <v>06108</v>
          </cell>
        </row>
        <row r="5575">
          <cell r="H5575" t="str">
            <v>Puebla de Valdavia, La</v>
          </cell>
          <cell r="I5575" t="str">
            <v>34140</v>
          </cell>
        </row>
        <row r="5576">
          <cell r="H5576" t="str">
            <v>Puebla de Valles</v>
          </cell>
          <cell r="I5576" t="str">
            <v>19229</v>
          </cell>
        </row>
        <row r="5577">
          <cell r="H5577" t="str">
            <v>Puebla de Valverde, La</v>
          </cell>
          <cell r="I5577" t="str">
            <v>44192</v>
          </cell>
        </row>
        <row r="5578">
          <cell r="H5578" t="str">
            <v>Puebla de Yeltes</v>
          </cell>
          <cell r="I5578" t="str">
            <v>37260</v>
          </cell>
        </row>
        <row r="5579">
          <cell r="H5579" t="str">
            <v>Puebla del Maestre</v>
          </cell>
          <cell r="I5579" t="str">
            <v>06105</v>
          </cell>
        </row>
        <row r="5580">
          <cell r="H5580" t="str">
            <v>Puebla del Príncipe</v>
          </cell>
          <cell r="I5580" t="str">
            <v>13069</v>
          </cell>
        </row>
        <row r="5581">
          <cell r="H5581" t="str">
            <v>Puebla del Prior</v>
          </cell>
          <cell r="I5581" t="str">
            <v>06106</v>
          </cell>
        </row>
        <row r="5582">
          <cell r="H5582" t="str">
            <v>Puebla del Río, La</v>
          </cell>
          <cell r="I5582" t="str">
            <v>41079</v>
          </cell>
        </row>
        <row r="5583">
          <cell r="H5583" t="str">
            <v>Puebla del Salvador</v>
          </cell>
          <cell r="I5583" t="str">
            <v>16174</v>
          </cell>
        </row>
        <row r="5584">
          <cell r="H5584" t="str">
            <v>Pueblanueva, La</v>
          </cell>
          <cell r="I5584" t="str">
            <v>45137</v>
          </cell>
        </row>
        <row r="5585">
          <cell r="H5585" t="str">
            <v>Pueblica de Valverde</v>
          </cell>
          <cell r="I5585" t="str">
            <v>49167</v>
          </cell>
        </row>
        <row r="5586">
          <cell r="H5586" t="str">
            <v>Pueblonuevo de Miramontes</v>
          </cell>
          <cell r="I5586" t="str">
            <v>10905</v>
          </cell>
        </row>
        <row r="5587">
          <cell r="H5587" t="str">
            <v>Pueblonuevo del Guadiana</v>
          </cell>
          <cell r="I5587" t="str">
            <v>06902</v>
          </cell>
        </row>
        <row r="5588">
          <cell r="H5588" t="str">
            <v>Puendeluna</v>
          </cell>
          <cell r="I5588" t="str">
            <v>50220</v>
          </cell>
        </row>
        <row r="5589">
          <cell r="H5589" t="str">
            <v>Puente de Génave</v>
          </cell>
          <cell r="I5589" t="str">
            <v>23071</v>
          </cell>
        </row>
        <row r="5590">
          <cell r="H5590" t="str">
            <v>Puente de Montañana</v>
          </cell>
          <cell r="I5590" t="str">
            <v>22188</v>
          </cell>
        </row>
        <row r="5591">
          <cell r="H5591" t="str">
            <v>Puente del Arzobispo, El</v>
          </cell>
          <cell r="I5591" t="str">
            <v>45138</v>
          </cell>
        </row>
        <row r="5592">
          <cell r="H5592" t="str">
            <v>Puente del Congosto</v>
          </cell>
          <cell r="I5592" t="str">
            <v>37261</v>
          </cell>
        </row>
        <row r="5593">
          <cell r="H5593" t="str">
            <v>Puente Genil</v>
          </cell>
          <cell r="I5593" t="str">
            <v>14056</v>
          </cell>
        </row>
        <row r="5594">
          <cell r="H5594" t="str">
            <v>Puente la Reina de Jaca</v>
          </cell>
          <cell r="I5594" t="str">
            <v>22902</v>
          </cell>
        </row>
        <row r="5595">
          <cell r="H5595" t="str">
            <v>Puente la Reina/Gares</v>
          </cell>
          <cell r="I5595" t="str">
            <v>31206</v>
          </cell>
        </row>
        <row r="5596">
          <cell r="H5596" t="str">
            <v>Puente Viesgo</v>
          </cell>
          <cell r="I5596" t="str">
            <v>39056</v>
          </cell>
        </row>
        <row r="5597">
          <cell r="H5597" t="str">
            <v>Puentedura</v>
          </cell>
          <cell r="I5597" t="str">
            <v>09277</v>
          </cell>
        </row>
        <row r="5598">
          <cell r="H5598" t="str">
            <v>Puentes Viejas</v>
          </cell>
          <cell r="I5598" t="str">
            <v>28902</v>
          </cell>
        </row>
        <row r="5599">
          <cell r="H5599" t="str">
            <v>Puerta de Segura, La</v>
          </cell>
          <cell r="I5599" t="str">
            <v>23072</v>
          </cell>
        </row>
        <row r="5600">
          <cell r="H5600" t="str">
            <v>Puertas</v>
          </cell>
          <cell r="I5600" t="str">
            <v>37262</v>
          </cell>
        </row>
        <row r="5601">
          <cell r="H5601" t="str">
            <v>Puerto Castilla</v>
          </cell>
          <cell r="I5601" t="str">
            <v>05192</v>
          </cell>
        </row>
        <row r="5602">
          <cell r="H5602" t="str">
            <v>Puerto de Béjar</v>
          </cell>
          <cell r="I5602" t="str">
            <v>37263</v>
          </cell>
        </row>
        <row r="5603">
          <cell r="H5603" t="str">
            <v>Puerto de la Cruz</v>
          </cell>
          <cell r="I5603" t="str">
            <v>38028</v>
          </cell>
        </row>
        <row r="5604">
          <cell r="H5604" t="str">
            <v>Puerto de San Vicente</v>
          </cell>
          <cell r="I5604" t="str">
            <v>45139</v>
          </cell>
        </row>
        <row r="5605">
          <cell r="H5605" t="str">
            <v>Puerto de Santa Cruz</v>
          </cell>
          <cell r="I5605" t="str">
            <v>10153</v>
          </cell>
        </row>
        <row r="5606">
          <cell r="H5606" t="str">
            <v>Puerto de Santa María, El</v>
          </cell>
          <cell r="I5606" t="str">
            <v>11027</v>
          </cell>
        </row>
        <row r="5607">
          <cell r="H5607" t="str">
            <v>Puerto del Rosario</v>
          </cell>
          <cell r="I5607" t="str">
            <v>35017</v>
          </cell>
        </row>
        <row r="5608">
          <cell r="H5608" t="str">
            <v>Puerto Lápice</v>
          </cell>
          <cell r="I5608" t="str">
            <v>13070</v>
          </cell>
        </row>
        <row r="5609">
          <cell r="H5609" t="str">
            <v>Puerto Lumbreras</v>
          </cell>
          <cell r="I5609" t="str">
            <v>30033</v>
          </cell>
        </row>
        <row r="5610">
          <cell r="H5610" t="str">
            <v>Puerto Moral</v>
          </cell>
          <cell r="I5610" t="str">
            <v>21059</v>
          </cell>
        </row>
        <row r="5611">
          <cell r="H5611" t="str">
            <v>Puerto Real</v>
          </cell>
          <cell r="I5611" t="str">
            <v>11028</v>
          </cell>
        </row>
        <row r="5612">
          <cell r="H5612" t="str">
            <v>Puerto Seguro</v>
          </cell>
          <cell r="I5612" t="str">
            <v>37264</v>
          </cell>
        </row>
        <row r="5613">
          <cell r="H5613" t="str">
            <v>Puerto Serrano</v>
          </cell>
          <cell r="I5613" t="str">
            <v>11029</v>
          </cell>
        </row>
        <row r="5614">
          <cell r="H5614" t="str">
            <v>Puértolas</v>
          </cell>
          <cell r="I5614" t="str">
            <v>22189</v>
          </cell>
        </row>
        <row r="5615">
          <cell r="H5615" t="str">
            <v>Puertomingalvo</v>
          </cell>
          <cell r="I5615" t="str">
            <v>44193</v>
          </cell>
        </row>
        <row r="5616">
          <cell r="H5616" t="str">
            <v>Pueyo de Araguás, El</v>
          </cell>
          <cell r="I5616" t="str">
            <v>22190</v>
          </cell>
        </row>
        <row r="5617">
          <cell r="H5617" t="str">
            <v>Pueyo de Santa Cruz</v>
          </cell>
          <cell r="I5617" t="str">
            <v>22193</v>
          </cell>
        </row>
        <row r="5618">
          <cell r="H5618" t="str">
            <v>Pueyo/Puiu</v>
          </cell>
          <cell r="I5618" t="str">
            <v>31207</v>
          </cell>
        </row>
        <row r="5619">
          <cell r="H5619" t="str">
            <v>Puig de Santa Maria, el</v>
          </cell>
          <cell r="I5619" t="str">
            <v>46204</v>
          </cell>
        </row>
        <row r="5620">
          <cell r="H5620" t="str">
            <v>Puigcerdà</v>
          </cell>
          <cell r="I5620" t="str">
            <v>17141</v>
          </cell>
        </row>
        <row r="5621">
          <cell r="H5621" t="str">
            <v>Puigdàlber</v>
          </cell>
          <cell r="I5621" t="str">
            <v>08174</v>
          </cell>
        </row>
        <row r="5622">
          <cell r="H5622" t="str">
            <v>Puiggròs</v>
          </cell>
          <cell r="I5622" t="str">
            <v>25180</v>
          </cell>
        </row>
        <row r="5623">
          <cell r="H5623" t="str">
            <v>Puigpelat</v>
          </cell>
          <cell r="I5623" t="str">
            <v>43119</v>
          </cell>
        </row>
        <row r="5624">
          <cell r="H5624" t="str">
            <v>Puigpunyent</v>
          </cell>
          <cell r="I5624" t="str">
            <v>07045</v>
          </cell>
        </row>
        <row r="5625">
          <cell r="H5625" t="str">
            <v>Puig-reig</v>
          </cell>
          <cell r="I5625" t="str">
            <v>08175</v>
          </cell>
        </row>
        <row r="5626">
          <cell r="H5626" t="str">
            <v>Puigverd d'Agramunt</v>
          </cell>
          <cell r="I5626" t="str">
            <v>25181</v>
          </cell>
        </row>
        <row r="5627">
          <cell r="H5627" t="str">
            <v>Puigverd de Lleida</v>
          </cell>
          <cell r="I5627" t="str">
            <v>25182</v>
          </cell>
        </row>
        <row r="5628">
          <cell r="H5628" t="str">
            <v>Pujalt</v>
          </cell>
          <cell r="I5628" t="str">
            <v>08176</v>
          </cell>
        </row>
        <row r="5629">
          <cell r="H5629" t="str">
            <v>Pujerra</v>
          </cell>
          <cell r="I5629" t="str">
            <v>29081</v>
          </cell>
        </row>
        <row r="5630">
          <cell r="H5630" t="str">
            <v>Pulgar</v>
          </cell>
          <cell r="I5630" t="str">
            <v>45140</v>
          </cell>
        </row>
        <row r="5631">
          <cell r="H5631" t="str">
            <v>Pulianas</v>
          </cell>
          <cell r="I5631" t="str">
            <v>18165</v>
          </cell>
        </row>
        <row r="5632">
          <cell r="H5632" t="str">
            <v>Pulpí</v>
          </cell>
          <cell r="I5632" t="str">
            <v>04075</v>
          </cell>
        </row>
        <row r="5633">
          <cell r="H5633" t="str">
            <v>Punta Umbría</v>
          </cell>
          <cell r="I5633" t="str">
            <v>21060</v>
          </cell>
        </row>
        <row r="5634">
          <cell r="H5634" t="str">
            <v>Puntagorda</v>
          </cell>
          <cell r="I5634" t="str">
            <v>38029</v>
          </cell>
        </row>
        <row r="5635">
          <cell r="H5635" t="str">
            <v>Puntallana</v>
          </cell>
          <cell r="I5635" t="str">
            <v>38030</v>
          </cell>
        </row>
        <row r="5636">
          <cell r="H5636" t="str">
            <v>Punxín</v>
          </cell>
          <cell r="I5636" t="str">
            <v>32065</v>
          </cell>
        </row>
        <row r="5637">
          <cell r="H5637" t="str">
            <v>Puras</v>
          </cell>
          <cell r="I5637" t="str">
            <v>47126</v>
          </cell>
        </row>
        <row r="5638">
          <cell r="H5638" t="str">
            <v>Purchena</v>
          </cell>
          <cell r="I5638" t="str">
            <v>04076</v>
          </cell>
        </row>
        <row r="5639">
          <cell r="H5639" t="str">
            <v>Purujosa</v>
          </cell>
          <cell r="I5639" t="str">
            <v>50221</v>
          </cell>
        </row>
        <row r="5640">
          <cell r="H5640" t="str">
            <v>Purullena</v>
          </cell>
          <cell r="I5640" t="str">
            <v>18167</v>
          </cell>
        </row>
        <row r="5641">
          <cell r="H5641" t="str">
            <v>Quar, La</v>
          </cell>
          <cell r="I5641" t="str">
            <v>08177</v>
          </cell>
        </row>
        <row r="5642">
          <cell r="H5642" t="str">
            <v>Quart</v>
          </cell>
          <cell r="I5642" t="str">
            <v>17142</v>
          </cell>
        </row>
        <row r="5643">
          <cell r="H5643" t="str">
            <v>Quart de les Valls</v>
          </cell>
          <cell r="I5643" t="str">
            <v>46101</v>
          </cell>
        </row>
        <row r="5644">
          <cell r="H5644" t="str">
            <v>Quart de Poblet</v>
          </cell>
          <cell r="I5644" t="str">
            <v>46102</v>
          </cell>
        </row>
        <row r="5645">
          <cell r="H5645" t="str">
            <v>Quartell</v>
          </cell>
          <cell r="I5645" t="str">
            <v>46103</v>
          </cell>
        </row>
        <row r="5646">
          <cell r="H5646" t="str">
            <v>Quatretonda</v>
          </cell>
          <cell r="I5646" t="str">
            <v>46104</v>
          </cell>
        </row>
        <row r="5647">
          <cell r="H5647" t="str">
            <v>Quatretondeta</v>
          </cell>
          <cell r="I5647" t="str">
            <v>03060</v>
          </cell>
        </row>
        <row r="5648">
          <cell r="H5648" t="str">
            <v>Quel</v>
          </cell>
          <cell r="I5648" t="str">
            <v>26120</v>
          </cell>
        </row>
        <row r="5649">
          <cell r="H5649" t="str">
            <v>Quemada</v>
          </cell>
          <cell r="I5649" t="str">
            <v>09279</v>
          </cell>
        </row>
        <row r="5650">
          <cell r="H5650" t="str">
            <v>Quéntar</v>
          </cell>
          <cell r="I5650" t="str">
            <v>18168</v>
          </cell>
        </row>
        <row r="5651">
          <cell r="H5651" t="str">
            <v>Quer</v>
          </cell>
          <cell r="I5651" t="str">
            <v>19230</v>
          </cell>
        </row>
        <row r="5652">
          <cell r="H5652" t="str">
            <v>Queralbs</v>
          </cell>
          <cell r="I5652" t="str">
            <v>17043</v>
          </cell>
        </row>
        <row r="5653">
          <cell r="H5653" t="str">
            <v>Quero</v>
          </cell>
          <cell r="I5653" t="str">
            <v>45141</v>
          </cell>
        </row>
        <row r="5654">
          <cell r="H5654" t="str">
            <v>Querol</v>
          </cell>
          <cell r="I5654" t="str">
            <v>43120</v>
          </cell>
        </row>
        <row r="5655">
          <cell r="H5655" t="str">
            <v>Quesa</v>
          </cell>
          <cell r="I5655" t="str">
            <v>46206</v>
          </cell>
        </row>
        <row r="5656">
          <cell r="H5656" t="str">
            <v>Quesada</v>
          </cell>
          <cell r="I5656" t="str">
            <v>23073</v>
          </cell>
        </row>
        <row r="5657">
          <cell r="H5657" t="str">
            <v>Quicena</v>
          </cell>
          <cell r="I5657" t="str">
            <v>22195</v>
          </cell>
        </row>
        <row r="5658">
          <cell r="H5658" t="str">
            <v>Quijorna</v>
          </cell>
          <cell r="I5658" t="str">
            <v>28119</v>
          </cell>
        </row>
        <row r="5659">
          <cell r="H5659" t="str">
            <v>Quintana de la Serena</v>
          </cell>
          <cell r="I5659" t="str">
            <v>06109</v>
          </cell>
        </row>
        <row r="5660">
          <cell r="H5660" t="str">
            <v>Quintana del Marco</v>
          </cell>
          <cell r="I5660" t="str">
            <v>24124</v>
          </cell>
        </row>
        <row r="5661">
          <cell r="H5661" t="str">
            <v>Quintana del Pidio</v>
          </cell>
          <cell r="I5661" t="str">
            <v>09281</v>
          </cell>
        </row>
        <row r="5662">
          <cell r="H5662" t="str">
            <v>Quintana del Puente</v>
          </cell>
          <cell r="I5662" t="str">
            <v>34141</v>
          </cell>
        </row>
        <row r="5663">
          <cell r="H5663" t="str">
            <v>Quintana Redonda</v>
          </cell>
          <cell r="I5663" t="str">
            <v>42144</v>
          </cell>
        </row>
        <row r="5664">
          <cell r="H5664" t="str">
            <v>Quintana y Congosto</v>
          </cell>
          <cell r="I5664" t="str">
            <v>24125</v>
          </cell>
        </row>
        <row r="5665">
          <cell r="H5665" t="str">
            <v>Quintanabureba</v>
          </cell>
          <cell r="I5665" t="str">
            <v>09280</v>
          </cell>
        </row>
        <row r="5666">
          <cell r="H5666" t="str">
            <v>Quintanaortuño</v>
          </cell>
          <cell r="I5666" t="str">
            <v>09287</v>
          </cell>
        </row>
        <row r="5667">
          <cell r="H5667" t="str">
            <v>Quintanapalla</v>
          </cell>
          <cell r="I5667" t="str">
            <v>09288</v>
          </cell>
        </row>
        <row r="5668">
          <cell r="H5668" t="str">
            <v>Quintanar de la Orden</v>
          </cell>
          <cell r="I5668" t="str">
            <v>45142</v>
          </cell>
        </row>
        <row r="5669">
          <cell r="H5669" t="str">
            <v>Quintanar de la Sierra</v>
          </cell>
          <cell r="I5669" t="str">
            <v>09289</v>
          </cell>
        </row>
        <row r="5670">
          <cell r="H5670" t="str">
            <v>Quintanar del Rey</v>
          </cell>
          <cell r="I5670" t="str">
            <v>16175</v>
          </cell>
        </row>
        <row r="5671">
          <cell r="H5671" t="str">
            <v>Quintanas de Gormaz</v>
          </cell>
          <cell r="I5671" t="str">
            <v>42145</v>
          </cell>
        </row>
        <row r="5672">
          <cell r="H5672" t="str">
            <v>Quintanavides</v>
          </cell>
          <cell r="I5672" t="str">
            <v>09292</v>
          </cell>
        </row>
        <row r="5673">
          <cell r="H5673" t="str">
            <v>Quintanilla de Arriba</v>
          </cell>
          <cell r="I5673" t="str">
            <v>47127</v>
          </cell>
        </row>
        <row r="5674">
          <cell r="H5674" t="str">
            <v>Quintanilla de la Mata</v>
          </cell>
          <cell r="I5674" t="str">
            <v>09294</v>
          </cell>
        </row>
        <row r="5675">
          <cell r="H5675" t="str">
            <v>Quintanilla de Onésimo</v>
          </cell>
          <cell r="I5675" t="str">
            <v>47129</v>
          </cell>
        </row>
        <row r="5676">
          <cell r="H5676" t="str">
            <v>Quintanilla de Onsoña</v>
          </cell>
          <cell r="I5676" t="str">
            <v>34143</v>
          </cell>
        </row>
        <row r="5677">
          <cell r="H5677" t="str">
            <v>Quintanilla de Trigueros</v>
          </cell>
          <cell r="I5677" t="str">
            <v>47130</v>
          </cell>
        </row>
        <row r="5678">
          <cell r="H5678" t="str">
            <v>Quintanilla de Urz</v>
          </cell>
          <cell r="I5678" t="str">
            <v>49170</v>
          </cell>
        </row>
        <row r="5679">
          <cell r="H5679" t="str">
            <v>Quintanilla del Agua y Tordueles</v>
          </cell>
          <cell r="I5679" t="str">
            <v>09901</v>
          </cell>
        </row>
        <row r="5680">
          <cell r="H5680" t="str">
            <v>Quintanilla del Coco</v>
          </cell>
          <cell r="I5680" t="str">
            <v>09295</v>
          </cell>
        </row>
        <row r="5681">
          <cell r="H5681" t="str">
            <v>Quintanilla del Molar</v>
          </cell>
          <cell r="I5681" t="str">
            <v>47128</v>
          </cell>
        </row>
        <row r="5682">
          <cell r="H5682" t="str">
            <v>Quintanilla del Monte</v>
          </cell>
          <cell r="I5682" t="str">
            <v>49168</v>
          </cell>
        </row>
        <row r="5683">
          <cell r="H5683" t="str">
            <v>Quintanilla del Olmo</v>
          </cell>
          <cell r="I5683" t="str">
            <v>49169</v>
          </cell>
        </row>
        <row r="5684">
          <cell r="H5684" t="str">
            <v>Quintanilla San García</v>
          </cell>
          <cell r="I5684" t="str">
            <v>09298</v>
          </cell>
        </row>
        <row r="5685">
          <cell r="H5685" t="str">
            <v>Quintanilla Vivar</v>
          </cell>
          <cell r="I5685" t="str">
            <v>09301</v>
          </cell>
        </row>
        <row r="5686">
          <cell r="H5686" t="str">
            <v>Quintanillas, Las</v>
          </cell>
          <cell r="I5686" t="str">
            <v>09297</v>
          </cell>
        </row>
        <row r="5687">
          <cell r="H5687" t="str">
            <v>Quintela de Leirado</v>
          </cell>
          <cell r="I5687" t="str">
            <v>32066</v>
          </cell>
        </row>
        <row r="5688">
          <cell r="H5688" t="str">
            <v>Quinto</v>
          </cell>
          <cell r="I5688" t="str">
            <v>50222</v>
          </cell>
        </row>
        <row r="5689">
          <cell r="H5689" t="str">
            <v>Quiñonería</v>
          </cell>
          <cell r="I5689" t="str">
            <v>42148</v>
          </cell>
        </row>
        <row r="5690">
          <cell r="H5690" t="str">
            <v>Quiroga</v>
          </cell>
          <cell r="I5690" t="str">
            <v>27050</v>
          </cell>
        </row>
        <row r="5691">
          <cell r="H5691" t="str">
            <v>Quiruelas de Vidriales</v>
          </cell>
          <cell r="I5691" t="str">
            <v>49171</v>
          </cell>
        </row>
        <row r="5692">
          <cell r="H5692" t="str">
            <v>Quismondo</v>
          </cell>
          <cell r="I5692" t="str">
            <v>45143</v>
          </cell>
        </row>
        <row r="5693">
          <cell r="H5693" t="str">
            <v>Rábade</v>
          </cell>
          <cell r="I5693" t="str">
            <v>27056</v>
          </cell>
        </row>
        <row r="5694">
          <cell r="H5694" t="str">
            <v>Rabanales</v>
          </cell>
          <cell r="I5694" t="str">
            <v>49172</v>
          </cell>
        </row>
        <row r="5695">
          <cell r="H5695" t="str">
            <v>Rabanera</v>
          </cell>
          <cell r="I5695" t="str">
            <v>26121</v>
          </cell>
        </row>
        <row r="5696">
          <cell r="H5696" t="str">
            <v>Rabanera del Pinar</v>
          </cell>
          <cell r="I5696" t="str">
            <v>09302</v>
          </cell>
        </row>
        <row r="5697">
          <cell r="H5697" t="str">
            <v>Rábano</v>
          </cell>
          <cell r="I5697" t="str">
            <v>47131</v>
          </cell>
        </row>
        <row r="5698">
          <cell r="H5698" t="str">
            <v>Rábano de Aliste</v>
          </cell>
          <cell r="I5698" t="str">
            <v>49173</v>
          </cell>
        </row>
        <row r="5699">
          <cell r="H5699" t="str">
            <v>Rábanos</v>
          </cell>
          <cell r="I5699" t="str">
            <v>09303</v>
          </cell>
        </row>
        <row r="5700">
          <cell r="H5700" t="str">
            <v>Rábanos, Los</v>
          </cell>
          <cell r="I5700" t="str">
            <v>42149</v>
          </cell>
        </row>
        <row r="5701">
          <cell r="H5701" t="str">
            <v>Rabé de las Calzadas</v>
          </cell>
          <cell r="I5701" t="str">
            <v>09304</v>
          </cell>
        </row>
        <row r="5702">
          <cell r="H5702" t="str">
            <v>Rabós</v>
          </cell>
          <cell r="I5702" t="str">
            <v>17143</v>
          </cell>
        </row>
        <row r="5703">
          <cell r="H5703" t="str">
            <v>Rada de Haro</v>
          </cell>
          <cell r="I5703" t="str">
            <v>16176</v>
          </cell>
        </row>
        <row r="5704">
          <cell r="H5704" t="str">
            <v>Rafal</v>
          </cell>
          <cell r="I5704" t="str">
            <v>03109</v>
          </cell>
        </row>
        <row r="5705">
          <cell r="H5705" t="str">
            <v>Rafelbunyol</v>
          </cell>
          <cell r="I5705" t="str">
            <v>46207</v>
          </cell>
        </row>
        <row r="5706">
          <cell r="H5706" t="str">
            <v>Rafelcofer</v>
          </cell>
          <cell r="I5706" t="str">
            <v>46208</v>
          </cell>
        </row>
        <row r="5707">
          <cell r="H5707" t="str">
            <v>Rafelguaraf</v>
          </cell>
          <cell r="I5707" t="str">
            <v>46209</v>
          </cell>
        </row>
        <row r="5708">
          <cell r="H5708" t="str">
            <v>Ràfol d'Almúnia, el</v>
          </cell>
          <cell r="I5708" t="str">
            <v>03110</v>
          </cell>
        </row>
        <row r="5709">
          <cell r="H5709" t="str">
            <v>Ráfol de Salem</v>
          </cell>
          <cell r="I5709" t="str">
            <v>46210</v>
          </cell>
        </row>
        <row r="5710">
          <cell r="H5710" t="str">
            <v>Rágama</v>
          </cell>
          <cell r="I5710" t="str">
            <v>37265</v>
          </cell>
        </row>
        <row r="5711">
          <cell r="H5711" t="str">
            <v>Rágol</v>
          </cell>
          <cell r="I5711" t="str">
            <v>04077</v>
          </cell>
        </row>
        <row r="5712">
          <cell r="H5712" t="str">
            <v>Rairiz de Veiga</v>
          </cell>
          <cell r="I5712" t="str">
            <v>32067</v>
          </cell>
        </row>
        <row r="5713">
          <cell r="H5713" t="str">
            <v>Rajadell</v>
          </cell>
          <cell r="I5713" t="str">
            <v>08178</v>
          </cell>
        </row>
        <row r="5714">
          <cell r="H5714" t="str">
            <v>Ramales de la Victoria</v>
          </cell>
          <cell r="I5714" t="str">
            <v>39057</v>
          </cell>
        </row>
        <row r="5715">
          <cell r="H5715" t="str">
            <v>Rambla, La</v>
          </cell>
          <cell r="I5715" t="str">
            <v>14057</v>
          </cell>
        </row>
        <row r="5716">
          <cell r="H5716" t="str">
            <v>Ramirás</v>
          </cell>
          <cell r="I5716" t="str">
            <v>32068</v>
          </cell>
        </row>
        <row r="5717">
          <cell r="H5717" t="str">
            <v>Ramiro</v>
          </cell>
          <cell r="I5717" t="str">
            <v>47132</v>
          </cell>
        </row>
        <row r="5718">
          <cell r="H5718" t="str">
            <v>Rapariegos</v>
          </cell>
          <cell r="I5718" t="str">
            <v>40164</v>
          </cell>
        </row>
        <row r="5719">
          <cell r="H5719" t="str">
            <v>Ràpita, La</v>
          </cell>
          <cell r="I5719" t="str">
            <v>43136</v>
          </cell>
        </row>
        <row r="5720">
          <cell r="H5720" t="str">
            <v>Rascafría</v>
          </cell>
          <cell r="I5720" t="str">
            <v>28120</v>
          </cell>
        </row>
        <row r="5721">
          <cell r="H5721" t="str">
            <v>Rasillo de Cameros, El</v>
          </cell>
          <cell r="I5721" t="str">
            <v>26122</v>
          </cell>
        </row>
        <row r="5722">
          <cell r="H5722" t="str">
            <v>Rasines</v>
          </cell>
          <cell r="I5722" t="str">
            <v>39058</v>
          </cell>
        </row>
        <row r="5723">
          <cell r="H5723" t="str">
            <v>Rasquera</v>
          </cell>
          <cell r="I5723" t="str">
            <v>43121</v>
          </cell>
        </row>
        <row r="5724">
          <cell r="H5724" t="str">
            <v>Rasueros</v>
          </cell>
          <cell r="I5724" t="str">
            <v>05193</v>
          </cell>
        </row>
        <row r="5725">
          <cell r="H5725" t="str">
            <v>Real</v>
          </cell>
          <cell r="I5725" t="str">
            <v>46212</v>
          </cell>
        </row>
        <row r="5726">
          <cell r="H5726" t="str">
            <v>Real de Gandia, el</v>
          </cell>
          <cell r="I5726" t="str">
            <v>46211</v>
          </cell>
        </row>
        <row r="5727">
          <cell r="H5727" t="str">
            <v>Real de la Jara, El</v>
          </cell>
          <cell r="I5727" t="str">
            <v>41080</v>
          </cell>
        </row>
        <row r="5728">
          <cell r="H5728" t="str">
            <v>Real de San Vicente, El</v>
          </cell>
          <cell r="I5728" t="str">
            <v>45144</v>
          </cell>
        </row>
        <row r="5729">
          <cell r="H5729" t="str">
            <v>Real Sitio de San Ildefonso</v>
          </cell>
          <cell r="I5729" t="str">
            <v>40181</v>
          </cell>
        </row>
        <row r="5730">
          <cell r="H5730" t="str">
            <v>Realejos, Los</v>
          </cell>
          <cell r="I5730" t="str">
            <v>38031</v>
          </cell>
        </row>
        <row r="5731">
          <cell r="H5731" t="str">
            <v>Rebollar</v>
          </cell>
          <cell r="I5731" t="str">
            <v>10154</v>
          </cell>
        </row>
        <row r="5732">
          <cell r="H5732" t="str">
            <v>Rebollar</v>
          </cell>
          <cell r="I5732" t="str">
            <v>42151</v>
          </cell>
        </row>
        <row r="5733">
          <cell r="H5733" t="str">
            <v>Rebolledo de la Torre</v>
          </cell>
          <cell r="I5733" t="str">
            <v>09306</v>
          </cell>
        </row>
        <row r="5734">
          <cell r="H5734" t="str">
            <v>Rebollo</v>
          </cell>
          <cell r="I5734" t="str">
            <v>40165</v>
          </cell>
        </row>
        <row r="5735">
          <cell r="H5735" t="str">
            <v>Rebollosa de Jadraque</v>
          </cell>
          <cell r="I5735" t="str">
            <v>19231</v>
          </cell>
        </row>
        <row r="5736">
          <cell r="H5736" t="str">
            <v>Recas</v>
          </cell>
          <cell r="I5736" t="str">
            <v>45145</v>
          </cell>
        </row>
        <row r="5737">
          <cell r="H5737" t="str">
            <v>Recueja, La</v>
          </cell>
          <cell r="I5737" t="str">
            <v>02066</v>
          </cell>
        </row>
        <row r="5738">
          <cell r="H5738" t="str">
            <v>Recuenco, El</v>
          </cell>
          <cell r="I5738" t="str">
            <v>19232</v>
          </cell>
        </row>
        <row r="5739">
          <cell r="H5739" t="str">
            <v>Recuerda</v>
          </cell>
          <cell r="I5739" t="str">
            <v>42152</v>
          </cell>
        </row>
        <row r="5740">
          <cell r="H5740" t="str">
            <v>Redal, El</v>
          </cell>
          <cell r="I5740" t="str">
            <v>26123</v>
          </cell>
        </row>
        <row r="5741">
          <cell r="H5741" t="str">
            <v>Redecilla del Camino</v>
          </cell>
          <cell r="I5741" t="str">
            <v>09307</v>
          </cell>
        </row>
        <row r="5742">
          <cell r="H5742" t="str">
            <v>Redecilla del Campo</v>
          </cell>
          <cell r="I5742" t="str">
            <v>09308</v>
          </cell>
        </row>
        <row r="5743">
          <cell r="H5743" t="str">
            <v>Redonda, La</v>
          </cell>
          <cell r="I5743" t="str">
            <v>37266</v>
          </cell>
        </row>
        <row r="5744">
          <cell r="H5744" t="str">
            <v>Redondela</v>
          </cell>
          <cell r="I5744" t="str">
            <v>36045</v>
          </cell>
        </row>
        <row r="5745">
          <cell r="H5745" t="str">
            <v>Redován</v>
          </cell>
          <cell r="I5745" t="str">
            <v>03111</v>
          </cell>
        </row>
        <row r="5746">
          <cell r="H5746" t="str">
            <v>Redueña</v>
          </cell>
          <cell r="I5746" t="str">
            <v>28121</v>
          </cell>
        </row>
        <row r="5747">
          <cell r="H5747" t="str">
            <v>Regencós</v>
          </cell>
          <cell r="I5747" t="str">
            <v>17144</v>
          </cell>
        </row>
        <row r="5748">
          <cell r="H5748" t="str">
            <v>Regueras de Arriba</v>
          </cell>
          <cell r="I5748" t="str">
            <v>24127</v>
          </cell>
        </row>
        <row r="5749">
          <cell r="H5749" t="str">
            <v>Regumiel de la Sierra</v>
          </cell>
          <cell r="I5749" t="str">
            <v>09309</v>
          </cell>
        </row>
        <row r="5750">
          <cell r="H5750" t="str">
            <v>Reíllo</v>
          </cell>
          <cell r="I5750" t="str">
            <v>16177</v>
          </cell>
        </row>
        <row r="5751">
          <cell r="H5751" t="str">
            <v>Reina</v>
          </cell>
          <cell r="I5751" t="str">
            <v>06110</v>
          </cell>
        </row>
        <row r="5752">
          <cell r="H5752" t="str">
            <v>Reinosa</v>
          </cell>
          <cell r="I5752" t="str">
            <v>39059</v>
          </cell>
        </row>
        <row r="5753">
          <cell r="H5753" t="str">
            <v>Reinoso</v>
          </cell>
          <cell r="I5753" t="str">
            <v>09310</v>
          </cell>
        </row>
        <row r="5754">
          <cell r="H5754" t="str">
            <v>Reinoso de Cerrato</v>
          </cell>
          <cell r="I5754" t="str">
            <v>34146</v>
          </cell>
        </row>
        <row r="5755">
          <cell r="H5755" t="str">
            <v>Relleu</v>
          </cell>
          <cell r="I5755" t="str">
            <v>03112</v>
          </cell>
        </row>
        <row r="5756">
          <cell r="H5756" t="str">
            <v>Rellinars</v>
          </cell>
          <cell r="I5756" t="str">
            <v>08179</v>
          </cell>
        </row>
        <row r="5757">
          <cell r="H5757" t="str">
            <v>Rello</v>
          </cell>
          <cell r="I5757" t="str">
            <v>42153</v>
          </cell>
        </row>
        <row r="5758">
          <cell r="H5758" t="str">
            <v>Remolinos</v>
          </cell>
          <cell r="I5758" t="str">
            <v>50223</v>
          </cell>
        </row>
        <row r="5759">
          <cell r="H5759" t="str">
            <v>Remondo</v>
          </cell>
          <cell r="I5759" t="str">
            <v>40166</v>
          </cell>
        </row>
        <row r="5760">
          <cell r="H5760" t="str">
            <v>Rena</v>
          </cell>
          <cell r="I5760" t="str">
            <v>06111</v>
          </cell>
        </row>
        <row r="5761">
          <cell r="H5761" t="str">
            <v>Renau</v>
          </cell>
          <cell r="I5761" t="str">
            <v>43122</v>
          </cell>
        </row>
        <row r="5762">
          <cell r="H5762" t="str">
            <v>Renedo de Esgueva</v>
          </cell>
          <cell r="I5762" t="str">
            <v>47133</v>
          </cell>
        </row>
        <row r="5763">
          <cell r="H5763" t="str">
            <v>Renedo de la Vega</v>
          </cell>
          <cell r="I5763" t="str">
            <v>34147</v>
          </cell>
        </row>
        <row r="5764">
          <cell r="H5764" t="str">
            <v>Renera</v>
          </cell>
          <cell r="I5764" t="str">
            <v>19233</v>
          </cell>
        </row>
        <row r="5765">
          <cell r="H5765" t="str">
            <v>Renieblas</v>
          </cell>
          <cell r="I5765" t="str">
            <v>42154</v>
          </cell>
        </row>
        <row r="5766">
          <cell r="H5766" t="str">
            <v>Reocín</v>
          </cell>
          <cell r="I5766" t="str">
            <v>39060</v>
          </cell>
        </row>
        <row r="5767">
          <cell r="H5767" t="str">
            <v>Requejo</v>
          </cell>
          <cell r="I5767" t="str">
            <v>49174</v>
          </cell>
        </row>
        <row r="5768">
          <cell r="H5768" t="str">
            <v>Requena</v>
          </cell>
          <cell r="I5768" t="str">
            <v>46213</v>
          </cell>
        </row>
        <row r="5769">
          <cell r="H5769" t="str">
            <v>Requena de Campos</v>
          </cell>
          <cell r="I5769" t="str">
            <v>34149</v>
          </cell>
        </row>
        <row r="5770">
          <cell r="H5770" t="str">
            <v>Retamal de Llerena</v>
          </cell>
          <cell r="I5770" t="str">
            <v>06112</v>
          </cell>
        </row>
        <row r="5771">
          <cell r="H5771" t="str">
            <v>Retamoso de la Jara</v>
          </cell>
          <cell r="I5771" t="str">
            <v>45146</v>
          </cell>
        </row>
        <row r="5772">
          <cell r="H5772" t="str">
            <v>Retascón</v>
          </cell>
          <cell r="I5772" t="str">
            <v>50224</v>
          </cell>
        </row>
        <row r="5773">
          <cell r="H5773" t="str">
            <v>Retiendas</v>
          </cell>
          <cell r="I5773" t="str">
            <v>19234</v>
          </cell>
        </row>
        <row r="5774">
          <cell r="H5774" t="str">
            <v>Retortillo</v>
          </cell>
          <cell r="I5774" t="str">
            <v>37267</v>
          </cell>
        </row>
        <row r="5775">
          <cell r="H5775" t="str">
            <v>Retortillo de Soria</v>
          </cell>
          <cell r="I5775" t="str">
            <v>42155</v>
          </cell>
        </row>
        <row r="5776">
          <cell r="H5776" t="str">
            <v>Retuerta</v>
          </cell>
          <cell r="I5776" t="str">
            <v>09311</v>
          </cell>
        </row>
        <row r="5777">
          <cell r="H5777" t="str">
            <v>Retuerta del Bullaque</v>
          </cell>
          <cell r="I5777" t="str">
            <v>13072</v>
          </cell>
        </row>
        <row r="5778">
          <cell r="H5778" t="str">
            <v>Reus</v>
          </cell>
          <cell r="I5778" t="str">
            <v>43123</v>
          </cell>
        </row>
        <row r="5779">
          <cell r="H5779" t="str">
            <v>Revellinos</v>
          </cell>
          <cell r="I5779" t="str">
            <v>49175</v>
          </cell>
        </row>
        <row r="5780">
          <cell r="H5780" t="str">
            <v>Revenga de Campos</v>
          </cell>
          <cell r="I5780" t="str">
            <v>34152</v>
          </cell>
        </row>
        <row r="5781">
          <cell r="H5781" t="str">
            <v>Revilla de Collazos</v>
          </cell>
          <cell r="I5781" t="str">
            <v>34154</v>
          </cell>
        </row>
        <row r="5782">
          <cell r="H5782" t="str">
            <v>Revilla del Campo</v>
          </cell>
          <cell r="I5782" t="str">
            <v>09314</v>
          </cell>
        </row>
        <row r="5783">
          <cell r="H5783" t="str">
            <v>Revilla Vallejera</v>
          </cell>
          <cell r="I5783" t="str">
            <v>09316</v>
          </cell>
        </row>
        <row r="5784">
          <cell r="H5784" t="str">
            <v>Revilla y Ahedo, La</v>
          </cell>
          <cell r="I5784" t="str">
            <v>09312</v>
          </cell>
        </row>
        <row r="5785">
          <cell r="H5785" t="str">
            <v>Revillarruz</v>
          </cell>
          <cell r="I5785" t="str">
            <v>09315</v>
          </cell>
        </row>
        <row r="5786">
          <cell r="H5786" t="str">
            <v>Rezmondo</v>
          </cell>
          <cell r="I5786" t="str">
            <v>09317</v>
          </cell>
        </row>
        <row r="5787">
          <cell r="H5787" t="str">
            <v>Reznos</v>
          </cell>
          <cell r="I5787" t="str">
            <v>42156</v>
          </cell>
        </row>
        <row r="5788">
          <cell r="H5788" t="str">
            <v>Riaguas de San Bartolomé</v>
          </cell>
          <cell r="I5788" t="str">
            <v>40168</v>
          </cell>
        </row>
        <row r="5789">
          <cell r="H5789" t="str">
            <v>Rialp</v>
          </cell>
          <cell r="I5789" t="str">
            <v>25183</v>
          </cell>
        </row>
        <row r="5790">
          <cell r="H5790" t="str">
            <v>Rianxo</v>
          </cell>
          <cell r="I5790" t="str">
            <v>15072</v>
          </cell>
        </row>
        <row r="5791">
          <cell r="H5791" t="str">
            <v>Riaza</v>
          </cell>
          <cell r="I5791" t="str">
            <v>40170</v>
          </cell>
        </row>
        <row r="5792">
          <cell r="H5792" t="str">
            <v>Riba de Escalote, La</v>
          </cell>
          <cell r="I5792" t="str">
            <v>42157</v>
          </cell>
        </row>
        <row r="5793">
          <cell r="H5793" t="str">
            <v>Riba de Saelices</v>
          </cell>
          <cell r="I5793" t="str">
            <v>19235</v>
          </cell>
        </row>
        <row r="5794">
          <cell r="H5794" t="str">
            <v>Riba, La</v>
          </cell>
          <cell r="I5794" t="str">
            <v>43124</v>
          </cell>
        </row>
        <row r="5795">
          <cell r="H5795" t="str">
            <v>Ribadavia</v>
          </cell>
          <cell r="I5795" t="str">
            <v>32069</v>
          </cell>
        </row>
        <row r="5796">
          <cell r="H5796" t="str">
            <v>Ribadedeva</v>
          </cell>
          <cell r="I5796" t="str">
            <v>33055</v>
          </cell>
        </row>
        <row r="5797">
          <cell r="H5797" t="str">
            <v>Ribadeo</v>
          </cell>
          <cell r="I5797" t="str">
            <v>27051</v>
          </cell>
        </row>
        <row r="5798">
          <cell r="H5798" t="str">
            <v>Ribadesella</v>
          </cell>
          <cell r="I5798" t="str">
            <v>33056</v>
          </cell>
        </row>
        <row r="5799">
          <cell r="H5799" t="str">
            <v>Ribadumia</v>
          </cell>
          <cell r="I5799" t="str">
            <v>36046</v>
          </cell>
        </row>
        <row r="5800">
          <cell r="H5800" t="str">
            <v>Ribaforada</v>
          </cell>
          <cell r="I5800" t="str">
            <v>31208</v>
          </cell>
        </row>
        <row r="5801">
          <cell r="H5801" t="str">
            <v>Ribafrecha</v>
          </cell>
          <cell r="I5801" t="str">
            <v>26124</v>
          </cell>
        </row>
        <row r="5802">
          <cell r="H5802" t="str">
            <v>Ribamontán al Mar</v>
          </cell>
          <cell r="I5802" t="str">
            <v>39061</v>
          </cell>
        </row>
        <row r="5803">
          <cell r="H5803" t="str">
            <v>Ribamontán al Monte</v>
          </cell>
          <cell r="I5803" t="str">
            <v>39062</v>
          </cell>
        </row>
        <row r="5804">
          <cell r="H5804" t="str">
            <v>Riba-roja de Túria</v>
          </cell>
          <cell r="I5804" t="str">
            <v>46214</v>
          </cell>
        </row>
        <row r="5805">
          <cell r="H5805" t="str">
            <v>Riba-roja d'Ebre</v>
          </cell>
          <cell r="I5805" t="str">
            <v>43125</v>
          </cell>
        </row>
        <row r="5806">
          <cell r="H5806" t="str">
            <v>Ribas de Campos</v>
          </cell>
          <cell r="I5806" t="str">
            <v>34155</v>
          </cell>
        </row>
        <row r="5807">
          <cell r="H5807" t="str">
            <v>Ribas de Sil</v>
          </cell>
          <cell r="I5807" t="str">
            <v>27052</v>
          </cell>
        </row>
        <row r="5808">
          <cell r="H5808" t="str">
            <v>Ribatejada</v>
          </cell>
          <cell r="I5808" t="str">
            <v>28122</v>
          </cell>
        </row>
        <row r="5809">
          <cell r="H5809" t="str">
            <v>Ribeira</v>
          </cell>
          <cell r="I5809" t="str">
            <v>15073</v>
          </cell>
        </row>
        <row r="5810">
          <cell r="H5810" t="str">
            <v>Ribeira de Piquín</v>
          </cell>
          <cell r="I5810" t="str">
            <v>27053</v>
          </cell>
        </row>
        <row r="5811">
          <cell r="H5811" t="str">
            <v>Ribera del Fresno</v>
          </cell>
          <cell r="I5811" t="str">
            <v>06113</v>
          </cell>
        </row>
        <row r="5812">
          <cell r="H5812" t="str">
            <v>Ribera d'Ondara</v>
          </cell>
          <cell r="I5812" t="str">
            <v>25905</v>
          </cell>
        </row>
        <row r="5813">
          <cell r="H5813" t="str">
            <v>Ribera d'Urgellet</v>
          </cell>
          <cell r="I5813" t="str">
            <v>25185</v>
          </cell>
        </row>
        <row r="5814">
          <cell r="H5814" t="str">
            <v>Riberos de la Cueza</v>
          </cell>
          <cell r="I5814" t="str">
            <v>34156</v>
          </cell>
        </row>
        <row r="5815">
          <cell r="H5815" t="str">
            <v>Ribes de Freser</v>
          </cell>
          <cell r="I5815" t="str">
            <v>17145</v>
          </cell>
        </row>
        <row r="5816">
          <cell r="H5816" t="str">
            <v>Ribesalbes</v>
          </cell>
          <cell r="I5816" t="str">
            <v>12095</v>
          </cell>
        </row>
        <row r="5817">
          <cell r="H5817" t="str">
            <v>Ribota</v>
          </cell>
          <cell r="I5817" t="str">
            <v>40171</v>
          </cell>
        </row>
        <row r="5818">
          <cell r="H5818" t="str">
            <v>Ricla</v>
          </cell>
          <cell r="I5818" t="str">
            <v>50225</v>
          </cell>
        </row>
        <row r="5819">
          <cell r="H5819" t="str">
            <v>Ricote</v>
          </cell>
          <cell r="I5819" t="str">
            <v>30034</v>
          </cell>
        </row>
        <row r="5820">
          <cell r="H5820" t="str">
            <v>Riego de la Vega</v>
          </cell>
          <cell r="I5820" t="str">
            <v>24131</v>
          </cell>
        </row>
        <row r="5821">
          <cell r="H5821" t="str">
            <v>Riells i Viabrea</v>
          </cell>
          <cell r="I5821" t="str">
            <v>17146</v>
          </cell>
        </row>
        <row r="5822">
          <cell r="H5822" t="str">
            <v>Rielves</v>
          </cell>
          <cell r="I5822" t="str">
            <v>45147</v>
          </cell>
        </row>
        <row r="5823">
          <cell r="H5823" t="str">
            <v>Riera de Gaià, La</v>
          </cell>
          <cell r="I5823" t="str">
            <v>43126</v>
          </cell>
        </row>
        <row r="5824">
          <cell r="H5824" t="str">
            <v>Rillo de Gallo</v>
          </cell>
          <cell r="I5824" t="str">
            <v>19237</v>
          </cell>
        </row>
        <row r="5825">
          <cell r="H5825" t="str">
            <v>Rincón de la Victoria</v>
          </cell>
          <cell r="I5825" t="str">
            <v>29082</v>
          </cell>
        </row>
        <row r="5826">
          <cell r="H5826" t="str">
            <v>Rincón de Soto</v>
          </cell>
          <cell r="I5826" t="str">
            <v>26125</v>
          </cell>
        </row>
        <row r="5827">
          <cell r="H5827" t="str">
            <v>Rinconada de la Sierra, La</v>
          </cell>
          <cell r="I5827" t="str">
            <v>37268</v>
          </cell>
        </row>
        <row r="5828">
          <cell r="H5828" t="str">
            <v>Rinconada, La</v>
          </cell>
          <cell r="I5828" t="str">
            <v>41081</v>
          </cell>
        </row>
        <row r="5829">
          <cell r="H5829" t="str">
            <v>Riner</v>
          </cell>
          <cell r="I5829" t="str">
            <v>25186</v>
          </cell>
        </row>
        <row r="5830">
          <cell r="H5830" t="str">
            <v>Riocabado</v>
          </cell>
          <cell r="I5830" t="str">
            <v>05194</v>
          </cell>
        </row>
        <row r="5831">
          <cell r="H5831" t="str">
            <v>Riocavado de la Sierra</v>
          </cell>
          <cell r="I5831" t="str">
            <v>09318</v>
          </cell>
        </row>
        <row r="5832">
          <cell r="H5832" t="str">
            <v>Riodeva</v>
          </cell>
          <cell r="I5832" t="str">
            <v>44196</v>
          </cell>
        </row>
        <row r="5833">
          <cell r="H5833" t="str">
            <v>Riofrío</v>
          </cell>
          <cell r="I5833" t="str">
            <v>05195</v>
          </cell>
        </row>
        <row r="5834">
          <cell r="H5834" t="str">
            <v>Riofrío de Aliste</v>
          </cell>
          <cell r="I5834" t="str">
            <v>49176</v>
          </cell>
        </row>
        <row r="5835">
          <cell r="H5835" t="str">
            <v>Riofrío de Riaza</v>
          </cell>
          <cell r="I5835" t="str">
            <v>40172</v>
          </cell>
        </row>
        <row r="5836">
          <cell r="H5836" t="str">
            <v>Riofrío del Llano</v>
          </cell>
          <cell r="I5836" t="str">
            <v>19238</v>
          </cell>
        </row>
        <row r="5837">
          <cell r="H5837" t="str">
            <v>Riogordo</v>
          </cell>
          <cell r="I5837" t="str">
            <v>29083</v>
          </cell>
        </row>
        <row r="5838">
          <cell r="H5838" t="str">
            <v>Rioja</v>
          </cell>
          <cell r="I5838" t="str">
            <v>04078</v>
          </cell>
        </row>
        <row r="5839">
          <cell r="H5839" t="str">
            <v>Riola</v>
          </cell>
          <cell r="I5839" t="str">
            <v>46215</v>
          </cell>
        </row>
        <row r="5840">
          <cell r="H5840" t="str">
            <v>Riolobos</v>
          </cell>
          <cell r="I5840" t="str">
            <v>10155</v>
          </cell>
        </row>
        <row r="5841">
          <cell r="H5841" t="str">
            <v>Rionansa</v>
          </cell>
          <cell r="I5841" t="str">
            <v>39063</v>
          </cell>
        </row>
        <row r="5842">
          <cell r="H5842" t="str">
            <v>Rionegro del Puente</v>
          </cell>
          <cell r="I5842" t="str">
            <v>49177</v>
          </cell>
        </row>
        <row r="5843">
          <cell r="H5843" t="str">
            <v>Riópar</v>
          </cell>
          <cell r="I5843" t="str">
            <v>02067</v>
          </cell>
        </row>
        <row r="5844">
          <cell r="H5844" t="str">
            <v>Riós</v>
          </cell>
          <cell r="I5844" t="str">
            <v>32071</v>
          </cell>
        </row>
        <row r="5845">
          <cell r="H5845" t="str">
            <v>Rioseco de Soria</v>
          </cell>
          <cell r="I5845" t="str">
            <v>42158</v>
          </cell>
        </row>
        <row r="5846">
          <cell r="H5846" t="str">
            <v>Riotorto</v>
          </cell>
          <cell r="I5846" t="str">
            <v>27054</v>
          </cell>
        </row>
        <row r="5847">
          <cell r="H5847" t="str">
            <v>Riotuerto</v>
          </cell>
          <cell r="I5847" t="str">
            <v>39064</v>
          </cell>
        </row>
        <row r="5848">
          <cell r="H5848" t="str">
            <v>Ripoll</v>
          </cell>
          <cell r="I5848" t="str">
            <v>17147</v>
          </cell>
        </row>
        <row r="5849">
          <cell r="H5849" t="str">
            <v>Ripollet</v>
          </cell>
          <cell r="I5849" t="str">
            <v>08180</v>
          </cell>
        </row>
        <row r="5850">
          <cell r="H5850" t="str">
            <v>Risco</v>
          </cell>
          <cell r="I5850" t="str">
            <v>06114</v>
          </cell>
        </row>
        <row r="5851">
          <cell r="H5851" t="str">
            <v>Riu de Cerdanya</v>
          </cell>
          <cell r="I5851" t="str">
            <v>25913</v>
          </cell>
        </row>
        <row r="5852">
          <cell r="H5852" t="str">
            <v>Riudarenes</v>
          </cell>
          <cell r="I5852" t="str">
            <v>17148</v>
          </cell>
        </row>
        <row r="5853">
          <cell r="H5853" t="str">
            <v>Riudaura</v>
          </cell>
          <cell r="I5853" t="str">
            <v>17149</v>
          </cell>
        </row>
        <row r="5854">
          <cell r="H5854" t="str">
            <v>Riudecanyes</v>
          </cell>
          <cell r="I5854" t="str">
            <v>43127</v>
          </cell>
        </row>
        <row r="5855">
          <cell r="H5855" t="str">
            <v>Riudecols</v>
          </cell>
          <cell r="I5855" t="str">
            <v>43128</v>
          </cell>
        </row>
        <row r="5856">
          <cell r="H5856" t="str">
            <v>Riudellots de la Selva</v>
          </cell>
          <cell r="I5856" t="str">
            <v>17150</v>
          </cell>
        </row>
        <row r="5857">
          <cell r="H5857" t="str">
            <v>Riudoms</v>
          </cell>
          <cell r="I5857" t="str">
            <v>43129</v>
          </cell>
        </row>
        <row r="5858">
          <cell r="H5858" t="str">
            <v>Riumors</v>
          </cell>
          <cell r="I5858" t="str">
            <v>17151</v>
          </cell>
        </row>
        <row r="5859">
          <cell r="H5859" t="str">
            <v>Rivas-Vaciamadrid</v>
          </cell>
          <cell r="I5859" t="str">
            <v>28123</v>
          </cell>
        </row>
        <row r="5860">
          <cell r="H5860" t="str">
            <v>Rivilla de Barajas</v>
          </cell>
          <cell r="I5860" t="str">
            <v>05196</v>
          </cell>
        </row>
        <row r="5861">
          <cell r="H5861" t="str">
            <v>Roa</v>
          </cell>
          <cell r="I5861" t="str">
            <v>09321</v>
          </cell>
        </row>
        <row r="5862">
          <cell r="H5862" t="str">
            <v>Roales</v>
          </cell>
          <cell r="I5862" t="str">
            <v>49178</v>
          </cell>
        </row>
        <row r="5863">
          <cell r="H5863" t="str">
            <v>Roales de Campos</v>
          </cell>
          <cell r="I5863" t="str">
            <v>47134</v>
          </cell>
        </row>
        <row r="5864">
          <cell r="H5864" t="str">
            <v>Robladillo</v>
          </cell>
          <cell r="I5864" t="str">
            <v>47135</v>
          </cell>
        </row>
        <row r="5865">
          <cell r="H5865" t="str">
            <v>Robleda</v>
          </cell>
          <cell r="I5865" t="str">
            <v>37269</v>
          </cell>
        </row>
        <row r="5866">
          <cell r="H5866" t="str">
            <v>Robleda-Cervantes</v>
          </cell>
          <cell r="I5866" t="str">
            <v>49179</v>
          </cell>
        </row>
        <row r="5867">
          <cell r="H5867" t="str">
            <v>Robledillo de Gata</v>
          </cell>
          <cell r="I5867" t="str">
            <v>10156</v>
          </cell>
        </row>
        <row r="5868">
          <cell r="H5868" t="str">
            <v>Robledillo de la Jara</v>
          </cell>
          <cell r="I5868" t="str">
            <v>28124</v>
          </cell>
        </row>
        <row r="5869">
          <cell r="H5869" t="str">
            <v>Robledillo de la Vera</v>
          </cell>
          <cell r="I5869" t="str">
            <v>10157</v>
          </cell>
        </row>
        <row r="5870">
          <cell r="H5870" t="str">
            <v>Robledillo de Mohernando</v>
          </cell>
          <cell r="I5870" t="str">
            <v>19239</v>
          </cell>
        </row>
        <row r="5871">
          <cell r="H5871" t="str">
            <v>Robledillo de Trujillo</v>
          </cell>
          <cell r="I5871" t="str">
            <v>10158</v>
          </cell>
        </row>
        <row r="5872">
          <cell r="H5872" t="str">
            <v>Robledo</v>
          </cell>
          <cell r="I5872" t="str">
            <v>02068</v>
          </cell>
        </row>
        <row r="5873">
          <cell r="H5873" t="str">
            <v>Robledo de Chavela</v>
          </cell>
          <cell r="I5873" t="str">
            <v>28125</v>
          </cell>
        </row>
        <row r="5874">
          <cell r="H5874" t="str">
            <v>Robledo de Corpes</v>
          </cell>
          <cell r="I5874" t="str">
            <v>19240</v>
          </cell>
        </row>
        <row r="5875">
          <cell r="H5875" t="str">
            <v>Robledo del Mazo</v>
          </cell>
          <cell r="I5875" t="str">
            <v>45148</v>
          </cell>
        </row>
        <row r="5876">
          <cell r="H5876" t="str">
            <v>Robledo, El</v>
          </cell>
          <cell r="I5876" t="str">
            <v>13901</v>
          </cell>
        </row>
        <row r="5877">
          <cell r="H5877" t="str">
            <v>Robledollano</v>
          </cell>
          <cell r="I5877" t="str">
            <v>10159</v>
          </cell>
        </row>
        <row r="5878">
          <cell r="H5878" t="str">
            <v>Robliza de Cojos</v>
          </cell>
          <cell r="I5878" t="str">
            <v>37270</v>
          </cell>
        </row>
        <row r="5879">
          <cell r="H5879" t="str">
            <v>Robregordo</v>
          </cell>
          <cell r="I5879" t="str">
            <v>28126</v>
          </cell>
        </row>
        <row r="5880">
          <cell r="H5880" t="str">
            <v>Robres</v>
          </cell>
          <cell r="I5880" t="str">
            <v>22197</v>
          </cell>
        </row>
        <row r="5881">
          <cell r="H5881" t="str">
            <v>Robres del Castillo</v>
          </cell>
          <cell r="I5881" t="str">
            <v>26126</v>
          </cell>
        </row>
        <row r="5882">
          <cell r="H5882" t="str">
            <v>Roca de la Sierra, La</v>
          </cell>
          <cell r="I5882" t="str">
            <v>06115</v>
          </cell>
        </row>
        <row r="5883">
          <cell r="H5883" t="str">
            <v>Roca del Vallès, La</v>
          </cell>
          <cell r="I5883" t="str">
            <v>08181</v>
          </cell>
        </row>
        <row r="5884">
          <cell r="H5884" t="str">
            <v>Rocafort</v>
          </cell>
          <cell r="I5884" t="str">
            <v>46216</v>
          </cell>
        </row>
        <row r="5885">
          <cell r="H5885" t="str">
            <v>Rocafort de Queralt</v>
          </cell>
          <cell r="I5885" t="str">
            <v>43130</v>
          </cell>
        </row>
        <row r="5886">
          <cell r="H5886" t="str">
            <v>Rociana del Condado</v>
          </cell>
          <cell r="I5886" t="str">
            <v>21061</v>
          </cell>
        </row>
        <row r="5887">
          <cell r="H5887" t="str">
            <v>Roda de Andalucía, La</v>
          </cell>
          <cell r="I5887" t="str">
            <v>41082</v>
          </cell>
        </row>
        <row r="5888">
          <cell r="H5888" t="str">
            <v>Roda de Berà</v>
          </cell>
          <cell r="I5888" t="str">
            <v>43131</v>
          </cell>
        </row>
        <row r="5889">
          <cell r="H5889" t="str">
            <v>Roda de Eresma</v>
          </cell>
          <cell r="I5889" t="str">
            <v>40173</v>
          </cell>
        </row>
        <row r="5890">
          <cell r="H5890" t="str">
            <v>Roda de Ter</v>
          </cell>
          <cell r="I5890" t="str">
            <v>08183</v>
          </cell>
        </row>
        <row r="5891">
          <cell r="H5891" t="str">
            <v>Roda, La</v>
          </cell>
          <cell r="I5891" t="str">
            <v>02069</v>
          </cell>
        </row>
        <row r="5892">
          <cell r="H5892" t="str">
            <v>Rodeiro</v>
          </cell>
          <cell r="I5892" t="str">
            <v>36047</v>
          </cell>
        </row>
        <row r="5893">
          <cell r="H5893" t="str">
            <v>Ródenas</v>
          </cell>
          <cell r="I5893" t="str">
            <v>44197</v>
          </cell>
        </row>
        <row r="5894">
          <cell r="H5894" t="str">
            <v>Rodezno</v>
          </cell>
          <cell r="I5894" t="str">
            <v>26127</v>
          </cell>
        </row>
        <row r="5895">
          <cell r="H5895" t="str">
            <v>Rodonyà</v>
          </cell>
          <cell r="I5895" t="str">
            <v>43132</v>
          </cell>
        </row>
        <row r="5896">
          <cell r="H5896" t="str">
            <v>Roelos de Sayago</v>
          </cell>
          <cell r="I5896" t="str">
            <v>49180</v>
          </cell>
        </row>
        <row r="5897">
          <cell r="H5897" t="str">
            <v>Rois</v>
          </cell>
          <cell r="I5897" t="str">
            <v>15074</v>
          </cell>
        </row>
        <row r="5898">
          <cell r="H5898" t="str">
            <v>Rojales</v>
          </cell>
          <cell r="I5898" t="str">
            <v>03113</v>
          </cell>
        </row>
        <row r="5899">
          <cell r="H5899" t="str">
            <v>Rojas</v>
          </cell>
          <cell r="I5899" t="str">
            <v>09323</v>
          </cell>
        </row>
        <row r="5900">
          <cell r="H5900" t="str">
            <v>Rollamienta</v>
          </cell>
          <cell r="I5900" t="str">
            <v>42159</v>
          </cell>
        </row>
        <row r="5901">
          <cell r="H5901" t="str">
            <v>Rollán</v>
          </cell>
          <cell r="I5901" t="str">
            <v>37271</v>
          </cell>
        </row>
        <row r="5902">
          <cell r="H5902" t="str">
            <v>Romana, la</v>
          </cell>
          <cell r="I5902" t="str">
            <v>03114</v>
          </cell>
        </row>
        <row r="5903">
          <cell r="H5903" t="str">
            <v>Romangordo</v>
          </cell>
          <cell r="I5903" t="str">
            <v>10160</v>
          </cell>
        </row>
        <row r="5904">
          <cell r="H5904" t="str">
            <v>Romanillos de Atienza</v>
          </cell>
          <cell r="I5904" t="str">
            <v>19241</v>
          </cell>
        </row>
        <row r="5905">
          <cell r="H5905" t="str">
            <v>Romanones</v>
          </cell>
          <cell r="I5905" t="str">
            <v>19242</v>
          </cell>
        </row>
        <row r="5906">
          <cell r="H5906" t="str">
            <v>Romanos</v>
          </cell>
          <cell r="I5906" t="str">
            <v>50227</v>
          </cell>
        </row>
        <row r="5907">
          <cell r="H5907" t="str">
            <v>Romanzado/Erromantzatua</v>
          </cell>
          <cell r="I5907" t="str">
            <v>31209</v>
          </cell>
        </row>
        <row r="5908">
          <cell r="H5908" t="str">
            <v>Romeral, El</v>
          </cell>
          <cell r="I5908" t="str">
            <v>45149</v>
          </cell>
        </row>
        <row r="5909">
          <cell r="H5909" t="str">
            <v>Roncal/Erronkari</v>
          </cell>
          <cell r="I5909" t="str">
            <v>31210</v>
          </cell>
        </row>
        <row r="5910">
          <cell r="H5910" t="str">
            <v>Ronda</v>
          </cell>
          <cell r="I5910" t="str">
            <v>29084</v>
          </cell>
        </row>
        <row r="5911">
          <cell r="H5911" t="str">
            <v>Ronquillo, El</v>
          </cell>
          <cell r="I5911" t="str">
            <v>41083</v>
          </cell>
        </row>
        <row r="5912">
          <cell r="H5912" t="str">
            <v>Roperuelos del Páramo</v>
          </cell>
          <cell r="I5912" t="str">
            <v>24136</v>
          </cell>
        </row>
        <row r="5913">
          <cell r="H5913" t="str">
            <v>Roquetas de Mar</v>
          </cell>
          <cell r="I5913" t="str">
            <v>04079</v>
          </cell>
        </row>
        <row r="5914">
          <cell r="H5914" t="str">
            <v>Roquetes</v>
          </cell>
          <cell r="I5914" t="str">
            <v>43133</v>
          </cell>
        </row>
        <row r="5915">
          <cell r="H5915" t="str">
            <v>Rosal de la Frontera</v>
          </cell>
          <cell r="I5915" t="str">
            <v>21062</v>
          </cell>
        </row>
        <row r="5916">
          <cell r="H5916" t="str">
            <v>Rosal, O</v>
          </cell>
          <cell r="I5916" t="str">
            <v>36048</v>
          </cell>
        </row>
        <row r="5917">
          <cell r="H5917" t="str">
            <v>Rosalejo</v>
          </cell>
          <cell r="I5917" t="str">
            <v>10901</v>
          </cell>
        </row>
        <row r="5918">
          <cell r="H5918" t="str">
            <v>Rosario, El</v>
          </cell>
          <cell r="I5918" t="str">
            <v>38032</v>
          </cell>
        </row>
        <row r="5919">
          <cell r="H5919" t="str">
            <v>Roses</v>
          </cell>
          <cell r="I5919" t="str">
            <v>17152</v>
          </cell>
        </row>
        <row r="5920">
          <cell r="H5920" t="str">
            <v>Rosinos de la Requejada</v>
          </cell>
          <cell r="I5920" t="str">
            <v>49181</v>
          </cell>
        </row>
        <row r="5921">
          <cell r="H5921" t="str">
            <v>Rossell</v>
          </cell>
          <cell r="I5921" t="str">
            <v>12096</v>
          </cell>
        </row>
        <row r="5922">
          <cell r="H5922" t="str">
            <v>Rosselló</v>
          </cell>
          <cell r="I5922" t="str">
            <v>25189</v>
          </cell>
        </row>
        <row r="5923">
          <cell r="H5923" t="str">
            <v>Rota</v>
          </cell>
          <cell r="I5923" t="str">
            <v>11030</v>
          </cell>
        </row>
        <row r="5924">
          <cell r="H5924" t="str">
            <v>Rotglà i Corberà</v>
          </cell>
          <cell r="I5924" t="str">
            <v>46217</v>
          </cell>
        </row>
        <row r="5925">
          <cell r="H5925" t="str">
            <v>Ròtova</v>
          </cell>
          <cell r="I5925" t="str">
            <v>46218</v>
          </cell>
        </row>
        <row r="5926">
          <cell r="H5926" t="str">
            <v>Roturas</v>
          </cell>
          <cell r="I5926" t="str">
            <v>47137</v>
          </cell>
        </row>
        <row r="5927">
          <cell r="H5927" t="str">
            <v>Rourell, El</v>
          </cell>
          <cell r="I5927" t="str">
            <v>43134</v>
          </cell>
        </row>
        <row r="5928">
          <cell r="H5928" t="str">
            <v>Royo, El</v>
          </cell>
          <cell r="I5928" t="str">
            <v>42160</v>
          </cell>
        </row>
        <row r="5929">
          <cell r="H5929" t="str">
            <v>Royuela</v>
          </cell>
          <cell r="I5929" t="str">
            <v>44198</v>
          </cell>
        </row>
        <row r="5930">
          <cell r="H5930" t="str">
            <v>Royuela de Río Franco</v>
          </cell>
          <cell r="I5930" t="str">
            <v>09325</v>
          </cell>
        </row>
        <row r="5931">
          <cell r="H5931" t="str">
            <v>Rozalén del Monte</v>
          </cell>
          <cell r="I5931" t="str">
            <v>16181</v>
          </cell>
        </row>
        <row r="5932">
          <cell r="H5932" t="str">
            <v>Rozas de Madrid, Las</v>
          </cell>
          <cell r="I5932" t="str">
            <v>28127</v>
          </cell>
        </row>
        <row r="5933">
          <cell r="H5933" t="str">
            <v>Rozas de Puerto Real</v>
          </cell>
          <cell r="I5933" t="str">
            <v>28128</v>
          </cell>
        </row>
        <row r="5934">
          <cell r="H5934" t="str">
            <v>Rozas de Valdearroyo, Las</v>
          </cell>
          <cell r="I5934" t="str">
            <v>39065</v>
          </cell>
        </row>
        <row r="5935">
          <cell r="H5935" t="str">
            <v>Rúa, A</v>
          </cell>
          <cell r="I5935" t="str">
            <v>32072</v>
          </cell>
        </row>
        <row r="5936">
          <cell r="H5936" t="str">
            <v>Ruanes</v>
          </cell>
          <cell r="I5936" t="str">
            <v>10161</v>
          </cell>
        </row>
        <row r="5937">
          <cell r="H5937" t="str">
            <v>Rubena</v>
          </cell>
          <cell r="I5937" t="str">
            <v>09326</v>
          </cell>
        </row>
        <row r="5938">
          <cell r="H5938" t="str">
            <v>Rubí</v>
          </cell>
          <cell r="I5938" t="str">
            <v>08184</v>
          </cell>
        </row>
        <row r="5939">
          <cell r="H5939" t="str">
            <v>Rubí de Bracamonte</v>
          </cell>
          <cell r="I5939" t="str">
            <v>47138</v>
          </cell>
        </row>
        <row r="5940">
          <cell r="H5940" t="str">
            <v>Rubiá</v>
          </cell>
          <cell r="I5940" t="str">
            <v>32073</v>
          </cell>
        </row>
        <row r="5941">
          <cell r="H5941" t="str">
            <v>Rubiales</v>
          </cell>
          <cell r="I5941" t="str">
            <v>44199</v>
          </cell>
        </row>
        <row r="5942">
          <cell r="H5942" t="str">
            <v>Rubielos de la Cérida</v>
          </cell>
          <cell r="I5942" t="str">
            <v>44200</v>
          </cell>
        </row>
        <row r="5943">
          <cell r="H5943" t="str">
            <v>Rubielos de Mora</v>
          </cell>
          <cell r="I5943" t="str">
            <v>44201</v>
          </cell>
        </row>
        <row r="5944">
          <cell r="H5944" t="str">
            <v>Rubió</v>
          </cell>
          <cell r="I5944" t="str">
            <v>08185</v>
          </cell>
        </row>
        <row r="5945">
          <cell r="H5945" t="str">
            <v>Rubio, El</v>
          </cell>
          <cell r="I5945" t="str">
            <v>41084</v>
          </cell>
        </row>
        <row r="5946">
          <cell r="H5946" t="str">
            <v>Rubite</v>
          </cell>
          <cell r="I5946" t="str">
            <v>18170</v>
          </cell>
        </row>
        <row r="5947">
          <cell r="H5947" t="str">
            <v>Rublacedo de Abajo</v>
          </cell>
          <cell r="I5947" t="str">
            <v>09327</v>
          </cell>
        </row>
        <row r="5948">
          <cell r="H5948" t="str">
            <v>Rucandio</v>
          </cell>
          <cell r="I5948" t="str">
            <v>09328</v>
          </cell>
        </row>
        <row r="5949">
          <cell r="H5949" t="str">
            <v>Rueda</v>
          </cell>
          <cell r="I5949" t="str">
            <v>47139</v>
          </cell>
        </row>
        <row r="5950">
          <cell r="H5950" t="str">
            <v>Rueda de Jalón</v>
          </cell>
          <cell r="I5950" t="str">
            <v>50228</v>
          </cell>
        </row>
        <row r="5951">
          <cell r="H5951" t="str">
            <v>Rueda de la Sierra</v>
          </cell>
          <cell r="I5951" t="str">
            <v>19243</v>
          </cell>
        </row>
        <row r="5952">
          <cell r="H5952" t="str">
            <v>Ruente</v>
          </cell>
          <cell r="I5952" t="str">
            <v>39066</v>
          </cell>
        </row>
        <row r="5953">
          <cell r="H5953" t="str">
            <v>Ruesca</v>
          </cell>
          <cell r="I5953" t="str">
            <v>50229</v>
          </cell>
        </row>
        <row r="5954">
          <cell r="H5954" t="str">
            <v>Ruesga</v>
          </cell>
          <cell r="I5954" t="str">
            <v>39067</v>
          </cell>
        </row>
        <row r="5955">
          <cell r="H5955" t="str">
            <v>Rugat</v>
          </cell>
          <cell r="I5955" t="str">
            <v>46219</v>
          </cell>
        </row>
        <row r="5956">
          <cell r="H5956" t="str">
            <v>Ruidera</v>
          </cell>
          <cell r="I5956" t="str">
            <v>13902</v>
          </cell>
        </row>
        <row r="5957">
          <cell r="H5957" t="str">
            <v>Ruiloba</v>
          </cell>
          <cell r="I5957" t="str">
            <v>39068</v>
          </cell>
        </row>
        <row r="5958">
          <cell r="H5958" t="str">
            <v>Rupià</v>
          </cell>
          <cell r="I5958" t="str">
            <v>17153</v>
          </cell>
        </row>
        <row r="5959">
          <cell r="H5959" t="str">
            <v>Rupit i Pruit</v>
          </cell>
          <cell r="I5959" t="str">
            <v>08901</v>
          </cell>
        </row>
        <row r="5960">
          <cell r="H5960" t="str">
            <v>Rus</v>
          </cell>
          <cell r="I5960" t="str">
            <v>23074</v>
          </cell>
        </row>
        <row r="5961">
          <cell r="H5961" t="str">
            <v>Rute</v>
          </cell>
          <cell r="I5961" t="str">
            <v>14058</v>
          </cell>
        </row>
        <row r="5962">
          <cell r="H5962" t="str">
            <v>Sabadell</v>
          </cell>
          <cell r="I5962" t="str">
            <v>08187</v>
          </cell>
        </row>
        <row r="5963">
          <cell r="H5963" t="str">
            <v>Sabiñán</v>
          </cell>
          <cell r="I5963" t="str">
            <v>50241</v>
          </cell>
        </row>
        <row r="5964">
          <cell r="H5964" t="str">
            <v>Sabiñánigo</v>
          </cell>
          <cell r="I5964" t="str">
            <v>22199</v>
          </cell>
        </row>
        <row r="5965">
          <cell r="H5965" t="str">
            <v>Sabiote</v>
          </cell>
          <cell r="I5965" t="str">
            <v>23075</v>
          </cell>
        </row>
        <row r="5966">
          <cell r="H5966" t="str">
            <v>Sacañet</v>
          </cell>
          <cell r="I5966" t="str">
            <v>12097</v>
          </cell>
        </row>
        <row r="5967">
          <cell r="H5967" t="str">
            <v>Sacecorbo</v>
          </cell>
          <cell r="I5967" t="str">
            <v>19244</v>
          </cell>
        </row>
        <row r="5968">
          <cell r="H5968" t="str">
            <v>Saceda-Trasierra</v>
          </cell>
          <cell r="I5968" t="str">
            <v>16185</v>
          </cell>
        </row>
        <row r="5969">
          <cell r="H5969" t="str">
            <v>Sacedón</v>
          </cell>
          <cell r="I5969" t="str">
            <v>19245</v>
          </cell>
        </row>
        <row r="5970">
          <cell r="H5970" t="str">
            <v>Saceruela</v>
          </cell>
          <cell r="I5970" t="str">
            <v>13073</v>
          </cell>
        </row>
        <row r="5971">
          <cell r="H5971" t="str">
            <v>Sacramenia</v>
          </cell>
          <cell r="I5971" t="str">
            <v>40174</v>
          </cell>
        </row>
        <row r="5972">
          <cell r="H5972" t="str">
            <v>Sada</v>
          </cell>
          <cell r="I5972" t="str">
            <v>15075</v>
          </cell>
        </row>
        <row r="5973">
          <cell r="H5973" t="str">
            <v>Sada</v>
          </cell>
          <cell r="I5973" t="str">
            <v>31212</v>
          </cell>
        </row>
        <row r="5974">
          <cell r="H5974" t="str">
            <v>Sádaba</v>
          </cell>
          <cell r="I5974" t="str">
            <v>50230</v>
          </cell>
        </row>
        <row r="5975">
          <cell r="H5975" t="str">
            <v>Saelices</v>
          </cell>
          <cell r="I5975" t="str">
            <v>16186</v>
          </cell>
        </row>
        <row r="5976">
          <cell r="H5976" t="str">
            <v>Saelices de la Sal</v>
          </cell>
          <cell r="I5976" t="str">
            <v>19246</v>
          </cell>
        </row>
        <row r="5977">
          <cell r="H5977" t="str">
            <v>Saelices de Mayorga</v>
          </cell>
          <cell r="I5977" t="str">
            <v>47140</v>
          </cell>
        </row>
        <row r="5978">
          <cell r="H5978" t="str">
            <v>Saelices el Chico</v>
          </cell>
          <cell r="I5978" t="str">
            <v>37272</v>
          </cell>
        </row>
        <row r="5979">
          <cell r="H5979" t="str">
            <v>Sagàs</v>
          </cell>
          <cell r="I5979" t="str">
            <v>08188</v>
          </cell>
        </row>
        <row r="5980">
          <cell r="H5980" t="str">
            <v>Sagra</v>
          </cell>
          <cell r="I5980" t="str">
            <v>03115</v>
          </cell>
        </row>
        <row r="5981">
          <cell r="H5981" t="str">
            <v>Sagrada, La</v>
          </cell>
          <cell r="I5981" t="str">
            <v>37273</v>
          </cell>
        </row>
        <row r="5982">
          <cell r="H5982" t="str">
            <v>Sagunt/Sagunto</v>
          </cell>
          <cell r="I5982" t="str">
            <v>46220</v>
          </cell>
        </row>
        <row r="5983">
          <cell r="H5983" t="str">
            <v>Sahagún</v>
          </cell>
          <cell r="I5983" t="str">
            <v>24139</v>
          </cell>
        </row>
        <row r="5984">
          <cell r="H5984" t="str">
            <v>Sahugo, El</v>
          </cell>
          <cell r="I5984" t="str">
            <v>37303</v>
          </cell>
        </row>
        <row r="5985">
          <cell r="H5985" t="str">
            <v>Sahún</v>
          </cell>
          <cell r="I5985" t="str">
            <v>22200</v>
          </cell>
        </row>
        <row r="5986">
          <cell r="H5986" t="str">
            <v>Sajazarra</v>
          </cell>
          <cell r="I5986" t="str">
            <v>26128</v>
          </cell>
        </row>
        <row r="5987">
          <cell r="H5987" t="str">
            <v>Salamanca</v>
          </cell>
          <cell r="I5987" t="str">
            <v>37274</v>
          </cell>
        </row>
        <row r="5988">
          <cell r="H5988" t="str">
            <v>Salar</v>
          </cell>
          <cell r="I5988" t="str">
            <v>18171</v>
          </cell>
        </row>
        <row r="5989">
          <cell r="H5989" t="str">
            <v>Salares</v>
          </cell>
          <cell r="I5989" t="str">
            <v>29085</v>
          </cell>
        </row>
        <row r="5990">
          <cell r="H5990" t="str">
            <v>Salas Altas</v>
          </cell>
          <cell r="I5990" t="str">
            <v>22201</v>
          </cell>
        </row>
        <row r="5991">
          <cell r="H5991" t="str">
            <v>Salas Bajas</v>
          </cell>
          <cell r="I5991" t="str">
            <v>22202</v>
          </cell>
        </row>
        <row r="5992">
          <cell r="H5992" t="str">
            <v>Salas de Bureba</v>
          </cell>
          <cell r="I5992" t="str">
            <v>09329</v>
          </cell>
        </row>
        <row r="5993">
          <cell r="H5993" t="str">
            <v>Salas de los Infantes</v>
          </cell>
          <cell r="I5993" t="str">
            <v>09330</v>
          </cell>
        </row>
        <row r="5994">
          <cell r="H5994" t="str">
            <v>Salàs de Pallars</v>
          </cell>
          <cell r="I5994" t="str">
            <v>25190</v>
          </cell>
        </row>
        <row r="5995">
          <cell r="H5995" t="str">
            <v>Salce</v>
          </cell>
          <cell r="I5995" t="str">
            <v>49183</v>
          </cell>
        </row>
        <row r="5996">
          <cell r="H5996" t="str">
            <v>Salceda de Caselas</v>
          </cell>
          <cell r="I5996" t="str">
            <v>36049</v>
          </cell>
        </row>
        <row r="5997">
          <cell r="H5997" t="str">
            <v>Saldaña</v>
          </cell>
          <cell r="I5997" t="str">
            <v>34157</v>
          </cell>
        </row>
        <row r="5998">
          <cell r="H5998" t="str">
            <v>Saldaña de Burgos</v>
          </cell>
          <cell r="I5998" t="str">
            <v>09332</v>
          </cell>
        </row>
        <row r="5999">
          <cell r="H5999" t="str">
            <v>Saldeana</v>
          </cell>
          <cell r="I5999" t="str">
            <v>37275</v>
          </cell>
        </row>
        <row r="6000">
          <cell r="H6000" t="str">
            <v>Saldes</v>
          </cell>
          <cell r="I6000" t="str">
            <v>08190</v>
          </cell>
        </row>
        <row r="6001">
          <cell r="H6001" t="str">
            <v>Saldías</v>
          </cell>
          <cell r="I6001" t="str">
            <v>31213</v>
          </cell>
        </row>
        <row r="6002">
          <cell r="H6002" t="str">
            <v>Saldón</v>
          </cell>
          <cell r="I6002" t="str">
            <v>44204</v>
          </cell>
        </row>
        <row r="6003">
          <cell r="H6003" t="str">
            <v>Salduero</v>
          </cell>
          <cell r="I6003" t="str">
            <v>42161</v>
          </cell>
        </row>
        <row r="6004">
          <cell r="H6004" t="str">
            <v>Salem</v>
          </cell>
          <cell r="I6004" t="str">
            <v>46221</v>
          </cell>
        </row>
        <row r="6005">
          <cell r="H6005" t="str">
            <v>Sales de Llierca</v>
          </cell>
          <cell r="I6005" t="str">
            <v>17154</v>
          </cell>
        </row>
        <row r="6006">
          <cell r="H6006" t="str">
            <v>Salillas</v>
          </cell>
          <cell r="I6006" t="str">
            <v>22203</v>
          </cell>
        </row>
        <row r="6007">
          <cell r="H6007" t="str">
            <v>Salillas de Jalón</v>
          </cell>
          <cell r="I6007" t="str">
            <v>50231</v>
          </cell>
        </row>
        <row r="6008">
          <cell r="H6008" t="str">
            <v>Salinas</v>
          </cell>
          <cell r="I6008" t="str">
            <v>03116</v>
          </cell>
        </row>
        <row r="6009">
          <cell r="H6009" t="str">
            <v>Salinas de Oro/Jaitz</v>
          </cell>
          <cell r="I6009" t="str">
            <v>31214</v>
          </cell>
        </row>
        <row r="6010">
          <cell r="H6010" t="str">
            <v>Salinas del Manzano</v>
          </cell>
          <cell r="I6010" t="str">
            <v>16187</v>
          </cell>
        </row>
        <row r="6011">
          <cell r="H6011" t="str">
            <v>Salines, Ses</v>
          </cell>
          <cell r="I6011" t="str">
            <v>07059</v>
          </cell>
        </row>
        <row r="6012">
          <cell r="H6012" t="str">
            <v>Salinillas de Bureba</v>
          </cell>
          <cell r="I6012" t="str">
            <v>09334</v>
          </cell>
        </row>
        <row r="6013">
          <cell r="H6013" t="str">
            <v>Sallent</v>
          </cell>
          <cell r="I6013" t="str">
            <v>08191</v>
          </cell>
        </row>
        <row r="6014">
          <cell r="H6014" t="str">
            <v>Sallent de Gállego</v>
          </cell>
          <cell r="I6014" t="str">
            <v>22204</v>
          </cell>
        </row>
        <row r="6015">
          <cell r="H6015" t="str">
            <v>Salmerón</v>
          </cell>
          <cell r="I6015" t="str">
            <v>19247</v>
          </cell>
        </row>
        <row r="6016">
          <cell r="H6016" t="str">
            <v>Salmeroncillos</v>
          </cell>
          <cell r="I6016" t="str">
            <v>16188</v>
          </cell>
        </row>
        <row r="6017">
          <cell r="H6017" t="str">
            <v>Salmoral</v>
          </cell>
          <cell r="I6017" t="str">
            <v>37276</v>
          </cell>
        </row>
        <row r="6018">
          <cell r="H6018" t="str">
            <v>Salobral</v>
          </cell>
          <cell r="I6018" t="str">
            <v>05197</v>
          </cell>
        </row>
        <row r="6019">
          <cell r="H6019" t="str">
            <v>Salobre</v>
          </cell>
          <cell r="I6019" t="str">
            <v>02070</v>
          </cell>
        </row>
        <row r="6020">
          <cell r="H6020" t="str">
            <v>Salobreña</v>
          </cell>
          <cell r="I6020" t="str">
            <v>18173</v>
          </cell>
        </row>
        <row r="6021">
          <cell r="H6021" t="str">
            <v>Salomó</v>
          </cell>
          <cell r="I6021" t="str">
            <v>43135</v>
          </cell>
        </row>
        <row r="6022">
          <cell r="H6022" t="str">
            <v>Salorino</v>
          </cell>
          <cell r="I6022" t="str">
            <v>10162</v>
          </cell>
        </row>
        <row r="6023">
          <cell r="H6023" t="str">
            <v>Salou</v>
          </cell>
          <cell r="I6023" t="str">
            <v>43905</v>
          </cell>
        </row>
        <row r="6024">
          <cell r="H6024" t="str">
            <v>Salt</v>
          </cell>
          <cell r="I6024" t="str">
            <v>17155</v>
          </cell>
        </row>
        <row r="6025">
          <cell r="H6025" t="str">
            <v>Salteras</v>
          </cell>
          <cell r="I6025" t="str">
            <v>41085</v>
          </cell>
        </row>
        <row r="6026">
          <cell r="H6026" t="str">
            <v>Salvacañete</v>
          </cell>
          <cell r="I6026" t="str">
            <v>16189</v>
          </cell>
        </row>
        <row r="6027">
          <cell r="H6027" t="str">
            <v>Salvadiós</v>
          </cell>
          <cell r="I6027" t="str">
            <v>05198</v>
          </cell>
        </row>
        <row r="6028">
          <cell r="H6028" t="str">
            <v>Salvador de Zapardiel</v>
          </cell>
          <cell r="I6028" t="str">
            <v>47141</v>
          </cell>
        </row>
        <row r="6029">
          <cell r="H6029" t="str">
            <v>Salvaleón</v>
          </cell>
          <cell r="I6029" t="str">
            <v>06116</v>
          </cell>
        </row>
        <row r="6030">
          <cell r="H6030" t="str">
            <v>Salvaterra de Miño</v>
          </cell>
          <cell r="I6030" t="str">
            <v>36050</v>
          </cell>
        </row>
        <row r="6031">
          <cell r="H6031" t="str">
            <v>Salvatierra de Esca</v>
          </cell>
          <cell r="I6031" t="str">
            <v>50232</v>
          </cell>
        </row>
        <row r="6032">
          <cell r="H6032" t="str">
            <v>Salvatierra de los Barros</v>
          </cell>
          <cell r="I6032" t="str">
            <v>06117</v>
          </cell>
        </row>
        <row r="6033">
          <cell r="H6033" t="str">
            <v>Salvatierra de Santiago</v>
          </cell>
          <cell r="I6033" t="str">
            <v>10163</v>
          </cell>
        </row>
        <row r="6034">
          <cell r="H6034" t="str">
            <v>Salvatierra de Tormes</v>
          </cell>
          <cell r="I6034" t="str">
            <v>37277</v>
          </cell>
        </row>
        <row r="6035">
          <cell r="H6035" t="str">
            <v>Salzadella, la</v>
          </cell>
          <cell r="I6035" t="str">
            <v>12098</v>
          </cell>
        </row>
        <row r="6036">
          <cell r="H6036" t="str">
            <v>Samaniego</v>
          </cell>
          <cell r="I6036" t="str">
            <v>01052</v>
          </cell>
        </row>
        <row r="6037">
          <cell r="H6037" t="str">
            <v>Samboal</v>
          </cell>
          <cell r="I6037" t="str">
            <v>40176</v>
          </cell>
        </row>
        <row r="6038">
          <cell r="H6038" t="str">
            <v>Samir de los Caños</v>
          </cell>
          <cell r="I6038" t="str">
            <v>49184</v>
          </cell>
        </row>
        <row r="6039">
          <cell r="H6039" t="str">
            <v>Samos</v>
          </cell>
          <cell r="I6039" t="str">
            <v>27055</v>
          </cell>
        </row>
        <row r="6040">
          <cell r="H6040" t="str">
            <v>Samper del Salz</v>
          </cell>
          <cell r="I6040" t="str">
            <v>50233</v>
          </cell>
        </row>
        <row r="6041">
          <cell r="H6041" t="str">
            <v>San Adrián</v>
          </cell>
          <cell r="I6041" t="str">
            <v>31215</v>
          </cell>
        </row>
        <row r="6042">
          <cell r="H6042" t="str">
            <v>San Adrián de Juarros</v>
          </cell>
          <cell r="I6042" t="str">
            <v>09335</v>
          </cell>
        </row>
        <row r="6043">
          <cell r="H6043" t="str">
            <v>San Adrián del Valle</v>
          </cell>
          <cell r="I6043" t="str">
            <v>24141</v>
          </cell>
        </row>
        <row r="6044">
          <cell r="H6044" t="str">
            <v>San Agustín</v>
          </cell>
          <cell r="I6044" t="str">
            <v>44206</v>
          </cell>
        </row>
        <row r="6045">
          <cell r="H6045" t="str">
            <v>San Agustín del Guadalix</v>
          </cell>
          <cell r="I6045" t="str">
            <v>28129</v>
          </cell>
        </row>
        <row r="6046">
          <cell r="H6046" t="str">
            <v>San Agustín del Pozo</v>
          </cell>
          <cell r="I6046" t="str">
            <v>49185</v>
          </cell>
        </row>
        <row r="6047">
          <cell r="H6047" t="str">
            <v>San Amaro</v>
          </cell>
          <cell r="I6047" t="str">
            <v>32074</v>
          </cell>
        </row>
        <row r="6048">
          <cell r="H6048" t="str">
            <v>San Andrés del Congosto</v>
          </cell>
          <cell r="I6048" t="str">
            <v>19248</v>
          </cell>
        </row>
        <row r="6049">
          <cell r="H6049" t="str">
            <v>San Andrés del Rabanedo</v>
          </cell>
          <cell r="I6049" t="str">
            <v>24142</v>
          </cell>
        </row>
        <row r="6050">
          <cell r="H6050" t="str">
            <v>San Andrés del Rey</v>
          </cell>
          <cell r="I6050" t="str">
            <v>19249</v>
          </cell>
        </row>
        <row r="6051">
          <cell r="H6051" t="str">
            <v>San Andrés y Sauces</v>
          </cell>
          <cell r="I6051" t="str">
            <v>38033</v>
          </cell>
        </row>
        <row r="6052">
          <cell r="H6052" t="str">
            <v>San Antonio de Benagéber</v>
          </cell>
          <cell r="I6052" t="str">
            <v>46903</v>
          </cell>
        </row>
        <row r="6053">
          <cell r="H6053" t="str">
            <v>San Asensio</v>
          </cell>
          <cell r="I6053" t="str">
            <v>26129</v>
          </cell>
        </row>
        <row r="6054">
          <cell r="H6054" t="str">
            <v>San Bartolomé</v>
          </cell>
          <cell r="I6054" t="str">
            <v>35018</v>
          </cell>
        </row>
        <row r="6055">
          <cell r="H6055" t="str">
            <v>San Bartolomé de Béjar</v>
          </cell>
          <cell r="I6055" t="str">
            <v>05199</v>
          </cell>
        </row>
        <row r="6056">
          <cell r="H6056" t="str">
            <v>San Bartolomé de Corneja</v>
          </cell>
          <cell r="I6056" t="str">
            <v>05200</v>
          </cell>
        </row>
        <row r="6057">
          <cell r="H6057" t="str">
            <v>San Bartolomé de la Torre</v>
          </cell>
          <cell r="I6057" t="str">
            <v>21063</v>
          </cell>
        </row>
        <row r="6058">
          <cell r="H6058" t="str">
            <v>San Bartolomé de las Abiertas</v>
          </cell>
          <cell r="I6058" t="str">
            <v>45150</v>
          </cell>
        </row>
        <row r="6059">
          <cell r="H6059" t="str">
            <v>San Bartolomé de Pinares</v>
          </cell>
          <cell r="I6059" t="str">
            <v>05201</v>
          </cell>
        </row>
        <row r="6060">
          <cell r="H6060" t="str">
            <v>San Bartolomé de Tirajana</v>
          </cell>
          <cell r="I6060" t="str">
            <v>35019</v>
          </cell>
        </row>
        <row r="6061">
          <cell r="H6061" t="str">
            <v>San Carlos del Valle</v>
          </cell>
          <cell r="I6061" t="str">
            <v>13074</v>
          </cell>
        </row>
        <row r="6062">
          <cell r="H6062" t="str">
            <v>San Cebrián de Campos</v>
          </cell>
          <cell r="I6062" t="str">
            <v>34159</v>
          </cell>
        </row>
        <row r="6063">
          <cell r="H6063" t="str">
            <v>San Cebrián de Castro</v>
          </cell>
          <cell r="I6063" t="str">
            <v>49186</v>
          </cell>
        </row>
        <row r="6064">
          <cell r="H6064" t="str">
            <v>San Cebrián de Mazote</v>
          </cell>
          <cell r="I6064" t="str">
            <v>47142</v>
          </cell>
        </row>
        <row r="6065">
          <cell r="H6065" t="str">
            <v>San Cibrao das Viñas</v>
          </cell>
          <cell r="I6065" t="str">
            <v>32075</v>
          </cell>
        </row>
        <row r="6066">
          <cell r="H6066" t="str">
            <v>San Clemente</v>
          </cell>
          <cell r="I6066" t="str">
            <v>16190</v>
          </cell>
        </row>
        <row r="6067">
          <cell r="H6067" t="str">
            <v>San Cristóbal de Boedo</v>
          </cell>
          <cell r="I6067" t="str">
            <v>34161</v>
          </cell>
        </row>
        <row r="6068">
          <cell r="H6068" t="str">
            <v>San Cristóbal de Cuéllar</v>
          </cell>
          <cell r="I6068" t="str">
            <v>40177</v>
          </cell>
        </row>
        <row r="6069">
          <cell r="H6069" t="str">
            <v>San Cristóbal de Entreviñas</v>
          </cell>
          <cell r="I6069" t="str">
            <v>49187</v>
          </cell>
        </row>
        <row r="6070">
          <cell r="H6070" t="str">
            <v>San Cristóbal de la Cuesta</v>
          </cell>
          <cell r="I6070" t="str">
            <v>37278</v>
          </cell>
        </row>
        <row r="6071">
          <cell r="H6071" t="str">
            <v>San Cristóbal de La Laguna</v>
          </cell>
          <cell r="I6071" t="str">
            <v>38023</v>
          </cell>
        </row>
        <row r="6072">
          <cell r="H6072" t="str">
            <v>San Cristóbal de la Polantera</v>
          </cell>
          <cell r="I6072" t="str">
            <v>24144</v>
          </cell>
        </row>
        <row r="6073">
          <cell r="H6073" t="str">
            <v>San Cristóbal de la Vega</v>
          </cell>
          <cell r="I6073" t="str">
            <v>40178</v>
          </cell>
        </row>
        <row r="6074">
          <cell r="H6074" t="str">
            <v>San Cristóbal de Segovia</v>
          </cell>
          <cell r="I6074" t="str">
            <v>40906</v>
          </cell>
        </row>
        <row r="6075">
          <cell r="H6075" t="str">
            <v>San Cristovo de Cea</v>
          </cell>
          <cell r="I6075" t="str">
            <v>32076</v>
          </cell>
        </row>
        <row r="6076">
          <cell r="H6076" t="str">
            <v>San Esteban de Gormaz</v>
          </cell>
          <cell r="I6076" t="str">
            <v>42162</v>
          </cell>
        </row>
        <row r="6077">
          <cell r="H6077" t="str">
            <v>San Esteban de la Sierra</v>
          </cell>
          <cell r="I6077" t="str">
            <v>37284</v>
          </cell>
        </row>
        <row r="6078">
          <cell r="H6078" t="str">
            <v>San Esteban de Litera</v>
          </cell>
          <cell r="I6078" t="str">
            <v>22205</v>
          </cell>
        </row>
        <row r="6079">
          <cell r="H6079" t="str">
            <v>San Esteban de los Patos</v>
          </cell>
          <cell r="I6079" t="str">
            <v>05206</v>
          </cell>
        </row>
        <row r="6080">
          <cell r="H6080" t="str">
            <v>San Esteban de Nogales</v>
          </cell>
          <cell r="I6080" t="str">
            <v>24146</v>
          </cell>
        </row>
        <row r="6081">
          <cell r="H6081" t="str">
            <v>San Esteban de Zapardiel</v>
          </cell>
          <cell r="I6081" t="str">
            <v>05208</v>
          </cell>
        </row>
        <row r="6082">
          <cell r="H6082" t="str">
            <v>San Esteban del Molar</v>
          </cell>
          <cell r="I6082" t="str">
            <v>49188</v>
          </cell>
        </row>
        <row r="6083">
          <cell r="H6083" t="str">
            <v>San Esteban del Valle</v>
          </cell>
          <cell r="I6083" t="str">
            <v>05207</v>
          </cell>
        </row>
        <row r="6084">
          <cell r="H6084" t="str">
            <v>San Felices</v>
          </cell>
          <cell r="I6084" t="str">
            <v>42163</v>
          </cell>
        </row>
        <row r="6085">
          <cell r="H6085" t="str">
            <v>San Felices de Buelna</v>
          </cell>
          <cell r="I6085" t="str">
            <v>39069</v>
          </cell>
        </row>
        <row r="6086">
          <cell r="H6086" t="str">
            <v>San Felices de los Gallegos</v>
          </cell>
          <cell r="I6086" t="str">
            <v>37285</v>
          </cell>
        </row>
        <row r="6087">
          <cell r="H6087" t="str">
            <v>San Fernando</v>
          </cell>
          <cell r="I6087" t="str">
            <v>11031</v>
          </cell>
        </row>
        <row r="6088">
          <cell r="H6088" t="str">
            <v>San Fernando de Henares</v>
          </cell>
          <cell r="I6088" t="str">
            <v>28130</v>
          </cell>
        </row>
        <row r="6089">
          <cell r="H6089" t="str">
            <v>San Fulgencio</v>
          </cell>
          <cell r="I6089" t="str">
            <v>03118</v>
          </cell>
        </row>
        <row r="6090">
          <cell r="H6090" t="str">
            <v>San García de Ingelmos</v>
          </cell>
          <cell r="I6090" t="str">
            <v>05209</v>
          </cell>
        </row>
        <row r="6091">
          <cell r="H6091" t="str">
            <v>San Isidro</v>
          </cell>
          <cell r="I6091" t="str">
            <v>03904</v>
          </cell>
        </row>
        <row r="6092">
          <cell r="H6092" t="str">
            <v>San Javier</v>
          </cell>
          <cell r="I6092" t="str">
            <v>30035</v>
          </cell>
        </row>
        <row r="6093">
          <cell r="H6093" t="str">
            <v>San José del Valle</v>
          </cell>
          <cell r="I6093" t="str">
            <v>11902</v>
          </cell>
        </row>
        <row r="6094">
          <cell r="H6094" t="str">
            <v>San Juan de Aznalfarache</v>
          </cell>
          <cell r="I6094" t="str">
            <v>41086</v>
          </cell>
        </row>
        <row r="6095">
          <cell r="H6095" t="str">
            <v>San Juan de Gredos</v>
          </cell>
          <cell r="I6095" t="str">
            <v>05901</v>
          </cell>
        </row>
        <row r="6096">
          <cell r="H6096" t="str">
            <v>San Juan de la Encinilla</v>
          </cell>
          <cell r="I6096" t="str">
            <v>05210</v>
          </cell>
        </row>
        <row r="6097">
          <cell r="H6097" t="str">
            <v>San Juan de la Nava</v>
          </cell>
          <cell r="I6097" t="str">
            <v>05211</v>
          </cell>
        </row>
        <row r="6098">
          <cell r="H6098" t="str">
            <v>San Juan de la Rambla</v>
          </cell>
          <cell r="I6098" t="str">
            <v>38034</v>
          </cell>
        </row>
        <row r="6099">
          <cell r="H6099" t="str">
            <v>San Juan de Plan</v>
          </cell>
          <cell r="I6099" t="str">
            <v>22207</v>
          </cell>
        </row>
        <row r="6100">
          <cell r="H6100" t="str">
            <v>San Juan del Molinillo</v>
          </cell>
          <cell r="I6100" t="str">
            <v>05212</v>
          </cell>
        </row>
        <row r="6101">
          <cell r="H6101" t="str">
            <v>San Juan del Monte</v>
          </cell>
          <cell r="I6101" t="str">
            <v>09337</v>
          </cell>
        </row>
        <row r="6102">
          <cell r="H6102" t="str">
            <v>San Juan del Olmo</v>
          </cell>
          <cell r="I6102" t="str">
            <v>05213</v>
          </cell>
        </row>
        <row r="6103">
          <cell r="H6103" t="str">
            <v>San Juan del Puerto</v>
          </cell>
          <cell r="I6103" t="str">
            <v>21064</v>
          </cell>
        </row>
        <row r="6104">
          <cell r="H6104" t="str">
            <v>San Justo</v>
          </cell>
          <cell r="I6104" t="str">
            <v>49189</v>
          </cell>
        </row>
        <row r="6105">
          <cell r="H6105" t="str">
            <v>San Justo de la Vega</v>
          </cell>
          <cell r="I6105" t="str">
            <v>24148</v>
          </cell>
        </row>
        <row r="6106">
          <cell r="H6106" t="str">
            <v>San Leonardo de Yagüe</v>
          </cell>
          <cell r="I6106" t="str">
            <v>42164</v>
          </cell>
        </row>
        <row r="6107">
          <cell r="H6107" t="str">
            <v>San Llorente</v>
          </cell>
          <cell r="I6107" t="str">
            <v>47143</v>
          </cell>
        </row>
        <row r="6108">
          <cell r="H6108" t="str">
            <v>San Lorenzo de Calatrava</v>
          </cell>
          <cell r="I6108" t="str">
            <v>13075</v>
          </cell>
        </row>
        <row r="6109">
          <cell r="H6109" t="str">
            <v>San Lorenzo de El Escorial</v>
          </cell>
          <cell r="I6109" t="str">
            <v>28131</v>
          </cell>
        </row>
        <row r="6110">
          <cell r="H6110" t="str">
            <v>San Lorenzo de la Parrilla</v>
          </cell>
          <cell r="I6110" t="str">
            <v>16191</v>
          </cell>
        </row>
        <row r="6111">
          <cell r="H6111" t="str">
            <v>San Lorenzo de Tormes</v>
          </cell>
          <cell r="I6111" t="str">
            <v>05214</v>
          </cell>
        </row>
        <row r="6112">
          <cell r="H6112" t="str">
            <v>San Mamés de Burgos</v>
          </cell>
          <cell r="I6112" t="str">
            <v>09338</v>
          </cell>
        </row>
        <row r="6113">
          <cell r="H6113" t="str">
            <v>San Mamés de Campos</v>
          </cell>
          <cell r="I6113" t="str">
            <v>34163</v>
          </cell>
        </row>
        <row r="6114">
          <cell r="H6114" t="str">
            <v>San Martín de Boniches</v>
          </cell>
          <cell r="I6114" t="str">
            <v>16192</v>
          </cell>
        </row>
        <row r="6115">
          <cell r="H6115" t="str">
            <v>San Martín de la Vega</v>
          </cell>
          <cell r="I6115" t="str">
            <v>28132</v>
          </cell>
        </row>
        <row r="6116">
          <cell r="H6116" t="str">
            <v>San Martín de la Vega del Alberche</v>
          </cell>
          <cell r="I6116" t="str">
            <v>05215</v>
          </cell>
        </row>
        <row r="6117">
          <cell r="H6117" t="str">
            <v>San Martín de la Virgen de Moncayo</v>
          </cell>
          <cell r="I6117" t="str">
            <v>50234</v>
          </cell>
        </row>
        <row r="6118">
          <cell r="H6118" t="str">
            <v>San Martín de Montalbán</v>
          </cell>
          <cell r="I6118" t="str">
            <v>45151</v>
          </cell>
        </row>
        <row r="6119">
          <cell r="H6119" t="str">
            <v>San Martín de Oscos</v>
          </cell>
          <cell r="I6119" t="str">
            <v>33061</v>
          </cell>
        </row>
        <row r="6120">
          <cell r="H6120" t="str">
            <v>San Martín de Pusa</v>
          </cell>
          <cell r="I6120" t="str">
            <v>45152</v>
          </cell>
        </row>
        <row r="6121">
          <cell r="H6121" t="str">
            <v>San Martín de Rubiales</v>
          </cell>
          <cell r="I6121" t="str">
            <v>09339</v>
          </cell>
        </row>
        <row r="6122">
          <cell r="H6122" t="str">
            <v>San Martín de Trevejo</v>
          </cell>
          <cell r="I6122" t="str">
            <v>10164</v>
          </cell>
        </row>
        <row r="6123">
          <cell r="H6123" t="str">
            <v>San Martín de Unx</v>
          </cell>
          <cell r="I6123" t="str">
            <v>31217</v>
          </cell>
        </row>
        <row r="6124">
          <cell r="H6124" t="str">
            <v>San Martín de Valdeiglesias</v>
          </cell>
          <cell r="I6124" t="str">
            <v>28133</v>
          </cell>
        </row>
        <row r="6125">
          <cell r="H6125" t="str">
            <v>San Martín de Valderaduey</v>
          </cell>
          <cell r="I6125" t="str">
            <v>49190</v>
          </cell>
        </row>
        <row r="6126">
          <cell r="H6126" t="str">
            <v>San Martín de Valvení</v>
          </cell>
          <cell r="I6126" t="str">
            <v>47144</v>
          </cell>
        </row>
        <row r="6127">
          <cell r="H6127" t="str">
            <v>San Martín del Castañar</v>
          </cell>
          <cell r="I6127" t="str">
            <v>37286</v>
          </cell>
        </row>
        <row r="6128">
          <cell r="H6128" t="str">
            <v>San Martín del Pimpollar</v>
          </cell>
          <cell r="I6128" t="str">
            <v>05216</v>
          </cell>
        </row>
        <row r="6129">
          <cell r="H6129" t="str">
            <v>San Martín del Río</v>
          </cell>
          <cell r="I6129" t="str">
            <v>44207</v>
          </cell>
        </row>
        <row r="6130">
          <cell r="H6130" t="str">
            <v>San Martín del Tesorillo</v>
          </cell>
          <cell r="I6130" t="str">
            <v>11903</v>
          </cell>
        </row>
        <row r="6131">
          <cell r="H6131" t="str">
            <v>San Martín y Mudrián</v>
          </cell>
          <cell r="I6131" t="str">
            <v>40182</v>
          </cell>
        </row>
        <row r="6132">
          <cell r="H6132" t="str">
            <v>San Mateo de Gállego</v>
          </cell>
          <cell r="I6132" t="str">
            <v>50235</v>
          </cell>
        </row>
        <row r="6133">
          <cell r="H6133" t="str">
            <v>San Miguel de Abona</v>
          </cell>
          <cell r="I6133" t="str">
            <v>38035</v>
          </cell>
        </row>
        <row r="6134">
          <cell r="H6134" t="str">
            <v>San Miguel de Aguayo</v>
          </cell>
          <cell r="I6134" t="str">
            <v>39070</v>
          </cell>
        </row>
        <row r="6135">
          <cell r="H6135" t="str">
            <v>San Miguel de Bernuy</v>
          </cell>
          <cell r="I6135" t="str">
            <v>40183</v>
          </cell>
        </row>
        <row r="6136">
          <cell r="H6136" t="str">
            <v>San Miguel de Corneja</v>
          </cell>
          <cell r="I6136" t="str">
            <v>05217</v>
          </cell>
        </row>
        <row r="6137">
          <cell r="H6137" t="str">
            <v>San Miguel de la Ribera</v>
          </cell>
          <cell r="I6137" t="str">
            <v>49191</v>
          </cell>
        </row>
        <row r="6138">
          <cell r="H6138" t="str">
            <v>San Miguel de Salinas</v>
          </cell>
          <cell r="I6138" t="str">
            <v>03120</v>
          </cell>
        </row>
        <row r="6139">
          <cell r="H6139" t="str">
            <v>San Miguel de Serrezuela</v>
          </cell>
          <cell r="I6139" t="str">
            <v>05218</v>
          </cell>
        </row>
        <row r="6140">
          <cell r="H6140" t="str">
            <v>San Miguel de Valero</v>
          </cell>
          <cell r="I6140" t="str">
            <v>37287</v>
          </cell>
        </row>
        <row r="6141">
          <cell r="H6141" t="str">
            <v>San Miguel del Arroyo</v>
          </cell>
          <cell r="I6141" t="str">
            <v>47145</v>
          </cell>
        </row>
        <row r="6142">
          <cell r="H6142" t="str">
            <v>San Miguel del Cinca</v>
          </cell>
          <cell r="I6142" t="str">
            <v>22903</v>
          </cell>
        </row>
        <row r="6143">
          <cell r="H6143" t="str">
            <v>San Miguel del Pino</v>
          </cell>
          <cell r="I6143" t="str">
            <v>47146</v>
          </cell>
        </row>
        <row r="6144">
          <cell r="H6144" t="str">
            <v>San Miguel del Robledo</v>
          </cell>
          <cell r="I6144" t="str">
            <v>37036</v>
          </cell>
        </row>
        <row r="6145">
          <cell r="H6145" t="str">
            <v>San Miguel del Valle</v>
          </cell>
          <cell r="I6145" t="str">
            <v>49192</v>
          </cell>
        </row>
        <row r="6146">
          <cell r="H6146" t="str">
            <v>San Millán de la Cogolla</v>
          </cell>
          <cell r="I6146" t="str">
            <v>26130</v>
          </cell>
        </row>
        <row r="6147">
          <cell r="H6147" t="str">
            <v>San Millán de Lara</v>
          </cell>
          <cell r="I6147" t="str">
            <v>09340</v>
          </cell>
        </row>
        <row r="6148">
          <cell r="H6148" t="str">
            <v>San Millán de los Caballeros</v>
          </cell>
          <cell r="I6148" t="str">
            <v>24149</v>
          </cell>
        </row>
        <row r="6149">
          <cell r="H6149" t="str">
            <v>San Millán de Yécora</v>
          </cell>
          <cell r="I6149" t="str">
            <v>26131</v>
          </cell>
        </row>
        <row r="6150">
          <cell r="H6150" t="str">
            <v>San Millán/Donemiliaga</v>
          </cell>
          <cell r="I6150" t="str">
            <v>01053</v>
          </cell>
        </row>
        <row r="6151">
          <cell r="H6151" t="str">
            <v>San Morales</v>
          </cell>
          <cell r="I6151" t="str">
            <v>37288</v>
          </cell>
        </row>
        <row r="6152">
          <cell r="H6152" t="str">
            <v>San Muñoz</v>
          </cell>
          <cell r="I6152" t="str">
            <v>37289</v>
          </cell>
        </row>
        <row r="6153">
          <cell r="H6153" t="str">
            <v>San Nicolás del Puerto</v>
          </cell>
          <cell r="I6153" t="str">
            <v>41088</v>
          </cell>
        </row>
        <row r="6154">
          <cell r="H6154" t="str">
            <v>San Pablo de la Moraleja</v>
          </cell>
          <cell r="I6154" t="str">
            <v>47147</v>
          </cell>
        </row>
        <row r="6155">
          <cell r="H6155" t="str">
            <v>San Pablo de los Montes</v>
          </cell>
          <cell r="I6155" t="str">
            <v>45153</v>
          </cell>
        </row>
        <row r="6156">
          <cell r="H6156" t="str">
            <v>San Pascual</v>
          </cell>
          <cell r="I6156" t="str">
            <v>05219</v>
          </cell>
        </row>
        <row r="6157">
          <cell r="H6157" t="str">
            <v>San Pedro</v>
          </cell>
          <cell r="I6157" t="str">
            <v>02071</v>
          </cell>
        </row>
        <row r="6158">
          <cell r="H6158" t="str">
            <v>San Pedro Bercianos</v>
          </cell>
          <cell r="I6158" t="str">
            <v>24150</v>
          </cell>
        </row>
        <row r="6159">
          <cell r="H6159" t="str">
            <v>San Pedro de Ceque</v>
          </cell>
          <cell r="I6159" t="str">
            <v>49193</v>
          </cell>
        </row>
        <row r="6160">
          <cell r="H6160" t="str">
            <v>San Pedro de Gaíllos</v>
          </cell>
          <cell r="I6160" t="str">
            <v>40184</v>
          </cell>
        </row>
        <row r="6161">
          <cell r="H6161" t="str">
            <v>San Pedro de la Nave-Almendra</v>
          </cell>
          <cell r="I6161" t="str">
            <v>49194</v>
          </cell>
        </row>
        <row r="6162">
          <cell r="H6162" t="str">
            <v>San Pedro de Latarce</v>
          </cell>
          <cell r="I6162" t="str">
            <v>47148</v>
          </cell>
        </row>
        <row r="6163">
          <cell r="H6163" t="str">
            <v>San Pedro de Mérida</v>
          </cell>
          <cell r="I6163" t="str">
            <v>06119</v>
          </cell>
        </row>
        <row r="6164">
          <cell r="H6164" t="str">
            <v>San Pedro de Rozados</v>
          </cell>
          <cell r="I6164" t="str">
            <v>37291</v>
          </cell>
        </row>
        <row r="6165">
          <cell r="H6165" t="str">
            <v>San Pedro del Arroyo</v>
          </cell>
          <cell r="I6165" t="str">
            <v>05220</v>
          </cell>
        </row>
        <row r="6166">
          <cell r="H6166" t="str">
            <v>San Pedro del Pinatar</v>
          </cell>
          <cell r="I6166" t="str">
            <v>30036</v>
          </cell>
        </row>
        <row r="6167">
          <cell r="H6167" t="str">
            <v>San Pedro del Romeral</v>
          </cell>
          <cell r="I6167" t="str">
            <v>39071</v>
          </cell>
        </row>
        <row r="6168">
          <cell r="H6168" t="str">
            <v>San Pedro del Valle</v>
          </cell>
          <cell r="I6168" t="str">
            <v>37290</v>
          </cell>
        </row>
        <row r="6169">
          <cell r="H6169" t="str">
            <v>San Pedro Manrique</v>
          </cell>
          <cell r="I6169" t="str">
            <v>42165</v>
          </cell>
        </row>
        <row r="6170">
          <cell r="H6170" t="str">
            <v>San Pedro Palmiches</v>
          </cell>
          <cell r="I6170" t="str">
            <v>16193</v>
          </cell>
        </row>
        <row r="6171">
          <cell r="H6171" t="str">
            <v>San Pelayo</v>
          </cell>
          <cell r="I6171" t="str">
            <v>47149</v>
          </cell>
        </row>
        <row r="6172">
          <cell r="H6172" t="str">
            <v>San Pelayo de Guareña</v>
          </cell>
          <cell r="I6172" t="str">
            <v>37292</v>
          </cell>
        </row>
        <row r="6173">
          <cell r="H6173" t="str">
            <v>San Rafael del Río</v>
          </cell>
          <cell r="I6173" t="str">
            <v>12101</v>
          </cell>
        </row>
        <row r="6174">
          <cell r="H6174" t="str">
            <v>San Román de Cameros</v>
          </cell>
          <cell r="I6174" t="str">
            <v>26132</v>
          </cell>
        </row>
        <row r="6175">
          <cell r="H6175" t="str">
            <v>San Román de Hornija</v>
          </cell>
          <cell r="I6175" t="str">
            <v>47150</v>
          </cell>
        </row>
        <row r="6176">
          <cell r="H6176" t="str">
            <v>San Román de la Cuba</v>
          </cell>
          <cell r="I6176" t="str">
            <v>34165</v>
          </cell>
        </row>
        <row r="6177">
          <cell r="H6177" t="str">
            <v>San Román de los Montes</v>
          </cell>
          <cell r="I6177" t="str">
            <v>45154</v>
          </cell>
        </row>
        <row r="6178">
          <cell r="H6178" t="str">
            <v>San Roque de Riomiera</v>
          </cell>
          <cell r="I6178" t="str">
            <v>39072</v>
          </cell>
        </row>
        <row r="6179">
          <cell r="H6179" t="str">
            <v>San Salvador</v>
          </cell>
          <cell r="I6179" t="str">
            <v>47151</v>
          </cell>
        </row>
        <row r="6180">
          <cell r="H6180" t="str">
            <v>San Sebastián de la Gomera</v>
          </cell>
          <cell r="I6180" t="str">
            <v>38036</v>
          </cell>
        </row>
        <row r="6181">
          <cell r="H6181" t="str">
            <v>San Sebastián de los Ballesteros</v>
          </cell>
          <cell r="I6181" t="str">
            <v>14059</v>
          </cell>
        </row>
        <row r="6182">
          <cell r="H6182" t="str">
            <v>San Sebastián de los Reyes</v>
          </cell>
          <cell r="I6182" t="str">
            <v>28134</v>
          </cell>
        </row>
        <row r="6183">
          <cell r="H6183" t="str">
            <v>San Silvestre de Guzmán</v>
          </cell>
          <cell r="I6183" t="str">
            <v>21066</v>
          </cell>
        </row>
        <row r="6184">
          <cell r="H6184" t="str">
            <v>San Tirso de Abres</v>
          </cell>
          <cell r="I6184" t="str">
            <v>33063</v>
          </cell>
        </row>
        <row r="6185">
          <cell r="H6185" t="str">
            <v>San Torcuato</v>
          </cell>
          <cell r="I6185" t="str">
            <v>26139</v>
          </cell>
        </row>
        <row r="6186">
          <cell r="H6186" t="str">
            <v>San Vicente de Alcántara</v>
          </cell>
          <cell r="I6186" t="str">
            <v>06123</v>
          </cell>
        </row>
        <row r="6187">
          <cell r="H6187" t="str">
            <v>San Vicente de Arévalo</v>
          </cell>
          <cell r="I6187" t="str">
            <v>05231</v>
          </cell>
        </row>
        <row r="6188">
          <cell r="H6188" t="str">
            <v>San Vicente de la Barquera</v>
          </cell>
          <cell r="I6188" t="str">
            <v>39080</v>
          </cell>
        </row>
        <row r="6189">
          <cell r="H6189" t="str">
            <v>San Vicente de la Cabeza</v>
          </cell>
          <cell r="I6189" t="str">
            <v>49208</v>
          </cell>
        </row>
        <row r="6190">
          <cell r="H6190" t="str">
            <v>San Vicente de la Sonsierra</v>
          </cell>
          <cell r="I6190" t="str">
            <v>26142</v>
          </cell>
        </row>
        <row r="6191">
          <cell r="H6191" t="str">
            <v>San Vicente del Palacio</v>
          </cell>
          <cell r="I6191" t="str">
            <v>47156</v>
          </cell>
        </row>
        <row r="6192">
          <cell r="H6192" t="str">
            <v>San Vicente del Valle</v>
          </cell>
          <cell r="I6192" t="str">
            <v>09360</v>
          </cell>
        </row>
        <row r="6193">
          <cell r="H6193" t="str">
            <v>San Vitero</v>
          </cell>
          <cell r="I6193" t="str">
            <v>49209</v>
          </cell>
        </row>
        <row r="6194">
          <cell r="H6194" t="str">
            <v>San Xoán de Río</v>
          </cell>
          <cell r="I6194" t="str">
            <v>32070</v>
          </cell>
        </row>
        <row r="6195">
          <cell r="H6195" t="str">
            <v>Sanaüja</v>
          </cell>
          <cell r="I6195" t="str">
            <v>25191</v>
          </cell>
        </row>
        <row r="6196">
          <cell r="H6196" t="str">
            <v>Sanchidrián</v>
          </cell>
          <cell r="I6196" t="str">
            <v>05204</v>
          </cell>
        </row>
        <row r="6197">
          <cell r="H6197" t="str">
            <v>Sanchón de la Ribera</v>
          </cell>
          <cell r="I6197" t="str">
            <v>37280</v>
          </cell>
        </row>
        <row r="6198">
          <cell r="H6198" t="str">
            <v>Sanchón de la Sagrada</v>
          </cell>
          <cell r="I6198" t="str">
            <v>37281</v>
          </cell>
        </row>
        <row r="6199">
          <cell r="H6199" t="str">
            <v>Sanchonuño</v>
          </cell>
          <cell r="I6199" t="str">
            <v>40179</v>
          </cell>
        </row>
        <row r="6200">
          <cell r="H6200" t="str">
            <v>Sanchorreja</v>
          </cell>
          <cell r="I6200" t="str">
            <v>05205</v>
          </cell>
        </row>
        <row r="6201">
          <cell r="H6201" t="str">
            <v>Sanchotello</v>
          </cell>
          <cell r="I6201" t="str">
            <v>37282</v>
          </cell>
        </row>
        <row r="6202">
          <cell r="H6202" t="str">
            <v>Sancti-Spíritus</v>
          </cell>
          <cell r="I6202" t="str">
            <v>06118</v>
          </cell>
        </row>
        <row r="6203">
          <cell r="H6203" t="str">
            <v>Sancti-Spíritus</v>
          </cell>
          <cell r="I6203" t="str">
            <v>37279</v>
          </cell>
        </row>
        <row r="6204">
          <cell r="H6204" t="str">
            <v>Sandiás</v>
          </cell>
          <cell r="I6204" t="str">
            <v>32077</v>
          </cell>
        </row>
        <row r="6205">
          <cell r="H6205" t="str">
            <v>Sando</v>
          </cell>
          <cell r="I6205" t="str">
            <v>37283</v>
          </cell>
        </row>
        <row r="6206">
          <cell r="H6206" t="str">
            <v>Sanet y Negrals</v>
          </cell>
          <cell r="I6206" t="str">
            <v>03117</v>
          </cell>
        </row>
        <row r="6207">
          <cell r="H6207" t="str">
            <v>Sangarcía</v>
          </cell>
          <cell r="I6207" t="str">
            <v>40180</v>
          </cell>
        </row>
        <row r="6208">
          <cell r="H6208" t="str">
            <v>Sangarrén</v>
          </cell>
          <cell r="I6208" t="str">
            <v>22206</v>
          </cell>
        </row>
        <row r="6209">
          <cell r="H6209" t="str">
            <v>Sangüesa/Zangoza</v>
          </cell>
          <cell r="I6209" t="str">
            <v>31216</v>
          </cell>
        </row>
        <row r="6210">
          <cell r="H6210" t="str">
            <v>Sanlúcar de Barrameda</v>
          </cell>
          <cell r="I6210" t="str">
            <v>11032</v>
          </cell>
        </row>
        <row r="6211">
          <cell r="H6211" t="str">
            <v>Sanlúcar de Guadiana</v>
          </cell>
          <cell r="I6211" t="str">
            <v>21065</v>
          </cell>
        </row>
        <row r="6212">
          <cell r="H6212" t="str">
            <v>Sanlúcar la Mayor</v>
          </cell>
          <cell r="I6212" t="str">
            <v>41087</v>
          </cell>
        </row>
        <row r="6213">
          <cell r="H6213" t="str">
            <v>Sansol</v>
          </cell>
          <cell r="I6213" t="str">
            <v>31219</v>
          </cell>
        </row>
        <row r="6214">
          <cell r="H6214" t="str">
            <v>Sant Adrià de Besòs</v>
          </cell>
          <cell r="I6214" t="str">
            <v>08194</v>
          </cell>
        </row>
        <row r="6215">
          <cell r="H6215" t="str">
            <v>Sant Agustí de Lluçanès</v>
          </cell>
          <cell r="I6215" t="str">
            <v>08195</v>
          </cell>
        </row>
        <row r="6216">
          <cell r="H6216" t="str">
            <v>Sant Andreu de la Barca</v>
          </cell>
          <cell r="I6216" t="str">
            <v>08196</v>
          </cell>
        </row>
        <row r="6217">
          <cell r="H6217" t="str">
            <v>Sant Andreu de Llavaneres</v>
          </cell>
          <cell r="I6217" t="str">
            <v>08197</v>
          </cell>
        </row>
        <row r="6218">
          <cell r="H6218" t="str">
            <v>Sant Andreu Salou</v>
          </cell>
          <cell r="I6218" t="str">
            <v>17157</v>
          </cell>
        </row>
        <row r="6219">
          <cell r="H6219" t="str">
            <v>Sant Aniol de Finestres</v>
          </cell>
          <cell r="I6219" t="str">
            <v>17183</v>
          </cell>
        </row>
        <row r="6220">
          <cell r="H6220" t="str">
            <v>Sant Antoni de Portmany</v>
          </cell>
          <cell r="I6220" t="str">
            <v>07046</v>
          </cell>
        </row>
        <row r="6221">
          <cell r="H6221" t="str">
            <v>Sant Antoni de Vilamajor</v>
          </cell>
          <cell r="I6221" t="str">
            <v>08198</v>
          </cell>
        </row>
        <row r="6222">
          <cell r="H6222" t="str">
            <v>Sant Bartomeu del Grau</v>
          </cell>
          <cell r="I6222" t="str">
            <v>08199</v>
          </cell>
        </row>
        <row r="6223">
          <cell r="H6223" t="str">
            <v>Sant Boi de Llobregat</v>
          </cell>
          <cell r="I6223" t="str">
            <v>08200</v>
          </cell>
        </row>
        <row r="6224">
          <cell r="H6224" t="str">
            <v>Sant Boi de Lluçanès</v>
          </cell>
          <cell r="I6224" t="str">
            <v>08201</v>
          </cell>
        </row>
        <row r="6225">
          <cell r="H6225" t="str">
            <v>Sant Cebrià de Vallalta</v>
          </cell>
          <cell r="I6225" t="str">
            <v>08203</v>
          </cell>
        </row>
        <row r="6226">
          <cell r="H6226" t="str">
            <v>Sant Celoni</v>
          </cell>
          <cell r="I6226" t="str">
            <v>08202</v>
          </cell>
        </row>
        <row r="6227">
          <cell r="H6227" t="str">
            <v>Sant Climent de Llobregat</v>
          </cell>
          <cell r="I6227" t="str">
            <v>08204</v>
          </cell>
        </row>
        <row r="6228">
          <cell r="H6228" t="str">
            <v>Sant Climent Sescebes</v>
          </cell>
          <cell r="I6228" t="str">
            <v>17158</v>
          </cell>
        </row>
        <row r="6229">
          <cell r="H6229" t="str">
            <v>Sant Cugat del Vallès</v>
          </cell>
          <cell r="I6229" t="str">
            <v>08205</v>
          </cell>
        </row>
        <row r="6230">
          <cell r="H6230" t="str">
            <v>Sant Cugat Sesgarrigues</v>
          </cell>
          <cell r="I6230" t="str">
            <v>08206</v>
          </cell>
        </row>
        <row r="6231">
          <cell r="H6231" t="str">
            <v>Sant Esteve de la Sarga</v>
          </cell>
          <cell r="I6231" t="str">
            <v>25196</v>
          </cell>
        </row>
        <row r="6232">
          <cell r="H6232" t="str">
            <v>Sant Esteve de Palautordera</v>
          </cell>
          <cell r="I6232" t="str">
            <v>08207</v>
          </cell>
        </row>
        <row r="6233">
          <cell r="H6233" t="str">
            <v>Sant Esteve Sesrovires</v>
          </cell>
          <cell r="I6233" t="str">
            <v>08208</v>
          </cell>
        </row>
        <row r="6234">
          <cell r="H6234" t="str">
            <v>Sant Feliu de Buixalleu</v>
          </cell>
          <cell r="I6234" t="str">
            <v>17159</v>
          </cell>
        </row>
        <row r="6235">
          <cell r="H6235" t="str">
            <v>Sant Feliu de Codines</v>
          </cell>
          <cell r="I6235" t="str">
            <v>08210</v>
          </cell>
        </row>
        <row r="6236">
          <cell r="H6236" t="str">
            <v>Sant Feliu de Guíxols</v>
          </cell>
          <cell r="I6236" t="str">
            <v>17160</v>
          </cell>
        </row>
        <row r="6237">
          <cell r="H6237" t="str">
            <v>Sant Feliu de Llobregat</v>
          </cell>
          <cell r="I6237" t="str">
            <v>08211</v>
          </cell>
        </row>
        <row r="6238">
          <cell r="H6238" t="str">
            <v>Sant Feliu de Pallerols</v>
          </cell>
          <cell r="I6238" t="str">
            <v>17161</v>
          </cell>
        </row>
        <row r="6239">
          <cell r="H6239" t="str">
            <v>Sant Feliu Sasserra</v>
          </cell>
          <cell r="I6239" t="str">
            <v>08212</v>
          </cell>
        </row>
        <row r="6240">
          <cell r="H6240" t="str">
            <v>Sant Ferriol</v>
          </cell>
          <cell r="I6240" t="str">
            <v>17162</v>
          </cell>
        </row>
        <row r="6241">
          <cell r="H6241" t="str">
            <v>Sant Fost de Campsentelles</v>
          </cell>
          <cell r="I6241" t="str">
            <v>08209</v>
          </cell>
        </row>
        <row r="6242">
          <cell r="H6242" t="str">
            <v>Sant Fruitós de Bages</v>
          </cell>
          <cell r="I6242" t="str">
            <v>08213</v>
          </cell>
        </row>
        <row r="6243">
          <cell r="H6243" t="str">
            <v>Sant Gregori</v>
          </cell>
          <cell r="I6243" t="str">
            <v>17163</v>
          </cell>
        </row>
        <row r="6244">
          <cell r="H6244" t="str">
            <v>Sant Guim de Freixenet</v>
          </cell>
          <cell r="I6244" t="str">
            <v>25192</v>
          </cell>
        </row>
        <row r="6245">
          <cell r="H6245" t="str">
            <v>Sant Guim de la Plana</v>
          </cell>
          <cell r="I6245" t="str">
            <v>25197</v>
          </cell>
        </row>
        <row r="6246">
          <cell r="H6246" t="str">
            <v>Sant Hilari Sacalm</v>
          </cell>
          <cell r="I6246" t="str">
            <v>17164</v>
          </cell>
        </row>
        <row r="6247">
          <cell r="H6247" t="str">
            <v>Sant Hipòlit de Voltregà</v>
          </cell>
          <cell r="I6247" t="str">
            <v>08215</v>
          </cell>
        </row>
        <row r="6248">
          <cell r="H6248" t="str">
            <v>Sant Iscle de Vallalta</v>
          </cell>
          <cell r="I6248" t="str">
            <v>08193</v>
          </cell>
        </row>
        <row r="6249">
          <cell r="H6249" t="str">
            <v>Sant Jaume de Frontanyà</v>
          </cell>
          <cell r="I6249" t="str">
            <v>08216</v>
          </cell>
        </row>
        <row r="6250">
          <cell r="H6250" t="str">
            <v>Sant Jaume de Llierca</v>
          </cell>
          <cell r="I6250" t="str">
            <v>17165</v>
          </cell>
        </row>
        <row r="6251">
          <cell r="H6251" t="str">
            <v>Sant Jaume dels Domenys</v>
          </cell>
          <cell r="I6251" t="str">
            <v>43137</v>
          </cell>
        </row>
        <row r="6252">
          <cell r="H6252" t="str">
            <v>Sant Jaume d'Enveja</v>
          </cell>
          <cell r="I6252" t="str">
            <v>43902</v>
          </cell>
        </row>
        <row r="6253">
          <cell r="H6253" t="str">
            <v>Sant Joan</v>
          </cell>
          <cell r="I6253" t="str">
            <v>07049</v>
          </cell>
        </row>
        <row r="6254">
          <cell r="H6254" t="str">
            <v>Sant Joan d'Alacant</v>
          </cell>
          <cell r="I6254" t="str">
            <v>03119</v>
          </cell>
        </row>
        <row r="6255">
          <cell r="H6255" t="str">
            <v>Sant Joan de Labritja</v>
          </cell>
          <cell r="I6255" t="str">
            <v>07050</v>
          </cell>
        </row>
        <row r="6256">
          <cell r="H6256" t="str">
            <v>Sant Joan de les Abadesses</v>
          </cell>
          <cell r="I6256" t="str">
            <v>17167</v>
          </cell>
        </row>
        <row r="6257">
          <cell r="H6257" t="str">
            <v>Sant Joan de Mollet</v>
          </cell>
          <cell r="I6257" t="str">
            <v>17168</v>
          </cell>
        </row>
        <row r="6258">
          <cell r="H6258" t="str">
            <v>Sant Joan de Moró</v>
          </cell>
          <cell r="I6258" t="str">
            <v>12902</v>
          </cell>
        </row>
        <row r="6259">
          <cell r="H6259" t="str">
            <v>Sant Joan de Vilatorrada</v>
          </cell>
          <cell r="I6259" t="str">
            <v>08218</v>
          </cell>
        </row>
        <row r="6260">
          <cell r="H6260" t="str">
            <v>Sant Joan Despí</v>
          </cell>
          <cell r="I6260" t="str">
            <v>08217</v>
          </cell>
        </row>
        <row r="6261">
          <cell r="H6261" t="str">
            <v>Sant Joan les Fonts</v>
          </cell>
          <cell r="I6261" t="str">
            <v>17185</v>
          </cell>
        </row>
        <row r="6262">
          <cell r="H6262" t="str">
            <v>Sant Joanet</v>
          </cell>
          <cell r="I6262" t="str">
            <v>46222</v>
          </cell>
        </row>
        <row r="6263">
          <cell r="H6263" t="str">
            <v>Sant Jordi Desvalls</v>
          </cell>
          <cell r="I6263" t="str">
            <v>17166</v>
          </cell>
        </row>
        <row r="6264">
          <cell r="H6264" t="str">
            <v>Sant Jordi/San Jorge</v>
          </cell>
          <cell r="I6264" t="str">
            <v>12099</v>
          </cell>
        </row>
        <row r="6265">
          <cell r="H6265" t="str">
            <v>Sant Josep de sa Talaia</v>
          </cell>
          <cell r="I6265" t="str">
            <v>07048</v>
          </cell>
        </row>
        <row r="6266">
          <cell r="H6266" t="str">
            <v>Sant Julià de Cerdanyola</v>
          </cell>
          <cell r="I6266" t="str">
            <v>08903</v>
          </cell>
        </row>
        <row r="6267">
          <cell r="H6267" t="str">
            <v>Sant Julià de Ramis</v>
          </cell>
          <cell r="I6267" t="str">
            <v>17169</v>
          </cell>
        </row>
        <row r="6268">
          <cell r="H6268" t="str">
            <v>Sant Julià de Vilatorta</v>
          </cell>
          <cell r="I6268" t="str">
            <v>08220</v>
          </cell>
        </row>
        <row r="6269">
          <cell r="H6269" t="str">
            <v>Sant Julià del Llor i Bonmatí</v>
          </cell>
          <cell r="I6269" t="str">
            <v>17903</v>
          </cell>
        </row>
        <row r="6270">
          <cell r="H6270" t="str">
            <v>Sant Just Desvern</v>
          </cell>
          <cell r="I6270" t="str">
            <v>08221</v>
          </cell>
        </row>
        <row r="6271">
          <cell r="H6271" t="str">
            <v>Sant Llorenç de la Muga</v>
          </cell>
          <cell r="I6271" t="str">
            <v>17171</v>
          </cell>
        </row>
        <row r="6272">
          <cell r="H6272" t="str">
            <v>Sant Llorenç de Morunys</v>
          </cell>
          <cell r="I6272" t="str">
            <v>25193</v>
          </cell>
        </row>
        <row r="6273">
          <cell r="H6273" t="str">
            <v>Sant Llorenç des Cardassar</v>
          </cell>
          <cell r="I6273" t="str">
            <v>07051</v>
          </cell>
        </row>
        <row r="6274">
          <cell r="H6274" t="str">
            <v>Sant Llorenç d'Hortons</v>
          </cell>
          <cell r="I6274" t="str">
            <v>08222</v>
          </cell>
        </row>
        <row r="6275">
          <cell r="H6275" t="str">
            <v>Sant Llorenç Savall</v>
          </cell>
          <cell r="I6275" t="str">
            <v>08223</v>
          </cell>
        </row>
        <row r="6276">
          <cell r="H6276" t="str">
            <v>Sant Lluís</v>
          </cell>
          <cell r="I6276" t="str">
            <v>07052</v>
          </cell>
        </row>
        <row r="6277">
          <cell r="H6277" t="str">
            <v>Sant Martí d'Albars</v>
          </cell>
          <cell r="I6277" t="str">
            <v>08225</v>
          </cell>
        </row>
        <row r="6278">
          <cell r="H6278" t="str">
            <v>Sant Martí de Centelles</v>
          </cell>
          <cell r="I6278" t="str">
            <v>08224</v>
          </cell>
        </row>
        <row r="6279">
          <cell r="H6279" t="str">
            <v>Sant Martí de Llémena</v>
          </cell>
          <cell r="I6279" t="str">
            <v>17172</v>
          </cell>
        </row>
        <row r="6280">
          <cell r="H6280" t="str">
            <v>Sant Martí de Riucorb</v>
          </cell>
          <cell r="I6280" t="str">
            <v>25902</v>
          </cell>
        </row>
        <row r="6281">
          <cell r="H6281" t="str">
            <v>Sant Martí de Tous</v>
          </cell>
          <cell r="I6281" t="str">
            <v>08226</v>
          </cell>
        </row>
        <row r="6282">
          <cell r="H6282" t="str">
            <v>Sant Martí Sarroca</v>
          </cell>
          <cell r="I6282" t="str">
            <v>08227</v>
          </cell>
        </row>
        <row r="6283">
          <cell r="H6283" t="str">
            <v>Sant Martí Sesgueioles</v>
          </cell>
          <cell r="I6283" t="str">
            <v>08228</v>
          </cell>
        </row>
        <row r="6284">
          <cell r="H6284" t="str">
            <v>Sant Martí Vell</v>
          </cell>
          <cell r="I6284" t="str">
            <v>17173</v>
          </cell>
        </row>
        <row r="6285">
          <cell r="H6285" t="str">
            <v>Sant Mateu</v>
          </cell>
          <cell r="I6285" t="str">
            <v>12100</v>
          </cell>
        </row>
        <row r="6286">
          <cell r="H6286" t="str">
            <v>Sant Mateu de Bages</v>
          </cell>
          <cell r="I6286" t="str">
            <v>08229</v>
          </cell>
        </row>
        <row r="6287">
          <cell r="H6287" t="str">
            <v>Sant Miquel de Campmajor</v>
          </cell>
          <cell r="I6287" t="str">
            <v>17174</v>
          </cell>
        </row>
        <row r="6288">
          <cell r="H6288" t="str">
            <v>Sant Miquel de Fluvià</v>
          </cell>
          <cell r="I6288" t="str">
            <v>17175</v>
          </cell>
        </row>
        <row r="6289">
          <cell r="H6289" t="str">
            <v>Sant Mori</v>
          </cell>
          <cell r="I6289" t="str">
            <v>17176</v>
          </cell>
        </row>
        <row r="6290">
          <cell r="H6290" t="str">
            <v>Sant Pau de Segúries</v>
          </cell>
          <cell r="I6290" t="str">
            <v>17177</v>
          </cell>
        </row>
        <row r="6291">
          <cell r="H6291" t="str">
            <v>Sant Pere de Ribes</v>
          </cell>
          <cell r="I6291" t="str">
            <v>08231</v>
          </cell>
        </row>
        <row r="6292">
          <cell r="H6292" t="str">
            <v>Sant Pere de Riudebitlles</v>
          </cell>
          <cell r="I6292" t="str">
            <v>08232</v>
          </cell>
        </row>
        <row r="6293">
          <cell r="H6293" t="str">
            <v>Sant Pere de Torelló</v>
          </cell>
          <cell r="I6293" t="str">
            <v>08233</v>
          </cell>
        </row>
        <row r="6294">
          <cell r="H6294" t="str">
            <v>Sant Pere de Vilamajor</v>
          </cell>
          <cell r="I6294" t="str">
            <v>08234</v>
          </cell>
        </row>
        <row r="6295">
          <cell r="H6295" t="str">
            <v>Sant Pere Pescador</v>
          </cell>
          <cell r="I6295" t="str">
            <v>17178</v>
          </cell>
        </row>
        <row r="6296">
          <cell r="H6296" t="str">
            <v>Sant Pere Sallavinera</v>
          </cell>
          <cell r="I6296" t="str">
            <v>08189</v>
          </cell>
        </row>
        <row r="6297">
          <cell r="H6297" t="str">
            <v>Sant Pol de Mar</v>
          </cell>
          <cell r="I6297" t="str">
            <v>08235</v>
          </cell>
        </row>
        <row r="6298">
          <cell r="H6298" t="str">
            <v>Sant Quintí de Mediona</v>
          </cell>
          <cell r="I6298" t="str">
            <v>08236</v>
          </cell>
        </row>
        <row r="6299">
          <cell r="H6299" t="str">
            <v>Sant Quirze de Besora</v>
          </cell>
          <cell r="I6299" t="str">
            <v>08237</v>
          </cell>
        </row>
        <row r="6300">
          <cell r="H6300" t="str">
            <v>Sant Quirze del Vallès</v>
          </cell>
          <cell r="I6300" t="str">
            <v>08238</v>
          </cell>
        </row>
        <row r="6301">
          <cell r="H6301" t="str">
            <v>Sant Quirze Safaja</v>
          </cell>
          <cell r="I6301" t="str">
            <v>08239</v>
          </cell>
        </row>
        <row r="6302">
          <cell r="H6302" t="str">
            <v>Sant Ramon</v>
          </cell>
          <cell r="I6302" t="str">
            <v>25194</v>
          </cell>
        </row>
        <row r="6303">
          <cell r="H6303" t="str">
            <v>Sant Sadurní d'Anoia</v>
          </cell>
          <cell r="I6303" t="str">
            <v>08240</v>
          </cell>
        </row>
        <row r="6304">
          <cell r="H6304" t="str">
            <v>Sant Sadurní d'Osormort</v>
          </cell>
          <cell r="I6304" t="str">
            <v>08241</v>
          </cell>
        </row>
        <row r="6305">
          <cell r="H6305" t="str">
            <v>Sant Salvador de Guardiola</v>
          </cell>
          <cell r="I6305" t="str">
            <v>08098</v>
          </cell>
        </row>
        <row r="6306">
          <cell r="H6306" t="str">
            <v>Sant Vicenç de Castellet</v>
          </cell>
          <cell r="I6306" t="str">
            <v>08262</v>
          </cell>
        </row>
        <row r="6307">
          <cell r="H6307" t="str">
            <v>Sant Vicenç de Montalt</v>
          </cell>
          <cell r="I6307" t="str">
            <v>08264</v>
          </cell>
        </row>
        <row r="6308">
          <cell r="H6308" t="str">
            <v>Sant Vicenç de Torelló</v>
          </cell>
          <cell r="I6308" t="str">
            <v>08265</v>
          </cell>
        </row>
        <row r="6309">
          <cell r="H6309" t="str">
            <v>Sant Vicenç dels Horts</v>
          </cell>
          <cell r="I6309" t="str">
            <v>08263</v>
          </cell>
        </row>
        <row r="6310">
          <cell r="H6310" t="str">
            <v>Sant Vicent del Raspeig/San Vicente del Raspeig</v>
          </cell>
          <cell r="I6310" t="str">
            <v>03122</v>
          </cell>
        </row>
        <row r="6311">
          <cell r="H6311" t="str">
            <v>Santa Amalia</v>
          </cell>
          <cell r="I6311" t="str">
            <v>06120</v>
          </cell>
        </row>
        <row r="6312">
          <cell r="H6312" t="str">
            <v>Santa Ana</v>
          </cell>
          <cell r="I6312" t="str">
            <v>10165</v>
          </cell>
        </row>
        <row r="6313">
          <cell r="H6313" t="str">
            <v>Santa Ana de Pusa</v>
          </cell>
          <cell r="I6313" t="str">
            <v>45155</v>
          </cell>
        </row>
        <row r="6314">
          <cell r="H6314" t="str">
            <v>Santa Ana la Real</v>
          </cell>
          <cell r="I6314" t="str">
            <v>21067</v>
          </cell>
        </row>
        <row r="6315">
          <cell r="H6315" t="str">
            <v>Santa Bàrbara</v>
          </cell>
          <cell r="I6315" t="str">
            <v>43138</v>
          </cell>
        </row>
        <row r="6316">
          <cell r="H6316" t="str">
            <v>Santa Bárbara de Casa</v>
          </cell>
          <cell r="I6316" t="str">
            <v>21068</v>
          </cell>
        </row>
        <row r="6317">
          <cell r="H6317" t="str">
            <v>Santa Brígida</v>
          </cell>
          <cell r="I6317" t="str">
            <v>35021</v>
          </cell>
        </row>
        <row r="6318">
          <cell r="H6318" t="str">
            <v>Santa Cecilia</v>
          </cell>
          <cell r="I6318" t="str">
            <v>09343</v>
          </cell>
        </row>
        <row r="6319">
          <cell r="H6319" t="str">
            <v>Santa Cecília de Voltregà</v>
          </cell>
          <cell r="I6319" t="str">
            <v>08243</v>
          </cell>
        </row>
        <row r="6320">
          <cell r="H6320" t="str">
            <v>Santa Cecilia del Alcor</v>
          </cell>
          <cell r="I6320" t="str">
            <v>34167</v>
          </cell>
        </row>
        <row r="6321">
          <cell r="H6321" t="str">
            <v>Santa Cilia</v>
          </cell>
          <cell r="I6321" t="str">
            <v>22208</v>
          </cell>
        </row>
        <row r="6322">
          <cell r="H6322" t="str">
            <v>Santa Clara de Avedillo</v>
          </cell>
          <cell r="I6322" t="str">
            <v>49197</v>
          </cell>
        </row>
        <row r="6323">
          <cell r="H6323" t="str">
            <v>Santa Coloma</v>
          </cell>
          <cell r="I6323" t="str">
            <v>26134</v>
          </cell>
        </row>
        <row r="6324">
          <cell r="H6324" t="str">
            <v>Santa Coloma de Cervelló</v>
          </cell>
          <cell r="I6324" t="str">
            <v>08244</v>
          </cell>
        </row>
        <row r="6325">
          <cell r="H6325" t="str">
            <v>Santa Coloma de Farners</v>
          </cell>
          <cell r="I6325" t="str">
            <v>17180</v>
          </cell>
        </row>
        <row r="6326">
          <cell r="H6326" t="str">
            <v>Santa Coloma de Gramenet</v>
          </cell>
          <cell r="I6326" t="str">
            <v>08245</v>
          </cell>
        </row>
        <row r="6327">
          <cell r="H6327" t="str">
            <v>Santa Coloma de Queralt</v>
          </cell>
          <cell r="I6327" t="str">
            <v>43139</v>
          </cell>
        </row>
        <row r="6328">
          <cell r="H6328" t="str">
            <v>Santa Colomba de las Monjas</v>
          </cell>
          <cell r="I6328" t="str">
            <v>49199</v>
          </cell>
        </row>
        <row r="6329">
          <cell r="H6329" t="str">
            <v>Santa Comba</v>
          </cell>
          <cell r="I6329" t="str">
            <v>15077</v>
          </cell>
        </row>
        <row r="6330">
          <cell r="H6330" t="str">
            <v>Santa Cristina d'Aro</v>
          </cell>
          <cell r="I6330" t="str">
            <v>17181</v>
          </cell>
        </row>
        <row r="6331">
          <cell r="H6331" t="str">
            <v>Santa Cristina de la Polvorosa</v>
          </cell>
          <cell r="I6331" t="str">
            <v>49200</v>
          </cell>
        </row>
        <row r="6332">
          <cell r="H6332" t="str">
            <v>Santa Cristina de Valmadrigal</v>
          </cell>
          <cell r="I6332" t="str">
            <v>24153</v>
          </cell>
        </row>
        <row r="6333">
          <cell r="H6333" t="str">
            <v>Santa Croya de Tera</v>
          </cell>
          <cell r="I6333" t="str">
            <v>49201</v>
          </cell>
        </row>
        <row r="6334">
          <cell r="H6334" t="str">
            <v>Santa Cruz de Bezana</v>
          </cell>
          <cell r="I6334" t="str">
            <v>39073</v>
          </cell>
        </row>
        <row r="6335">
          <cell r="H6335" t="str">
            <v>Santa Cruz de Boedo</v>
          </cell>
          <cell r="I6335" t="str">
            <v>34168</v>
          </cell>
        </row>
        <row r="6336">
          <cell r="H6336" t="str">
            <v>Santa Cruz de Grío</v>
          </cell>
          <cell r="I6336" t="str">
            <v>50236</v>
          </cell>
        </row>
        <row r="6337">
          <cell r="H6337" t="str">
            <v>Santa Cruz de la Palma</v>
          </cell>
          <cell r="I6337" t="str">
            <v>38037</v>
          </cell>
        </row>
        <row r="6338">
          <cell r="H6338" t="str">
            <v>Santa Cruz de la Salceda</v>
          </cell>
          <cell r="I6338" t="str">
            <v>09345</v>
          </cell>
        </row>
        <row r="6339">
          <cell r="H6339" t="str">
            <v>Santa Cruz de la Serós</v>
          </cell>
          <cell r="I6339" t="str">
            <v>22209</v>
          </cell>
        </row>
        <row r="6340">
          <cell r="H6340" t="str">
            <v>Santa Cruz de la Sierra</v>
          </cell>
          <cell r="I6340" t="str">
            <v>10166</v>
          </cell>
        </row>
        <row r="6341">
          <cell r="H6341" t="str">
            <v>Santa Cruz de la Zarza</v>
          </cell>
          <cell r="I6341" t="str">
            <v>45156</v>
          </cell>
        </row>
        <row r="6342">
          <cell r="H6342" t="str">
            <v>Santa Cruz de los Cáñamos</v>
          </cell>
          <cell r="I6342" t="str">
            <v>13076</v>
          </cell>
        </row>
        <row r="6343">
          <cell r="H6343" t="str">
            <v>Santa Cruz de Marchena</v>
          </cell>
          <cell r="I6343" t="str">
            <v>04080</v>
          </cell>
        </row>
        <row r="6344">
          <cell r="H6344" t="str">
            <v>Santa Cruz de Moncayo</v>
          </cell>
          <cell r="I6344" t="str">
            <v>50237</v>
          </cell>
        </row>
        <row r="6345">
          <cell r="H6345" t="str">
            <v>Santa Cruz de Moya</v>
          </cell>
          <cell r="I6345" t="str">
            <v>16194</v>
          </cell>
        </row>
        <row r="6346">
          <cell r="H6346" t="str">
            <v>Santa Cruz de Mudela</v>
          </cell>
          <cell r="I6346" t="str">
            <v>13077</v>
          </cell>
        </row>
        <row r="6347">
          <cell r="H6347" t="str">
            <v>Santa Cruz de Nogueras</v>
          </cell>
          <cell r="I6347" t="str">
            <v>44208</v>
          </cell>
        </row>
        <row r="6348">
          <cell r="H6348" t="str">
            <v>Santa Cruz de Paniagua</v>
          </cell>
          <cell r="I6348" t="str">
            <v>10167</v>
          </cell>
        </row>
        <row r="6349">
          <cell r="H6349" t="str">
            <v>Santa Cruz de Pinares</v>
          </cell>
          <cell r="I6349" t="str">
            <v>05222</v>
          </cell>
        </row>
        <row r="6350">
          <cell r="H6350" t="str">
            <v>Santa Cruz de Tenerife</v>
          </cell>
          <cell r="I6350" t="str">
            <v>38038</v>
          </cell>
        </row>
        <row r="6351">
          <cell r="H6351" t="str">
            <v>Santa Cruz de Yanguas</v>
          </cell>
          <cell r="I6351" t="str">
            <v>42166</v>
          </cell>
        </row>
        <row r="6352">
          <cell r="H6352" t="str">
            <v>Santa Cruz del Comercio</v>
          </cell>
          <cell r="I6352" t="str">
            <v>18174</v>
          </cell>
        </row>
        <row r="6353">
          <cell r="H6353" t="str">
            <v>Santa Cruz del Retamar</v>
          </cell>
          <cell r="I6353" t="str">
            <v>45157</v>
          </cell>
        </row>
        <row r="6354">
          <cell r="H6354" t="str">
            <v>Santa Cruz del Valle</v>
          </cell>
          <cell r="I6354" t="str">
            <v>05221</v>
          </cell>
        </row>
        <row r="6355">
          <cell r="H6355" t="str">
            <v>Santa Cruz del Valle Urbión</v>
          </cell>
          <cell r="I6355" t="str">
            <v>09346</v>
          </cell>
        </row>
        <row r="6356">
          <cell r="H6356" t="str">
            <v>Santa Elena</v>
          </cell>
          <cell r="I6356" t="str">
            <v>23076</v>
          </cell>
        </row>
        <row r="6357">
          <cell r="H6357" t="str">
            <v>Santa Elena de Jamuz</v>
          </cell>
          <cell r="I6357" t="str">
            <v>24154</v>
          </cell>
        </row>
        <row r="6358">
          <cell r="H6358" t="str">
            <v>Santa Engracia del Jubera</v>
          </cell>
          <cell r="I6358" t="str">
            <v>26135</v>
          </cell>
        </row>
        <row r="6359">
          <cell r="H6359" t="str">
            <v>Santa Eufemia</v>
          </cell>
          <cell r="I6359" t="str">
            <v>14061</v>
          </cell>
        </row>
        <row r="6360">
          <cell r="H6360" t="str">
            <v>Santa Eufemia del Arroyo</v>
          </cell>
          <cell r="I6360" t="str">
            <v>47152</v>
          </cell>
        </row>
        <row r="6361">
          <cell r="H6361" t="str">
            <v>Santa Eufemia del Barco</v>
          </cell>
          <cell r="I6361" t="str">
            <v>49202</v>
          </cell>
        </row>
        <row r="6362">
          <cell r="H6362" t="str">
            <v>Santa Eugènia</v>
          </cell>
          <cell r="I6362" t="str">
            <v>07053</v>
          </cell>
        </row>
        <row r="6363">
          <cell r="H6363" t="str">
            <v>Santa Eugènia de Berga</v>
          </cell>
          <cell r="I6363" t="str">
            <v>08246</v>
          </cell>
        </row>
        <row r="6364">
          <cell r="H6364" t="str">
            <v>Santa Eulalia</v>
          </cell>
          <cell r="I6364" t="str">
            <v>44209</v>
          </cell>
        </row>
        <row r="6365">
          <cell r="H6365" t="str">
            <v>Santa Eulalia Bajera</v>
          </cell>
          <cell r="I6365" t="str">
            <v>26136</v>
          </cell>
        </row>
        <row r="6366">
          <cell r="H6366" t="str">
            <v>Santa Eulalia de Gállego</v>
          </cell>
          <cell r="I6366" t="str">
            <v>50238</v>
          </cell>
        </row>
        <row r="6367">
          <cell r="H6367" t="str">
            <v>Santa Eulalia de Oscos</v>
          </cell>
          <cell r="I6367" t="str">
            <v>33062</v>
          </cell>
        </row>
        <row r="6368">
          <cell r="H6368" t="str">
            <v>Santa Eulàlia de Riuprimer</v>
          </cell>
          <cell r="I6368" t="str">
            <v>08247</v>
          </cell>
        </row>
        <row r="6369">
          <cell r="H6369" t="str">
            <v>Santa Eulàlia de Ronçana</v>
          </cell>
          <cell r="I6369" t="str">
            <v>08248</v>
          </cell>
        </row>
        <row r="6370">
          <cell r="H6370" t="str">
            <v>Santa Eulària des Riu</v>
          </cell>
          <cell r="I6370" t="str">
            <v>07054</v>
          </cell>
        </row>
        <row r="6371">
          <cell r="H6371" t="str">
            <v>Santa Fe</v>
          </cell>
          <cell r="I6371" t="str">
            <v>18175</v>
          </cell>
        </row>
        <row r="6372">
          <cell r="H6372" t="str">
            <v>Santa Fe de Mondújar</v>
          </cell>
          <cell r="I6372" t="str">
            <v>04081</v>
          </cell>
        </row>
        <row r="6373">
          <cell r="H6373" t="str">
            <v>Santa Fe del Penedès</v>
          </cell>
          <cell r="I6373" t="str">
            <v>08249</v>
          </cell>
        </row>
        <row r="6374">
          <cell r="H6374" t="str">
            <v>Santa Inés</v>
          </cell>
          <cell r="I6374" t="str">
            <v>09348</v>
          </cell>
        </row>
        <row r="6375">
          <cell r="H6375" t="str">
            <v>Santa Llogaia d'Àlguema</v>
          </cell>
          <cell r="I6375" t="str">
            <v>17182</v>
          </cell>
        </row>
        <row r="6376">
          <cell r="H6376" t="str">
            <v>Santa Lucía de Tirajana</v>
          </cell>
          <cell r="I6376" t="str">
            <v>35022</v>
          </cell>
        </row>
        <row r="6377">
          <cell r="H6377" t="str">
            <v>Santa Magdalena de Pulpis</v>
          </cell>
          <cell r="I6377" t="str">
            <v>12102</v>
          </cell>
        </row>
        <row r="6378">
          <cell r="H6378" t="str">
            <v>Santa Margalida</v>
          </cell>
          <cell r="I6378" t="str">
            <v>07055</v>
          </cell>
        </row>
        <row r="6379">
          <cell r="H6379" t="str">
            <v>Santa Margarida de Montbui</v>
          </cell>
          <cell r="I6379" t="str">
            <v>08250</v>
          </cell>
        </row>
        <row r="6380">
          <cell r="H6380" t="str">
            <v>Santa Margarida i els Monjos</v>
          </cell>
          <cell r="I6380" t="str">
            <v>08251</v>
          </cell>
        </row>
        <row r="6381">
          <cell r="H6381" t="str">
            <v>Santa Maria de Besora</v>
          </cell>
          <cell r="I6381" t="str">
            <v>08253</v>
          </cell>
        </row>
        <row r="6382">
          <cell r="H6382" t="str">
            <v>Santa María de Cayón</v>
          </cell>
          <cell r="I6382" t="str">
            <v>39074</v>
          </cell>
        </row>
        <row r="6383">
          <cell r="H6383" t="str">
            <v>Santa María de Dulcis</v>
          </cell>
          <cell r="I6383" t="str">
            <v>22906</v>
          </cell>
        </row>
        <row r="6384">
          <cell r="H6384" t="str">
            <v>Santa María de Guía de Gran Canaria</v>
          </cell>
          <cell r="I6384" t="str">
            <v>35023</v>
          </cell>
        </row>
        <row r="6385">
          <cell r="H6385" t="str">
            <v>Santa María de Huerta</v>
          </cell>
          <cell r="I6385" t="str">
            <v>42167</v>
          </cell>
        </row>
        <row r="6386">
          <cell r="H6386" t="str">
            <v>Santa María de la Alameda</v>
          </cell>
          <cell r="I6386" t="str">
            <v>28135</v>
          </cell>
        </row>
        <row r="6387">
          <cell r="H6387" t="str">
            <v>Santa María de la Isla</v>
          </cell>
          <cell r="I6387" t="str">
            <v>24155</v>
          </cell>
        </row>
        <row r="6388">
          <cell r="H6388" t="str">
            <v>Santa María de la Vega</v>
          </cell>
          <cell r="I6388" t="str">
            <v>49203</v>
          </cell>
        </row>
        <row r="6389">
          <cell r="H6389" t="str">
            <v>Santa María de las Hoyas</v>
          </cell>
          <cell r="I6389" t="str">
            <v>42168</v>
          </cell>
        </row>
        <row r="6390">
          <cell r="H6390" t="str">
            <v>Santa María de los Caballeros</v>
          </cell>
          <cell r="I6390" t="str">
            <v>05226</v>
          </cell>
        </row>
        <row r="6391">
          <cell r="H6391" t="str">
            <v>Santa María de los Llanos</v>
          </cell>
          <cell r="I6391" t="str">
            <v>16196</v>
          </cell>
        </row>
        <row r="6392">
          <cell r="H6392" t="str">
            <v>Santa Maria de Martorelles</v>
          </cell>
          <cell r="I6392" t="str">
            <v>08256</v>
          </cell>
        </row>
        <row r="6393">
          <cell r="H6393" t="str">
            <v>Santa Maria de Merlès</v>
          </cell>
          <cell r="I6393" t="str">
            <v>08255</v>
          </cell>
        </row>
        <row r="6394">
          <cell r="H6394" t="str">
            <v>Santa Maria de Miralles</v>
          </cell>
          <cell r="I6394" t="str">
            <v>08257</v>
          </cell>
        </row>
        <row r="6395">
          <cell r="H6395" t="str">
            <v>Santa Maria de Palautordera</v>
          </cell>
          <cell r="I6395" t="str">
            <v>08259</v>
          </cell>
        </row>
        <row r="6396">
          <cell r="H6396" t="str">
            <v>Santa María de Sando</v>
          </cell>
          <cell r="I6396" t="str">
            <v>37293</v>
          </cell>
        </row>
        <row r="6397">
          <cell r="H6397" t="str">
            <v>Santa María de Valverde</v>
          </cell>
          <cell r="I6397" t="str">
            <v>49204</v>
          </cell>
        </row>
        <row r="6398">
          <cell r="H6398" t="str">
            <v>Santa María del Arroyo</v>
          </cell>
          <cell r="I6398" t="str">
            <v>05224</v>
          </cell>
        </row>
        <row r="6399">
          <cell r="H6399" t="str">
            <v>Santa María del Berrocal</v>
          </cell>
          <cell r="I6399" t="str">
            <v>05225</v>
          </cell>
        </row>
        <row r="6400">
          <cell r="H6400" t="str">
            <v>Santa María del Camí</v>
          </cell>
          <cell r="I6400" t="str">
            <v>07056</v>
          </cell>
        </row>
        <row r="6401">
          <cell r="H6401" t="str">
            <v>Santa María del Campo</v>
          </cell>
          <cell r="I6401" t="str">
            <v>09350</v>
          </cell>
        </row>
        <row r="6402">
          <cell r="H6402" t="str">
            <v>Santa María del Campo Rus</v>
          </cell>
          <cell r="I6402" t="str">
            <v>16195</v>
          </cell>
        </row>
        <row r="6403">
          <cell r="H6403" t="str">
            <v>Santa María del Cubillo</v>
          </cell>
          <cell r="I6403" t="str">
            <v>05902</v>
          </cell>
        </row>
        <row r="6404">
          <cell r="H6404" t="str">
            <v>Santa María del Invierno</v>
          </cell>
          <cell r="I6404" t="str">
            <v>09351</v>
          </cell>
        </row>
        <row r="6405">
          <cell r="H6405" t="str">
            <v>Santa María del Mercadillo</v>
          </cell>
          <cell r="I6405" t="str">
            <v>09352</v>
          </cell>
        </row>
        <row r="6406">
          <cell r="H6406" t="str">
            <v>Santa María del Monte de Cea</v>
          </cell>
          <cell r="I6406" t="str">
            <v>24156</v>
          </cell>
        </row>
        <row r="6407">
          <cell r="H6407" t="str">
            <v>Santa María del Páramo</v>
          </cell>
          <cell r="I6407" t="str">
            <v>24157</v>
          </cell>
        </row>
        <row r="6408">
          <cell r="H6408" t="str">
            <v>Santa María del Tiétar</v>
          </cell>
          <cell r="I6408" t="str">
            <v>05227</v>
          </cell>
        </row>
        <row r="6409">
          <cell r="H6409" t="str">
            <v>Santa María del Val</v>
          </cell>
          <cell r="I6409" t="str">
            <v>16197</v>
          </cell>
        </row>
        <row r="6410">
          <cell r="H6410" t="str">
            <v>Santa Maria d'Oló</v>
          </cell>
          <cell r="I6410" t="str">
            <v>08258</v>
          </cell>
        </row>
        <row r="6411">
          <cell r="H6411" t="str">
            <v>Santa María la Real de Nieva</v>
          </cell>
          <cell r="I6411" t="str">
            <v>40185</v>
          </cell>
        </row>
        <row r="6412">
          <cell r="H6412" t="str">
            <v>Santa Marina del Rey</v>
          </cell>
          <cell r="I6412" t="str">
            <v>24159</v>
          </cell>
        </row>
        <row r="6413">
          <cell r="H6413" t="str">
            <v>Santa Marta</v>
          </cell>
          <cell r="I6413" t="str">
            <v>06121</v>
          </cell>
        </row>
        <row r="6414">
          <cell r="H6414" t="str">
            <v>Santa Marta de Magasca</v>
          </cell>
          <cell r="I6414" t="str">
            <v>10168</v>
          </cell>
        </row>
        <row r="6415">
          <cell r="H6415" t="str">
            <v>Santa Marta de Tormes</v>
          </cell>
          <cell r="I6415" t="str">
            <v>37294</v>
          </cell>
        </row>
        <row r="6416">
          <cell r="H6416" t="str">
            <v>Santa Marta del Cerro</v>
          </cell>
          <cell r="I6416" t="str">
            <v>40186</v>
          </cell>
        </row>
        <row r="6417">
          <cell r="H6417" t="str">
            <v>Santa Olalla</v>
          </cell>
          <cell r="I6417" t="str">
            <v>45158</v>
          </cell>
        </row>
        <row r="6418">
          <cell r="H6418" t="str">
            <v>Santa Olalla de Bureba</v>
          </cell>
          <cell r="I6418" t="str">
            <v>09354</v>
          </cell>
        </row>
        <row r="6419">
          <cell r="H6419" t="str">
            <v>Santa Olalla del Cala</v>
          </cell>
          <cell r="I6419" t="str">
            <v>21069</v>
          </cell>
        </row>
        <row r="6420">
          <cell r="H6420" t="str">
            <v>Santa Oliva</v>
          </cell>
          <cell r="I6420" t="str">
            <v>43140</v>
          </cell>
        </row>
        <row r="6421">
          <cell r="H6421" t="str">
            <v>Santa Pau</v>
          </cell>
          <cell r="I6421" t="str">
            <v>17184</v>
          </cell>
        </row>
        <row r="6422">
          <cell r="H6422" t="str">
            <v>Santa Perpètua de Mogoda</v>
          </cell>
          <cell r="I6422" t="str">
            <v>08260</v>
          </cell>
        </row>
        <row r="6423">
          <cell r="H6423" t="str">
            <v>Santa Pola</v>
          </cell>
          <cell r="I6423" t="str">
            <v>03121</v>
          </cell>
        </row>
        <row r="6424">
          <cell r="H6424" t="str">
            <v>Santa Susanna</v>
          </cell>
          <cell r="I6424" t="str">
            <v>08261</v>
          </cell>
        </row>
        <row r="6425">
          <cell r="H6425" t="str">
            <v>Santa Úrsula</v>
          </cell>
          <cell r="I6425" t="str">
            <v>38039</v>
          </cell>
        </row>
        <row r="6426">
          <cell r="H6426" t="str">
            <v>Santacara</v>
          </cell>
          <cell r="I6426" t="str">
            <v>31220</v>
          </cell>
        </row>
        <row r="6427">
          <cell r="H6427" t="str">
            <v>Santaella</v>
          </cell>
          <cell r="I6427" t="str">
            <v>14060</v>
          </cell>
        </row>
        <row r="6428">
          <cell r="H6428" t="str">
            <v>Santaliestra y San Quílez</v>
          </cell>
          <cell r="I6428" t="str">
            <v>22212</v>
          </cell>
        </row>
        <row r="6429">
          <cell r="H6429" t="str">
            <v>Santander</v>
          </cell>
          <cell r="I6429" t="str">
            <v>39075</v>
          </cell>
        </row>
        <row r="6430">
          <cell r="H6430" t="str">
            <v>Santanyí</v>
          </cell>
          <cell r="I6430" t="str">
            <v>07057</v>
          </cell>
        </row>
        <row r="6431">
          <cell r="H6431" t="str">
            <v>Santas Martas</v>
          </cell>
          <cell r="I6431" t="str">
            <v>24160</v>
          </cell>
        </row>
        <row r="6432">
          <cell r="H6432" t="str">
            <v>Santed</v>
          </cell>
          <cell r="I6432" t="str">
            <v>50239</v>
          </cell>
        </row>
        <row r="6433">
          <cell r="H6433" t="str">
            <v>Santervás de Campos</v>
          </cell>
          <cell r="I6433" t="str">
            <v>47153</v>
          </cell>
        </row>
        <row r="6434">
          <cell r="H6434" t="str">
            <v>Santervás de la Vega</v>
          </cell>
          <cell r="I6434" t="str">
            <v>34169</v>
          </cell>
        </row>
        <row r="6435">
          <cell r="H6435" t="str">
            <v>Santiago de Alcántara</v>
          </cell>
          <cell r="I6435" t="str">
            <v>10169</v>
          </cell>
        </row>
        <row r="6436">
          <cell r="H6436" t="str">
            <v>Santiago de Calatrava</v>
          </cell>
          <cell r="I6436" t="str">
            <v>23077</v>
          </cell>
        </row>
        <row r="6437">
          <cell r="H6437" t="str">
            <v>Santiago de Compostela</v>
          </cell>
          <cell r="I6437" t="str">
            <v>15078</v>
          </cell>
        </row>
        <row r="6438">
          <cell r="H6438" t="str">
            <v>Santiago de la Puebla</v>
          </cell>
          <cell r="I6438" t="str">
            <v>37296</v>
          </cell>
        </row>
        <row r="6439">
          <cell r="H6439" t="str">
            <v>Santiago del Campo</v>
          </cell>
          <cell r="I6439" t="str">
            <v>10170</v>
          </cell>
        </row>
        <row r="6440">
          <cell r="H6440" t="str">
            <v>Santiago del Collado</v>
          </cell>
          <cell r="I6440" t="str">
            <v>05228</v>
          </cell>
        </row>
        <row r="6441">
          <cell r="H6441" t="str">
            <v>Santiago del Teide</v>
          </cell>
          <cell r="I6441" t="str">
            <v>38040</v>
          </cell>
        </row>
        <row r="6442">
          <cell r="H6442" t="str">
            <v>Santiago del Tormes</v>
          </cell>
          <cell r="I6442" t="str">
            <v>05904</v>
          </cell>
        </row>
        <row r="6443">
          <cell r="H6443" t="str">
            <v>Santiago Millas</v>
          </cell>
          <cell r="I6443" t="str">
            <v>24161</v>
          </cell>
        </row>
        <row r="6444">
          <cell r="H6444" t="str">
            <v>Santiago-Pontones</v>
          </cell>
          <cell r="I6444" t="str">
            <v>23904</v>
          </cell>
        </row>
        <row r="6445">
          <cell r="H6445" t="str">
            <v>Santibáñez de Béjar</v>
          </cell>
          <cell r="I6445" t="str">
            <v>37297</v>
          </cell>
        </row>
        <row r="6446">
          <cell r="H6446" t="str">
            <v>Santibáñez de Ecla</v>
          </cell>
          <cell r="I6446" t="str">
            <v>34170</v>
          </cell>
        </row>
        <row r="6447">
          <cell r="H6447" t="str">
            <v>Santibáñez de Esgueva</v>
          </cell>
          <cell r="I6447" t="str">
            <v>09355</v>
          </cell>
        </row>
        <row r="6448">
          <cell r="H6448" t="str">
            <v>Santibáñez de la Sierra</v>
          </cell>
          <cell r="I6448" t="str">
            <v>37298</v>
          </cell>
        </row>
        <row r="6449">
          <cell r="H6449" t="str">
            <v>Santibáñez de Tera</v>
          </cell>
          <cell r="I6449" t="str">
            <v>49205</v>
          </cell>
        </row>
        <row r="6450">
          <cell r="H6450" t="str">
            <v>Santibáñez de Valcorba</v>
          </cell>
          <cell r="I6450" t="str">
            <v>47154</v>
          </cell>
        </row>
        <row r="6451">
          <cell r="H6451" t="str">
            <v>Santibáñez de Vidriales</v>
          </cell>
          <cell r="I6451" t="str">
            <v>49206</v>
          </cell>
        </row>
        <row r="6452">
          <cell r="H6452" t="str">
            <v>Santibáñez del Val</v>
          </cell>
          <cell r="I6452" t="str">
            <v>09356</v>
          </cell>
        </row>
        <row r="6453">
          <cell r="H6453" t="str">
            <v>Santibáñez el Alto</v>
          </cell>
          <cell r="I6453" t="str">
            <v>10171</v>
          </cell>
        </row>
        <row r="6454">
          <cell r="H6454" t="str">
            <v>Santibáñez el Bajo</v>
          </cell>
          <cell r="I6454" t="str">
            <v>10172</v>
          </cell>
        </row>
        <row r="6455">
          <cell r="H6455" t="str">
            <v>Santillana del Mar</v>
          </cell>
          <cell r="I6455" t="str">
            <v>39076</v>
          </cell>
        </row>
        <row r="6456">
          <cell r="H6456" t="str">
            <v>Santiponce</v>
          </cell>
          <cell r="I6456" t="str">
            <v>41089</v>
          </cell>
        </row>
        <row r="6457">
          <cell r="H6457" t="str">
            <v>Santiso</v>
          </cell>
          <cell r="I6457" t="str">
            <v>15079</v>
          </cell>
        </row>
        <row r="6458">
          <cell r="H6458" t="str">
            <v>Santisteban del Puerto</v>
          </cell>
          <cell r="I6458" t="str">
            <v>23079</v>
          </cell>
        </row>
        <row r="6459">
          <cell r="H6459" t="str">
            <v>Santiurde de Reinosa</v>
          </cell>
          <cell r="I6459" t="str">
            <v>39077</v>
          </cell>
        </row>
        <row r="6460">
          <cell r="H6460" t="str">
            <v>Santiurde de Toranzo</v>
          </cell>
          <cell r="I6460" t="str">
            <v>39078</v>
          </cell>
        </row>
        <row r="6461">
          <cell r="H6461" t="str">
            <v>Santiuste</v>
          </cell>
          <cell r="I6461" t="str">
            <v>19250</v>
          </cell>
        </row>
        <row r="6462">
          <cell r="H6462" t="str">
            <v>Santiuste de Pedraza</v>
          </cell>
          <cell r="I6462" t="str">
            <v>40188</v>
          </cell>
        </row>
        <row r="6463">
          <cell r="H6463" t="str">
            <v>Santiuste de San Juan Bautista</v>
          </cell>
          <cell r="I6463" t="str">
            <v>40189</v>
          </cell>
        </row>
        <row r="6464">
          <cell r="H6464" t="str">
            <v>Santiz</v>
          </cell>
          <cell r="I6464" t="str">
            <v>37299</v>
          </cell>
        </row>
        <row r="6465">
          <cell r="H6465" t="str">
            <v>Santo Domingo de la Calzada</v>
          </cell>
          <cell r="I6465" t="str">
            <v>26138</v>
          </cell>
        </row>
        <row r="6466">
          <cell r="H6466" t="str">
            <v>Santo Domingo de las Posadas</v>
          </cell>
          <cell r="I6466" t="str">
            <v>05229</v>
          </cell>
        </row>
        <row r="6467">
          <cell r="H6467" t="str">
            <v>Santo Domingo de Pirón</v>
          </cell>
          <cell r="I6467" t="str">
            <v>40190</v>
          </cell>
        </row>
        <row r="6468">
          <cell r="H6468" t="str">
            <v>Santo Domingo de Silos</v>
          </cell>
          <cell r="I6468" t="str">
            <v>09358</v>
          </cell>
        </row>
        <row r="6469">
          <cell r="H6469" t="str">
            <v>Santo Domingo-Caudilla</v>
          </cell>
          <cell r="I6469" t="str">
            <v>45901</v>
          </cell>
        </row>
        <row r="6470">
          <cell r="H6470" t="str">
            <v>Santo Tomé</v>
          </cell>
          <cell r="I6470" t="str">
            <v>23080</v>
          </cell>
        </row>
        <row r="6471">
          <cell r="H6471" t="str">
            <v>Santo Tomé de Zabarcos</v>
          </cell>
          <cell r="I6471" t="str">
            <v>05230</v>
          </cell>
        </row>
        <row r="6472">
          <cell r="H6472" t="str">
            <v>Santo Tomé del Puerto</v>
          </cell>
          <cell r="I6472" t="str">
            <v>40191</v>
          </cell>
        </row>
        <row r="6473">
          <cell r="H6473" t="str">
            <v>Santomera</v>
          </cell>
          <cell r="I6473" t="str">
            <v>30901</v>
          </cell>
        </row>
        <row r="6474">
          <cell r="H6474" t="str">
            <v>Santoña</v>
          </cell>
          <cell r="I6474" t="str">
            <v>39079</v>
          </cell>
        </row>
        <row r="6475">
          <cell r="H6475" t="str">
            <v>Santorcaz</v>
          </cell>
          <cell r="I6475" t="str">
            <v>28136</v>
          </cell>
        </row>
        <row r="6476">
          <cell r="H6476" t="str">
            <v>Santos de la Humosa, Los</v>
          </cell>
          <cell r="I6476" t="str">
            <v>28137</v>
          </cell>
        </row>
        <row r="6477">
          <cell r="H6477" t="str">
            <v>Santos de Maimona, Los</v>
          </cell>
          <cell r="I6477" t="str">
            <v>06122</v>
          </cell>
        </row>
        <row r="6478">
          <cell r="H6478" t="str">
            <v>Santos, Los</v>
          </cell>
          <cell r="I6478" t="str">
            <v>37300</v>
          </cell>
        </row>
        <row r="6479">
          <cell r="H6479" t="str">
            <v>Santovenia</v>
          </cell>
          <cell r="I6479" t="str">
            <v>49207</v>
          </cell>
        </row>
        <row r="6480">
          <cell r="H6480" t="str">
            <v>Santovenia de la Valdoncina</v>
          </cell>
          <cell r="I6480" t="str">
            <v>24162</v>
          </cell>
        </row>
        <row r="6481">
          <cell r="H6481" t="str">
            <v>Santovenia de Pisuerga</v>
          </cell>
          <cell r="I6481" t="str">
            <v>47155</v>
          </cell>
        </row>
        <row r="6482">
          <cell r="H6482" t="str">
            <v>Santoyo</v>
          </cell>
          <cell r="I6482" t="str">
            <v>34174</v>
          </cell>
        </row>
        <row r="6483">
          <cell r="H6483" t="str">
            <v>Santpedor</v>
          </cell>
          <cell r="I6483" t="str">
            <v>08192</v>
          </cell>
        </row>
        <row r="6484">
          <cell r="H6484" t="str">
            <v>Santurde de Rioja</v>
          </cell>
          <cell r="I6484" t="str">
            <v>26140</v>
          </cell>
        </row>
        <row r="6485">
          <cell r="H6485" t="str">
            <v>Santurdejo</v>
          </cell>
          <cell r="I6485" t="str">
            <v>26141</v>
          </cell>
        </row>
        <row r="6486">
          <cell r="H6486" t="str">
            <v>Santurtzi</v>
          </cell>
          <cell r="I6486" t="str">
            <v>48082</v>
          </cell>
        </row>
        <row r="6487">
          <cell r="H6487" t="str">
            <v>Sanxenxo</v>
          </cell>
          <cell r="I6487" t="str">
            <v>36051</v>
          </cell>
        </row>
        <row r="6488">
          <cell r="H6488" t="str">
            <v>Sanzoles</v>
          </cell>
          <cell r="I6488" t="str">
            <v>49210</v>
          </cell>
        </row>
        <row r="6489">
          <cell r="H6489" t="str">
            <v>Sardón de Duero</v>
          </cell>
          <cell r="I6489" t="str">
            <v>47157</v>
          </cell>
        </row>
        <row r="6490">
          <cell r="H6490" t="str">
            <v>Sardón de los Frailes</v>
          </cell>
          <cell r="I6490" t="str">
            <v>37301</v>
          </cell>
        </row>
        <row r="6491">
          <cell r="H6491" t="str">
            <v>Sargentes de la Lora</v>
          </cell>
          <cell r="I6491" t="str">
            <v>09361</v>
          </cell>
        </row>
        <row r="6492">
          <cell r="H6492" t="str">
            <v>Sariegos</v>
          </cell>
          <cell r="I6492" t="str">
            <v>24163</v>
          </cell>
        </row>
        <row r="6493">
          <cell r="H6493" t="str">
            <v>Sariñena</v>
          </cell>
          <cell r="I6493" t="str">
            <v>22213</v>
          </cell>
        </row>
        <row r="6494">
          <cell r="H6494" t="str">
            <v>Saro</v>
          </cell>
          <cell r="I6494" t="str">
            <v>39081</v>
          </cell>
        </row>
        <row r="6495">
          <cell r="H6495" t="str">
            <v>Sarracín</v>
          </cell>
          <cell r="I6495" t="str">
            <v>09362</v>
          </cell>
        </row>
        <row r="6496">
          <cell r="H6496" t="str">
            <v>Sarral</v>
          </cell>
          <cell r="I6496" t="str">
            <v>43142</v>
          </cell>
        </row>
        <row r="6497">
          <cell r="H6497" t="str">
            <v>Sarreaus</v>
          </cell>
          <cell r="I6497" t="str">
            <v>32078</v>
          </cell>
        </row>
        <row r="6498">
          <cell r="H6498" t="str">
            <v>Sarria</v>
          </cell>
          <cell r="I6498" t="str">
            <v>27057</v>
          </cell>
        </row>
        <row r="6499">
          <cell r="H6499" t="str">
            <v>Sarrià de Ter</v>
          </cell>
          <cell r="I6499" t="str">
            <v>17186</v>
          </cell>
        </row>
        <row r="6500">
          <cell r="H6500" t="str">
            <v>Sarriés/Sartze</v>
          </cell>
          <cell r="I6500" t="str">
            <v>31222</v>
          </cell>
        </row>
        <row r="6501">
          <cell r="H6501" t="str">
            <v>Sarrión</v>
          </cell>
          <cell r="I6501" t="str">
            <v>44210</v>
          </cell>
        </row>
        <row r="6502">
          <cell r="H6502" t="str">
            <v>Sarroca de Bellera</v>
          </cell>
          <cell r="I6502" t="str">
            <v>25201</v>
          </cell>
        </row>
        <row r="6503">
          <cell r="H6503" t="str">
            <v>Sarroca de Lleida</v>
          </cell>
          <cell r="I6503" t="str">
            <v>25200</v>
          </cell>
        </row>
        <row r="6504">
          <cell r="H6504" t="str">
            <v>Sartaguda</v>
          </cell>
          <cell r="I6504" t="str">
            <v>31223</v>
          </cell>
        </row>
        <row r="6505">
          <cell r="H6505" t="str">
            <v>Sartajada</v>
          </cell>
          <cell r="I6505" t="str">
            <v>45159</v>
          </cell>
        </row>
        <row r="6506">
          <cell r="H6506" t="str">
            <v>Sasamón</v>
          </cell>
          <cell r="I6506" t="str">
            <v>09363</v>
          </cell>
        </row>
        <row r="6507">
          <cell r="H6507" t="str">
            <v>Sástago</v>
          </cell>
          <cell r="I6507" t="str">
            <v>50240</v>
          </cell>
        </row>
        <row r="6508">
          <cell r="H6508" t="str">
            <v>Saúca</v>
          </cell>
          <cell r="I6508" t="str">
            <v>19251</v>
          </cell>
        </row>
        <row r="6509">
          <cell r="H6509" t="str">
            <v>Saucedilla</v>
          </cell>
          <cell r="I6509" t="str">
            <v>10173</v>
          </cell>
        </row>
        <row r="6510">
          <cell r="H6510" t="str">
            <v>Saucejo, El</v>
          </cell>
          <cell r="I6510" t="str">
            <v>41090</v>
          </cell>
        </row>
        <row r="6511">
          <cell r="H6511" t="str">
            <v>Saucelle</v>
          </cell>
          <cell r="I6511" t="str">
            <v>37302</v>
          </cell>
        </row>
        <row r="6512">
          <cell r="H6512" t="str">
            <v>Sauquillo de Cabezas</v>
          </cell>
          <cell r="I6512" t="str">
            <v>40192</v>
          </cell>
        </row>
        <row r="6513">
          <cell r="H6513" t="str">
            <v>Saus, Camallera i Llampaies</v>
          </cell>
          <cell r="I6513" t="str">
            <v>17187</v>
          </cell>
        </row>
        <row r="6514">
          <cell r="H6514" t="str">
            <v>Sauzal, El</v>
          </cell>
          <cell r="I6514" t="str">
            <v>38041</v>
          </cell>
        </row>
        <row r="6515">
          <cell r="H6515" t="str">
            <v>Savallà del Comtat</v>
          </cell>
          <cell r="I6515" t="str">
            <v>43143</v>
          </cell>
        </row>
        <row r="6516">
          <cell r="H6516" t="str">
            <v>Saviñao, O</v>
          </cell>
          <cell r="I6516" t="str">
            <v>27058</v>
          </cell>
        </row>
        <row r="6517">
          <cell r="H6517" t="str">
            <v>Sax</v>
          </cell>
          <cell r="I6517" t="str">
            <v>03123</v>
          </cell>
        </row>
        <row r="6518">
          <cell r="H6518" t="str">
            <v>Sayalonga</v>
          </cell>
          <cell r="I6518" t="str">
            <v>29086</v>
          </cell>
        </row>
        <row r="6519">
          <cell r="H6519" t="str">
            <v>Sebúlcor</v>
          </cell>
          <cell r="I6519" t="str">
            <v>40193</v>
          </cell>
        </row>
        <row r="6520">
          <cell r="H6520" t="str">
            <v>Seca, La</v>
          </cell>
          <cell r="I6520" t="str">
            <v>47158</v>
          </cell>
        </row>
        <row r="6521">
          <cell r="H6521" t="str">
            <v>Secastilla</v>
          </cell>
          <cell r="I6521" t="str">
            <v>22214</v>
          </cell>
        </row>
        <row r="6522">
          <cell r="H6522" t="str">
            <v>Secuita, La</v>
          </cell>
          <cell r="I6522" t="str">
            <v>43144</v>
          </cell>
        </row>
        <row r="6523">
          <cell r="H6523" t="str">
            <v>Sedaví</v>
          </cell>
          <cell r="I6523" t="str">
            <v>46223</v>
          </cell>
        </row>
        <row r="6524">
          <cell r="H6524" t="str">
            <v>Sedella</v>
          </cell>
          <cell r="I6524" t="str">
            <v>29087</v>
          </cell>
        </row>
        <row r="6525">
          <cell r="H6525" t="str">
            <v>Sediles</v>
          </cell>
          <cell r="I6525" t="str">
            <v>50242</v>
          </cell>
        </row>
        <row r="6526">
          <cell r="H6526" t="str">
            <v>Segart</v>
          </cell>
          <cell r="I6526" t="str">
            <v>46224</v>
          </cell>
        </row>
        <row r="6527">
          <cell r="H6527" t="str">
            <v>Segorbe</v>
          </cell>
          <cell r="I6527" t="str">
            <v>12104</v>
          </cell>
        </row>
        <row r="6528">
          <cell r="H6528" t="str">
            <v>Segovia</v>
          </cell>
          <cell r="I6528" t="str">
            <v>40194</v>
          </cell>
        </row>
        <row r="6529">
          <cell r="H6529" t="str">
            <v>Segura</v>
          </cell>
          <cell r="I6529" t="str">
            <v>20070</v>
          </cell>
        </row>
        <row r="6530">
          <cell r="H6530" t="str">
            <v>Segura de la Sierra</v>
          </cell>
          <cell r="I6530" t="str">
            <v>23081</v>
          </cell>
        </row>
        <row r="6531">
          <cell r="H6531" t="str">
            <v>Segura de León</v>
          </cell>
          <cell r="I6531" t="str">
            <v>06124</v>
          </cell>
        </row>
        <row r="6532">
          <cell r="H6532" t="str">
            <v>Segura de Toro</v>
          </cell>
          <cell r="I6532" t="str">
            <v>10174</v>
          </cell>
        </row>
        <row r="6533">
          <cell r="H6533" t="str">
            <v>Segurilla</v>
          </cell>
          <cell r="I6533" t="str">
            <v>45160</v>
          </cell>
        </row>
        <row r="6534">
          <cell r="H6534" t="str">
            <v>Seira</v>
          </cell>
          <cell r="I6534" t="str">
            <v>22215</v>
          </cell>
        </row>
        <row r="6535">
          <cell r="H6535" t="str">
            <v>Selas</v>
          </cell>
          <cell r="I6535" t="str">
            <v>19254</v>
          </cell>
        </row>
        <row r="6536">
          <cell r="H6536" t="str">
            <v>Selaya</v>
          </cell>
          <cell r="I6536" t="str">
            <v>39082</v>
          </cell>
        </row>
        <row r="6537">
          <cell r="H6537" t="str">
            <v>Sella</v>
          </cell>
          <cell r="I6537" t="str">
            <v>03124</v>
          </cell>
        </row>
        <row r="6538">
          <cell r="H6538" t="str">
            <v>Sellent</v>
          </cell>
          <cell r="I6538" t="str">
            <v>46225</v>
          </cell>
        </row>
        <row r="6539">
          <cell r="H6539" t="str">
            <v>Selva de Mar, La</v>
          </cell>
          <cell r="I6539" t="str">
            <v>17188</v>
          </cell>
        </row>
        <row r="6540">
          <cell r="H6540" t="str">
            <v>Selva del Camp, La</v>
          </cell>
          <cell r="I6540" t="str">
            <v>43145</v>
          </cell>
        </row>
        <row r="6541">
          <cell r="H6541" t="str">
            <v>Semillas</v>
          </cell>
          <cell r="I6541" t="str">
            <v>19901</v>
          </cell>
        </row>
        <row r="6542">
          <cell r="H6542" t="str">
            <v>Sempere</v>
          </cell>
          <cell r="I6542" t="str">
            <v>46226</v>
          </cell>
        </row>
        <row r="6543">
          <cell r="H6543" t="str">
            <v>Sena</v>
          </cell>
          <cell r="I6543" t="str">
            <v>22217</v>
          </cell>
        </row>
        <row r="6544">
          <cell r="H6544" t="str">
            <v>Senan</v>
          </cell>
          <cell r="I6544" t="str">
            <v>43146</v>
          </cell>
        </row>
        <row r="6545">
          <cell r="H6545" t="str">
            <v>Sencelles</v>
          </cell>
          <cell r="I6545" t="str">
            <v>07047</v>
          </cell>
        </row>
        <row r="6546">
          <cell r="H6546" t="str">
            <v>Senés</v>
          </cell>
          <cell r="I6546" t="str">
            <v>04082</v>
          </cell>
        </row>
        <row r="6547">
          <cell r="H6547" t="str">
            <v>Senés de Alcubierre</v>
          </cell>
          <cell r="I6547" t="str">
            <v>22218</v>
          </cell>
        </row>
        <row r="6548">
          <cell r="H6548" t="str">
            <v>Sénia, La</v>
          </cell>
          <cell r="I6548" t="str">
            <v>43044</v>
          </cell>
        </row>
        <row r="6549">
          <cell r="H6549" t="str">
            <v>Senija</v>
          </cell>
          <cell r="I6549" t="str">
            <v>03125</v>
          </cell>
        </row>
        <row r="6550">
          <cell r="H6550" t="str">
            <v>Senterada</v>
          </cell>
          <cell r="I6550" t="str">
            <v>25202</v>
          </cell>
        </row>
        <row r="6551">
          <cell r="H6551" t="str">
            <v>Sentiu de Sió, La</v>
          </cell>
          <cell r="I6551" t="str">
            <v>25035</v>
          </cell>
        </row>
        <row r="6552">
          <cell r="H6552" t="str">
            <v>Sentmenat</v>
          </cell>
          <cell r="I6552" t="str">
            <v>08267</v>
          </cell>
        </row>
        <row r="6553">
          <cell r="H6553" t="str">
            <v>Senyera</v>
          </cell>
          <cell r="I6553" t="str">
            <v>46227</v>
          </cell>
        </row>
        <row r="6554">
          <cell r="H6554" t="str">
            <v>Sepulcro-Hilario</v>
          </cell>
          <cell r="I6554" t="str">
            <v>37304</v>
          </cell>
        </row>
        <row r="6555">
          <cell r="H6555" t="str">
            <v>Sepúlveda</v>
          </cell>
          <cell r="I6555" t="str">
            <v>40195</v>
          </cell>
        </row>
        <row r="6556">
          <cell r="H6556" t="str">
            <v>Sequera de Fresno</v>
          </cell>
          <cell r="I6556" t="str">
            <v>40196</v>
          </cell>
        </row>
        <row r="6557">
          <cell r="H6557" t="str">
            <v>Sequera de Haza, La</v>
          </cell>
          <cell r="I6557" t="str">
            <v>09365</v>
          </cell>
        </row>
        <row r="6558">
          <cell r="H6558" t="str">
            <v>Sequeros</v>
          </cell>
          <cell r="I6558" t="str">
            <v>37305</v>
          </cell>
        </row>
        <row r="6559">
          <cell r="H6559" t="str">
            <v>Serinyà</v>
          </cell>
          <cell r="I6559" t="str">
            <v>17190</v>
          </cell>
        </row>
        <row r="6560">
          <cell r="H6560" t="str">
            <v>Serna del Monte, La</v>
          </cell>
          <cell r="I6560" t="str">
            <v>28138</v>
          </cell>
        </row>
        <row r="6561">
          <cell r="H6561" t="str">
            <v>Serna, La</v>
          </cell>
          <cell r="I6561" t="str">
            <v>34175</v>
          </cell>
        </row>
        <row r="6562">
          <cell r="H6562" t="str">
            <v>Serón</v>
          </cell>
          <cell r="I6562" t="str">
            <v>04083</v>
          </cell>
        </row>
        <row r="6563">
          <cell r="H6563" t="str">
            <v>Serón de Nágima</v>
          </cell>
          <cell r="I6563" t="str">
            <v>42171</v>
          </cell>
        </row>
        <row r="6564">
          <cell r="H6564" t="str">
            <v>Seròs</v>
          </cell>
          <cell r="I6564" t="str">
            <v>25204</v>
          </cell>
        </row>
        <row r="6565">
          <cell r="H6565" t="str">
            <v>Serra</v>
          </cell>
          <cell r="I6565" t="str">
            <v>46228</v>
          </cell>
        </row>
        <row r="6566">
          <cell r="H6566" t="str">
            <v>Serra de Daró</v>
          </cell>
          <cell r="I6566" t="str">
            <v>17191</v>
          </cell>
        </row>
        <row r="6567">
          <cell r="H6567" t="str">
            <v>Serrada</v>
          </cell>
          <cell r="I6567" t="str">
            <v>47159</v>
          </cell>
        </row>
        <row r="6568">
          <cell r="H6568" t="str">
            <v>Serrada, La</v>
          </cell>
          <cell r="I6568" t="str">
            <v>05232</v>
          </cell>
        </row>
        <row r="6569">
          <cell r="H6569" t="str">
            <v>Serradilla</v>
          </cell>
          <cell r="I6569" t="str">
            <v>10175</v>
          </cell>
        </row>
        <row r="6570">
          <cell r="H6570" t="str">
            <v>Serradilla del Arroyo</v>
          </cell>
          <cell r="I6570" t="str">
            <v>37306</v>
          </cell>
        </row>
        <row r="6571">
          <cell r="H6571" t="str">
            <v>Serradilla del Llano</v>
          </cell>
          <cell r="I6571" t="str">
            <v>37307</v>
          </cell>
        </row>
        <row r="6572">
          <cell r="H6572" t="str">
            <v>Serranillos</v>
          </cell>
          <cell r="I6572" t="str">
            <v>05233</v>
          </cell>
        </row>
        <row r="6573">
          <cell r="H6573" t="str">
            <v>Serranillos del Valle</v>
          </cell>
          <cell r="I6573" t="str">
            <v>28140</v>
          </cell>
        </row>
        <row r="6574">
          <cell r="H6574" t="str">
            <v>Serratella, la</v>
          </cell>
          <cell r="I6574" t="str">
            <v>12103</v>
          </cell>
        </row>
        <row r="6575">
          <cell r="H6575" t="str">
            <v>Serrato</v>
          </cell>
          <cell r="I6575" t="str">
            <v>29904</v>
          </cell>
        </row>
        <row r="6576">
          <cell r="H6576" t="str">
            <v>Serrejón</v>
          </cell>
          <cell r="I6576" t="str">
            <v>10176</v>
          </cell>
        </row>
        <row r="6577">
          <cell r="H6577" t="str">
            <v>Sesa</v>
          </cell>
          <cell r="I6577" t="str">
            <v>22220</v>
          </cell>
        </row>
        <row r="6578">
          <cell r="H6578" t="str">
            <v>Seseña</v>
          </cell>
          <cell r="I6578" t="str">
            <v>45161</v>
          </cell>
        </row>
        <row r="6579">
          <cell r="H6579" t="str">
            <v>Sesma</v>
          </cell>
          <cell r="I6579" t="str">
            <v>31224</v>
          </cell>
        </row>
        <row r="6580">
          <cell r="H6580" t="str">
            <v>Sestao</v>
          </cell>
          <cell r="I6580" t="str">
            <v>48084</v>
          </cell>
        </row>
        <row r="6581">
          <cell r="H6581" t="str">
            <v>Sestrica</v>
          </cell>
          <cell r="I6581" t="str">
            <v>50243</v>
          </cell>
        </row>
        <row r="6582">
          <cell r="H6582" t="str">
            <v>Sesué</v>
          </cell>
          <cell r="I6582" t="str">
            <v>22221</v>
          </cell>
        </row>
        <row r="6583">
          <cell r="H6583" t="str">
            <v>Setcases</v>
          </cell>
          <cell r="I6583" t="str">
            <v>17192</v>
          </cell>
        </row>
        <row r="6584">
          <cell r="H6584" t="str">
            <v>Setenil de las Bodegas</v>
          </cell>
          <cell r="I6584" t="str">
            <v>11034</v>
          </cell>
        </row>
        <row r="6585">
          <cell r="H6585" t="str">
            <v>Setiles</v>
          </cell>
          <cell r="I6585" t="str">
            <v>19255</v>
          </cell>
        </row>
        <row r="6586">
          <cell r="H6586" t="str">
            <v>Seu d'Urgell, La</v>
          </cell>
          <cell r="I6586" t="str">
            <v>25203</v>
          </cell>
        </row>
        <row r="6587">
          <cell r="H6587" t="str">
            <v>Seva</v>
          </cell>
          <cell r="I6587" t="str">
            <v>08269</v>
          </cell>
        </row>
        <row r="6588">
          <cell r="H6588" t="str">
            <v>Sevilla</v>
          </cell>
          <cell r="I6588" t="str">
            <v>41091</v>
          </cell>
        </row>
        <row r="6589">
          <cell r="H6589" t="str">
            <v>Sevilla la Nueva</v>
          </cell>
          <cell r="I6589" t="str">
            <v>28141</v>
          </cell>
        </row>
        <row r="6590">
          <cell r="H6590" t="str">
            <v>Sevilleja de la Jara</v>
          </cell>
          <cell r="I6590" t="str">
            <v>45162</v>
          </cell>
        </row>
        <row r="6591">
          <cell r="H6591" t="str">
            <v>Sidamon</v>
          </cell>
          <cell r="I6591" t="str">
            <v>25205</v>
          </cell>
        </row>
        <row r="6592">
          <cell r="H6592" t="str">
            <v>Sienes</v>
          </cell>
          <cell r="I6592" t="str">
            <v>19256</v>
          </cell>
        </row>
        <row r="6593">
          <cell r="H6593" t="str">
            <v>Sierpe, La</v>
          </cell>
          <cell r="I6593" t="str">
            <v>37309</v>
          </cell>
        </row>
        <row r="6594">
          <cell r="H6594" t="str">
            <v>Sierra de Fuentes</v>
          </cell>
          <cell r="I6594" t="str">
            <v>10177</v>
          </cell>
        </row>
        <row r="6595">
          <cell r="H6595" t="str">
            <v>Sierra de Luna</v>
          </cell>
          <cell r="I6595" t="str">
            <v>50244</v>
          </cell>
        </row>
        <row r="6596">
          <cell r="H6596" t="str">
            <v>Sierra de Yeguas</v>
          </cell>
          <cell r="I6596" t="str">
            <v>29088</v>
          </cell>
        </row>
        <row r="6597">
          <cell r="H6597" t="str">
            <v>Sierra Engarcerán</v>
          </cell>
          <cell r="I6597" t="str">
            <v>12105</v>
          </cell>
        </row>
        <row r="6598">
          <cell r="H6598" t="str">
            <v>Sierro</v>
          </cell>
          <cell r="I6598" t="str">
            <v>04084</v>
          </cell>
        </row>
        <row r="6599">
          <cell r="H6599" t="str">
            <v>Siétamo</v>
          </cell>
          <cell r="I6599" t="str">
            <v>22222</v>
          </cell>
        </row>
        <row r="6600">
          <cell r="H6600" t="str">
            <v>Siete Aguas</v>
          </cell>
          <cell r="I6600" t="str">
            <v>46229</v>
          </cell>
        </row>
        <row r="6601">
          <cell r="H6601" t="str">
            <v>Siete Iglesias de Trabancos</v>
          </cell>
          <cell r="I6601" t="str">
            <v>47160</v>
          </cell>
        </row>
        <row r="6602">
          <cell r="H6602" t="str">
            <v>Sieteiglesias de Tormes</v>
          </cell>
          <cell r="I6602" t="str">
            <v>37310</v>
          </cell>
        </row>
        <row r="6603">
          <cell r="H6603" t="str">
            <v>Sigeres</v>
          </cell>
          <cell r="I6603" t="str">
            <v>05234</v>
          </cell>
        </row>
        <row r="6604">
          <cell r="H6604" t="str">
            <v>Sigüenza</v>
          </cell>
          <cell r="I6604" t="str">
            <v>19257</v>
          </cell>
        </row>
        <row r="6605">
          <cell r="H6605" t="str">
            <v>Sigüés</v>
          </cell>
          <cell r="I6605" t="str">
            <v>50245</v>
          </cell>
        </row>
        <row r="6606">
          <cell r="H6606" t="str">
            <v>Siles</v>
          </cell>
          <cell r="I6606" t="str">
            <v>23082</v>
          </cell>
        </row>
        <row r="6607">
          <cell r="H6607" t="str">
            <v>Silla</v>
          </cell>
          <cell r="I6607" t="str">
            <v>46230</v>
          </cell>
        </row>
        <row r="6608">
          <cell r="H6608" t="str">
            <v>Silleda</v>
          </cell>
          <cell r="I6608" t="str">
            <v>36052</v>
          </cell>
        </row>
        <row r="6609">
          <cell r="H6609" t="str">
            <v>Silos, Los</v>
          </cell>
          <cell r="I6609" t="str">
            <v>38042</v>
          </cell>
        </row>
        <row r="6610">
          <cell r="H6610" t="str">
            <v>Sils</v>
          </cell>
          <cell r="I6610" t="str">
            <v>17193</v>
          </cell>
        </row>
        <row r="6611">
          <cell r="H6611" t="str">
            <v>Simancas</v>
          </cell>
          <cell r="I6611" t="str">
            <v>47161</v>
          </cell>
        </row>
        <row r="6612">
          <cell r="H6612" t="str">
            <v>Simat de la Valldigna</v>
          </cell>
          <cell r="I6612" t="str">
            <v>46231</v>
          </cell>
        </row>
        <row r="6613">
          <cell r="H6613" t="str">
            <v>Sinarcas</v>
          </cell>
          <cell r="I6613" t="str">
            <v>46232</v>
          </cell>
        </row>
        <row r="6614">
          <cell r="H6614" t="str">
            <v>Sineu</v>
          </cell>
          <cell r="I6614" t="str">
            <v>07060</v>
          </cell>
        </row>
        <row r="6615">
          <cell r="H6615" t="str">
            <v>Singra</v>
          </cell>
          <cell r="I6615" t="str">
            <v>44213</v>
          </cell>
        </row>
        <row r="6616">
          <cell r="H6616" t="str">
            <v>Sinlabajos</v>
          </cell>
          <cell r="I6616" t="str">
            <v>05235</v>
          </cell>
        </row>
        <row r="6617">
          <cell r="H6617" t="str">
            <v>Siruela</v>
          </cell>
          <cell r="I6617" t="str">
            <v>06125</v>
          </cell>
        </row>
        <row r="6618">
          <cell r="H6618" t="str">
            <v>Sisamón</v>
          </cell>
          <cell r="I6618" t="str">
            <v>50246</v>
          </cell>
        </row>
        <row r="6619">
          <cell r="H6619" t="str">
            <v>Sisante</v>
          </cell>
          <cell r="I6619" t="str">
            <v>16198</v>
          </cell>
        </row>
        <row r="6620">
          <cell r="H6620" t="str">
            <v>Sitges</v>
          </cell>
          <cell r="I6620" t="str">
            <v>08270</v>
          </cell>
        </row>
        <row r="6621">
          <cell r="H6621" t="str">
            <v>Siurana</v>
          </cell>
          <cell r="I6621" t="str">
            <v>17052</v>
          </cell>
        </row>
        <row r="6622">
          <cell r="H6622" t="str">
            <v>Soba</v>
          </cell>
          <cell r="I6622" t="str">
            <v>39083</v>
          </cell>
        </row>
        <row r="6623">
          <cell r="H6623" t="str">
            <v>Sober</v>
          </cell>
          <cell r="I6623" t="str">
            <v>27059</v>
          </cell>
        </row>
        <row r="6624">
          <cell r="H6624" t="str">
            <v>Sobradiel</v>
          </cell>
          <cell r="I6624" t="str">
            <v>50247</v>
          </cell>
        </row>
        <row r="6625">
          <cell r="H6625" t="str">
            <v>Sobradillo</v>
          </cell>
          <cell r="I6625" t="str">
            <v>37311</v>
          </cell>
        </row>
        <row r="6626">
          <cell r="H6626" t="str">
            <v>Sobrado</v>
          </cell>
          <cell r="I6626" t="str">
            <v>15080</v>
          </cell>
        </row>
        <row r="6627">
          <cell r="H6627" t="str">
            <v>Sobremunt</v>
          </cell>
          <cell r="I6627" t="str">
            <v>08271</v>
          </cell>
        </row>
        <row r="6628">
          <cell r="H6628" t="str">
            <v>Socovos</v>
          </cell>
          <cell r="I6628" t="str">
            <v>02072</v>
          </cell>
        </row>
        <row r="6629">
          <cell r="H6629" t="str">
            <v>Socuéllamos</v>
          </cell>
          <cell r="I6629" t="str">
            <v>13078</v>
          </cell>
        </row>
        <row r="6630">
          <cell r="H6630" t="str">
            <v>Sojuela</v>
          </cell>
          <cell r="I6630" t="str">
            <v>26143</v>
          </cell>
        </row>
        <row r="6631">
          <cell r="H6631" t="str">
            <v>Solana de Ávila</v>
          </cell>
          <cell r="I6631" t="str">
            <v>05236</v>
          </cell>
        </row>
        <row r="6632">
          <cell r="H6632" t="str">
            <v>Solana de los Barros</v>
          </cell>
          <cell r="I6632" t="str">
            <v>06126</v>
          </cell>
        </row>
        <row r="6633">
          <cell r="H6633" t="str">
            <v>Solana de Rioalmar</v>
          </cell>
          <cell r="I6633" t="str">
            <v>05237</v>
          </cell>
        </row>
        <row r="6634">
          <cell r="H6634" t="str">
            <v>Solana del Pino</v>
          </cell>
          <cell r="I6634" t="str">
            <v>13080</v>
          </cell>
        </row>
        <row r="6635">
          <cell r="H6635" t="str">
            <v>Solana, La</v>
          </cell>
          <cell r="I6635" t="str">
            <v>13079</v>
          </cell>
        </row>
        <row r="6636">
          <cell r="H6636" t="str">
            <v>Solanillos del Extremo</v>
          </cell>
          <cell r="I6636" t="str">
            <v>19258</v>
          </cell>
        </row>
        <row r="6637">
          <cell r="H6637" t="str">
            <v>Solarana</v>
          </cell>
          <cell r="I6637" t="str">
            <v>09366</v>
          </cell>
        </row>
        <row r="6638">
          <cell r="H6638" t="str">
            <v>Solera de Gabaldón</v>
          </cell>
          <cell r="I6638" t="str">
            <v>16199</v>
          </cell>
        </row>
        <row r="6639">
          <cell r="H6639" t="str">
            <v>Soleràs, El</v>
          </cell>
          <cell r="I6639" t="str">
            <v>25206</v>
          </cell>
        </row>
        <row r="6640">
          <cell r="H6640" t="str">
            <v>Soliedra</v>
          </cell>
          <cell r="I6640" t="str">
            <v>42172</v>
          </cell>
        </row>
        <row r="6641">
          <cell r="H6641" t="str">
            <v>Solivella</v>
          </cell>
          <cell r="I6641" t="str">
            <v>43147</v>
          </cell>
        </row>
        <row r="6642">
          <cell r="H6642" t="str">
            <v>Sollana</v>
          </cell>
          <cell r="I6642" t="str">
            <v>46233</v>
          </cell>
        </row>
        <row r="6643">
          <cell r="H6643" t="str">
            <v>Sóller</v>
          </cell>
          <cell r="I6643" t="str">
            <v>07061</v>
          </cell>
        </row>
        <row r="6644">
          <cell r="H6644" t="str">
            <v>Solórzano</v>
          </cell>
          <cell r="I6644" t="str">
            <v>39084</v>
          </cell>
        </row>
        <row r="6645">
          <cell r="H6645" t="str">
            <v>Solosancho</v>
          </cell>
          <cell r="I6645" t="str">
            <v>05238</v>
          </cell>
        </row>
        <row r="6646">
          <cell r="H6646" t="str">
            <v>Solsona</v>
          </cell>
          <cell r="I6646" t="str">
            <v>25207</v>
          </cell>
        </row>
        <row r="6647">
          <cell r="H6647" t="str">
            <v>Somolinos</v>
          </cell>
          <cell r="I6647" t="str">
            <v>19259</v>
          </cell>
        </row>
        <row r="6648">
          <cell r="H6648" t="str">
            <v>Somontín</v>
          </cell>
          <cell r="I6648" t="str">
            <v>04085</v>
          </cell>
        </row>
        <row r="6649">
          <cell r="H6649" t="str">
            <v>Somosierra</v>
          </cell>
          <cell r="I6649" t="str">
            <v>28143</v>
          </cell>
        </row>
        <row r="6650">
          <cell r="H6650" t="str">
            <v>Son Servera</v>
          </cell>
          <cell r="I6650" t="str">
            <v>07062</v>
          </cell>
        </row>
        <row r="6651">
          <cell r="H6651" t="str">
            <v>Sondika</v>
          </cell>
          <cell r="I6651" t="str">
            <v>48904</v>
          </cell>
        </row>
        <row r="6652">
          <cell r="H6652" t="str">
            <v>Soneja</v>
          </cell>
          <cell r="I6652" t="str">
            <v>12106</v>
          </cell>
        </row>
        <row r="6653">
          <cell r="H6653" t="str">
            <v>Sonseca</v>
          </cell>
          <cell r="I6653" t="str">
            <v>45163</v>
          </cell>
        </row>
        <row r="6654">
          <cell r="H6654" t="str">
            <v>Sopeira</v>
          </cell>
          <cell r="I6654" t="str">
            <v>22223</v>
          </cell>
        </row>
        <row r="6655">
          <cell r="H6655" t="str">
            <v>Sopela</v>
          </cell>
          <cell r="I6655" t="str">
            <v>48085</v>
          </cell>
        </row>
        <row r="6656">
          <cell r="H6656" t="str">
            <v>Soportújar</v>
          </cell>
          <cell r="I6656" t="str">
            <v>18176</v>
          </cell>
        </row>
        <row r="6657">
          <cell r="H6657" t="str">
            <v>Sopuerta</v>
          </cell>
          <cell r="I6657" t="str">
            <v>48086</v>
          </cell>
        </row>
        <row r="6658">
          <cell r="H6658" t="str">
            <v>Sora</v>
          </cell>
          <cell r="I6658" t="str">
            <v>08272</v>
          </cell>
        </row>
        <row r="6659">
          <cell r="H6659" t="str">
            <v>Soraluze-Placencia de las Armas</v>
          </cell>
          <cell r="I6659" t="str">
            <v>20065</v>
          </cell>
        </row>
        <row r="6660">
          <cell r="H6660" t="str">
            <v>Sorbas</v>
          </cell>
          <cell r="I6660" t="str">
            <v>04086</v>
          </cell>
        </row>
        <row r="6661">
          <cell r="H6661" t="str">
            <v>Sordillos</v>
          </cell>
          <cell r="I6661" t="str">
            <v>09368</v>
          </cell>
        </row>
        <row r="6662">
          <cell r="H6662" t="str">
            <v>Soria</v>
          </cell>
          <cell r="I6662" t="str">
            <v>42173</v>
          </cell>
        </row>
        <row r="6663">
          <cell r="H6663" t="str">
            <v>Soriguera</v>
          </cell>
          <cell r="I6663" t="str">
            <v>25208</v>
          </cell>
        </row>
        <row r="6664">
          <cell r="H6664" t="str">
            <v>Sorihuela</v>
          </cell>
          <cell r="I6664" t="str">
            <v>37312</v>
          </cell>
        </row>
        <row r="6665">
          <cell r="H6665" t="str">
            <v>Sorihuela del Guadalimar</v>
          </cell>
          <cell r="I6665" t="str">
            <v>23084</v>
          </cell>
        </row>
        <row r="6666">
          <cell r="H6666" t="str">
            <v>Sorlada</v>
          </cell>
          <cell r="I6666" t="str">
            <v>31225</v>
          </cell>
        </row>
        <row r="6667">
          <cell r="H6667" t="str">
            <v>Sort</v>
          </cell>
          <cell r="I6667" t="str">
            <v>25209</v>
          </cell>
        </row>
        <row r="6668">
          <cell r="H6668" t="str">
            <v>Sorvilán</v>
          </cell>
          <cell r="I6668" t="str">
            <v>18177</v>
          </cell>
        </row>
        <row r="6669">
          <cell r="H6669" t="str">
            <v>Sorzano</v>
          </cell>
          <cell r="I6669" t="str">
            <v>26144</v>
          </cell>
        </row>
        <row r="6670">
          <cell r="H6670" t="str">
            <v>Sos del Rey Católico</v>
          </cell>
          <cell r="I6670" t="str">
            <v>50248</v>
          </cell>
        </row>
        <row r="6671">
          <cell r="H6671" t="str">
            <v>Soses</v>
          </cell>
          <cell r="I6671" t="str">
            <v>25210</v>
          </cell>
        </row>
        <row r="6672">
          <cell r="H6672" t="str">
            <v>Sot de Chera</v>
          </cell>
          <cell r="I6672" t="str">
            <v>46234</v>
          </cell>
        </row>
        <row r="6673">
          <cell r="H6673" t="str">
            <v>Sot de Ferrer</v>
          </cell>
          <cell r="I6673" t="str">
            <v>12107</v>
          </cell>
        </row>
        <row r="6674">
          <cell r="H6674" t="str">
            <v>Sotalbo</v>
          </cell>
          <cell r="I6674" t="str">
            <v>05239</v>
          </cell>
        </row>
        <row r="6675">
          <cell r="H6675" t="str">
            <v>Sotés</v>
          </cell>
          <cell r="I6675" t="str">
            <v>26145</v>
          </cell>
        </row>
        <row r="6676">
          <cell r="H6676" t="str">
            <v>Sotillo</v>
          </cell>
          <cell r="I6676" t="str">
            <v>40198</v>
          </cell>
        </row>
        <row r="6677">
          <cell r="H6677" t="str">
            <v>Sotillo de la Adrada</v>
          </cell>
          <cell r="I6677" t="str">
            <v>05240</v>
          </cell>
        </row>
        <row r="6678">
          <cell r="H6678" t="str">
            <v>Sotillo de la Ribera</v>
          </cell>
          <cell r="I6678" t="str">
            <v>09369</v>
          </cell>
        </row>
        <row r="6679">
          <cell r="H6679" t="str">
            <v>Sotillo de las Palomas</v>
          </cell>
          <cell r="I6679" t="str">
            <v>45164</v>
          </cell>
        </row>
        <row r="6680">
          <cell r="H6680" t="str">
            <v>Sotillo del Rincón</v>
          </cell>
          <cell r="I6680" t="str">
            <v>42174</v>
          </cell>
        </row>
        <row r="6681">
          <cell r="H6681" t="str">
            <v>Sotillo, El</v>
          </cell>
          <cell r="I6681" t="str">
            <v>19260</v>
          </cell>
        </row>
        <row r="6682">
          <cell r="H6682" t="str">
            <v>Soto de Cerrato</v>
          </cell>
          <cell r="I6682" t="str">
            <v>34177</v>
          </cell>
        </row>
        <row r="6683">
          <cell r="H6683" t="str">
            <v>Soto de la Vega</v>
          </cell>
          <cell r="I6683" t="str">
            <v>24166</v>
          </cell>
        </row>
        <row r="6684">
          <cell r="H6684" t="str">
            <v>Soto del Barco</v>
          </cell>
          <cell r="I6684" t="str">
            <v>33069</v>
          </cell>
        </row>
        <row r="6685">
          <cell r="H6685" t="str">
            <v>Soto del Real</v>
          </cell>
          <cell r="I6685" t="str">
            <v>28144</v>
          </cell>
        </row>
        <row r="6686">
          <cell r="H6686" t="str">
            <v>Soto en Cameros</v>
          </cell>
          <cell r="I6686" t="str">
            <v>26146</v>
          </cell>
        </row>
        <row r="6687">
          <cell r="H6687" t="str">
            <v>Sotobañado y Priorato</v>
          </cell>
          <cell r="I6687" t="str">
            <v>34176</v>
          </cell>
        </row>
        <row r="6688">
          <cell r="H6688" t="str">
            <v>Sotodosos</v>
          </cell>
          <cell r="I6688" t="str">
            <v>19261</v>
          </cell>
        </row>
        <row r="6689">
          <cell r="H6689" t="str">
            <v>Sotonera, La</v>
          </cell>
          <cell r="I6689" t="str">
            <v>22904</v>
          </cell>
        </row>
        <row r="6690">
          <cell r="H6690" t="str">
            <v>Sotorribas</v>
          </cell>
          <cell r="I6690" t="str">
            <v>16909</v>
          </cell>
        </row>
        <row r="6691">
          <cell r="H6691" t="str">
            <v>Sotosalbos</v>
          </cell>
          <cell r="I6691" t="str">
            <v>40199</v>
          </cell>
        </row>
        <row r="6692">
          <cell r="H6692" t="str">
            <v>Sotoserrano</v>
          </cell>
          <cell r="I6692" t="str">
            <v>37313</v>
          </cell>
        </row>
        <row r="6693">
          <cell r="H6693" t="str">
            <v>Sotragero</v>
          </cell>
          <cell r="I6693" t="str">
            <v>09372</v>
          </cell>
        </row>
        <row r="6694">
          <cell r="H6694" t="str">
            <v>Sotresgudo</v>
          </cell>
          <cell r="I6694" t="str">
            <v>09373</v>
          </cell>
        </row>
        <row r="6695">
          <cell r="H6695" t="str">
            <v>Soutomaior</v>
          </cell>
          <cell r="I6695" t="str">
            <v>36053</v>
          </cell>
        </row>
        <row r="6696">
          <cell r="H6696" t="str">
            <v>Suances</v>
          </cell>
          <cell r="I6696" t="str">
            <v>39085</v>
          </cell>
        </row>
        <row r="6697">
          <cell r="H6697" t="str">
            <v>Subirats</v>
          </cell>
          <cell r="I6697" t="str">
            <v>08273</v>
          </cell>
        </row>
        <row r="6698">
          <cell r="H6698" t="str">
            <v>Sudanell</v>
          </cell>
          <cell r="I6698" t="str">
            <v>25211</v>
          </cell>
        </row>
        <row r="6699">
          <cell r="H6699" t="str">
            <v>Sueca</v>
          </cell>
          <cell r="I6699" t="str">
            <v>46235</v>
          </cell>
        </row>
        <row r="6700">
          <cell r="H6700" t="str">
            <v>Suellacabras</v>
          </cell>
          <cell r="I6700" t="str">
            <v>42175</v>
          </cell>
        </row>
        <row r="6701">
          <cell r="H6701" t="str">
            <v>Suera/Sueras</v>
          </cell>
          <cell r="I6701" t="str">
            <v>12108</v>
          </cell>
        </row>
        <row r="6702">
          <cell r="H6702" t="str">
            <v>Suflí</v>
          </cell>
          <cell r="I6702" t="str">
            <v>04087</v>
          </cell>
        </row>
        <row r="6703">
          <cell r="H6703" t="str">
            <v>Sukarrieta</v>
          </cell>
          <cell r="I6703" t="str">
            <v>48076</v>
          </cell>
        </row>
        <row r="6704">
          <cell r="H6704" t="str">
            <v>Sumacàrcer</v>
          </cell>
          <cell r="I6704" t="str">
            <v>46236</v>
          </cell>
        </row>
        <row r="6705">
          <cell r="H6705" t="str">
            <v>Sunbilla</v>
          </cell>
          <cell r="I6705" t="str">
            <v>31226</v>
          </cell>
        </row>
        <row r="6706">
          <cell r="H6706" t="str">
            <v>Sunyer</v>
          </cell>
          <cell r="I6706" t="str">
            <v>25212</v>
          </cell>
        </row>
        <row r="6707">
          <cell r="H6707" t="str">
            <v>Súria</v>
          </cell>
          <cell r="I6707" t="str">
            <v>08274</v>
          </cell>
        </row>
        <row r="6708">
          <cell r="H6708" t="str">
            <v>Susinos del Páramo</v>
          </cell>
          <cell r="I6708" t="str">
            <v>09374</v>
          </cell>
        </row>
        <row r="6709">
          <cell r="H6709" t="str">
            <v>Susqueda</v>
          </cell>
          <cell r="I6709" t="str">
            <v>17194</v>
          </cell>
        </row>
        <row r="6710">
          <cell r="H6710" t="str">
            <v>Tabanera de Cerrato</v>
          </cell>
          <cell r="I6710" t="str">
            <v>34178</v>
          </cell>
        </row>
        <row r="6711">
          <cell r="H6711" t="str">
            <v>Tabanera de Valdavia</v>
          </cell>
          <cell r="I6711" t="str">
            <v>34179</v>
          </cell>
        </row>
        <row r="6712">
          <cell r="H6712" t="str">
            <v>Tabanera la Luenga</v>
          </cell>
          <cell r="I6712" t="str">
            <v>40200</v>
          </cell>
        </row>
        <row r="6713">
          <cell r="H6713" t="str">
            <v>Tábara</v>
          </cell>
          <cell r="I6713" t="str">
            <v>49214</v>
          </cell>
        </row>
        <row r="6714">
          <cell r="H6714" t="str">
            <v>Tabera de Abajo</v>
          </cell>
          <cell r="I6714" t="str">
            <v>37314</v>
          </cell>
        </row>
        <row r="6715">
          <cell r="H6715" t="str">
            <v>Tabernas</v>
          </cell>
          <cell r="I6715" t="str">
            <v>04088</v>
          </cell>
        </row>
        <row r="6716">
          <cell r="H6716" t="str">
            <v>Taberno</v>
          </cell>
          <cell r="I6716" t="str">
            <v>04089</v>
          </cell>
        </row>
        <row r="6717">
          <cell r="H6717" t="str">
            <v>Taboada</v>
          </cell>
          <cell r="I6717" t="str">
            <v>27060</v>
          </cell>
        </row>
        <row r="6718">
          <cell r="H6718" t="str">
            <v>Taboadela</v>
          </cell>
          <cell r="I6718" t="str">
            <v>32079</v>
          </cell>
        </row>
        <row r="6719">
          <cell r="H6719" t="str">
            <v>Tabuenca</v>
          </cell>
          <cell r="I6719" t="str">
            <v>50249</v>
          </cell>
        </row>
        <row r="6720">
          <cell r="H6720" t="str">
            <v>Tacoronte</v>
          </cell>
          <cell r="I6720" t="str">
            <v>38043</v>
          </cell>
        </row>
        <row r="6721">
          <cell r="H6721" t="str">
            <v>Tafalla</v>
          </cell>
          <cell r="I6721" t="str">
            <v>31227</v>
          </cell>
        </row>
        <row r="6722">
          <cell r="H6722" t="str">
            <v>Tagamanent</v>
          </cell>
          <cell r="I6722" t="str">
            <v>08276</v>
          </cell>
        </row>
        <row r="6723">
          <cell r="H6723" t="str">
            <v>Taha, La</v>
          </cell>
          <cell r="I6723" t="str">
            <v>18901</v>
          </cell>
        </row>
        <row r="6724">
          <cell r="H6724" t="str">
            <v>Tahal</v>
          </cell>
          <cell r="I6724" t="str">
            <v>04090</v>
          </cell>
        </row>
        <row r="6725">
          <cell r="H6725" t="str">
            <v>Tajahuerce</v>
          </cell>
          <cell r="I6725" t="str">
            <v>42176</v>
          </cell>
        </row>
        <row r="6726">
          <cell r="H6726" t="str">
            <v>Tajueco</v>
          </cell>
          <cell r="I6726" t="str">
            <v>42177</v>
          </cell>
        </row>
        <row r="6727">
          <cell r="H6727" t="str">
            <v>Tala, La</v>
          </cell>
          <cell r="I6727" t="str">
            <v>37315</v>
          </cell>
        </row>
        <row r="6728">
          <cell r="H6728" t="str">
            <v>Talamanca</v>
          </cell>
          <cell r="I6728" t="str">
            <v>08277</v>
          </cell>
        </row>
        <row r="6729">
          <cell r="H6729" t="str">
            <v>Talamanca de Jarama</v>
          </cell>
          <cell r="I6729" t="str">
            <v>28145</v>
          </cell>
        </row>
        <row r="6730">
          <cell r="H6730" t="str">
            <v>Talamantes</v>
          </cell>
          <cell r="I6730" t="str">
            <v>50250</v>
          </cell>
        </row>
        <row r="6731">
          <cell r="H6731" t="str">
            <v>Talarn</v>
          </cell>
          <cell r="I6731" t="str">
            <v>25215</v>
          </cell>
        </row>
        <row r="6732">
          <cell r="H6732" t="str">
            <v>Talarrubias</v>
          </cell>
          <cell r="I6732" t="str">
            <v>06127</v>
          </cell>
        </row>
        <row r="6733">
          <cell r="H6733" t="str">
            <v>Talaván</v>
          </cell>
          <cell r="I6733" t="str">
            <v>10178</v>
          </cell>
        </row>
        <row r="6734">
          <cell r="H6734" t="str">
            <v>Talavera</v>
          </cell>
          <cell r="I6734" t="str">
            <v>25216</v>
          </cell>
        </row>
        <row r="6735">
          <cell r="H6735" t="str">
            <v>Talavera de la Reina</v>
          </cell>
          <cell r="I6735" t="str">
            <v>45165</v>
          </cell>
        </row>
        <row r="6736">
          <cell r="H6736" t="str">
            <v>Talavera la Real</v>
          </cell>
          <cell r="I6736" t="str">
            <v>06128</v>
          </cell>
        </row>
        <row r="6737">
          <cell r="H6737" t="str">
            <v>Talaveruela de la Vera</v>
          </cell>
          <cell r="I6737" t="str">
            <v>10179</v>
          </cell>
        </row>
        <row r="6738">
          <cell r="H6738" t="str">
            <v>Talayuela</v>
          </cell>
          <cell r="I6738" t="str">
            <v>10180</v>
          </cell>
        </row>
        <row r="6739">
          <cell r="H6739" t="str">
            <v>Talayuelas</v>
          </cell>
          <cell r="I6739" t="str">
            <v>16202</v>
          </cell>
        </row>
        <row r="6740">
          <cell r="H6740" t="str">
            <v>Tales</v>
          </cell>
          <cell r="I6740" t="str">
            <v>12109</v>
          </cell>
        </row>
        <row r="6741">
          <cell r="H6741" t="str">
            <v>Táliga</v>
          </cell>
          <cell r="I6741" t="str">
            <v>06129</v>
          </cell>
        </row>
        <row r="6742">
          <cell r="H6742" t="str">
            <v>Tallada d'Empordà, La</v>
          </cell>
          <cell r="I6742" t="str">
            <v>17195</v>
          </cell>
        </row>
        <row r="6743">
          <cell r="H6743" t="str">
            <v>Talveila</v>
          </cell>
          <cell r="I6743" t="str">
            <v>42178</v>
          </cell>
        </row>
        <row r="6744">
          <cell r="H6744" t="str">
            <v>Tamajón</v>
          </cell>
          <cell r="I6744" t="str">
            <v>19262</v>
          </cell>
        </row>
        <row r="6745">
          <cell r="H6745" t="str">
            <v>Tamames</v>
          </cell>
          <cell r="I6745" t="str">
            <v>37316</v>
          </cell>
        </row>
        <row r="6746">
          <cell r="H6746" t="str">
            <v>Támara de Campos</v>
          </cell>
          <cell r="I6746" t="str">
            <v>34180</v>
          </cell>
        </row>
        <row r="6747">
          <cell r="H6747" t="str">
            <v>Tamarite de Litera</v>
          </cell>
          <cell r="I6747" t="str">
            <v>22225</v>
          </cell>
        </row>
        <row r="6748">
          <cell r="H6748" t="str">
            <v>Tamariz de Campos</v>
          </cell>
          <cell r="I6748" t="str">
            <v>47162</v>
          </cell>
        </row>
        <row r="6749">
          <cell r="H6749" t="str">
            <v>Tamarón</v>
          </cell>
          <cell r="I6749" t="str">
            <v>09375</v>
          </cell>
        </row>
        <row r="6750">
          <cell r="H6750" t="str">
            <v>Tamurejo</v>
          </cell>
          <cell r="I6750" t="str">
            <v>06130</v>
          </cell>
        </row>
        <row r="6751">
          <cell r="H6751" t="str">
            <v>Tanque, El</v>
          </cell>
          <cell r="I6751" t="str">
            <v>38044</v>
          </cell>
        </row>
        <row r="6752">
          <cell r="H6752" t="str">
            <v>Tapia de Casariego</v>
          </cell>
          <cell r="I6752" t="str">
            <v>33070</v>
          </cell>
        </row>
        <row r="6753">
          <cell r="H6753" t="str">
            <v>Tapioles</v>
          </cell>
          <cell r="I6753" t="str">
            <v>49216</v>
          </cell>
        </row>
        <row r="6754">
          <cell r="H6754" t="str">
            <v>Taradell</v>
          </cell>
          <cell r="I6754" t="str">
            <v>08278</v>
          </cell>
        </row>
        <row r="6755">
          <cell r="H6755" t="str">
            <v>Taragudo</v>
          </cell>
          <cell r="I6755" t="str">
            <v>19263</v>
          </cell>
        </row>
        <row r="6756">
          <cell r="H6756" t="str">
            <v>Taramundi</v>
          </cell>
          <cell r="I6756" t="str">
            <v>33071</v>
          </cell>
        </row>
        <row r="6757">
          <cell r="H6757" t="str">
            <v>Tarancón</v>
          </cell>
          <cell r="I6757" t="str">
            <v>16203</v>
          </cell>
        </row>
        <row r="6758">
          <cell r="H6758" t="str">
            <v>Taravilla</v>
          </cell>
          <cell r="I6758" t="str">
            <v>19264</v>
          </cell>
        </row>
        <row r="6759">
          <cell r="H6759" t="str">
            <v>Tarazona</v>
          </cell>
          <cell r="I6759" t="str">
            <v>50251</v>
          </cell>
        </row>
        <row r="6760">
          <cell r="H6760" t="str">
            <v>Tarazona de Guareña</v>
          </cell>
          <cell r="I6760" t="str">
            <v>37317</v>
          </cell>
        </row>
        <row r="6761">
          <cell r="H6761" t="str">
            <v>Tarazona de la Mancha</v>
          </cell>
          <cell r="I6761" t="str">
            <v>02073</v>
          </cell>
        </row>
        <row r="6762">
          <cell r="H6762" t="str">
            <v>Tàrbena</v>
          </cell>
          <cell r="I6762" t="str">
            <v>03127</v>
          </cell>
        </row>
        <row r="6763">
          <cell r="H6763" t="str">
            <v>Tardáguila</v>
          </cell>
          <cell r="I6763" t="str">
            <v>37318</v>
          </cell>
        </row>
        <row r="6764">
          <cell r="H6764" t="str">
            <v>Tardajos</v>
          </cell>
          <cell r="I6764" t="str">
            <v>09377</v>
          </cell>
        </row>
        <row r="6765">
          <cell r="H6765" t="str">
            <v>Tardelcuende</v>
          </cell>
          <cell r="I6765" t="str">
            <v>42181</v>
          </cell>
        </row>
        <row r="6766">
          <cell r="H6766" t="str">
            <v>Tardienta</v>
          </cell>
          <cell r="I6766" t="str">
            <v>22226</v>
          </cell>
        </row>
        <row r="6767">
          <cell r="H6767" t="str">
            <v>Tariego de Cerrato</v>
          </cell>
          <cell r="I6767" t="str">
            <v>34181</v>
          </cell>
        </row>
        <row r="6768">
          <cell r="H6768" t="str">
            <v>Tarifa</v>
          </cell>
          <cell r="I6768" t="str">
            <v>11035</v>
          </cell>
        </row>
        <row r="6769">
          <cell r="H6769" t="str">
            <v>Taroda</v>
          </cell>
          <cell r="I6769" t="str">
            <v>42182</v>
          </cell>
        </row>
        <row r="6770">
          <cell r="H6770" t="str">
            <v>Tarragona</v>
          </cell>
          <cell r="I6770" t="str">
            <v>43148</v>
          </cell>
        </row>
        <row r="6771">
          <cell r="H6771" t="str">
            <v>Tàrrega</v>
          </cell>
          <cell r="I6771" t="str">
            <v>25217</v>
          </cell>
        </row>
        <row r="6772">
          <cell r="H6772" t="str">
            <v>Tarrés</v>
          </cell>
          <cell r="I6772" t="str">
            <v>25218</v>
          </cell>
        </row>
        <row r="6773">
          <cell r="H6773" t="str">
            <v>Tarroja de Segarra</v>
          </cell>
          <cell r="I6773" t="str">
            <v>25219</v>
          </cell>
        </row>
        <row r="6774">
          <cell r="H6774" t="str">
            <v>Tartanedo</v>
          </cell>
          <cell r="I6774" t="str">
            <v>19265</v>
          </cell>
        </row>
        <row r="6775">
          <cell r="H6775" t="str">
            <v>Tauste</v>
          </cell>
          <cell r="I6775" t="str">
            <v>50252</v>
          </cell>
        </row>
        <row r="6776">
          <cell r="H6776" t="str">
            <v>Tavernes Blanques</v>
          </cell>
          <cell r="I6776" t="str">
            <v>46237</v>
          </cell>
        </row>
        <row r="6777">
          <cell r="H6777" t="str">
            <v>Tavernes de la Valldigna</v>
          </cell>
          <cell r="I6777" t="str">
            <v>46238</v>
          </cell>
        </row>
        <row r="6778">
          <cell r="H6778" t="str">
            <v>Tavèrnoles</v>
          </cell>
          <cell r="I6778" t="str">
            <v>08275</v>
          </cell>
        </row>
        <row r="6779">
          <cell r="H6779" t="str">
            <v>Tavertet</v>
          </cell>
          <cell r="I6779" t="str">
            <v>08280</v>
          </cell>
        </row>
        <row r="6780">
          <cell r="H6780" t="str">
            <v>Tazacorte</v>
          </cell>
          <cell r="I6780" t="str">
            <v>38045</v>
          </cell>
        </row>
        <row r="6781">
          <cell r="H6781" t="str">
            <v>Teba</v>
          </cell>
          <cell r="I6781" t="str">
            <v>29089</v>
          </cell>
        </row>
        <row r="6782">
          <cell r="H6782" t="str">
            <v>Tébar</v>
          </cell>
          <cell r="I6782" t="str">
            <v>16204</v>
          </cell>
        </row>
        <row r="6783">
          <cell r="H6783" t="str">
            <v>Tegueste</v>
          </cell>
          <cell r="I6783" t="str">
            <v>38046</v>
          </cell>
        </row>
        <row r="6784">
          <cell r="H6784" t="str">
            <v>Teguise</v>
          </cell>
          <cell r="I6784" t="str">
            <v>35024</v>
          </cell>
        </row>
        <row r="6785">
          <cell r="H6785" t="str">
            <v>Teià</v>
          </cell>
          <cell r="I6785" t="str">
            <v>08281</v>
          </cell>
        </row>
        <row r="6786">
          <cell r="H6786" t="str">
            <v>Teixeira, A</v>
          </cell>
          <cell r="I6786" t="str">
            <v>32080</v>
          </cell>
        </row>
        <row r="6787">
          <cell r="H6787" t="str">
            <v>Tejada</v>
          </cell>
          <cell r="I6787" t="str">
            <v>09378</v>
          </cell>
        </row>
        <row r="6788">
          <cell r="H6788" t="str">
            <v>Tejadillos</v>
          </cell>
          <cell r="I6788" t="str">
            <v>16205</v>
          </cell>
        </row>
        <row r="6789">
          <cell r="H6789" t="str">
            <v>Tejado</v>
          </cell>
          <cell r="I6789" t="str">
            <v>42183</v>
          </cell>
        </row>
        <row r="6790">
          <cell r="H6790" t="str">
            <v>Tejado, El</v>
          </cell>
          <cell r="I6790" t="str">
            <v>37319</v>
          </cell>
        </row>
        <row r="6791">
          <cell r="H6791" t="str">
            <v>Tejeda</v>
          </cell>
          <cell r="I6791" t="str">
            <v>35025</v>
          </cell>
        </row>
        <row r="6792">
          <cell r="H6792" t="str">
            <v>Tejeda de Tiétar</v>
          </cell>
          <cell r="I6792" t="str">
            <v>10181</v>
          </cell>
        </row>
        <row r="6793">
          <cell r="H6793" t="str">
            <v>Tejeda y Segoyuela</v>
          </cell>
          <cell r="I6793" t="str">
            <v>37320</v>
          </cell>
        </row>
        <row r="6794">
          <cell r="H6794" t="str">
            <v>Telde</v>
          </cell>
          <cell r="I6794" t="str">
            <v>35026</v>
          </cell>
        </row>
        <row r="6795">
          <cell r="H6795" t="str">
            <v>Tella-Sin</v>
          </cell>
          <cell r="I6795" t="str">
            <v>22227</v>
          </cell>
        </row>
        <row r="6796">
          <cell r="H6796" t="str">
            <v>Tembleque</v>
          </cell>
          <cell r="I6796" t="str">
            <v>45166</v>
          </cell>
        </row>
        <row r="6797">
          <cell r="H6797" t="str">
            <v>Tendilla</v>
          </cell>
          <cell r="I6797" t="str">
            <v>19266</v>
          </cell>
        </row>
        <row r="6798">
          <cell r="H6798" t="str">
            <v>Tenebrón</v>
          </cell>
          <cell r="I6798" t="str">
            <v>37321</v>
          </cell>
        </row>
        <row r="6799">
          <cell r="H6799" t="str">
            <v>Teo</v>
          </cell>
          <cell r="I6799" t="str">
            <v>15082</v>
          </cell>
        </row>
        <row r="6800">
          <cell r="H6800" t="str">
            <v>Teresa</v>
          </cell>
          <cell r="I6800" t="str">
            <v>12110</v>
          </cell>
        </row>
        <row r="6801">
          <cell r="H6801" t="str">
            <v>Teresa de Cofrentes</v>
          </cell>
          <cell r="I6801" t="str">
            <v>46239</v>
          </cell>
        </row>
        <row r="6802">
          <cell r="H6802" t="str">
            <v>Térmens</v>
          </cell>
          <cell r="I6802" t="str">
            <v>25220</v>
          </cell>
        </row>
        <row r="6803">
          <cell r="H6803" t="str">
            <v>Teror</v>
          </cell>
          <cell r="I6803" t="str">
            <v>35027</v>
          </cell>
        </row>
        <row r="6804">
          <cell r="H6804" t="str">
            <v>Terque</v>
          </cell>
          <cell r="I6804" t="str">
            <v>04091</v>
          </cell>
        </row>
        <row r="6805">
          <cell r="H6805" t="str">
            <v>Terrades</v>
          </cell>
          <cell r="I6805" t="str">
            <v>17196</v>
          </cell>
        </row>
        <row r="6806">
          <cell r="H6806" t="str">
            <v>Terradillos</v>
          </cell>
          <cell r="I6806" t="str">
            <v>37322</v>
          </cell>
        </row>
        <row r="6807">
          <cell r="H6807" t="str">
            <v>Terradillos de Esgueva</v>
          </cell>
          <cell r="I6807" t="str">
            <v>09380</v>
          </cell>
        </row>
        <row r="6808">
          <cell r="H6808" t="str">
            <v>Terrassa</v>
          </cell>
          <cell r="I6808" t="str">
            <v>08279</v>
          </cell>
        </row>
        <row r="6809">
          <cell r="H6809" t="str">
            <v>Terrateig</v>
          </cell>
          <cell r="I6809" t="str">
            <v>46240</v>
          </cell>
        </row>
        <row r="6810">
          <cell r="H6810" t="str">
            <v>Terrer</v>
          </cell>
          <cell r="I6810" t="str">
            <v>50253</v>
          </cell>
        </row>
        <row r="6811">
          <cell r="H6811" t="str">
            <v>Terriente</v>
          </cell>
          <cell r="I6811" t="str">
            <v>44215</v>
          </cell>
        </row>
        <row r="6812">
          <cell r="H6812" t="str">
            <v>Terrinches</v>
          </cell>
          <cell r="I6812" t="str">
            <v>13081</v>
          </cell>
        </row>
        <row r="6813">
          <cell r="H6813" t="str">
            <v>Terroba</v>
          </cell>
          <cell r="I6813" t="str">
            <v>26147</v>
          </cell>
        </row>
        <row r="6814">
          <cell r="H6814" t="str">
            <v>Teruel</v>
          </cell>
          <cell r="I6814" t="str">
            <v>44216</v>
          </cell>
        </row>
        <row r="6815">
          <cell r="H6815" t="str">
            <v>Terzaga</v>
          </cell>
          <cell r="I6815" t="str">
            <v>19267</v>
          </cell>
        </row>
        <row r="6816">
          <cell r="H6816" t="str">
            <v>Teulada</v>
          </cell>
          <cell r="I6816" t="str">
            <v>03128</v>
          </cell>
        </row>
        <row r="6817">
          <cell r="H6817" t="str">
            <v>Tiana</v>
          </cell>
          <cell r="I6817" t="str">
            <v>08282</v>
          </cell>
        </row>
        <row r="6818">
          <cell r="H6818" t="str">
            <v>Tías</v>
          </cell>
          <cell r="I6818" t="str">
            <v>35028</v>
          </cell>
        </row>
        <row r="6819">
          <cell r="H6819" t="str">
            <v>Tibi</v>
          </cell>
          <cell r="I6819" t="str">
            <v>03129</v>
          </cell>
        </row>
        <row r="6820">
          <cell r="H6820" t="str">
            <v>Tiebas-Muruarte de Reta</v>
          </cell>
          <cell r="I6820" t="str">
            <v>31228</v>
          </cell>
        </row>
        <row r="6821">
          <cell r="H6821" t="str">
            <v>Tiedra</v>
          </cell>
          <cell r="I6821" t="str">
            <v>47163</v>
          </cell>
        </row>
        <row r="6822">
          <cell r="H6822" t="str">
            <v>Tielmes</v>
          </cell>
          <cell r="I6822" t="str">
            <v>28146</v>
          </cell>
        </row>
        <row r="6823">
          <cell r="H6823" t="str">
            <v>Tiemblo, El</v>
          </cell>
          <cell r="I6823" t="str">
            <v>05241</v>
          </cell>
        </row>
        <row r="6824">
          <cell r="H6824" t="str">
            <v>Tierga</v>
          </cell>
          <cell r="I6824" t="str">
            <v>50254</v>
          </cell>
        </row>
        <row r="6825">
          <cell r="H6825" t="str">
            <v>Tierz</v>
          </cell>
          <cell r="I6825" t="str">
            <v>22228</v>
          </cell>
        </row>
        <row r="6826">
          <cell r="H6826" t="str">
            <v>Tierzo</v>
          </cell>
          <cell r="I6826" t="str">
            <v>19268</v>
          </cell>
        </row>
        <row r="6827">
          <cell r="H6827" t="str">
            <v>Tiétar</v>
          </cell>
          <cell r="I6827" t="str">
            <v>10904</v>
          </cell>
        </row>
        <row r="6828">
          <cell r="H6828" t="str">
            <v>Tijarafe</v>
          </cell>
          <cell r="I6828" t="str">
            <v>38047</v>
          </cell>
        </row>
        <row r="6829">
          <cell r="H6829" t="str">
            <v>Tíjola</v>
          </cell>
          <cell r="I6829" t="str">
            <v>04092</v>
          </cell>
        </row>
        <row r="6830">
          <cell r="H6830" t="str">
            <v>Tinajas</v>
          </cell>
          <cell r="I6830" t="str">
            <v>16206</v>
          </cell>
        </row>
        <row r="6831">
          <cell r="H6831" t="str">
            <v>Tinajo</v>
          </cell>
          <cell r="I6831" t="str">
            <v>35029</v>
          </cell>
        </row>
        <row r="6832">
          <cell r="H6832" t="str">
            <v>Tinieblas de la Sierra</v>
          </cell>
          <cell r="I6832" t="str">
            <v>09381</v>
          </cell>
        </row>
        <row r="6833">
          <cell r="H6833" t="str">
            <v>Tiñosillos</v>
          </cell>
          <cell r="I6833" t="str">
            <v>05242</v>
          </cell>
        </row>
        <row r="6834">
          <cell r="H6834" t="str">
            <v>Tirapu</v>
          </cell>
          <cell r="I6834" t="str">
            <v>31229</v>
          </cell>
        </row>
        <row r="6835">
          <cell r="H6835" t="str">
            <v>Tirgo</v>
          </cell>
          <cell r="I6835" t="str">
            <v>26148</v>
          </cell>
        </row>
        <row r="6836">
          <cell r="H6836" t="str">
            <v>Tírig</v>
          </cell>
          <cell r="I6836" t="str">
            <v>12111</v>
          </cell>
        </row>
        <row r="6837">
          <cell r="H6837" t="str">
            <v>Tírvia</v>
          </cell>
          <cell r="I6837" t="str">
            <v>25221</v>
          </cell>
        </row>
        <row r="6838">
          <cell r="H6838" t="str">
            <v>Titaguas</v>
          </cell>
          <cell r="I6838" t="str">
            <v>46241</v>
          </cell>
        </row>
        <row r="6839">
          <cell r="H6839" t="str">
            <v>Titulcia</v>
          </cell>
          <cell r="I6839" t="str">
            <v>28147</v>
          </cell>
        </row>
        <row r="6840">
          <cell r="H6840" t="str">
            <v>Tiurana</v>
          </cell>
          <cell r="I6840" t="str">
            <v>25222</v>
          </cell>
        </row>
        <row r="6841">
          <cell r="H6841" t="str">
            <v>Tivenys</v>
          </cell>
          <cell r="I6841" t="str">
            <v>43149</v>
          </cell>
        </row>
        <row r="6842">
          <cell r="H6842" t="str">
            <v>Tivissa</v>
          </cell>
          <cell r="I6842" t="str">
            <v>43150</v>
          </cell>
        </row>
        <row r="6843">
          <cell r="H6843" t="str">
            <v>Toba, La</v>
          </cell>
          <cell r="I6843" t="str">
            <v>19269</v>
          </cell>
        </row>
        <row r="6844">
          <cell r="H6844" t="str">
            <v>Tobar</v>
          </cell>
          <cell r="I6844" t="str">
            <v>09382</v>
          </cell>
        </row>
        <row r="6845">
          <cell r="H6845" t="str">
            <v>Tobarra</v>
          </cell>
          <cell r="I6845" t="str">
            <v>02074</v>
          </cell>
        </row>
        <row r="6846">
          <cell r="H6846" t="str">
            <v>Tobed</v>
          </cell>
          <cell r="I6846" t="str">
            <v>50255</v>
          </cell>
        </row>
        <row r="6847">
          <cell r="H6847" t="str">
            <v>Tobía</v>
          </cell>
          <cell r="I6847" t="str">
            <v>26149</v>
          </cell>
        </row>
        <row r="6848">
          <cell r="H6848" t="str">
            <v>Toboso, El</v>
          </cell>
          <cell r="I6848" t="str">
            <v>45167</v>
          </cell>
        </row>
        <row r="6849">
          <cell r="H6849" t="str">
            <v>Tocina</v>
          </cell>
          <cell r="I6849" t="str">
            <v>41092</v>
          </cell>
        </row>
        <row r="6850">
          <cell r="H6850" t="str">
            <v>Todolella</v>
          </cell>
          <cell r="I6850" t="str">
            <v>12112</v>
          </cell>
        </row>
        <row r="6851">
          <cell r="H6851" t="str">
            <v>Toén</v>
          </cell>
          <cell r="I6851" t="str">
            <v>32081</v>
          </cell>
        </row>
        <row r="6852">
          <cell r="H6852" t="str">
            <v>Toga</v>
          </cell>
          <cell r="I6852" t="str">
            <v>12113</v>
          </cell>
        </row>
        <row r="6853">
          <cell r="H6853" t="str">
            <v>Tojos, Los</v>
          </cell>
          <cell r="I6853" t="str">
            <v>39086</v>
          </cell>
        </row>
        <row r="6854">
          <cell r="H6854" t="str">
            <v>Tolbaños</v>
          </cell>
          <cell r="I6854" t="str">
            <v>05243</v>
          </cell>
        </row>
        <row r="6855">
          <cell r="H6855" t="str">
            <v>Toledo</v>
          </cell>
          <cell r="I6855" t="str">
            <v>45168</v>
          </cell>
        </row>
        <row r="6856">
          <cell r="H6856" t="str">
            <v>Tollos</v>
          </cell>
          <cell r="I6856" t="str">
            <v>03130</v>
          </cell>
        </row>
        <row r="6857">
          <cell r="H6857" t="str">
            <v>Tolocirio</v>
          </cell>
          <cell r="I6857" t="str">
            <v>40201</v>
          </cell>
        </row>
        <row r="6858">
          <cell r="H6858" t="str">
            <v>Tolosa</v>
          </cell>
          <cell r="I6858" t="str">
            <v>20071</v>
          </cell>
        </row>
        <row r="6859">
          <cell r="H6859" t="str">
            <v>Tolox</v>
          </cell>
          <cell r="I6859" t="str">
            <v>29090</v>
          </cell>
        </row>
        <row r="6860">
          <cell r="H6860" t="str">
            <v>Tolva</v>
          </cell>
          <cell r="I6860" t="str">
            <v>22229</v>
          </cell>
        </row>
        <row r="6861">
          <cell r="H6861" t="str">
            <v>Tomares</v>
          </cell>
          <cell r="I6861" t="str">
            <v>41093</v>
          </cell>
        </row>
        <row r="6862">
          <cell r="H6862" t="str">
            <v>Tomelloso</v>
          </cell>
          <cell r="I6862" t="str">
            <v>13082</v>
          </cell>
        </row>
        <row r="6863">
          <cell r="H6863" t="str">
            <v>Tomiño</v>
          </cell>
          <cell r="I6863" t="str">
            <v>36054</v>
          </cell>
        </row>
        <row r="6864">
          <cell r="H6864" t="str">
            <v>Tona</v>
          </cell>
          <cell r="I6864" t="str">
            <v>08283</v>
          </cell>
        </row>
        <row r="6865">
          <cell r="H6865" t="str">
            <v>Topas</v>
          </cell>
          <cell r="I6865" t="str">
            <v>37323</v>
          </cell>
        </row>
        <row r="6866">
          <cell r="H6866" t="str">
            <v>Toques</v>
          </cell>
          <cell r="I6866" t="str">
            <v>15083</v>
          </cell>
        </row>
        <row r="6867">
          <cell r="H6867" t="str">
            <v>Torà</v>
          </cell>
          <cell r="I6867" t="str">
            <v>25223</v>
          </cell>
        </row>
        <row r="6868">
          <cell r="H6868" t="str">
            <v>Toral de los Guzmanes</v>
          </cell>
          <cell r="I6868" t="str">
            <v>24168</v>
          </cell>
        </row>
        <row r="6869">
          <cell r="H6869" t="str">
            <v>Torás</v>
          </cell>
          <cell r="I6869" t="str">
            <v>12114</v>
          </cell>
        </row>
        <row r="6870">
          <cell r="H6870" t="str">
            <v>Tordehumos</v>
          </cell>
          <cell r="I6870" t="str">
            <v>47164</v>
          </cell>
        </row>
        <row r="6871">
          <cell r="H6871" t="str">
            <v>Tordellego</v>
          </cell>
          <cell r="I6871" t="str">
            <v>19271</v>
          </cell>
        </row>
        <row r="6872">
          <cell r="H6872" t="str">
            <v>Tordelrábano</v>
          </cell>
          <cell r="I6872" t="str">
            <v>19270</v>
          </cell>
        </row>
        <row r="6873">
          <cell r="H6873" t="str">
            <v>Tordera</v>
          </cell>
          <cell r="I6873" t="str">
            <v>08284</v>
          </cell>
        </row>
        <row r="6874">
          <cell r="H6874" t="str">
            <v>Tordesillas</v>
          </cell>
          <cell r="I6874" t="str">
            <v>47165</v>
          </cell>
        </row>
        <row r="6875">
          <cell r="H6875" t="str">
            <v>Tordesilos</v>
          </cell>
          <cell r="I6875" t="str">
            <v>19272</v>
          </cell>
        </row>
        <row r="6876">
          <cell r="H6876" t="str">
            <v>Tordillos</v>
          </cell>
          <cell r="I6876" t="str">
            <v>37324</v>
          </cell>
        </row>
        <row r="6877">
          <cell r="H6877" t="str">
            <v>Tordómar</v>
          </cell>
          <cell r="I6877" t="str">
            <v>09384</v>
          </cell>
        </row>
        <row r="6878">
          <cell r="H6878" t="str">
            <v>Torelló</v>
          </cell>
          <cell r="I6878" t="str">
            <v>08285</v>
          </cell>
        </row>
        <row r="6879">
          <cell r="H6879" t="str">
            <v>Torija</v>
          </cell>
          <cell r="I6879" t="str">
            <v>19274</v>
          </cell>
        </row>
        <row r="6880">
          <cell r="H6880" t="str">
            <v>Toril</v>
          </cell>
          <cell r="I6880" t="str">
            <v>10182</v>
          </cell>
        </row>
        <row r="6881">
          <cell r="H6881" t="str">
            <v>Toril y Masegoso</v>
          </cell>
          <cell r="I6881" t="str">
            <v>44217</v>
          </cell>
        </row>
        <row r="6882">
          <cell r="H6882" t="str">
            <v>Torla-Ordesa</v>
          </cell>
          <cell r="I6882" t="str">
            <v>22230</v>
          </cell>
        </row>
        <row r="6883">
          <cell r="H6883" t="str">
            <v>Torlengua</v>
          </cell>
          <cell r="I6883" t="str">
            <v>42184</v>
          </cell>
        </row>
        <row r="6884">
          <cell r="H6884" t="str">
            <v>Tormantos</v>
          </cell>
          <cell r="I6884" t="str">
            <v>26150</v>
          </cell>
        </row>
        <row r="6885">
          <cell r="H6885" t="str">
            <v>Tormellas</v>
          </cell>
          <cell r="I6885" t="str">
            <v>05244</v>
          </cell>
        </row>
        <row r="6886">
          <cell r="H6886" t="str">
            <v>Tormón</v>
          </cell>
          <cell r="I6886" t="str">
            <v>44218</v>
          </cell>
        </row>
        <row r="6887">
          <cell r="H6887" t="str">
            <v>Tormos</v>
          </cell>
          <cell r="I6887" t="str">
            <v>03131</v>
          </cell>
        </row>
        <row r="6888">
          <cell r="H6888" t="str">
            <v>Torms, Els</v>
          </cell>
          <cell r="I6888" t="str">
            <v>25224</v>
          </cell>
        </row>
        <row r="6889">
          <cell r="H6889" t="str">
            <v>Tornabous</v>
          </cell>
          <cell r="I6889" t="str">
            <v>25225</v>
          </cell>
        </row>
        <row r="6890">
          <cell r="H6890" t="str">
            <v>Tornadizo, El</v>
          </cell>
          <cell r="I6890" t="str">
            <v>37325</v>
          </cell>
        </row>
        <row r="6891">
          <cell r="H6891" t="str">
            <v>Tornadizos de Ávila</v>
          </cell>
          <cell r="I6891" t="str">
            <v>05245</v>
          </cell>
        </row>
        <row r="6892">
          <cell r="H6892" t="str">
            <v>Tornavacas</v>
          </cell>
          <cell r="I6892" t="str">
            <v>10183</v>
          </cell>
        </row>
        <row r="6893">
          <cell r="H6893" t="str">
            <v>Torno, El</v>
          </cell>
          <cell r="I6893" t="str">
            <v>10184</v>
          </cell>
        </row>
        <row r="6894">
          <cell r="H6894" t="str">
            <v>Tornos</v>
          </cell>
          <cell r="I6894" t="str">
            <v>44219</v>
          </cell>
        </row>
        <row r="6895">
          <cell r="H6895" t="str">
            <v>Toro</v>
          </cell>
          <cell r="I6895" t="str">
            <v>49219</v>
          </cell>
        </row>
        <row r="6896">
          <cell r="H6896" t="str">
            <v>Toro, El</v>
          </cell>
          <cell r="I6896" t="str">
            <v>12115</v>
          </cell>
        </row>
        <row r="6897">
          <cell r="H6897" t="str">
            <v>Torquemada</v>
          </cell>
          <cell r="I6897" t="str">
            <v>34182</v>
          </cell>
        </row>
        <row r="6898">
          <cell r="H6898" t="str">
            <v>Torralba</v>
          </cell>
          <cell r="I6898" t="str">
            <v>16209</v>
          </cell>
        </row>
        <row r="6899">
          <cell r="H6899" t="str">
            <v>Torralba de Aragón</v>
          </cell>
          <cell r="I6899" t="str">
            <v>22232</v>
          </cell>
        </row>
        <row r="6900">
          <cell r="H6900" t="str">
            <v>Torralba de Calatrava</v>
          </cell>
          <cell r="I6900" t="str">
            <v>13083</v>
          </cell>
        </row>
        <row r="6901">
          <cell r="H6901" t="str">
            <v>Torralba de los Frailes</v>
          </cell>
          <cell r="I6901" t="str">
            <v>50256</v>
          </cell>
        </row>
        <row r="6902">
          <cell r="H6902" t="str">
            <v>Torralba de los Sisones</v>
          </cell>
          <cell r="I6902" t="str">
            <v>44220</v>
          </cell>
        </row>
        <row r="6903">
          <cell r="H6903" t="str">
            <v>Torralba de Oropesa</v>
          </cell>
          <cell r="I6903" t="str">
            <v>45169</v>
          </cell>
        </row>
        <row r="6904">
          <cell r="H6904" t="str">
            <v>Torralba de Ribota</v>
          </cell>
          <cell r="I6904" t="str">
            <v>50257</v>
          </cell>
        </row>
        <row r="6905">
          <cell r="H6905" t="str">
            <v>Torralba del Pinar</v>
          </cell>
          <cell r="I6905" t="str">
            <v>12116</v>
          </cell>
        </row>
        <row r="6906">
          <cell r="H6906" t="str">
            <v>Torralba del Río</v>
          </cell>
          <cell r="I6906" t="str">
            <v>31230</v>
          </cell>
        </row>
        <row r="6907">
          <cell r="H6907" t="str">
            <v>Torralbilla</v>
          </cell>
          <cell r="I6907" t="str">
            <v>50258</v>
          </cell>
        </row>
        <row r="6908">
          <cell r="H6908" t="str">
            <v>Torre Alháquime</v>
          </cell>
          <cell r="I6908" t="str">
            <v>11036</v>
          </cell>
        </row>
        <row r="6909">
          <cell r="H6909" t="str">
            <v>Torre de Arcas</v>
          </cell>
          <cell r="I6909" t="str">
            <v>44223</v>
          </cell>
        </row>
        <row r="6910">
          <cell r="H6910" t="str">
            <v>Torre de Cabdella, La</v>
          </cell>
          <cell r="I6910" t="str">
            <v>25227</v>
          </cell>
        </row>
        <row r="6911">
          <cell r="H6911" t="str">
            <v>Torre de Claramunt, La</v>
          </cell>
          <cell r="I6911" t="str">
            <v>08286</v>
          </cell>
        </row>
        <row r="6912">
          <cell r="H6912" t="str">
            <v>Torre de Don Miguel</v>
          </cell>
          <cell r="I6912" t="str">
            <v>10187</v>
          </cell>
        </row>
        <row r="6913">
          <cell r="H6913" t="str">
            <v>Torre de Esgueva</v>
          </cell>
          <cell r="I6913" t="str">
            <v>47169</v>
          </cell>
        </row>
        <row r="6914">
          <cell r="H6914" t="str">
            <v>Torre de Esteban Hambrán, La</v>
          </cell>
          <cell r="I6914" t="str">
            <v>45171</v>
          </cell>
        </row>
        <row r="6915">
          <cell r="H6915" t="str">
            <v>Torre de Fontaubella, La</v>
          </cell>
          <cell r="I6915" t="str">
            <v>43151</v>
          </cell>
        </row>
        <row r="6916">
          <cell r="H6916" t="str">
            <v>Torre de Juan Abad</v>
          </cell>
          <cell r="I6916" t="str">
            <v>13084</v>
          </cell>
        </row>
        <row r="6917">
          <cell r="H6917" t="str">
            <v>Torre de les Maçanes, la/Torremanzanas</v>
          </cell>
          <cell r="I6917" t="str">
            <v>03132</v>
          </cell>
        </row>
        <row r="6918">
          <cell r="H6918" t="str">
            <v>Torre de l'Espanyol, La</v>
          </cell>
          <cell r="I6918" t="str">
            <v>43152</v>
          </cell>
        </row>
        <row r="6919">
          <cell r="H6919" t="str">
            <v>Torre de Miguel Sesmero</v>
          </cell>
          <cell r="I6919" t="str">
            <v>06131</v>
          </cell>
        </row>
        <row r="6920">
          <cell r="H6920" t="str">
            <v>Torre de Peñafiel</v>
          </cell>
          <cell r="I6920" t="str">
            <v>47170</v>
          </cell>
        </row>
        <row r="6921">
          <cell r="H6921" t="str">
            <v>Torre de Santa María</v>
          </cell>
          <cell r="I6921" t="str">
            <v>10188</v>
          </cell>
        </row>
        <row r="6922">
          <cell r="H6922" t="str">
            <v>Torre del Burgo</v>
          </cell>
          <cell r="I6922" t="str">
            <v>19279</v>
          </cell>
        </row>
        <row r="6923">
          <cell r="H6923" t="str">
            <v>Torre del Compte</v>
          </cell>
          <cell r="I6923" t="str">
            <v>44225</v>
          </cell>
        </row>
        <row r="6924">
          <cell r="H6924" t="str">
            <v>Torre del Valle, La</v>
          </cell>
          <cell r="I6924" t="str">
            <v>49220</v>
          </cell>
        </row>
        <row r="6925">
          <cell r="H6925" t="str">
            <v>Torre d'en Besora, la</v>
          </cell>
          <cell r="I6925" t="str">
            <v>12119</v>
          </cell>
        </row>
        <row r="6926">
          <cell r="H6926" t="str">
            <v>Torre d'en Doménec, la</v>
          </cell>
          <cell r="I6926" t="str">
            <v>12120</v>
          </cell>
        </row>
        <row r="6927">
          <cell r="H6927" t="str">
            <v>Torre en Cameros</v>
          </cell>
          <cell r="I6927" t="str">
            <v>26153</v>
          </cell>
        </row>
        <row r="6928">
          <cell r="H6928" t="str">
            <v>Torre la Ribera</v>
          </cell>
          <cell r="I6928" t="str">
            <v>22233</v>
          </cell>
        </row>
        <row r="6929">
          <cell r="H6929" t="str">
            <v>Torre Val de San Pedro</v>
          </cell>
          <cell r="I6929" t="str">
            <v>40206</v>
          </cell>
        </row>
        <row r="6930">
          <cell r="H6930" t="str">
            <v>Torre, La</v>
          </cell>
          <cell r="I6930" t="str">
            <v>05247</v>
          </cell>
        </row>
        <row r="6931">
          <cell r="H6931" t="str">
            <v>Torreadrada</v>
          </cell>
          <cell r="I6931" t="str">
            <v>40202</v>
          </cell>
        </row>
        <row r="6932">
          <cell r="H6932" t="str">
            <v>Torrebaja</v>
          </cell>
          <cell r="I6932" t="str">
            <v>46242</v>
          </cell>
        </row>
        <row r="6933">
          <cell r="H6933" t="str">
            <v>Torrebesses</v>
          </cell>
          <cell r="I6933" t="str">
            <v>25226</v>
          </cell>
        </row>
        <row r="6934">
          <cell r="H6934" t="str">
            <v>Torreblacos</v>
          </cell>
          <cell r="I6934" t="str">
            <v>42185</v>
          </cell>
        </row>
        <row r="6935">
          <cell r="H6935" t="str">
            <v>Torreblanca</v>
          </cell>
          <cell r="I6935" t="str">
            <v>12117</v>
          </cell>
        </row>
        <row r="6936">
          <cell r="H6936" t="str">
            <v>Torreblascopedro</v>
          </cell>
          <cell r="I6936" t="str">
            <v>23085</v>
          </cell>
        </row>
        <row r="6937">
          <cell r="H6937" t="str">
            <v>Torrecaballeros</v>
          </cell>
          <cell r="I6937" t="str">
            <v>40203</v>
          </cell>
        </row>
        <row r="6938">
          <cell r="H6938" t="str">
            <v>Torrecampo</v>
          </cell>
          <cell r="I6938" t="str">
            <v>14062</v>
          </cell>
        </row>
        <row r="6939">
          <cell r="H6939" t="str">
            <v>Torre-Cardela</v>
          </cell>
          <cell r="I6939" t="str">
            <v>18178</v>
          </cell>
        </row>
        <row r="6940">
          <cell r="H6940" t="str">
            <v>Torrechiva</v>
          </cell>
          <cell r="I6940" t="str">
            <v>12118</v>
          </cell>
        </row>
        <row r="6941">
          <cell r="H6941" t="str">
            <v>Torrecilla de Alcañiz</v>
          </cell>
          <cell r="I6941" t="str">
            <v>44221</v>
          </cell>
        </row>
        <row r="6942">
          <cell r="H6942" t="str">
            <v>Torrecilla de la Abadesa</v>
          </cell>
          <cell r="I6942" t="str">
            <v>47166</v>
          </cell>
        </row>
        <row r="6943">
          <cell r="H6943" t="str">
            <v>Torrecilla de la Jara</v>
          </cell>
          <cell r="I6943" t="str">
            <v>45170</v>
          </cell>
        </row>
        <row r="6944">
          <cell r="H6944" t="str">
            <v>Torrecilla de la Orden</v>
          </cell>
          <cell r="I6944" t="str">
            <v>47167</v>
          </cell>
        </row>
        <row r="6945">
          <cell r="H6945" t="str">
            <v>Torrecilla de la Torre</v>
          </cell>
          <cell r="I6945" t="str">
            <v>47168</v>
          </cell>
        </row>
        <row r="6946">
          <cell r="H6946" t="str">
            <v>Torrecilla de los Ángeles</v>
          </cell>
          <cell r="I6946" t="str">
            <v>10185</v>
          </cell>
        </row>
        <row r="6947">
          <cell r="H6947" t="str">
            <v>Torrecilla del Monte</v>
          </cell>
          <cell r="I6947" t="str">
            <v>09386</v>
          </cell>
        </row>
        <row r="6948">
          <cell r="H6948" t="str">
            <v>Torrecilla del Pinar</v>
          </cell>
          <cell r="I6948" t="str">
            <v>40204</v>
          </cell>
        </row>
        <row r="6949">
          <cell r="H6949" t="str">
            <v>Torrecilla en Cameros</v>
          </cell>
          <cell r="I6949" t="str">
            <v>26151</v>
          </cell>
        </row>
        <row r="6950">
          <cell r="H6950" t="str">
            <v>Torrecilla sobre Alesanco</v>
          </cell>
          <cell r="I6950" t="str">
            <v>26152</v>
          </cell>
        </row>
        <row r="6951">
          <cell r="H6951" t="str">
            <v>Torrecillas de la Tiesa</v>
          </cell>
          <cell r="I6951" t="str">
            <v>10186</v>
          </cell>
        </row>
        <row r="6952">
          <cell r="H6952" t="str">
            <v>Torrecuadrada de Molina</v>
          </cell>
          <cell r="I6952" t="str">
            <v>19277</v>
          </cell>
        </row>
        <row r="6953">
          <cell r="H6953" t="str">
            <v>Torrecuadradilla</v>
          </cell>
          <cell r="I6953" t="str">
            <v>19278</v>
          </cell>
        </row>
        <row r="6954">
          <cell r="H6954" t="str">
            <v>Torredelcampo</v>
          </cell>
          <cell r="I6954" t="str">
            <v>23086</v>
          </cell>
        </row>
        <row r="6955">
          <cell r="H6955" t="str">
            <v>Torredembarra</v>
          </cell>
          <cell r="I6955" t="str">
            <v>43153</v>
          </cell>
        </row>
        <row r="6956">
          <cell r="H6956" t="str">
            <v>Torredonjimeno</v>
          </cell>
          <cell r="I6956" t="str">
            <v>23087</v>
          </cell>
        </row>
        <row r="6957">
          <cell r="H6957" t="str">
            <v>Torrefarrera</v>
          </cell>
          <cell r="I6957" t="str">
            <v>25228</v>
          </cell>
        </row>
        <row r="6958">
          <cell r="H6958" t="str">
            <v>Torrefeta i Florejacs</v>
          </cell>
          <cell r="I6958" t="str">
            <v>25907</v>
          </cell>
        </row>
        <row r="6959">
          <cell r="H6959" t="str">
            <v>Torregalindo</v>
          </cell>
          <cell r="I6959" t="str">
            <v>09387</v>
          </cell>
        </row>
        <row r="6960">
          <cell r="H6960" t="str">
            <v>Torregamones</v>
          </cell>
          <cell r="I6960" t="str">
            <v>49221</v>
          </cell>
        </row>
        <row r="6961">
          <cell r="H6961" t="str">
            <v>Torregrossa</v>
          </cell>
          <cell r="I6961" t="str">
            <v>25230</v>
          </cell>
        </row>
        <row r="6962">
          <cell r="H6962" t="str">
            <v>Torrehermosa</v>
          </cell>
          <cell r="I6962" t="str">
            <v>50259</v>
          </cell>
        </row>
        <row r="6963">
          <cell r="H6963" t="str">
            <v>Torreiglesias</v>
          </cell>
          <cell r="I6963" t="str">
            <v>40205</v>
          </cell>
        </row>
        <row r="6964">
          <cell r="H6964" t="str">
            <v>Torrejón de Ardoz</v>
          </cell>
          <cell r="I6964" t="str">
            <v>28148</v>
          </cell>
        </row>
        <row r="6965">
          <cell r="H6965" t="str">
            <v>Torrejón de la Calzada</v>
          </cell>
          <cell r="I6965" t="str">
            <v>28149</v>
          </cell>
        </row>
        <row r="6966">
          <cell r="H6966" t="str">
            <v>Torrejón de Velasco</v>
          </cell>
          <cell r="I6966" t="str">
            <v>28150</v>
          </cell>
        </row>
        <row r="6967">
          <cell r="H6967" t="str">
            <v>Torrejón del Rey</v>
          </cell>
          <cell r="I6967" t="str">
            <v>19280</v>
          </cell>
        </row>
        <row r="6968">
          <cell r="H6968" t="str">
            <v>Torrejón el Rubio</v>
          </cell>
          <cell r="I6968" t="str">
            <v>10190</v>
          </cell>
        </row>
        <row r="6969">
          <cell r="H6969" t="str">
            <v>Torrejoncillo</v>
          </cell>
          <cell r="I6969" t="str">
            <v>10189</v>
          </cell>
        </row>
        <row r="6970">
          <cell r="H6970" t="str">
            <v>Torrejoncillo del Rey</v>
          </cell>
          <cell r="I6970" t="str">
            <v>16211</v>
          </cell>
        </row>
        <row r="6971">
          <cell r="H6971" t="str">
            <v>Torrelacárcel</v>
          </cell>
          <cell r="I6971" t="str">
            <v>44226</v>
          </cell>
        </row>
        <row r="6972">
          <cell r="H6972" t="str">
            <v>Torrelaguna</v>
          </cell>
          <cell r="I6972" t="str">
            <v>28151</v>
          </cell>
        </row>
        <row r="6973">
          <cell r="H6973" t="str">
            <v>Torrelameu</v>
          </cell>
          <cell r="I6973" t="str">
            <v>25231</v>
          </cell>
        </row>
        <row r="6974">
          <cell r="H6974" t="str">
            <v>Torrelapaja</v>
          </cell>
          <cell r="I6974" t="str">
            <v>50260</v>
          </cell>
        </row>
        <row r="6975">
          <cell r="H6975" t="str">
            <v>Torrelara</v>
          </cell>
          <cell r="I6975" t="str">
            <v>09388</v>
          </cell>
        </row>
        <row r="6976">
          <cell r="H6976" t="str">
            <v>Torrelavega</v>
          </cell>
          <cell r="I6976" t="str">
            <v>39087</v>
          </cell>
        </row>
        <row r="6977">
          <cell r="H6977" t="str">
            <v>Torrelavit</v>
          </cell>
          <cell r="I6977" t="str">
            <v>08287</v>
          </cell>
        </row>
        <row r="6978">
          <cell r="H6978" t="str">
            <v>Torrella</v>
          </cell>
          <cell r="I6978" t="str">
            <v>46243</v>
          </cell>
        </row>
        <row r="6979">
          <cell r="H6979" t="str">
            <v>Torrellas</v>
          </cell>
          <cell r="I6979" t="str">
            <v>50261</v>
          </cell>
        </row>
        <row r="6980">
          <cell r="H6980" t="str">
            <v>Torrelles de Foix</v>
          </cell>
          <cell r="I6980" t="str">
            <v>08288</v>
          </cell>
        </row>
        <row r="6981">
          <cell r="H6981" t="str">
            <v>Torrelles de Llobregat</v>
          </cell>
          <cell r="I6981" t="str">
            <v>08289</v>
          </cell>
        </row>
        <row r="6982">
          <cell r="H6982" t="str">
            <v>Torrelobatón</v>
          </cell>
          <cell r="I6982" t="str">
            <v>47171</v>
          </cell>
        </row>
        <row r="6983">
          <cell r="H6983" t="str">
            <v>Torrelodones</v>
          </cell>
          <cell r="I6983" t="str">
            <v>28152</v>
          </cell>
        </row>
        <row r="6984">
          <cell r="H6984" t="str">
            <v>Torremayor</v>
          </cell>
          <cell r="I6984" t="str">
            <v>06132</v>
          </cell>
        </row>
        <row r="6985">
          <cell r="H6985" t="str">
            <v>Torremejía</v>
          </cell>
          <cell r="I6985" t="str">
            <v>06133</v>
          </cell>
        </row>
        <row r="6986">
          <cell r="H6986" t="str">
            <v>Torremenga</v>
          </cell>
          <cell r="I6986" t="str">
            <v>10191</v>
          </cell>
        </row>
        <row r="6987">
          <cell r="H6987" t="str">
            <v>Torremocha</v>
          </cell>
          <cell r="I6987" t="str">
            <v>10192</v>
          </cell>
        </row>
        <row r="6988">
          <cell r="H6988" t="str">
            <v>Torremocha de Jadraque</v>
          </cell>
          <cell r="I6988" t="str">
            <v>19281</v>
          </cell>
        </row>
        <row r="6989">
          <cell r="H6989" t="str">
            <v>Torremocha de Jarama</v>
          </cell>
          <cell r="I6989" t="str">
            <v>28153</v>
          </cell>
        </row>
        <row r="6990">
          <cell r="H6990" t="str">
            <v>Torremocha de Jiloca</v>
          </cell>
          <cell r="I6990" t="str">
            <v>44228</v>
          </cell>
        </row>
        <row r="6991">
          <cell r="H6991" t="str">
            <v>Torremocha del Campo</v>
          </cell>
          <cell r="I6991" t="str">
            <v>19282</v>
          </cell>
        </row>
        <row r="6992">
          <cell r="H6992" t="str">
            <v>Torremocha del Pinar</v>
          </cell>
          <cell r="I6992" t="str">
            <v>19283</v>
          </cell>
        </row>
        <row r="6993">
          <cell r="H6993" t="str">
            <v>Torremochuela</v>
          </cell>
          <cell r="I6993" t="str">
            <v>19284</v>
          </cell>
        </row>
        <row r="6994">
          <cell r="H6994" t="str">
            <v>Torremolinos</v>
          </cell>
          <cell r="I6994" t="str">
            <v>29901</v>
          </cell>
        </row>
        <row r="6995">
          <cell r="H6995" t="str">
            <v>Torremontalbo</v>
          </cell>
          <cell r="I6995" t="str">
            <v>26154</v>
          </cell>
        </row>
        <row r="6996">
          <cell r="H6996" t="str">
            <v>Torremormojón</v>
          </cell>
          <cell r="I6996" t="str">
            <v>34184</v>
          </cell>
        </row>
        <row r="6997">
          <cell r="H6997" t="str">
            <v>Torrent</v>
          </cell>
          <cell r="I6997" t="str">
            <v>17197</v>
          </cell>
        </row>
        <row r="6998">
          <cell r="H6998" t="str">
            <v>Torrent</v>
          </cell>
          <cell r="I6998" t="str">
            <v>46244</v>
          </cell>
        </row>
        <row r="6999">
          <cell r="H6999" t="str">
            <v>Torrenueva</v>
          </cell>
          <cell r="I6999" t="str">
            <v>13085</v>
          </cell>
        </row>
        <row r="7000">
          <cell r="H7000" t="str">
            <v>Torrenueva Costa</v>
          </cell>
          <cell r="I7000" t="str">
            <v>18916</v>
          </cell>
        </row>
        <row r="7001">
          <cell r="H7001" t="str">
            <v>Torreorgaz</v>
          </cell>
          <cell r="I7001" t="str">
            <v>10193</v>
          </cell>
        </row>
        <row r="7002">
          <cell r="H7002" t="str">
            <v>Torre-Pacheco</v>
          </cell>
          <cell r="I7002" t="str">
            <v>30037</v>
          </cell>
        </row>
        <row r="7003">
          <cell r="H7003" t="str">
            <v>Torrepadre</v>
          </cell>
          <cell r="I7003" t="str">
            <v>09389</v>
          </cell>
        </row>
        <row r="7004">
          <cell r="H7004" t="str">
            <v>Torreperogil</v>
          </cell>
          <cell r="I7004" t="str">
            <v>23088</v>
          </cell>
        </row>
        <row r="7005">
          <cell r="H7005" t="str">
            <v>Torrequemada</v>
          </cell>
          <cell r="I7005" t="str">
            <v>10194</v>
          </cell>
        </row>
        <row r="7006">
          <cell r="H7006" t="str">
            <v>Torres</v>
          </cell>
          <cell r="I7006" t="str">
            <v>23090</v>
          </cell>
        </row>
        <row r="7007">
          <cell r="H7007" t="str">
            <v>Torres de Albánchez</v>
          </cell>
          <cell r="I7007" t="str">
            <v>23091</v>
          </cell>
        </row>
        <row r="7008">
          <cell r="H7008" t="str">
            <v>Torres de Albarracín</v>
          </cell>
          <cell r="I7008" t="str">
            <v>44229</v>
          </cell>
        </row>
        <row r="7009">
          <cell r="H7009" t="str">
            <v>Torres de Alcanadre</v>
          </cell>
          <cell r="I7009" t="str">
            <v>22235</v>
          </cell>
        </row>
        <row r="7010">
          <cell r="H7010" t="str">
            <v>Torres de Barbués</v>
          </cell>
          <cell r="I7010" t="str">
            <v>22236</v>
          </cell>
        </row>
        <row r="7011">
          <cell r="H7011" t="str">
            <v>Torres de Berrellén</v>
          </cell>
          <cell r="I7011" t="str">
            <v>50262</v>
          </cell>
        </row>
        <row r="7012">
          <cell r="H7012" t="str">
            <v>Torres de Cotillas, Las</v>
          </cell>
          <cell r="I7012" t="str">
            <v>30038</v>
          </cell>
        </row>
        <row r="7013">
          <cell r="H7013" t="str">
            <v>Torres de la Alameda</v>
          </cell>
          <cell r="I7013" t="str">
            <v>28154</v>
          </cell>
        </row>
        <row r="7014">
          <cell r="H7014" t="str">
            <v>Torres de Segre</v>
          </cell>
          <cell r="I7014" t="str">
            <v>25232</v>
          </cell>
        </row>
        <row r="7015">
          <cell r="H7015" t="str">
            <v>Torres del Carrizal</v>
          </cell>
          <cell r="I7015" t="str">
            <v>49222</v>
          </cell>
        </row>
        <row r="7016">
          <cell r="H7016" t="str">
            <v>Torres del Río</v>
          </cell>
          <cell r="I7016" t="str">
            <v>31231</v>
          </cell>
        </row>
        <row r="7017">
          <cell r="H7017" t="str">
            <v>Torres Torres</v>
          </cell>
          <cell r="I7017" t="str">
            <v>46245</v>
          </cell>
        </row>
        <row r="7018">
          <cell r="H7018" t="str">
            <v>Torresandino</v>
          </cell>
          <cell r="I7018" t="str">
            <v>09390</v>
          </cell>
        </row>
        <row r="7019">
          <cell r="H7019" t="str">
            <v>Torrescárcela</v>
          </cell>
          <cell r="I7019" t="str">
            <v>47172</v>
          </cell>
        </row>
        <row r="7020">
          <cell r="H7020" t="str">
            <v>Torre-serona</v>
          </cell>
          <cell r="I7020" t="str">
            <v>25233</v>
          </cell>
        </row>
        <row r="7021">
          <cell r="H7021" t="str">
            <v>Torresmenudas</v>
          </cell>
          <cell r="I7021" t="str">
            <v>37327</v>
          </cell>
        </row>
        <row r="7022">
          <cell r="H7022" t="str">
            <v>Torrevieja</v>
          </cell>
          <cell r="I7022" t="str">
            <v>03133</v>
          </cell>
        </row>
        <row r="7023">
          <cell r="H7023" t="str">
            <v>Torrico</v>
          </cell>
          <cell r="I7023" t="str">
            <v>45172</v>
          </cell>
        </row>
        <row r="7024">
          <cell r="H7024" t="str">
            <v>Torrijas</v>
          </cell>
          <cell r="I7024" t="str">
            <v>44231</v>
          </cell>
        </row>
        <row r="7025">
          <cell r="H7025" t="str">
            <v>Torrijo de la Cañada</v>
          </cell>
          <cell r="I7025" t="str">
            <v>50263</v>
          </cell>
        </row>
        <row r="7026">
          <cell r="H7026" t="str">
            <v>Torrijo del Campo</v>
          </cell>
          <cell r="I7026" t="str">
            <v>44232</v>
          </cell>
        </row>
        <row r="7027">
          <cell r="H7027" t="str">
            <v>Torrijos</v>
          </cell>
          <cell r="I7027" t="str">
            <v>45173</v>
          </cell>
        </row>
        <row r="7028">
          <cell r="H7028" t="str">
            <v>Torroella de Fluvià</v>
          </cell>
          <cell r="I7028" t="str">
            <v>17198</v>
          </cell>
        </row>
        <row r="7029">
          <cell r="H7029" t="str">
            <v>Torroella de Montgrí</v>
          </cell>
          <cell r="I7029" t="str">
            <v>17199</v>
          </cell>
        </row>
        <row r="7030">
          <cell r="H7030" t="str">
            <v>Torroja del Priorat</v>
          </cell>
          <cell r="I7030" t="str">
            <v>43154</v>
          </cell>
        </row>
        <row r="7031">
          <cell r="H7031" t="str">
            <v>Torrox</v>
          </cell>
          <cell r="I7031" t="str">
            <v>29091</v>
          </cell>
        </row>
        <row r="7032">
          <cell r="H7032" t="str">
            <v>Torrubia</v>
          </cell>
          <cell r="I7032" t="str">
            <v>19285</v>
          </cell>
        </row>
        <row r="7033">
          <cell r="H7033" t="str">
            <v>Torrubia de Soria</v>
          </cell>
          <cell r="I7033" t="str">
            <v>42187</v>
          </cell>
        </row>
        <row r="7034">
          <cell r="H7034" t="str">
            <v>Torrubia del Campo</v>
          </cell>
          <cell r="I7034" t="str">
            <v>16212</v>
          </cell>
        </row>
        <row r="7035">
          <cell r="H7035" t="str">
            <v>Torrubia del Castillo</v>
          </cell>
          <cell r="I7035" t="str">
            <v>16213</v>
          </cell>
        </row>
        <row r="7036">
          <cell r="H7036" t="str">
            <v>Tortellà</v>
          </cell>
          <cell r="I7036" t="str">
            <v>17200</v>
          </cell>
        </row>
        <row r="7037">
          <cell r="H7037" t="str">
            <v>Tórtola de Henares</v>
          </cell>
          <cell r="I7037" t="str">
            <v>19286</v>
          </cell>
        </row>
        <row r="7038">
          <cell r="H7038" t="str">
            <v>Tórtoles</v>
          </cell>
          <cell r="I7038" t="str">
            <v>05246</v>
          </cell>
        </row>
        <row r="7039">
          <cell r="H7039" t="str">
            <v>Tórtoles de Esgueva</v>
          </cell>
          <cell r="I7039" t="str">
            <v>09391</v>
          </cell>
        </row>
        <row r="7040">
          <cell r="H7040" t="str">
            <v>Tortosa</v>
          </cell>
          <cell r="I7040" t="str">
            <v>43155</v>
          </cell>
        </row>
        <row r="7041">
          <cell r="H7041" t="str">
            <v>Tortuera</v>
          </cell>
          <cell r="I7041" t="str">
            <v>19287</v>
          </cell>
        </row>
        <row r="7042">
          <cell r="H7042" t="str">
            <v>Tortuero</v>
          </cell>
          <cell r="I7042" t="str">
            <v>19288</v>
          </cell>
        </row>
        <row r="7043">
          <cell r="H7043" t="str">
            <v>Torvizcón</v>
          </cell>
          <cell r="I7043" t="str">
            <v>18179</v>
          </cell>
        </row>
        <row r="7044">
          <cell r="H7044" t="str">
            <v>Tosantos</v>
          </cell>
          <cell r="I7044" t="str">
            <v>09392</v>
          </cell>
        </row>
        <row r="7045">
          <cell r="H7045" t="str">
            <v>Toses</v>
          </cell>
          <cell r="I7045" t="str">
            <v>17201</v>
          </cell>
        </row>
        <row r="7046">
          <cell r="H7046" t="str">
            <v>Tosos</v>
          </cell>
          <cell r="I7046" t="str">
            <v>50264</v>
          </cell>
        </row>
        <row r="7047">
          <cell r="H7047" t="str">
            <v>Tossa de Mar</v>
          </cell>
          <cell r="I7047" t="str">
            <v>17202</v>
          </cell>
        </row>
        <row r="7048">
          <cell r="H7048" t="str">
            <v>Totalán</v>
          </cell>
          <cell r="I7048" t="str">
            <v>29092</v>
          </cell>
        </row>
        <row r="7049">
          <cell r="H7049" t="str">
            <v>Totana</v>
          </cell>
          <cell r="I7049" t="str">
            <v>30039</v>
          </cell>
        </row>
        <row r="7050">
          <cell r="H7050" t="str">
            <v>Totanés</v>
          </cell>
          <cell r="I7050" t="str">
            <v>45174</v>
          </cell>
        </row>
        <row r="7051">
          <cell r="H7051" t="str">
            <v>Touro</v>
          </cell>
          <cell r="I7051" t="str">
            <v>15085</v>
          </cell>
        </row>
        <row r="7052">
          <cell r="H7052" t="str">
            <v>Tous</v>
          </cell>
          <cell r="I7052" t="str">
            <v>46246</v>
          </cell>
        </row>
        <row r="7053">
          <cell r="H7053" t="str">
            <v>Trabada</v>
          </cell>
          <cell r="I7053" t="str">
            <v>27061</v>
          </cell>
        </row>
        <row r="7054">
          <cell r="H7054" t="str">
            <v>Trabanca</v>
          </cell>
          <cell r="I7054" t="str">
            <v>37328</v>
          </cell>
        </row>
        <row r="7055">
          <cell r="H7055" t="str">
            <v>Trabazos</v>
          </cell>
          <cell r="I7055" t="str">
            <v>49223</v>
          </cell>
        </row>
        <row r="7056">
          <cell r="H7056" t="str">
            <v>Tragacete</v>
          </cell>
          <cell r="I7056" t="str">
            <v>16215</v>
          </cell>
        </row>
        <row r="7057">
          <cell r="H7057" t="str">
            <v>Traíd</v>
          </cell>
          <cell r="I7057" t="str">
            <v>19289</v>
          </cell>
        </row>
        <row r="7058">
          <cell r="H7058" t="str">
            <v>Traiguera</v>
          </cell>
          <cell r="I7058" t="str">
            <v>12121</v>
          </cell>
        </row>
        <row r="7059">
          <cell r="H7059" t="str">
            <v>Tramacastiel</v>
          </cell>
          <cell r="I7059" t="str">
            <v>44234</v>
          </cell>
        </row>
        <row r="7060">
          <cell r="H7060" t="str">
            <v>Tramacastilla</v>
          </cell>
          <cell r="I7060" t="str">
            <v>44235</v>
          </cell>
        </row>
        <row r="7061">
          <cell r="H7061" t="str">
            <v>Tramaced</v>
          </cell>
          <cell r="I7061" t="str">
            <v>22239</v>
          </cell>
        </row>
        <row r="7062">
          <cell r="H7062" t="str">
            <v>Trasierra</v>
          </cell>
          <cell r="I7062" t="str">
            <v>06134</v>
          </cell>
        </row>
        <row r="7063">
          <cell r="H7063" t="str">
            <v>Trasmiras</v>
          </cell>
          <cell r="I7063" t="str">
            <v>32082</v>
          </cell>
        </row>
        <row r="7064">
          <cell r="H7064" t="str">
            <v>Trasmoz</v>
          </cell>
          <cell r="I7064" t="str">
            <v>50265</v>
          </cell>
        </row>
        <row r="7065">
          <cell r="H7065" t="str">
            <v>Trasobares</v>
          </cell>
          <cell r="I7065" t="str">
            <v>50266</v>
          </cell>
        </row>
        <row r="7066">
          <cell r="H7066" t="str">
            <v>Traspinedo</v>
          </cell>
          <cell r="I7066" t="str">
            <v>47173</v>
          </cell>
        </row>
        <row r="7067">
          <cell r="H7067" t="str">
            <v>Trazo</v>
          </cell>
          <cell r="I7067" t="str">
            <v>15086</v>
          </cell>
        </row>
        <row r="7068">
          <cell r="H7068" t="str">
            <v>Trebujena</v>
          </cell>
          <cell r="I7068" t="str">
            <v>11037</v>
          </cell>
        </row>
        <row r="7069">
          <cell r="H7069" t="str">
            <v>Trefacio</v>
          </cell>
          <cell r="I7069" t="str">
            <v>49224</v>
          </cell>
        </row>
        <row r="7070">
          <cell r="H7070" t="str">
            <v>Tremedal de Tormes</v>
          </cell>
          <cell r="I7070" t="str">
            <v>37329</v>
          </cell>
        </row>
        <row r="7071">
          <cell r="H7071" t="str">
            <v>Tremp</v>
          </cell>
          <cell r="I7071" t="str">
            <v>25234</v>
          </cell>
        </row>
        <row r="7072">
          <cell r="H7072" t="str">
            <v>Tres Cantos</v>
          </cell>
          <cell r="I7072" t="str">
            <v>28903</v>
          </cell>
        </row>
        <row r="7073">
          <cell r="H7073" t="str">
            <v>Tres Villas, Las</v>
          </cell>
          <cell r="I7073" t="str">
            <v>04901</v>
          </cell>
        </row>
        <row r="7074">
          <cell r="H7074" t="str">
            <v>Trescasas</v>
          </cell>
          <cell r="I7074" t="str">
            <v>40207</v>
          </cell>
        </row>
        <row r="7075">
          <cell r="H7075" t="str">
            <v>Tresjuncos</v>
          </cell>
          <cell r="I7075" t="str">
            <v>16216</v>
          </cell>
        </row>
        <row r="7076">
          <cell r="H7076" t="str">
            <v>Tresviso</v>
          </cell>
          <cell r="I7076" t="str">
            <v>39088</v>
          </cell>
        </row>
        <row r="7077">
          <cell r="H7077" t="str">
            <v>Trévago</v>
          </cell>
          <cell r="I7077" t="str">
            <v>42188</v>
          </cell>
        </row>
        <row r="7078">
          <cell r="H7078" t="str">
            <v>Trevélez</v>
          </cell>
          <cell r="I7078" t="str">
            <v>18180</v>
          </cell>
        </row>
        <row r="7079">
          <cell r="H7079" t="str">
            <v>Treviana</v>
          </cell>
          <cell r="I7079" t="str">
            <v>26155</v>
          </cell>
        </row>
        <row r="7080">
          <cell r="H7080" t="str">
            <v>Triacastela</v>
          </cell>
          <cell r="I7080" t="str">
            <v>27062</v>
          </cell>
        </row>
        <row r="7081">
          <cell r="H7081" t="str">
            <v>Tribaldos</v>
          </cell>
          <cell r="I7081" t="str">
            <v>16217</v>
          </cell>
        </row>
        <row r="7082">
          <cell r="H7082" t="str">
            <v>Tricio</v>
          </cell>
          <cell r="I7082" t="str">
            <v>26157</v>
          </cell>
        </row>
        <row r="7083">
          <cell r="H7083" t="str">
            <v>Trigueros</v>
          </cell>
          <cell r="I7083" t="str">
            <v>21070</v>
          </cell>
        </row>
        <row r="7084">
          <cell r="H7084" t="str">
            <v>Trigueros del Valle</v>
          </cell>
          <cell r="I7084" t="str">
            <v>47174</v>
          </cell>
        </row>
        <row r="7085">
          <cell r="H7085" t="str">
            <v>Trijueque</v>
          </cell>
          <cell r="I7085" t="str">
            <v>19290</v>
          </cell>
        </row>
        <row r="7086">
          <cell r="H7086" t="str">
            <v>Trillo</v>
          </cell>
          <cell r="I7086" t="str">
            <v>19291</v>
          </cell>
        </row>
        <row r="7087">
          <cell r="H7087" t="str">
            <v>Tronchón</v>
          </cell>
          <cell r="I7087" t="str">
            <v>44236</v>
          </cell>
        </row>
        <row r="7088">
          <cell r="H7088" t="str">
            <v>Trucios-Turtzioz</v>
          </cell>
          <cell r="I7088" t="str">
            <v>48087</v>
          </cell>
        </row>
        <row r="7089">
          <cell r="H7089" t="str">
            <v>Trujillanos</v>
          </cell>
          <cell r="I7089" t="str">
            <v>06135</v>
          </cell>
        </row>
        <row r="7090">
          <cell r="H7090" t="str">
            <v>Trujillo</v>
          </cell>
          <cell r="I7090" t="str">
            <v>10195</v>
          </cell>
        </row>
        <row r="7091">
          <cell r="H7091" t="str">
            <v>Tubilla del Agua</v>
          </cell>
          <cell r="I7091" t="str">
            <v>09395</v>
          </cell>
        </row>
        <row r="7092">
          <cell r="H7092" t="str">
            <v>Tubilla del Lago</v>
          </cell>
          <cell r="I7092" t="str">
            <v>09396</v>
          </cell>
        </row>
        <row r="7093">
          <cell r="H7093" t="str">
            <v>Tudanca</v>
          </cell>
          <cell r="I7093" t="str">
            <v>39089</v>
          </cell>
        </row>
        <row r="7094">
          <cell r="H7094" t="str">
            <v>Tudela</v>
          </cell>
          <cell r="I7094" t="str">
            <v>31232</v>
          </cell>
        </row>
        <row r="7095">
          <cell r="H7095" t="str">
            <v>Tudela de Duero</v>
          </cell>
          <cell r="I7095" t="str">
            <v>47175</v>
          </cell>
        </row>
        <row r="7096">
          <cell r="H7096" t="str">
            <v>Tudelilla</v>
          </cell>
          <cell r="I7096" t="str">
            <v>26158</v>
          </cell>
        </row>
        <row r="7097">
          <cell r="H7097" t="str">
            <v>Tuéjar</v>
          </cell>
          <cell r="I7097" t="str">
            <v>46247</v>
          </cell>
        </row>
        <row r="7098">
          <cell r="H7098" t="str">
            <v>Tui</v>
          </cell>
          <cell r="I7098" t="str">
            <v>36055</v>
          </cell>
        </row>
        <row r="7099">
          <cell r="H7099" t="str">
            <v>Tuineje</v>
          </cell>
          <cell r="I7099" t="str">
            <v>35030</v>
          </cell>
        </row>
        <row r="7100">
          <cell r="H7100" t="str">
            <v>Tulebras</v>
          </cell>
          <cell r="I7100" t="str">
            <v>31233</v>
          </cell>
        </row>
        <row r="7101">
          <cell r="H7101" t="str">
            <v>Turcia</v>
          </cell>
          <cell r="I7101" t="str">
            <v>24173</v>
          </cell>
        </row>
        <row r="7102">
          <cell r="H7102" t="str">
            <v>Turégano</v>
          </cell>
          <cell r="I7102" t="str">
            <v>40208</v>
          </cell>
        </row>
        <row r="7103">
          <cell r="H7103" t="str">
            <v>Turís</v>
          </cell>
          <cell r="I7103" t="str">
            <v>46248</v>
          </cell>
        </row>
        <row r="7104">
          <cell r="H7104" t="str">
            <v>Turleque</v>
          </cell>
          <cell r="I7104" t="str">
            <v>45175</v>
          </cell>
        </row>
        <row r="7105">
          <cell r="H7105" t="str">
            <v>Turón</v>
          </cell>
          <cell r="I7105" t="str">
            <v>18181</v>
          </cell>
        </row>
        <row r="7106">
          <cell r="H7106" t="str">
            <v>Turre</v>
          </cell>
          <cell r="I7106" t="str">
            <v>04093</v>
          </cell>
        </row>
        <row r="7107">
          <cell r="H7107" t="str">
            <v>Turrillas</v>
          </cell>
          <cell r="I7107" t="str">
            <v>04094</v>
          </cell>
        </row>
        <row r="7108">
          <cell r="H7108" t="str">
            <v>Úbeda</v>
          </cell>
          <cell r="I7108" t="str">
            <v>23092</v>
          </cell>
        </row>
        <row r="7109">
          <cell r="H7109" t="str">
            <v>Ubide</v>
          </cell>
          <cell r="I7109" t="str">
            <v>48088</v>
          </cell>
        </row>
        <row r="7110">
          <cell r="H7110" t="str">
            <v>Ubrique</v>
          </cell>
          <cell r="I7110" t="str">
            <v>11038</v>
          </cell>
        </row>
        <row r="7111">
          <cell r="H7111" t="str">
            <v>Ucar</v>
          </cell>
          <cell r="I7111" t="str">
            <v>31234</v>
          </cell>
        </row>
        <row r="7112">
          <cell r="H7112" t="str">
            <v>Uceda</v>
          </cell>
          <cell r="I7112" t="str">
            <v>19293</v>
          </cell>
        </row>
        <row r="7113">
          <cell r="H7113" t="str">
            <v>Ucero</v>
          </cell>
          <cell r="I7113" t="str">
            <v>42189</v>
          </cell>
        </row>
        <row r="7114">
          <cell r="H7114" t="str">
            <v>Uclés</v>
          </cell>
          <cell r="I7114" t="str">
            <v>16218</v>
          </cell>
        </row>
        <row r="7115">
          <cell r="H7115" t="str">
            <v>Udías</v>
          </cell>
          <cell r="I7115" t="str">
            <v>39090</v>
          </cell>
        </row>
        <row r="7116">
          <cell r="H7116" t="str">
            <v>Ugao-Miraballes</v>
          </cell>
          <cell r="I7116" t="str">
            <v>48065</v>
          </cell>
        </row>
        <row r="7117">
          <cell r="H7117" t="str">
            <v>Ugena</v>
          </cell>
          <cell r="I7117" t="str">
            <v>45176</v>
          </cell>
        </row>
        <row r="7118">
          <cell r="H7118" t="str">
            <v>Ugíjar</v>
          </cell>
          <cell r="I7118" t="str">
            <v>18182</v>
          </cell>
        </row>
        <row r="7119">
          <cell r="H7119" t="str">
            <v>Uharte Arakil</v>
          </cell>
          <cell r="I7119" t="str">
            <v>31123</v>
          </cell>
        </row>
        <row r="7120">
          <cell r="H7120" t="str">
            <v>Ujados</v>
          </cell>
          <cell r="I7120" t="str">
            <v>19294</v>
          </cell>
        </row>
        <row r="7121">
          <cell r="H7121" t="str">
            <v>Ujué/Uxue</v>
          </cell>
          <cell r="I7121" t="str">
            <v>31235</v>
          </cell>
        </row>
        <row r="7122">
          <cell r="H7122" t="str">
            <v>Ulea</v>
          </cell>
          <cell r="I7122" t="str">
            <v>30040</v>
          </cell>
        </row>
        <row r="7123">
          <cell r="H7123" t="str">
            <v>Uleila del Campo</v>
          </cell>
          <cell r="I7123" t="str">
            <v>04095</v>
          </cell>
        </row>
        <row r="7124">
          <cell r="H7124" t="str">
            <v>Ullà</v>
          </cell>
          <cell r="I7124" t="str">
            <v>17204</v>
          </cell>
        </row>
        <row r="7125">
          <cell r="H7125" t="str">
            <v>Ullastrell</v>
          </cell>
          <cell r="I7125" t="str">
            <v>08290</v>
          </cell>
        </row>
        <row r="7126">
          <cell r="H7126" t="str">
            <v>Ullastret</v>
          </cell>
          <cell r="I7126" t="str">
            <v>17205</v>
          </cell>
        </row>
        <row r="7127">
          <cell r="H7127" t="str">
            <v>Ulldecona</v>
          </cell>
          <cell r="I7127" t="str">
            <v>43156</v>
          </cell>
        </row>
        <row r="7128">
          <cell r="H7128" t="str">
            <v>Ulldemolins</v>
          </cell>
          <cell r="I7128" t="str">
            <v>43157</v>
          </cell>
        </row>
        <row r="7129">
          <cell r="H7129" t="str">
            <v>Ultramort</v>
          </cell>
          <cell r="I7129" t="str">
            <v>17203</v>
          </cell>
        </row>
        <row r="7130">
          <cell r="H7130" t="str">
            <v>Ultzama</v>
          </cell>
          <cell r="I7130" t="str">
            <v>31236</v>
          </cell>
        </row>
        <row r="7131">
          <cell r="H7131" t="str">
            <v>Umbrete</v>
          </cell>
          <cell r="I7131" t="str">
            <v>41094</v>
          </cell>
        </row>
        <row r="7132">
          <cell r="H7132" t="str">
            <v>Umbrías</v>
          </cell>
          <cell r="I7132" t="str">
            <v>05249</v>
          </cell>
        </row>
        <row r="7133">
          <cell r="H7133" t="str">
            <v>Uncastillo</v>
          </cell>
          <cell r="I7133" t="str">
            <v>50267</v>
          </cell>
        </row>
        <row r="7134">
          <cell r="H7134" t="str">
            <v>Unciti</v>
          </cell>
          <cell r="I7134" t="str">
            <v>31237</v>
          </cell>
        </row>
        <row r="7135">
          <cell r="H7135" t="str">
            <v>Undués de Lerda</v>
          </cell>
          <cell r="I7135" t="str">
            <v>50268</v>
          </cell>
        </row>
        <row r="7136">
          <cell r="H7136" t="str">
            <v>Unión de Campos, La</v>
          </cell>
          <cell r="I7136" t="str">
            <v>47176</v>
          </cell>
        </row>
        <row r="7137">
          <cell r="H7137" t="str">
            <v>Unión, La</v>
          </cell>
          <cell r="I7137" t="str">
            <v>30041</v>
          </cell>
        </row>
        <row r="7138">
          <cell r="H7138" t="str">
            <v>Unzué/Untzue</v>
          </cell>
          <cell r="I7138" t="str">
            <v>31238</v>
          </cell>
        </row>
        <row r="7139">
          <cell r="H7139" t="str">
            <v>Uña</v>
          </cell>
          <cell r="I7139" t="str">
            <v>16219</v>
          </cell>
        </row>
        <row r="7140">
          <cell r="H7140" t="str">
            <v>Uña de Quintana</v>
          </cell>
          <cell r="I7140" t="str">
            <v>49225</v>
          </cell>
        </row>
        <row r="7141">
          <cell r="H7141" t="str">
            <v>Úrbel del Castillo</v>
          </cell>
          <cell r="I7141" t="str">
            <v>09398</v>
          </cell>
        </row>
        <row r="7142">
          <cell r="H7142" t="str">
            <v>Urda</v>
          </cell>
          <cell r="I7142" t="str">
            <v>45177</v>
          </cell>
        </row>
        <row r="7143">
          <cell r="H7143" t="str">
            <v>Urdazubi/Urdax</v>
          </cell>
          <cell r="I7143" t="str">
            <v>31239</v>
          </cell>
        </row>
        <row r="7144">
          <cell r="H7144" t="str">
            <v>Urdiain</v>
          </cell>
          <cell r="I7144" t="str">
            <v>31240</v>
          </cell>
        </row>
        <row r="7145">
          <cell r="H7145" t="str">
            <v>Urdiales del Páramo</v>
          </cell>
          <cell r="I7145" t="str">
            <v>24174</v>
          </cell>
        </row>
        <row r="7146">
          <cell r="H7146" t="str">
            <v>Urduliz</v>
          </cell>
          <cell r="I7146" t="str">
            <v>48089</v>
          </cell>
        </row>
        <row r="7147">
          <cell r="H7147" t="str">
            <v>Urduña/Orduña</v>
          </cell>
          <cell r="I7147" t="str">
            <v>48074</v>
          </cell>
        </row>
        <row r="7148">
          <cell r="H7148" t="str">
            <v>Urkabustaiz</v>
          </cell>
          <cell r="I7148" t="str">
            <v>01054</v>
          </cell>
        </row>
        <row r="7149">
          <cell r="H7149" t="str">
            <v>Urnieta</v>
          </cell>
          <cell r="I7149" t="str">
            <v>20072</v>
          </cell>
        </row>
        <row r="7150">
          <cell r="H7150" t="str">
            <v>Urones de Castroponce</v>
          </cell>
          <cell r="I7150" t="str">
            <v>47177</v>
          </cell>
        </row>
        <row r="7151">
          <cell r="H7151" t="str">
            <v>Urrácal</v>
          </cell>
          <cell r="I7151" t="str">
            <v>04096</v>
          </cell>
        </row>
        <row r="7152">
          <cell r="H7152" t="str">
            <v>Urraul Alto</v>
          </cell>
          <cell r="I7152" t="str">
            <v>31241</v>
          </cell>
        </row>
        <row r="7153">
          <cell r="H7153" t="str">
            <v>Urraul Bajo</v>
          </cell>
          <cell r="I7153" t="str">
            <v>31242</v>
          </cell>
        </row>
        <row r="7154">
          <cell r="H7154" t="str">
            <v>Urrea de Jalón</v>
          </cell>
          <cell r="I7154" t="str">
            <v>50269</v>
          </cell>
        </row>
        <row r="7155">
          <cell r="H7155" t="str">
            <v>Urretxu</v>
          </cell>
          <cell r="I7155" t="str">
            <v>20077</v>
          </cell>
        </row>
        <row r="7156">
          <cell r="H7156" t="str">
            <v>Urriés</v>
          </cell>
          <cell r="I7156" t="str">
            <v>50270</v>
          </cell>
        </row>
        <row r="7157">
          <cell r="H7157" t="str">
            <v>Urroz</v>
          </cell>
          <cell r="I7157" t="str">
            <v>31244</v>
          </cell>
        </row>
        <row r="7158">
          <cell r="H7158" t="str">
            <v>Urroz-Villa</v>
          </cell>
          <cell r="I7158" t="str">
            <v>31243</v>
          </cell>
        </row>
        <row r="7159">
          <cell r="H7159" t="str">
            <v>Urueña</v>
          </cell>
          <cell r="I7159" t="str">
            <v>47178</v>
          </cell>
        </row>
        <row r="7160">
          <cell r="H7160" t="str">
            <v>Urueñas</v>
          </cell>
          <cell r="I7160" t="str">
            <v>40210</v>
          </cell>
        </row>
        <row r="7161">
          <cell r="H7161" t="str">
            <v>Uruñuela</v>
          </cell>
          <cell r="I7161" t="str">
            <v>26160</v>
          </cell>
        </row>
        <row r="7162">
          <cell r="H7162" t="str">
            <v>Urús</v>
          </cell>
          <cell r="I7162" t="str">
            <v>17206</v>
          </cell>
        </row>
        <row r="7163">
          <cell r="H7163" t="str">
            <v>Urzainqui/Urzainki</v>
          </cell>
          <cell r="I7163" t="str">
            <v>31245</v>
          </cell>
        </row>
        <row r="7164">
          <cell r="H7164" t="str">
            <v>Usagre</v>
          </cell>
          <cell r="I7164" t="str">
            <v>06136</v>
          </cell>
        </row>
        <row r="7165">
          <cell r="H7165" t="str">
            <v>Usansolo</v>
          </cell>
          <cell r="I7165" t="str">
            <v>48916</v>
          </cell>
        </row>
        <row r="7166">
          <cell r="H7166" t="str">
            <v>Used</v>
          </cell>
          <cell r="I7166" t="str">
            <v>50271</v>
          </cell>
        </row>
        <row r="7167">
          <cell r="H7167" t="str">
            <v>Useres, les/Useras</v>
          </cell>
          <cell r="I7167" t="str">
            <v>12122</v>
          </cell>
        </row>
        <row r="7168">
          <cell r="H7168" t="str">
            <v>Usurbil</v>
          </cell>
          <cell r="I7168" t="str">
            <v>20073</v>
          </cell>
        </row>
        <row r="7169">
          <cell r="H7169" t="str">
            <v>Utande</v>
          </cell>
          <cell r="I7169" t="str">
            <v>19296</v>
          </cell>
        </row>
        <row r="7170">
          <cell r="H7170" t="str">
            <v>Utebo</v>
          </cell>
          <cell r="I7170" t="str">
            <v>50272</v>
          </cell>
        </row>
        <row r="7171">
          <cell r="H7171" t="str">
            <v>Uterga</v>
          </cell>
          <cell r="I7171" t="str">
            <v>31246</v>
          </cell>
        </row>
        <row r="7172">
          <cell r="H7172" t="str">
            <v>Utiel</v>
          </cell>
          <cell r="I7172" t="str">
            <v>46249</v>
          </cell>
        </row>
        <row r="7173">
          <cell r="H7173" t="str">
            <v>Utrera</v>
          </cell>
          <cell r="I7173" t="str">
            <v>41095</v>
          </cell>
        </row>
        <row r="7174">
          <cell r="H7174" t="str">
            <v>Uztárroz/Uztarroze</v>
          </cell>
          <cell r="I7174" t="str">
            <v>31247</v>
          </cell>
        </row>
        <row r="7175">
          <cell r="H7175" t="str">
            <v>Vacarisses</v>
          </cell>
          <cell r="I7175" t="str">
            <v>08291</v>
          </cell>
        </row>
        <row r="7176">
          <cell r="H7176" t="str">
            <v>Vadillo</v>
          </cell>
          <cell r="I7176" t="str">
            <v>42190</v>
          </cell>
        </row>
        <row r="7177">
          <cell r="H7177" t="str">
            <v>Vadillo de la Guareña</v>
          </cell>
          <cell r="I7177" t="str">
            <v>49226</v>
          </cell>
        </row>
        <row r="7178">
          <cell r="H7178" t="str">
            <v>Vadillo de la Sierra</v>
          </cell>
          <cell r="I7178" t="str">
            <v>05251</v>
          </cell>
        </row>
        <row r="7179">
          <cell r="H7179" t="str">
            <v>Vadocondes</v>
          </cell>
          <cell r="I7179" t="str">
            <v>09400</v>
          </cell>
        </row>
        <row r="7180">
          <cell r="H7180" t="str">
            <v>Vajol, La</v>
          </cell>
          <cell r="I7180" t="str">
            <v>17014</v>
          </cell>
        </row>
        <row r="7181">
          <cell r="H7181" t="str">
            <v>Val de San Lorenzo</v>
          </cell>
          <cell r="I7181" t="str">
            <v>24185</v>
          </cell>
        </row>
        <row r="7182">
          <cell r="H7182" t="str">
            <v>Val de San Martín</v>
          </cell>
          <cell r="I7182" t="str">
            <v>50274</v>
          </cell>
        </row>
        <row r="7183">
          <cell r="H7183" t="str">
            <v>Val de San Vicente</v>
          </cell>
          <cell r="I7183" t="str">
            <v>39095</v>
          </cell>
        </row>
        <row r="7184">
          <cell r="H7184" t="str">
            <v>Val do Dubra</v>
          </cell>
          <cell r="I7184" t="str">
            <v>15088</v>
          </cell>
        </row>
        <row r="7185">
          <cell r="H7185" t="str">
            <v>Valacloche</v>
          </cell>
          <cell r="I7185" t="str">
            <v>44239</v>
          </cell>
        </row>
        <row r="7186">
          <cell r="H7186" t="str">
            <v>Valadouro, O</v>
          </cell>
          <cell r="I7186" t="str">
            <v>27063</v>
          </cell>
        </row>
        <row r="7187">
          <cell r="H7187" t="str">
            <v>Valbona</v>
          </cell>
          <cell r="I7187" t="str">
            <v>44240</v>
          </cell>
        </row>
        <row r="7188">
          <cell r="H7188" t="str">
            <v>Valbuena de Duero</v>
          </cell>
          <cell r="I7188" t="str">
            <v>47179</v>
          </cell>
        </row>
        <row r="7189">
          <cell r="H7189" t="str">
            <v>Valbuena de Pisuerga</v>
          </cell>
          <cell r="I7189" t="str">
            <v>34186</v>
          </cell>
        </row>
        <row r="7190">
          <cell r="H7190" t="str">
            <v>Valcabado</v>
          </cell>
          <cell r="I7190" t="str">
            <v>49227</v>
          </cell>
        </row>
        <row r="7191">
          <cell r="H7191" t="str">
            <v>Valdáliga</v>
          </cell>
          <cell r="I7191" t="str">
            <v>39091</v>
          </cell>
        </row>
        <row r="7192">
          <cell r="H7192" t="str">
            <v>Valdaracete</v>
          </cell>
          <cell r="I7192" t="str">
            <v>28155</v>
          </cell>
        </row>
        <row r="7193">
          <cell r="H7193" t="str">
            <v>Valdarachas</v>
          </cell>
          <cell r="I7193" t="str">
            <v>19297</v>
          </cell>
        </row>
        <row r="7194">
          <cell r="H7194" t="str">
            <v>Valdastillas</v>
          </cell>
          <cell r="I7194" t="str">
            <v>10196</v>
          </cell>
        </row>
        <row r="7195">
          <cell r="H7195" t="str">
            <v>Valdealgorfa</v>
          </cell>
          <cell r="I7195" t="str">
            <v>44241</v>
          </cell>
        </row>
        <row r="7196">
          <cell r="H7196" t="str">
            <v>Valdeande</v>
          </cell>
          <cell r="I7196" t="str">
            <v>09403</v>
          </cell>
        </row>
        <row r="7197">
          <cell r="H7197" t="str">
            <v>Valdearcos de la Vega</v>
          </cell>
          <cell r="I7197" t="str">
            <v>47180</v>
          </cell>
        </row>
        <row r="7198">
          <cell r="H7198" t="str">
            <v>Valdearenas</v>
          </cell>
          <cell r="I7198" t="str">
            <v>19298</v>
          </cell>
        </row>
        <row r="7199">
          <cell r="H7199" t="str">
            <v>Valdeavellano</v>
          </cell>
          <cell r="I7199" t="str">
            <v>19299</v>
          </cell>
        </row>
        <row r="7200">
          <cell r="H7200" t="str">
            <v>Valdeavellano de Tera</v>
          </cell>
          <cell r="I7200" t="str">
            <v>42191</v>
          </cell>
        </row>
        <row r="7201">
          <cell r="H7201" t="str">
            <v>Valdeavero</v>
          </cell>
          <cell r="I7201" t="str">
            <v>28156</v>
          </cell>
        </row>
        <row r="7202">
          <cell r="H7202" t="str">
            <v>Valdeaveruelo</v>
          </cell>
          <cell r="I7202" t="str">
            <v>19300</v>
          </cell>
        </row>
        <row r="7203">
          <cell r="H7203" t="str">
            <v>Valdecaballeros</v>
          </cell>
          <cell r="I7203" t="str">
            <v>06137</v>
          </cell>
        </row>
        <row r="7204">
          <cell r="H7204" t="str">
            <v>Valdecañas de Tajo</v>
          </cell>
          <cell r="I7204" t="str">
            <v>10197</v>
          </cell>
        </row>
        <row r="7205">
          <cell r="H7205" t="str">
            <v>Valdecarros</v>
          </cell>
          <cell r="I7205" t="str">
            <v>37330</v>
          </cell>
        </row>
        <row r="7206">
          <cell r="H7206" t="str">
            <v>Valdecasa</v>
          </cell>
          <cell r="I7206" t="str">
            <v>05252</v>
          </cell>
        </row>
        <row r="7207">
          <cell r="H7207" t="str">
            <v>Valdecolmenas, Los</v>
          </cell>
          <cell r="I7207" t="str">
            <v>16906</v>
          </cell>
        </row>
        <row r="7208">
          <cell r="H7208" t="str">
            <v>Valdecuenca</v>
          </cell>
          <cell r="I7208" t="str">
            <v>44243</v>
          </cell>
        </row>
        <row r="7209">
          <cell r="H7209" t="str">
            <v>Valdefinjas</v>
          </cell>
          <cell r="I7209" t="str">
            <v>49228</v>
          </cell>
        </row>
        <row r="7210">
          <cell r="H7210" t="str">
            <v>Valdefresno</v>
          </cell>
          <cell r="I7210" t="str">
            <v>24175</v>
          </cell>
        </row>
        <row r="7211">
          <cell r="H7211" t="str">
            <v>Valdefuentes</v>
          </cell>
          <cell r="I7211" t="str">
            <v>10198</v>
          </cell>
        </row>
        <row r="7212">
          <cell r="H7212" t="str">
            <v>Valdefuentes de Sangusín</v>
          </cell>
          <cell r="I7212" t="str">
            <v>37331</v>
          </cell>
        </row>
        <row r="7213">
          <cell r="H7213" t="str">
            <v>Valdefuentes del Páramo</v>
          </cell>
          <cell r="I7213" t="str">
            <v>24176</v>
          </cell>
        </row>
        <row r="7214">
          <cell r="H7214" t="str">
            <v>Valdeganga</v>
          </cell>
          <cell r="I7214" t="str">
            <v>02075</v>
          </cell>
        </row>
        <row r="7215">
          <cell r="H7215" t="str">
            <v>Valdegeña</v>
          </cell>
          <cell r="I7215" t="str">
            <v>42192</v>
          </cell>
        </row>
        <row r="7216">
          <cell r="H7216" t="str">
            <v>Valdegrudas</v>
          </cell>
          <cell r="I7216" t="str">
            <v>19302</v>
          </cell>
        </row>
        <row r="7217">
          <cell r="H7217" t="str">
            <v>Valdehijaderos</v>
          </cell>
          <cell r="I7217" t="str">
            <v>37332</v>
          </cell>
        </row>
        <row r="7218">
          <cell r="H7218" t="str">
            <v>Valdehorna</v>
          </cell>
          <cell r="I7218" t="str">
            <v>50273</v>
          </cell>
        </row>
        <row r="7219">
          <cell r="H7219" t="str">
            <v>Valdehúncar</v>
          </cell>
          <cell r="I7219" t="str">
            <v>10199</v>
          </cell>
        </row>
        <row r="7220">
          <cell r="H7220" t="str">
            <v>Valdelacalzada</v>
          </cell>
          <cell r="I7220" t="str">
            <v>06901</v>
          </cell>
        </row>
        <row r="7221">
          <cell r="H7221" t="str">
            <v>Valdelacasa</v>
          </cell>
          <cell r="I7221" t="str">
            <v>37333</v>
          </cell>
        </row>
        <row r="7222">
          <cell r="H7222" t="str">
            <v>Valdelacasa de Tajo</v>
          </cell>
          <cell r="I7222" t="str">
            <v>10200</v>
          </cell>
        </row>
        <row r="7223">
          <cell r="H7223" t="str">
            <v>Valdelageve</v>
          </cell>
          <cell r="I7223" t="str">
            <v>37334</v>
          </cell>
        </row>
        <row r="7224">
          <cell r="H7224" t="str">
            <v>Valdelagua del Cerro</v>
          </cell>
          <cell r="I7224" t="str">
            <v>42193</v>
          </cell>
        </row>
        <row r="7225">
          <cell r="H7225" t="str">
            <v>Valdelaguna</v>
          </cell>
          <cell r="I7225" t="str">
            <v>28157</v>
          </cell>
        </row>
        <row r="7226">
          <cell r="H7226" t="str">
            <v>Valdelarco</v>
          </cell>
          <cell r="I7226" t="str">
            <v>21071</v>
          </cell>
        </row>
        <row r="7227">
          <cell r="H7227" t="str">
            <v>Valdelcubo</v>
          </cell>
          <cell r="I7227" t="str">
            <v>19303</v>
          </cell>
        </row>
        <row r="7228">
          <cell r="H7228" t="str">
            <v>Valdelinares</v>
          </cell>
          <cell r="I7228" t="str">
            <v>44244</v>
          </cell>
        </row>
        <row r="7229">
          <cell r="H7229" t="str">
            <v>Valdelosa</v>
          </cell>
          <cell r="I7229" t="str">
            <v>37335</v>
          </cell>
        </row>
        <row r="7230">
          <cell r="H7230" t="str">
            <v>Valdeltormo</v>
          </cell>
          <cell r="I7230" t="str">
            <v>44245</v>
          </cell>
        </row>
        <row r="7231">
          <cell r="H7231" t="str">
            <v>Valdemadera</v>
          </cell>
          <cell r="I7231" t="str">
            <v>26161</v>
          </cell>
        </row>
        <row r="7232">
          <cell r="H7232" t="str">
            <v>Valdemaluque</v>
          </cell>
          <cell r="I7232" t="str">
            <v>42194</v>
          </cell>
        </row>
        <row r="7233">
          <cell r="H7233" t="str">
            <v>Valdemanco</v>
          </cell>
          <cell r="I7233" t="str">
            <v>28158</v>
          </cell>
        </row>
        <row r="7234">
          <cell r="H7234" t="str">
            <v>Valdemanco del Esteras</v>
          </cell>
          <cell r="I7234" t="str">
            <v>13086</v>
          </cell>
        </row>
        <row r="7235">
          <cell r="H7235" t="str">
            <v>Valdemaqueda</v>
          </cell>
          <cell r="I7235" t="str">
            <v>28159</v>
          </cell>
        </row>
        <row r="7236">
          <cell r="H7236" t="str">
            <v>Valdemeca</v>
          </cell>
          <cell r="I7236" t="str">
            <v>16224</v>
          </cell>
        </row>
        <row r="7237">
          <cell r="H7237" t="str">
            <v>Valdemierque</v>
          </cell>
          <cell r="I7237" t="str">
            <v>37336</v>
          </cell>
        </row>
        <row r="7238">
          <cell r="H7238" t="str">
            <v>Valdemora</v>
          </cell>
          <cell r="I7238" t="str">
            <v>24178</v>
          </cell>
        </row>
        <row r="7239">
          <cell r="H7239" t="str">
            <v>Valdemorales</v>
          </cell>
          <cell r="I7239" t="str">
            <v>10201</v>
          </cell>
        </row>
        <row r="7240">
          <cell r="H7240" t="str">
            <v>Valdemorillo</v>
          </cell>
          <cell r="I7240" t="str">
            <v>28160</v>
          </cell>
        </row>
        <row r="7241">
          <cell r="H7241" t="str">
            <v>Valdemorillo de la Sierra</v>
          </cell>
          <cell r="I7241" t="str">
            <v>16225</v>
          </cell>
        </row>
        <row r="7242">
          <cell r="H7242" t="str">
            <v>Valdemoro</v>
          </cell>
          <cell r="I7242" t="str">
            <v>28161</v>
          </cell>
        </row>
        <row r="7243">
          <cell r="H7243" t="str">
            <v>Valdemoro-Sierra</v>
          </cell>
          <cell r="I7243" t="str">
            <v>16227</v>
          </cell>
        </row>
        <row r="7244">
          <cell r="H7244" t="str">
            <v>Valdenebro</v>
          </cell>
          <cell r="I7244" t="str">
            <v>42195</v>
          </cell>
        </row>
        <row r="7245">
          <cell r="H7245" t="str">
            <v>Valdenebro de los Valles</v>
          </cell>
          <cell r="I7245" t="str">
            <v>47181</v>
          </cell>
        </row>
        <row r="7246">
          <cell r="H7246" t="str">
            <v>Valdenuño Fernández</v>
          </cell>
          <cell r="I7246" t="str">
            <v>19304</v>
          </cell>
        </row>
        <row r="7247">
          <cell r="H7247" t="str">
            <v>Valdeobispo</v>
          </cell>
          <cell r="I7247" t="str">
            <v>10202</v>
          </cell>
        </row>
        <row r="7248">
          <cell r="H7248" t="str">
            <v>Valdeolea</v>
          </cell>
          <cell r="I7248" t="str">
            <v>39092</v>
          </cell>
        </row>
        <row r="7249">
          <cell r="H7249" t="str">
            <v>Valdeolivas</v>
          </cell>
          <cell r="I7249" t="str">
            <v>16228</v>
          </cell>
        </row>
        <row r="7250">
          <cell r="H7250" t="str">
            <v>Valdeolmillos</v>
          </cell>
          <cell r="I7250" t="str">
            <v>34189</v>
          </cell>
        </row>
        <row r="7251">
          <cell r="H7251" t="str">
            <v>Valdeolmos-Alalpardo</v>
          </cell>
          <cell r="I7251" t="str">
            <v>28162</v>
          </cell>
        </row>
        <row r="7252">
          <cell r="H7252" t="str">
            <v>Valdepeñas</v>
          </cell>
          <cell r="I7252" t="str">
            <v>13087</v>
          </cell>
        </row>
        <row r="7253">
          <cell r="H7253" t="str">
            <v>Valdepeñas de Jaén</v>
          </cell>
          <cell r="I7253" t="str">
            <v>23093</v>
          </cell>
        </row>
        <row r="7254">
          <cell r="H7254" t="str">
            <v>Valdepeñas de la Sierra</v>
          </cell>
          <cell r="I7254" t="str">
            <v>19305</v>
          </cell>
        </row>
        <row r="7255">
          <cell r="H7255" t="str">
            <v>Valdepiélagos</v>
          </cell>
          <cell r="I7255" t="str">
            <v>28163</v>
          </cell>
        </row>
        <row r="7256">
          <cell r="H7256" t="str">
            <v>Valdepolo</v>
          </cell>
          <cell r="I7256" t="str">
            <v>24180</v>
          </cell>
        </row>
        <row r="7257">
          <cell r="H7257" t="str">
            <v>Valdeprado</v>
          </cell>
          <cell r="I7257" t="str">
            <v>42196</v>
          </cell>
        </row>
        <row r="7258">
          <cell r="H7258" t="str">
            <v>Valdeprado del Río</v>
          </cell>
          <cell r="I7258" t="str">
            <v>39093</v>
          </cell>
        </row>
        <row r="7259">
          <cell r="H7259" t="str">
            <v>Valdeprados</v>
          </cell>
          <cell r="I7259" t="str">
            <v>40211</v>
          </cell>
        </row>
        <row r="7260">
          <cell r="H7260" t="str">
            <v>Valderas</v>
          </cell>
          <cell r="I7260" t="str">
            <v>24181</v>
          </cell>
        </row>
        <row r="7261">
          <cell r="H7261" t="str">
            <v>Valderrábano</v>
          </cell>
          <cell r="I7261" t="str">
            <v>34190</v>
          </cell>
        </row>
        <row r="7262">
          <cell r="H7262" t="str">
            <v>Valderrebollo</v>
          </cell>
          <cell r="I7262" t="str">
            <v>19306</v>
          </cell>
        </row>
        <row r="7263">
          <cell r="H7263" t="str">
            <v>Valderredible</v>
          </cell>
          <cell r="I7263" t="str">
            <v>39094</v>
          </cell>
        </row>
        <row r="7264">
          <cell r="H7264" t="str">
            <v>Valderrey</v>
          </cell>
          <cell r="I7264" t="str">
            <v>24182</v>
          </cell>
        </row>
        <row r="7265">
          <cell r="H7265" t="str">
            <v>Valderrobres</v>
          </cell>
          <cell r="I7265" t="str">
            <v>44246</v>
          </cell>
        </row>
        <row r="7266">
          <cell r="H7266" t="str">
            <v>Valderrodilla</v>
          </cell>
          <cell r="I7266" t="str">
            <v>42197</v>
          </cell>
        </row>
        <row r="7267">
          <cell r="H7267" t="str">
            <v>Valderrodrigo</v>
          </cell>
          <cell r="I7267" t="str">
            <v>37337</v>
          </cell>
        </row>
        <row r="7268">
          <cell r="H7268" t="str">
            <v>Valderrubio</v>
          </cell>
          <cell r="I7268" t="str">
            <v>18914</v>
          </cell>
        </row>
        <row r="7269">
          <cell r="H7269" t="str">
            <v>Valdescorriel</v>
          </cell>
          <cell r="I7269" t="str">
            <v>49229</v>
          </cell>
        </row>
        <row r="7270">
          <cell r="H7270" t="str">
            <v>Valdesotos</v>
          </cell>
          <cell r="I7270" t="str">
            <v>19307</v>
          </cell>
        </row>
        <row r="7271">
          <cell r="H7271" t="str">
            <v>Valdestillas</v>
          </cell>
          <cell r="I7271" t="str">
            <v>47182</v>
          </cell>
        </row>
        <row r="7272">
          <cell r="H7272" t="str">
            <v>Valdetorres</v>
          </cell>
          <cell r="I7272" t="str">
            <v>06138</v>
          </cell>
        </row>
        <row r="7273">
          <cell r="H7273" t="str">
            <v>Valdetorres de Jarama</v>
          </cell>
          <cell r="I7273" t="str">
            <v>28164</v>
          </cell>
        </row>
        <row r="7274">
          <cell r="H7274" t="str">
            <v>Valdetórtola</v>
          </cell>
          <cell r="I7274" t="str">
            <v>16902</v>
          </cell>
        </row>
        <row r="7275">
          <cell r="H7275" t="str">
            <v>Valde-Ucieza</v>
          </cell>
          <cell r="I7275" t="str">
            <v>34192</v>
          </cell>
        </row>
        <row r="7276">
          <cell r="H7276" t="str">
            <v>Valdevacas de Montejo</v>
          </cell>
          <cell r="I7276" t="str">
            <v>40212</v>
          </cell>
        </row>
        <row r="7277">
          <cell r="H7277" t="str">
            <v>Valdevacas y Guijar</v>
          </cell>
          <cell r="I7277" t="str">
            <v>40213</v>
          </cell>
        </row>
        <row r="7278">
          <cell r="H7278" t="str">
            <v>Valdeverdeja</v>
          </cell>
          <cell r="I7278" t="str">
            <v>45179</v>
          </cell>
        </row>
        <row r="7279">
          <cell r="H7279" t="str">
            <v>Valdevimbre</v>
          </cell>
          <cell r="I7279" t="str">
            <v>24187</v>
          </cell>
        </row>
        <row r="7280">
          <cell r="H7280" t="str">
            <v>Valdezate</v>
          </cell>
          <cell r="I7280" t="str">
            <v>09405</v>
          </cell>
        </row>
        <row r="7281">
          <cell r="H7281" t="str">
            <v>Valdilecha</v>
          </cell>
          <cell r="I7281" t="str">
            <v>28165</v>
          </cell>
        </row>
        <row r="7282">
          <cell r="H7282" t="str">
            <v>Valdorros</v>
          </cell>
          <cell r="I7282" t="str">
            <v>09406</v>
          </cell>
        </row>
        <row r="7283">
          <cell r="H7283" t="str">
            <v>Valdoviño</v>
          </cell>
          <cell r="I7283" t="str">
            <v>15087</v>
          </cell>
        </row>
        <row r="7284">
          <cell r="H7284" t="str">
            <v>Valdunciel</v>
          </cell>
          <cell r="I7284" t="str">
            <v>37338</v>
          </cell>
        </row>
        <row r="7285">
          <cell r="H7285" t="str">
            <v>Valdunquillo</v>
          </cell>
          <cell r="I7285" t="str">
            <v>47183</v>
          </cell>
        </row>
        <row r="7286">
          <cell r="H7286" t="str">
            <v>València</v>
          </cell>
          <cell r="I7286" t="str">
            <v>46250</v>
          </cell>
        </row>
        <row r="7287">
          <cell r="H7287" t="str">
            <v>Valencia de Alcántara</v>
          </cell>
          <cell r="I7287" t="str">
            <v>10203</v>
          </cell>
        </row>
        <row r="7288">
          <cell r="H7288" t="str">
            <v>Valencia de Don Juan</v>
          </cell>
          <cell r="I7288" t="str">
            <v>24188</v>
          </cell>
        </row>
        <row r="7289">
          <cell r="H7289" t="str">
            <v>Valencia de las Torres</v>
          </cell>
          <cell r="I7289" t="str">
            <v>06139</v>
          </cell>
        </row>
        <row r="7290">
          <cell r="H7290" t="str">
            <v>Valencia del Mombuey</v>
          </cell>
          <cell r="I7290" t="str">
            <v>06140</v>
          </cell>
        </row>
        <row r="7291">
          <cell r="H7291" t="str">
            <v>Valencia del Ventoso</v>
          </cell>
          <cell r="I7291" t="str">
            <v>06141</v>
          </cell>
        </row>
        <row r="7292">
          <cell r="H7292" t="str">
            <v>Valencina de la Concepción</v>
          </cell>
          <cell r="I7292" t="str">
            <v>41096</v>
          </cell>
        </row>
        <row r="7293">
          <cell r="H7293" t="str">
            <v>Valenzuela</v>
          </cell>
          <cell r="I7293" t="str">
            <v>14063</v>
          </cell>
        </row>
        <row r="7294">
          <cell r="H7294" t="str">
            <v>Valenzuela de Calatrava</v>
          </cell>
          <cell r="I7294" t="str">
            <v>13088</v>
          </cell>
        </row>
        <row r="7295">
          <cell r="H7295" t="str">
            <v>Valeras, Las</v>
          </cell>
          <cell r="I7295" t="str">
            <v>16903</v>
          </cell>
        </row>
        <row r="7296">
          <cell r="H7296" t="str">
            <v>Valero</v>
          </cell>
          <cell r="I7296" t="str">
            <v>37339</v>
          </cell>
        </row>
        <row r="7297">
          <cell r="H7297" t="str">
            <v>Valfarta</v>
          </cell>
          <cell r="I7297" t="str">
            <v>22242</v>
          </cell>
        </row>
        <row r="7298">
          <cell r="H7298" t="str">
            <v>Valfermoso de Tajuña</v>
          </cell>
          <cell r="I7298" t="str">
            <v>19308</v>
          </cell>
        </row>
        <row r="7299">
          <cell r="H7299" t="str">
            <v>Valga</v>
          </cell>
          <cell r="I7299" t="str">
            <v>36056</v>
          </cell>
        </row>
        <row r="7300">
          <cell r="H7300" t="str">
            <v>Valgañón</v>
          </cell>
          <cell r="I7300" t="str">
            <v>26162</v>
          </cell>
        </row>
        <row r="7301">
          <cell r="H7301" t="str">
            <v>Valhermoso</v>
          </cell>
          <cell r="I7301" t="str">
            <v>19309</v>
          </cell>
        </row>
        <row r="7302">
          <cell r="H7302" t="str">
            <v>Valhermoso de la Fuente</v>
          </cell>
          <cell r="I7302" t="str">
            <v>16231</v>
          </cell>
        </row>
        <row r="7303">
          <cell r="H7303" t="str">
            <v>Valjunquera</v>
          </cell>
          <cell r="I7303" t="str">
            <v>44247</v>
          </cell>
        </row>
        <row r="7304">
          <cell r="H7304" t="str">
            <v>Vall d'Alba</v>
          </cell>
          <cell r="I7304" t="str">
            <v>12124</v>
          </cell>
        </row>
        <row r="7305">
          <cell r="H7305" t="str">
            <v>Vall d'Alcalà, la</v>
          </cell>
          <cell r="I7305" t="str">
            <v>03134</v>
          </cell>
        </row>
        <row r="7306">
          <cell r="H7306" t="str">
            <v>Vall de Almonacid</v>
          </cell>
          <cell r="I7306" t="str">
            <v>12125</v>
          </cell>
        </row>
        <row r="7307">
          <cell r="H7307" t="str">
            <v>Vall de Bianya, La</v>
          </cell>
          <cell r="I7307" t="str">
            <v>17208</v>
          </cell>
        </row>
        <row r="7308">
          <cell r="H7308" t="str">
            <v>Vall de Boí, La</v>
          </cell>
          <cell r="I7308" t="str">
            <v>25043</v>
          </cell>
        </row>
        <row r="7309">
          <cell r="H7309" t="str">
            <v>Vall de Cardós</v>
          </cell>
          <cell r="I7309" t="str">
            <v>25901</v>
          </cell>
        </row>
        <row r="7310">
          <cell r="H7310" t="str">
            <v>Vall de Gallinera, la</v>
          </cell>
          <cell r="I7310" t="str">
            <v>03136</v>
          </cell>
        </row>
        <row r="7311">
          <cell r="H7311" t="str">
            <v>Vall de Laguar, la</v>
          </cell>
          <cell r="I7311" t="str">
            <v>03137</v>
          </cell>
        </row>
        <row r="7312">
          <cell r="H7312" t="str">
            <v>Vall d'Ebo, la</v>
          </cell>
          <cell r="I7312" t="str">
            <v>03135</v>
          </cell>
        </row>
        <row r="7313">
          <cell r="H7313" t="str">
            <v>Vall d'en Bas, La</v>
          </cell>
          <cell r="I7313" t="str">
            <v>17207</v>
          </cell>
        </row>
        <row r="7314">
          <cell r="H7314" t="str">
            <v>Vall d'Uixó, la</v>
          </cell>
          <cell r="I7314" t="str">
            <v>12126</v>
          </cell>
        </row>
        <row r="7315">
          <cell r="H7315" t="str">
            <v>Vallada</v>
          </cell>
          <cell r="I7315" t="str">
            <v>46251</v>
          </cell>
        </row>
        <row r="7316">
          <cell r="H7316" t="str">
            <v>Valladolid</v>
          </cell>
          <cell r="I7316" t="str">
            <v>47186</v>
          </cell>
        </row>
        <row r="7317">
          <cell r="H7317" t="str">
            <v>Vallanca</v>
          </cell>
          <cell r="I7317" t="str">
            <v>46252</v>
          </cell>
        </row>
        <row r="7318">
          <cell r="H7318" t="str">
            <v>Vallarta de Bureba</v>
          </cell>
          <cell r="I7318" t="str">
            <v>09408</v>
          </cell>
        </row>
        <row r="7319">
          <cell r="H7319" t="str">
            <v>Vallat</v>
          </cell>
          <cell r="I7319" t="str">
            <v>12123</v>
          </cell>
        </row>
        <row r="7320">
          <cell r="H7320" t="str">
            <v>Vallbona d'Anoia</v>
          </cell>
          <cell r="I7320" t="str">
            <v>08292</v>
          </cell>
        </row>
        <row r="7321">
          <cell r="H7321" t="str">
            <v>Vallbona de les Monges</v>
          </cell>
          <cell r="I7321" t="str">
            <v>25238</v>
          </cell>
        </row>
        <row r="7322">
          <cell r="H7322" t="str">
            <v>Vallcebre</v>
          </cell>
          <cell r="I7322" t="str">
            <v>08293</v>
          </cell>
        </row>
        <row r="7323">
          <cell r="H7323" t="str">
            <v>Vallclara</v>
          </cell>
          <cell r="I7323" t="str">
            <v>43158</v>
          </cell>
        </row>
        <row r="7324">
          <cell r="H7324" t="str">
            <v>Valldemossa</v>
          </cell>
          <cell r="I7324" t="str">
            <v>07063</v>
          </cell>
        </row>
        <row r="7325">
          <cell r="H7325" t="str">
            <v>Valle de Abdalajís</v>
          </cell>
          <cell r="I7325" t="str">
            <v>29093</v>
          </cell>
        </row>
        <row r="7326">
          <cell r="H7326" t="str">
            <v>Valle de Bardají</v>
          </cell>
          <cell r="I7326" t="str">
            <v>22243</v>
          </cell>
        </row>
        <row r="7327">
          <cell r="H7327" t="str">
            <v>Valle de Cerrato</v>
          </cell>
          <cell r="I7327" t="str">
            <v>34196</v>
          </cell>
        </row>
        <row r="7328">
          <cell r="H7328" t="str">
            <v>Valle de Egüés/Eguesibar</v>
          </cell>
          <cell r="I7328" t="str">
            <v>31086</v>
          </cell>
        </row>
        <row r="7329">
          <cell r="H7329" t="str">
            <v>Valle de Hecho</v>
          </cell>
          <cell r="I7329" t="str">
            <v>22901</v>
          </cell>
        </row>
        <row r="7330">
          <cell r="H7330" t="str">
            <v>Valle de la Serena</v>
          </cell>
          <cell r="I7330" t="str">
            <v>06146</v>
          </cell>
        </row>
        <row r="7331">
          <cell r="H7331" t="str">
            <v>Valle de las Navas</v>
          </cell>
          <cell r="I7331" t="str">
            <v>09904</v>
          </cell>
        </row>
        <row r="7332">
          <cell r="H7332" t="str">
            <v>Valle de Lierp</v>
          </cell>
          <cell r="I7332" t="str">
            <v>22244</v>
          </cell>
        </row>
        <row r="7333">
          <cell r="H7333" t="str">
            <v>Valle de Losa</v>
          </cell>
          <cell r="I7333" t="str">
            <v>09908</v>
          </cell>
        </row>
        <row r="7334">
          <cell r="H7334" t="str">
            <v>Valle de Manzanedo</v>
          </cell>
          <cell r="I7334" t="str">
            <v>09409</v>
          </cell>
        </row>
        <row r="7335">
          <cell r="H7335" t="str">
            <v>Valle de Matamoros</v>
          </cell>
          <cell r="I7335" t="str">
            <v>06147</v>
          </cell>
        </row>
        <row r="7336">
          <cell r="H7336" t="str">
            <v>Valle de Mena</v>
          </cell>
          <cell r="I7336" t="str">
            <v>09410</v>
          </cell>
        </row>
        <row r="7337">
          <cell r="H7337" t="str">
            <v>Valle de Oca</v>
          </cell>
          <cell r="I7337" t="str">
            <v>09411</v>
          </cell>
        </row>
        <row r="7338">
          <cell r="H7338" t="str">
            <v>Valle de Ollo/Ollaran</v>
          </cell>
          <cell r="I7338" t="str">
            <v>31194</v>
          </cell>
        </row>
        <row r="7339">
          <cell r="H7339" t="str">
            <v>Valle de Santa Ana</v>
          </cell>
          <cell r="I7339" t="str">
            <v>06148</v>
          </cell>
        </row>
        <row r="7340">
          <cell r="H7340" t="str">
            <v>Valle de Santibáñez</v>
          </cell>
          <cell r="I7340" t="str">
            <v>09902</v>
          </cell>
        </row>
        <row r="7341">
          <cell r="H7341" t="str">
            <v>Valle de Sedano</v>
          </cell>
          <cell r="I7341" t="str">
            <v>09905</v>
          </cell>
        </row>
        <row r="7342">
          <cell r="H7342" t="str">
            <v>Valle de Tabladillo</v>
          </cell>
          <cell r="I7342" t="str">
            <v>40218</v>
          </cell>
        </row>
        <row r="7343">
          <cell r="H7343" t="str">
            <v>Valle de Trápaga-Trapagaran</v>
          </cell>
          <cell r="I7343" t="str">
            <v>48080</v>
          </cell>
        </row>
        <row r="7344">
          <cell r="H7344" t="str">
            <v>Valle de Valdebezana</v>
          </cell>
          <cell r="I7344" t="str">
            <v>09413</v>
          </cell>
        </row>
        <row r="7345">
          <cell r="H7345" t="str">
            <v>Valle de Valdelaguna</v>
          </cell>
          <cell r="I7345" t="str">
            <v>09414</v>
          </cell>
        </row>
        <row r="7346">
          <cell r="H7346" t="str">
            <v>Valle de Valdelucio</v>
          </cell>
          <cell r="I7346" t="str">
            <v>09415</v>
          </cell>
        </row>
        <row r="7347">
          <cell r="H7347" t="str">
            <v>Valle de Villaverde</v>
          </cell>
          <cell r="I7347" t="str">
            <v>39101</v>
          </cell>
        </row>
        <row r="7348">
          <cell r="H7348" t="str">
            <v>Valle de Yerri/Deierri</v>
          </cell>
          <cell r="I7348" t="str">
            <v>31260</v>
          </cell>
        </row>
        <row r="7349">
          <cell r="H7349" t="str">
            <v>Valle de Zamanzas</v>
          </cell>
          <cell r="I7349" t="str">
            <v>09416</v>
          </cell>
        </row>
        <row r="7350">
          <cell r="H7350" t="str">
            <v>Valle del Retortillo</v>
          </cell>
          <cell r="I7350" t="str">
            <v>34902</v>
          </cell>
        </row>
        <row r="7351">
          <cell r="H7351" t="str">
            <v>Valle del Zalabí</v>
          </cell>
          <cell r="I7351" t="str">
            <v>18907</v>
          </cell>
        </row>
        <row r="7352">
          <cell r="H7352" t="str">
            <v>Valle Gran Rey</v>
          </cell>
          <cell r="I7352" t="str">
            <v>38049</v>
          </cell>
        </row>
        <row r="7353">
          <cell r="H7353" t="str">
            <v>Valle, El</v>
          </cell>
          <cell r="I7353" t="str">
            <v>18902</v>
          </cell>
        </row>
        <row r="7354">
          <cell r="H7354" t="str">
            <v>Vallecillo</v>
          </cell>
          <cell r="I7354" t="str">
            <v>24191</v>
          </cell>
        </row>
        <row r="7355">
          <cell r="H7355" t="str">
            <v>Vallecillo, El</v>
          </cell>
          <cell r="I7355" t="str">
            <v>44249</v>
          </cell>
        </row>
        <row r="7356">
          <cell r="H7356" t="str">
            <v>Vallehermoso</v>
          </cell>
          <cell r="I7356" t="str">
            <v>38050</v>
          </cell>
        </row>
        <row r="7357">
          <cell r="H7357" t="str">
            <v>Vallejera</v>
          </cell>
          <cell r="I7357" t="str">
            <v>09417</v>
          </cell>
        </row>
        <row r="7358">
          <cell r="H7358" t="str">
            <v>Vallejera de Riofrío</v>
          </cell>
          <cell r="I7358" t="str">
            <v>37343</v>
          </cell>
        </row>
        <row r="7359">
          <cell r="H7359" t="str">
            <v>Vallelado</v>
          </cell>
          <cell r="I7359" t="str">
            <v>40219</v>
          </cell>
        </row>
        <row r="7360">
          <cell r="H7360" t="str">
            <v>Valleruela de Pedraza</v>
          </cell>
          <cell r="I7360" t="str">
            <v>40220</v>
          </cell>
        </row>
        <row r="7361">
          <cell r="H7361" t="str">
            <v>Valleruela de Sepúlveda</v>
          </cell>
          <cell r="I7361" t="str">
            <v>40221</v>
          </cell>
        </row>
        <row r="7362">
          <cell r="H7362" t="str">
            <v>Vallés</v>
          </cell>
          <cell r="I7362" t="str">
            <v>46253</v>
          </cell>
        </row>
        <row r="7363">
          <cell r="H7363" t="str">
            <v>Valles de Palenzuela</v>
          </cell>
          <cell r="I7363" t="str">
            <v>09418</v>
          </cell>
        </row>
        <row r="7364">
          <cell r="H7364" t="str">
            <v>Vallesa de la Guareña</v>
          </cell>
          <cell r="I7364" t="str">
            <v>49230</v>
          </cell>
        </row>
        <row r="7365">
          <cell r="H7365" t="str">
            <v>Valleseco</v>
          </cell>
          <cell r="I7365" t="str">
            <v>35032</v>
          </cell>
        </row>
        <row r="7366">
          <cell r="H7366" t="str">
            <v>Vallfogona de Balaguer</v>
          </cell>
          <cell r="I7366" t="str">
            <v>25240</v>
          </cell>
        </row>
        <row r="7367">
          <cell r="H7367" t="str">
            <v>Vallfogona de Ripollès</v>
          </cell>
          <cell r="I7367" t="str">
            <v>17170</v>
          </cell>
        </row>
        <row r="7368">
          <cell r="H7368" t="str">
            <v>Vallfogona de Riucorb</v>
          </cell>
          <cell r="I7368" t="str">
            <v>43159</v>
          </cell>
        </row>
        <row r="7369">
          <cell r="H7369" t="str">
            <v>Vallgorguina</v>
          </cell>
          <cell r="I7369" t="str">
            <v>08294</v>
          </cell>
        </row>
        <row r="7370">
          <cell r="H7370" t="str">
            <v>Vallibona</v>
          </cell>
          <cell r="I7370" t="str">
            <v>12127</v>
          </cell>
        </row>
        <row r="7371">
          <cell r="H7371" t="str">
            <v>Vallirana</v>
          </cell>
          <cell r="I7371" t="str">
            <v>08295</v>
          </cell>
        </row>
        <row r="7372">
          <cell r="H7372" t="str">
            <v>Vall-llobrega</v>
          </cell>
          <cell r="I7372" t="str">
            <v>17209</v>
          </cell>
        </row>
        <row r="7373">
          <cell r="H7373" t="str">
            <v>Vallmoll</v>
          </cell>
          <cell r="I7373" t="str">
            <v>43160</v>
          </cell>
        </row>
        <row r="7374">
          <cell r="H7374" t="str">
            <v>Vallromanes</v>
          </cell>
          <cell r="I7374" t="str">
            <v>08296</v>
          </cell>
        </row>
        <row r="7375">
          <cell r="H7375" t="str">
            <v>Valls</v>
          </cell>
          <cell r="I7375" t="str">
            <v>43161</v>
          </cell>
        </row>
        <row r="7376">
          <cell r="H7376" t="str">
            <v>Valls d'Aguilar, Les</v>
          </cell>
          <cell r="I7376" t="str">
            <v>25906</v>
          </cell>
        </row>
        <row r="7377">
          <cell r="H7377" t="str">
            <v>Valls de Valira, Les</v>
          </cell>
          <cell r="I7377" t="str">
            <v>25239</v>
          </cell>
        </row>
        <row r="7378">
          <cell r="H7378" t="str">
            <v>Valluércanes</v>
          </cell>
          <cell r="I7378" t="str">
            <v>09419</v>
          </cell>
        </row>
        <row r="7379">
          <cell r="H7379" t="str">
            <v>Valmadrid</v>
          </cell>
          <cell r="I7379" t="str">
            <v>50275</v>
          </cell>
        </row>
        <row r="7380">
          <cell r="H7380" t="str">
            <v>Valmala</v>
          </cell>
          <cell r="I7380" t="str">
            <v>09407</v>
          </cell>
        </row>
        <row r="7381">
          <cell r="H7381" t="str">
            <v>Valmojado</v>
          </cell>
          <cell r="I7381" t="str">
            <v>45180</v>
          </cell>
        </row>
        <row r="7382">
          <cell r="H7382" t="str">
            <v>Válor</v>
          </cell>
          <cell r="I7382" t="str">
            <v>18183</v>
          </cell>
        </row>
        <row r="7383">
          <cell r="H7383" t="str">
            <v>Valoria la Buena</v>
          </cell>
          <cell r="I7383" t="str">
            <v>47184</v>
          </cell>
        </row>
        <row r="7384">
          <cell r="H7384" t="str">
            <v>Valpalmas</v>
          </cell>
          <cell r="I7384" t="str">
            <v>50276</v>
          </cell>
        </row>
        <row r="7385">
          <cell r="H7385" t="str">
            <v>Valsalabroso</v>
          </cell>
          <cell r="I7385" t="str">
            <v>37340</v>
          </cell>
        </row>
        <row r="7386">
          <cell r="H7386" t="str">
            <v>Valsalobre</v>
          </cell>
          <cell r="I7386" t="str">
            <v>16234</v>
          </cell>
        </row>
        <row r="7387">
          <cell r="H7387" t="str">
            <v>Valseca</v>
          </cell>
          <cell r="I7387" t="str">
            <v>40214</v>
          </cell>
        </row>
        <row r="7388">
          <cell r="H7388" t="str">
            <v>Valsequillo de Gran Canaria</v>
          </cell>
          <cell r="I7388" t="str">
            <v>35031</v>
          </cell>
        </row>
        <row r="7389">
          <cell r="H7389" t="str">
            <v>Valtablado del Río</v>
          </cell>
          <cell r="I7389" t="str">
            <v>19310</v>
          </cell>
        </row>
        <row r="7390">
          <cell r="H7390" t="str">
            <v>Valtajeros</v>
          </cell>
          <cell r="I7390" t="str">
            <v>42198</v>
          </cell>
        </row>
        <row r="7391">
          <cell r="H7391" t="str">
            <v>Valtiendas</v>
          </cell>
          <cell r="I7391" t="str">
            <v>40215</v>
          </cell>
        </row>
        <row r="7392">
          <cell r="H7392" t="str">
            <v>Valtierra</v>
          </cell>
          <cell r="I7392" t="str">
            <v>31249</v>
          </cell>
        </row>
        <row r="7393">
          <cell r="H7393" t="str">
            <v>Valtorres</v>
          </cell>
          <cell r="I7393" t="str">
            <v>50277</v>
          </cell>
        </row>
        <row r="7394">
          <cell r="H7394" t="str">
            <v>Valverde</v>
          </cell>
          <cell r="I7394" t="str">
            <v>38048</v>
          </cell>
        </row>
        <row r="7395">
          <cell r="H7395" t="str">
            <v>Valverde de Alcalá</v>
          </cell>
          <cell r="I7395" t="str">
            <v>28166</v>
          </cell>
        </row>
        <row r="7396">
          <cell r="H7396" t="str">
            <v>Valverde de Burguillos</v>
          </cell>
          <cell r="I7396" t="str">
            <v>06142</v>
          </cell>
        </row>
        <row r="7397">
          <cell r="H7397" t="str">
            <v>Valverde de Campos</v>
          </cell>
          <cell r="I7397" t="str">
            <v>47185</v>
          </cell>
        </row>
        <row r="7398">
          <cell r="H7398" t="str">
            <v>Valverde de Júcar</v>
          </cell>
          <cell r="I7398" t="str">
            <v>16236</v>
          </cell>
        </row>
        <row r="7399">
          <cell r="H7399" t="str">
            <v>Valverde de la Vera</v>
          </cell>
          <cell r="I7399" t="str">
            <v>10204</v>
          </cell>
        </row>
        <row r="7400">
          <cell r="H7400" t="str">
            <v>Valverde de la Virgen</v>
          </cell>
          <cell r="I7400" t="str">
            <v>24189</v>
          </cell>
        </row>
        <row r="7401">
          <cell r="H7401" t="str">
            <v>Valverde de Leganés</v>
          </cell>
          <cell r="I7401" t="str">
            <v>06143</v>
          </cell>
        </row>
        <row r="7402">
          <cell r="H7402" t="str">
            <v>Valverde de Llerena</v>
          </cell>
          <cell r="I7402" t="str">
            <v>06144</v>
          </cell>
        </row>
        <row r="7403">
          <cell r="H7403" t="str">
            <v>Valverde de los Arroyos</v>
          </cell>
          <cell r="I7403" t="str">
            <v>19311</v>
          </cell>
        </row>
        <row r="7404">
          <cell r="H7404" t="str">
            <v>Valverde de Mérida</v>
          </cell>
          <cell r="I7404" t="str">
            <v>06145</v>
          </cell>
        </row>
        <row r="7405">
          <cell r="H7405" t="str">
            <v>Valverde de Valdelacasa</v>
          </cell>
          <cell r="I7405" t="str">
            <v>37341</v>
          </cell>
        </row>
        <row r="7406">
          <cell r="H7406" t="str">
            <v>Valverde del Camino</v>
          </cell>
          <cell r="I7406" t="str">
            <v>21072</v>
          </cell>
        </row>
        <row r="7407">
          <cell r="H7407" t="str">
            <v>Valverde del Fresno</v>
          </cell>
          <cell r="I7407" t="str">
            <v>10205</v>
          </cell>
        </row>
        <row r="7408">
          <cell r="H7408" t="str">
            <v>Valverde del Majano</v>
          </cell>
          <cell r="I7408" t="str">
            <v>40216</v>
          </cell>
        </row>
        <row r="7409">
          <cell r="H7409" t="str">
            <v>Valverde-Enrique</v>
          </cell>
          <cell r="I7409" t="str">
            <v>24190</v>
          </cell>
        </row>
        <row r="7410">
          <cell r="H7410" t="str">
            <v>Valverdejo</v>
          </cell>
          <cell r="I7410" t="str">
            <v>16237</v>
          </cell>
        </row>
        <row r="7411">
          <cell r="H7411" t="str">
            <v>Valverdón</v>
          </cell>
          <cell r="I7411" t="str">
            <v>37342</v>
          </cell>
        </row>
        <row r="7412">
          <cell r="H7412" t="str">
            <v>Vandellòs i l'Hospitalet de l'Infant</v>
          </cell>
          <cell r="I7412" t="str">
            <v>43162</v>
          </cell>
        </row>
        <row r="7413">
          <cell r="H7413" t="str">
            <v>Vansa i Fórnols, La</v>
          </cell>
          <cell r="I7413" t="str">
            <v>25909</v>
          </cell>
        </row>
        <row r="7414">
          <cell r="H7414" t="str">
            <v>Vara de Rey</v>
          </cell>
          <cell r="I7414" t="str">
            <v>16238</v>
          </cell>
        </row>
        <row r="7415">
          <cell r="H7415" t="str">
            <v>Veciana</v>
          </cell>
          <cell r="I7415" t="str">
            <v>08297</v>
          </cell>
        </row>
        <row r="7416">
          <cell r="H7416" t="str">
            <v>Vecinos</v>
          </cell>
          <cell r="I7416" t="str">
            <v>37344</v>
          </cell>
        </row>
        <row r="7417">
          <cell r="H7417" t="str">
            <v>Vedra</v>
          </cell>
          <cell r="I7417" t="str">
            <v>15089</v>
          </cell>
        </row>
        <row r="7418">
          <cell r="H7418" t="str">
            <v>Vega de Infanzones</v>
          </cell>
          <cell r="I7418" t="str">
            <v>24197</v>
          </cell>
        </row>
        <row r="7419">
          <cell r="H7419" t="str">
            <v>Vega de Liébana</v>
          </cell>
          <cell r="I7419" t="str">
            <v>39096</v>
          </cell>
        </row>
        <row r="7420">
          <cell r="H7420" t="str">
            <v>Vega de Pas</v>
          </cell>
          <cell r="I7420" t="str">
            <v>39097</v>
          </cell>
        </row>
        <row r="7421">
          <cell r="H7421" t="str">
            <v>Vega de Ruiponce</v>
          </cell>
          <cell r="I7421" t="str">
            <v>47187</v>
          </cell>
        </row>
        <row r="7422">
          <cell r="H7422" t="str">
            <v>Vega de San Mateo</v>
          </cell>
          <cell r="I7422" t="str">
            <v>35033</v>
          </cell>
        </row>
        <row r="7423">
          <cell r="H7423" t="str">
            <v>Vega de Santa María</v>
          </cell>
          <cell r="I7423" t="str">
            <v>05253</v>
          </cell>
        </row>
        <row r="7424">
          <cell r="H7424" t="str">
            <v>Vega de Tera</v>
          </cell>
          <cell r="I7424" t="str">
            <v>49231</v>
          </cell>
        </row>
        <row r="7425">
          <cell r="H7425" t="str">
            <v>Vega de Tirados</v>
          </cell>
          <cell r="I7425" t="str">
            <v>37345</v>
          </cell>
        </row>
        <row r="7426">
          <cell r="H7426" t="str">
            <v>Vega de Valdetronco</v>
          </cell>
          <cell r="I7426" t="str">
            <v>47188</v>
          </cell>
        </row>
        <row r="7427">
          <cell r="H7427" t="str">
            <v>Vega de Villalobos</v>
          </cell>
          <cell r="I7427" t="str">
            <v>49232</v>
          </cell>
        </row>
        <row r="7428">
          <cell r="H7428" t="str">
            <v>Vega del Codorno</v>
          </cell>
          <cell r="I7428" t="str">
            <v>16239</v>
          </cell>
        </row>
        <row r="7429">
          <cell r="H7429" t="str">
            <v>Vegadeo</v>
          </cell>
          <cell r="I7429" t="str">
            <v>33074</v>
          </cell>
        </row>
        <row r="7430">
          <cell r="H7430" t="str">
            <v>Vegalatrave</v>
          </cell>
          <cell r="I7430" t="str">
            <v>49233</v>
          </cell>
        </row>
        <row r="7431">
          <cell r="H7431" t="str">
            <v>Veganzones</v>
          </cell>
          <cell r="I7431" t="str">
            <v>40222</v>
          </cell>
        </row>
        <row r="7432">
          <cell r="H7432" t="str">
            <v>Vegas de Matute</v>
          </cell>
          <cell r="I7432" t="str">
            <v>40223</v>
          </cell>
        </row>
        <row r="7433">
          <cell r="H7433" t="str">
            <v>Vegas del Condado</v>
          </cell>
          <cell r="I7433" t="str">
            <v>24201</v>
          </cell>
        </row>
        <row r="7434">
          <cell r="H7434" t="str">
            <v>Vegas del Genil</v>
          </cell>
          <cell r="I7434" t="str">
            <v>18911</v>
          </cell>
        </row>
        <row r="7435">
          <cell r="H7435" t="str">
            <v>Vegaviana</v>
          </cell>
          <cell r="I7435" t="str">
            <v>10902</v>
          </cell>
        </row>
        <row r="7436">
          <cell r="H7436" t="str">
            <v>Veguillas de la Sierra</v>
          </cell>
          <cell r="I7436" t="str">
            <v>44250</v>
          </cell>
        </row>
        <row r="7437">
          <cell r="H7437" t="str">
            <v>Veguillas, Las</v>
          </cell>
          <cell r="I7437" t="str">
            <v>37346</v>
          </cell>
        </row>
        <row r="7438">
          <cell r="H7438" t="str">
            <v>Veiga, A</v>
          </cell>
          <cell r="I7438" t="str">
            <v>32083</v>
          </cell>
        </row>
        <row r="7439">
          <cell r="H7439" t="str">
            <v>Vejer de la Frontera</v>
          </cell>
          <cell r="I7439" t="str">
            <v>11039</v>
          </cell>
        </row>
        <row r="7440">
          <cell r="H7440" t="str">
            <v>Velada</v>
          </cell>
          <cell r="I7440" t="str">
            <v>45181</v>
          </cell>
        </row>
        <row r="7441">
          <cell r="H7441" t="str">
            <v>Velamazán</v>
          </cell>
          <cell r="I7441" t="str">
            <v>42200</v>
          </cell>
        </row>
        <row r="7442">
          <cell r="H7442" t="str">
            <v>Velascálvaro</v>
          </cell>
          <cell r="I7442" t="str">
            <v>47189</v>
          </cell>
        </row>
        <row r="7443">
          <cell r="H7443" t="str">
            <v>Velayos</v>
          </cell>
          <cell r="I7443" t="str">
            <v>05254</v>
          </cell>
        </row>
        <row r="7444">
          <cell r="H7444" t="str">
            <v>Velefique</v>
          </cell>
          <cell r="I7444" t="str">
            <v>04097</v>
          </cell>
        </row>
        <row r="7445">
          <cell r="H7445" t="str">
            <v>Vélez de Benaudalla</v>
          </cell>
          <cell r="I7445" t="str">
            <v>18184</v>
          </cell>
        </row>
        <row r="7446">
          <cell r="H7446" t="str">
            <v>Vélez-Blanco</v>
          </cell>
          <cell r="I7446" t="str">
            <v>04098</v>
          </cell>
        </row>
        <row r="7447">
          <cell r="H7447" t="str">
            <v>Vélez-Málaga</v>
          </cell>
          <cell r="I7447" t="str">
            <v>29094</v>
          </cell>
        </row>
        <row r="7448">
          <cell r="H7448" t="str">
            <v>Vélez-Rubio</v>
          </cell>
          <cell r="I7448" t="str">
            <v>04099</v>
          </cell>
        </row>
        <row r="7449">
          <cell r="H7449" t="str">
            <v>Velilla</v>
          </cell>
          <cell r="I7449" t="str">
            <v>47190</v>
          </cell>
        </row>
        <row r="7450">
          <cell r="H7450" t="str">
            <v>Velilla de Cinca</v>
          </cell>
          <cell r="I7450" t="str">
            <v>22245</v>
          </cell>
        </row>
        <row r="7451">
          <cell r="H7451" t="str">
            <v>Velilla de Ebro</v>
          </cell>
          <cell r="I7451" t="str">
            <v>50278</v>
          </cell>
        </row>
        <row r="7452">
          <cell r="H7452" t="str">
            <v>Velilla de Jiloca</v>
          </cell>
          <cell r="I7452" t="str">
            <v>50279</v>
          </cell>
        </row>
        <row r="7453">
          <cell r="H7453" t="str">
            <v>Velilla de la Sierra</v>
          </cell>
          <cell r="I7453" t="str">
            <v>42201</v>
          </cell>
        </row>
        <row r="7454">
          <cell r="H7454" t="str">
            <v>Velilla de los Ajos</v>
          </cell>
          <cell r="I7454" t="str">
            <v>42202</v>
          </cell>
        </row>
        <row r="7455">
          <cell r="H7455" t="str">
            <v>Velilla de San Antonio</v>
          </cell>
          <cell r="I7455" t="str">
            <v>28167</v>
          </cell>
        </row>
        <row r="7456">
          <cell r="H7456" t="str">
            <v>Vellés, La</v>
          </cell>
          <cell r="I7456" t="str">
            <v>37347</v>
          </cell>
        </row>
        <row r="7457">
          <cell r="H7457" t="str">
            <v>Vellisca</v>
          </cell>
          <cell r="I7457" t="str">
            <v>16240</v>
          </cell>
        </row>
        <row r="7458">
          <cell r="H7458" t="str">
            <v>Velliza</v>
          </cell>
          <cell r="I7458" t="str">
            <v>47191</v>
          </cell>
        </row>
        <row r="7459">
          <cell r="H7459" t="str">
            <v>Vellón, El</v>
          </cell>
          <cell r="I7459" t="str">
            <v>28168</v>
          </cell>
        </row>
        <row r="7460">
          <cell r="H7460" t="str">
            <v>Vencillón</v>
          </cell>
          <cell r="I7460" t="str">
            <v>22909</v>
          </cell>
        </row>
        <row r="7461">
          <cell r="H7461" t="str">
            <v>Vendrell, El</v>
          </cell>
          <cell r="I7461" t="str">
            <v>43163</v>
          </cell>
        </row>
        <row r="7462">
          <cell r="H7462" t="str">
            <v>Venialbo</v>
          </cell>
          <cell r="I7462" t="str">
            <v>49234</v>
          </cell>
        </row>
        <row r="7463">
          <cell r="H7463" t="str">
            <v>Venta de Baños</v>
          </cell>
          <cell r="I7463" t="str">
            <v>34023</v>
          </cell>
        </row>
        <row r="7464">
          <cell r="H7464" t="str">
            <v>Venta del Moro</v>
          </cell>
          <cell r="I7464" t="str">
            <v>46254</v>
          </cell>
        </row>
        <row r="7465">
          <cell r="H7465" t="str">
            <v>Ventalló</v>
          </cell>
          <cell r="I7465" t="str">
            <v>17210</v>
          </cell>
        </row>
        <row r="7466">
          <cell r="H7466" t="str">
            <v>Ventas con Peña Aguilera, Las</v>
          </cell>
          <cell r="I7466" t="str">
            <v>45182</v>
          </cell>
        </row>
        <row r="7467">
          <cell r="H7467" t="str">
            <v>Ventas de Huelma</v>
          </cell>
          <cell r="I7467" t="str">
            <v>18185</v>
          </cell>
        </row>
        <row r="7468">
          <cell r="H7468" t="str">
            <v>Ventas de Retamosa, Las</v>
          </cell>
          <cell r="I7468" t="str">
            <v>45183</v>
          </cell>
        </row>
        <row r="7469">
          <cell r="H7469" t="str">
            <v>Ventas de San Julián, Las</v>
          </cell>
          <cell r="I7469" t="str">
            <v>45184</v>
          </cell>
        </row>
        <row r="7470">
          <cell r="H7470" t="str">
            <v>Ventosa</v>
          </cell>
          <cell r="I7470" t="str">
            <v>26163</v>
          </cell>
        </row>
        <row r="7471">
          <cell r="H7471" t="str">
            <v>Ventosa de la Cuesta</v>
          </cell>
          <cell r="I7471" t="str">
            <v>47192</v>
          </cell>
        </row>
        <row r="7472">
          <cell r="H7472" t="str">
            <v>Ventosa del Río Almar</v>
          </cell>
          <cell r="I7472" t="str">
            <v>37348</v>
          </cell>
        </row>
        <row r="7473">
          <cell r="H7473" t="str">
            <v>Ventosilla y Tejadilla</v>
          </cell>
          <cell r="I7473" t="str">
            <v>40224</v>
          </cell>
        </row>
        <row r="7474">
          <cell r="H7474" t="str">
            <v>Ventrosa</v>
          </cell>
          <cell r="I7474" t="str">
            <v>26164</v>
          </cell>
        </row>
        <row r="7475">
          <cell r="H7475" t="str">
            <v>Venturada</v>
          </cell>
          <cell r="I7475" t="str">
            <v>28169</v>
          </cell>
        </row>
        <row r="7476">
          <cell r="H7476" t="str">
            <v>Vera</v>
          </cell>
          <cell r="I7476" t="str">
            <v>04100</v>
          </cell>
        </row>
        <row r="7477">
          <cell r="H7477" t="str">
            <v>Vera de Moncayo</v>
          </cell>
          <cell r="I7477" t="str">
            <v>50280</v>
          </cell>
        </row>
        <row r="7478">
          <cell r="H7478" t="str">
            <v>Verdú</v>
          </cell>
          <cell r="I7478" t="str">
            <v>25242</v>
          </cell>
        </row>
        <row r="7479">
          <cell r="H7479" t="str">
            <v>Verea</v>
          </cell>
          <cell r="I7479" t="str">
            <v>32084</v>
          </cell>
        </row>
        <row r="7480">
          <cell r="H7480" t="str">
            <v>Verger, el</v>
          </cell>
          <cell r="I7480" t="str">
            <v>03138</v>
          </cell>
        </row>
        <row r="7481">
          <cell r="H7481" t="str">
            <v>Verges</v>
          </cell>
          <cell r="I7481" t="str">
            <v>17211</v>
          </cell>
        </row>
        <row r="7482">
          <cell r="H7482" t="str">
            <v>Verín</v>
          </cell>
          <cell r="I7482" t="str">
            <v>32085</v>
          </cell>
        </row>
        <row r="7483">
          <cell r="H7483" t="str">
            <v>Vertavillo</v>
          </cell>
          <cell r="I7483" t="str">
            <v>34201</v>
          </cell>
        </row>
        <row r="7484">
          <cell r="H7484" t="str">
            <v>Vespella de Gaià</v>
          </cell>
          <cell r="I7484" t="str">
            <v>43164</v>
          </cell>
        </row>
        <row r="7485">
          <cell r="H7485" t="str">
            <v>Vezdemarbán</v>
          </cell>
          <cell r="I7485" t="str">
            <v>49235</v>
          </cell>
        </row>
        <row r="7486">
          <cell r="H7486" t="str">
            <v>Viacamp y Litera</v>
          </cell>
          <cell r="I7486" t="str">
            <v>22247</v>
          </cell>
        </row>
        <row r="7487">
          <cell r="H7487" t="str">
            <v>Viana</v>
          </cell>
          <cell r="I7487" t="str">
            <v>31251</v>
          </cell>
        </row>
        <row r="7488">
          <cell r="H7488" t="str">
            <v>Viana de Cega</v>
          </cell>
          <cell r="I7488" t="str">
            <v>47193</v>
          </cell>
        </row>
        <row r="7489">
          <cell r="H7489" t="str">
            <v>Viana de Duero</v>
          </cell>
          <cell r="I7489" t="str">
            <v>42204</v>
          </cell>
        </row>
        <row r="7490">
          <cell r="H7490" t="str">
            <v>Viana de Jadraque</v>
          </cell>
          <cell r="I7490" t="str">
            <v>19314</v>
          </cell>
        </row>
        <row r="7491">
          <cell r="H7491" t="str">
            <v>Viana do Bolo</v>
          </cell>
          <cell r="I7491" t="str">
            <v>32086</v>
          </cell>
        </row>
        <row r="7492">
          <cell r="H7492" t="str">
            <v>Viandar de la Vera</v>
          </cell>
          <cell r="I7492" t="str">
            <v>10206</v>
          </cell>
        </row>
        <row r="7493">
          <cell r="H7493" t="str">
            <v>Vianos</v>
          </cell>
          <cell r="I7493" t="str">
            <v>02076</v>
          </cell>
        </row>
        <row r="7494">
          <cell r="H7494" t="str">
            <v>Viator</v>
          </cell>
          <cell r="I7494" t="str">
            <v>04101</v>
          </cell>
        </row>
        <row r="7495">
          <cell r="H7495" t="str">
            <v>Vic</v>
          </cell>
          <cell r="I7495" t="str">
            <v>08298</v>
          </cell>
        </row>
        <row r="7496">
          <cell r="H7496" t="str">
            <v>Vícar</v>
          </cell>
          <cell r="I7496" t="str">
            <v>04102</v>
          </cell>
        </row>
        <row r="7497">
          <cell r="H7497" t="str">
            <v>Vicedo, O</v>
          </cell>
          <cell r="I7497" t="str">
            <v>27064</v>
          </cell>
        </row>
        <row r="7498">
          <cell r="H7498" t="str">
            <v>Vicién</v>
          </cell>
          <cell r="I7498" t="str">
            <v>22248</v>
          </cell>
        </row>
        <row r="7499">
          <cell r="H7499" t="str">
            <v>Victoria de Acentejo, La</v>
          </cell>
          <cell r="I7499" t="str">
            <v>38051</v>
          </cell>
        </row>
        <row r="7500">
          <cell r="H7500" t="str">
            <v>Victoria, La</v>
          </cell>
          <cell r="I7500" t="str">
            <v>14065</v>
          </cell>
        </row>
        <row r="7501">
          <cell r="H7501" t="str">
            <v>Vid de Bureba, La</v>
          </cell>
          <cell r="I7501" t="str">
            <v>09422</v>
          </cell>
        </row>
        <row r="7502">
          <cell r="H7502" t="str">
            <v>Vid de Ojeda, La</v>
          </cell>
          <cell r="I7502" t="str">
            <v>34093</v>
          </cell>
        </row>
        <row r="7503">
          <cell r="H7503" t="str">
            <v>Vid y Barrios, La</v>
          </cell>
          <cell r="I7503" t="str">
            <v>09421</v>
          </cell>
        </row>
        <row r="7504">
          <cell r="H7504" t="str">
            <v>Vidángoz/Bidankoze</v>
          </cell>
          <cell r="I7504" t="str">
            <v>31252</v>
          </cell>
        </row>
        <row r="7505">
          <cell r="H7505" t="str">
            <v>Vidayanes</v>
          </cell>
          <cell r="I7505" t="str">
            <v>49236</v>
          </cell>
        </row>
        <row r="7506">
          <cell r="H7506" t="str">
            <v>Videmala</v>
          </cell>
          <cell r="I7506" t="str">
            <v>49237</v>
          </cell>
        </row>
        <row r="7507">
          <cell r="H7507" t="str">
            <v>Vídola, La</v>
          </cell>
          <cell r="I7507" t="str">
            <v>37349</v>
          </cell>
        </row>
        <row r="7508">
          <cell r="H7508" t="str">
            <v>Vidrà</v>
          </cell>
          <cell r="I7508" t="str">
            <v>17212</v>
          </cell>
        </row>
        <row r="7509">
          <cell r="H7509" t="str">
            <v>Vidreres</v>
          </cell>
          <cell r="I7509" t="str">
            <v>17213</v>
          </cell>
        </row>
        <row r="7510">
          <cell r="H7510" t="str">
            <v>Vielha e Mijaran</v>
          </cell>
          <cell r="I7510" t="str">
            <v>25243</v>
          </cell>
        </row>
        <row r="7511">
          <cell r="H7511" t="str">
            <v>Vierlas</v>
          </cell>
          <cell r="I7511" t="str">
            <v>50281</v>
          </cell>
        </row>
        <row r="7512">
          <cell r="H7512" t="str">
            <v>Vigo</v>
          </cell>
          <cell r="I7512" t="str">
            <v>36057</v>
          </cell>
        </row>
        <row r="7513">
          <cell r="H7513" t="str">
            <v>Viguera</v>
          </cell>
          <cell r="I7513" t="str">
            <v>26165</v>
          </cell>
        </row>
        <row r="7514">
          <cell r="H7514" t="str">
            <v>Vila de Cruces</v>
          </cell>
          <cell r="I7514" t="str">
            <v>36059</v>
          </cell>
        </row>
        <row r="7515">
          <cell r="H7515" t="str">
            <v>Vila Joiosa, la/Villajoyosa</v>
          </cell>
          <cell r="I7515" t="str">
            <v>03139</v>
          </cell>
        </row>
        <row r="7516">
          <cell r="H7516" t="str">
            <v>Vilabella</v>
          </cell>
          <cell r="I7516" t="str">
            <v>43165</v>
          </cell>
        </row>
        <row r="7517">
          <cell r="H7517" t="str">
            <v>Vilabertran</v>
          </cell>
          <cell r="I7517" t="str">
            <v>17214</v>
          </cell>
        </row>
        <row r="7518">
          <cell r="H7518" t="str">
            <v>Vilablareix</v>
          </cell>
          <cell r="I7518" t="str">
            <v>17215</v>
          </cell>
        </row>
        <row r="7519">
          <cell r="H7519" t="str">
            <v>Vilaboa</v>
          </cell>
          <cell r="I7519" t="str">
            <v>36058</v>
          </cell>
        </row>
        <row r="7520">
          <cell r="H7520" t="str">
            <v>Vilada</v>
          </cell>
          <cell r="I7520" t="str">
            <v>08299</v>
          </cell>
        </row>
        <row r="7521">
          <cell r="H7521" t="str">
            <v>Viladamat</v>
          </cell>
          <cell r="I7521" t="str">
            <v>17217</v>
          </cell>
        </row>
        <row r="7522">
          <cell r="H7522" t="str">
            <v>Viladasens</v>
          </cell>
          <cell r="I7522" t="str">
            <v>17216</v>
          </cell>
        </row>
        <row r="7523">
          <cell r="H7523" t="str">
            <v>Viladecans</v>
          </cell>
          <cell r="I7523" t="str">
            <v>08301</v>
          </cell>
        </row>
        <row r="7524">
          <cell r="H7524" t="str">
            <v>Viladecavalls</v>
          </cell>
          <cell r="I7524" t="str">
            <v>08300</v>
          </cell>
        </row>
        <row r="7525">
          <cell r="H7525" t="str">
            <v>Vilademuls</v>
          </cell>
          <cell r="I7525" t="str">
            <v>17218</v>
          </cell>
        </row>
        <row r="7526">
          <cell r="H7526" t="str">
            <v>Viladrau</v>
          </cell>
          <cell r="I7526" t="str">
            <v>17220</v>
          </cell>
        </row>
        <row r="7527">
          <cell r="H7527" t="str">
            <v>Vilafamés</v>
          </cell>
          <cell r="I7527" t="str">
            <v>12128</v>
          </cell>
        </row>
        <row r="7528">
          <cell r="H7528" t="str">
            <v>Vilafant</v>
          </cell>
          <cell r="I7528" t="str">
            <v>17221</v>
          </cell>
        </row>
        <row r="7529">
          <cell r="H7529" t="str">
            <v>Vilaflor de Chasna</v>
          </cell>
          <cell r="I7529" t="str">
            <v>38052</v>
          </cell>
        </row>
        <row r="7530">
          <cell r="H7530" t="str">
            <v>Vilafranca de Bonany</v>
          </cell>
          <cell r="I7530" t="str">
            <v>07065</v>
          </cell>
        </row>
        <row r="7531">
          <cell r="H7531" t="str">
            <v>Vilafranca del Penedès</v>
          </cell>
          <cell r="I7531" t="str">
            <v>08305</v>
          </cell>
        </row>
        <row r="7532">
          <cell r="H7532" t="str">
            <v>Vilafranca/Villafranca del Cid</v>
          </cell>
          <cell r="I7532" t="str">
            <v>12129</v>
          </cell>
        </row>
        <row r="7533">
          <cell r="H7533" t="str">
            <v>Vilagarcía de Arousa</v>
          </cell>
          <cell r="I7533" t="str">
            <v>36060</v>
          </cell>
        </row>
        <row r="7534">
          <cell r="H7534" t="str">
            <v>Vilagrassa</v>
          </cell>
          <cell r="I7534" t="str">
            <v>25244</v>
          </cell>
        </row>
        <row r="7535">
          <cell r="H7535" t="str">
            <v>Vilajuïga</v>
          </cell>
          <cell r="I7535" t="str">
            <v>17223</v>
          </cell>
        </row>
        <row r="7536">
          <cell r="H7536" t="str">
            <v>Vilalba dels Arcs</v>
          </cell>
          <cell r="I7536" t="str">
            <v>43175</v>
          </cell>
        </row>
        <row r="7537">
          <cell r="H7537" t="str">
            <v>Vilalba Sasserra</v>
          </cell>
          <cell r="I7537" t="str">
            <v>08306</v>
          </cell>
        </row>
        <row r="7538">
          <cell r="H7538" t="str">
            <v>Vilaller</v>
          </cell>
          <cell r="I7538" t="str">
            <v>25245</v>
          </cell>
        </row>
        <row r="7539">
          <cell r="H7539" t="str">
            <v>Vilallonga de Ter</v>
          </cell>
          <cell r="I7539" t="str">
            <v>17224</v>
          </cell>
        </row>
        <row r="7540">
          <cell r="H7540" t="str">
            <v>Vilallonga del Camp</v>
          </cell>
          <cell r="I7540" t="str">
            <v>43166</v>
          </cell>
        </row>
        <row r="7541">
          <cell r="H7541" t="str">
            <v>Vilallonga/Villalonga</v>
          </cell>
          <cell r="I7541" t="str">
            <v>46255</v>
          </cell>
        </row>
        <row r="7542">
          <cell r="H7542" t="str">
            <v>Vilamacolum</v>
          </cell>
          <cell r="I7542" t="str">
            <v>17225</v>
          </cell>
        </row>
        <row r="7543">
          <cell r="H7543" t="str">
            <v>Vilamalla</v>
          </cell>
          <cell r="I7543" t="str">
            <v>17226</v>
          </cell>
        </row>
        <row r="7544">
          <cell r="H7544" t="str">
            <v>Vilamaniscle</v>
          </cell>
          <cell r="I7544" t="str">
            <v>17227</v>
          </cell>
        </row>
        <row r="7545">
          <cell r="H7545" t="str">
            <v>Vilamarín</v>
          </cell>
          <cell r="I7545" t="str">
            <v>32087</v>
          </cell>
        </row>
        <row r="7546">
          <cell r="H7546" t="str">
            <v>Vilamartín de Valdeorras</v>
          </cell>
          <cell r="I7546" t="str">
            <v>32088</v>
          </cell>
        </row>
        <row r="7547">
          <cell r="H7547" t="str">
            <v>Vilamarxant</v>
          </cell>
          <cell r="I7547" t="str">
            <v>46256</v>
          </cell>
        </row>
        <row r="7548">
          <cell r="H7548" t="str">
            <v>Vilamòs</v>
          </cell>
          <cell r="I7548" t="str">
            <v>25247</v>
          </cell>
        </row>
        <row r="7549">
          <cell r="H7549" t="str">
            <v>Vilanant</v>
          </cell>
          <cell r="I7549" t="str">
            <v>17228</v>
          </cell>
        </row>
        <row r="7550">
          <cell r="H7550" t="str">
            <v>Vilanova d'Alcolea</v>
          </cell>
          <cell r="I7550" t="str">
            <v>12132</v>
          </cell>
        </row>
        <row r="7551">
          <cell r="H7551" t="str">
            <v>Vilanova de Arousa</v>
          </cell>
          <cell r="I7551" t="str">
            <v>36061</v>
          </cell>
        </row>
        <row r="7552">
          <cell r="H7552" t="str">
            <v>Vilanova de Bellpuig</v>
          </cell>
          <cell r="I7552" t="str">
            <v>25248</v>
          </cell>
        </row>
        <row r="7553">
          <cell r="H7553" t="str">
            <v>Vilanova de la Barca</v>
          </cell>
          <cell r="I7553" t="str">
            <v>25254</v>
          </cell>
        </row>
        <row r="7554">
          <cell r="H7554" t="str">
            <v>Vilanova de l'Aguda</v>
          </cell>
          <cell r="I7554" t="str">
            <v>25249</v>
          </cell>
        </row>
        <row r="7555">
          <cell r="H7555" t="str">
            <v>Vilanova de Meià</v>
          </cell>
          <cell r="I7555" t="str">
            <v>25250</v>
          </cell>
        </row>
        <row r="7556">
          <cell r="H7556" t="str">
            <v>Vilanova de Prades</v>
          </cell>
          <cell r="I7556" t="str">
            <v>43168</v>
          </cell>
        </row>
        <row r="7557">
          <cell r="H7557" t="str">
            <v>Vilanova de Sau</v>
          </cell>
          <cell r="I7557" t="str">
            <v>08303</v>
          </cell>
        </row>
        <row r="7558">
          <cell r="H7558" t="str">
            <v>Vilanova de Segrià</v>
          </cell>
          <cell r="I7558" t="str">
            <v>25251</v>
          </cell>
        </row>
        <row r="7559">
          <cell r="H7559" t="str">
            <v>Vilanova del Camí</v>
          </cell>
          <cell r="I7559" t="str">
            <v>08302</v>
          </cell>
        </row>
        <row r="7560">
          <cell r="H7560" t="str">
            <v>Vilanova del Vallès</v>
          </cell>
          <cell r="I7560" t="str">
            <v>08902</v>
          </cell>
        </row>
        <row r="7561">
          <cell r="H7561" t="str">
            <v>Vilanova d'Escornalbou</v>
          </cell>
          <cell r="I7561" t="str">
            <v>43167</v>
          </cell>
        </row>
        <row r="7562">
          <cell r="H7562" t="str">
            <v>Vilanova i la Geltrú</v>
          </cell>
          <cell r="I7562" t="str">
            <v>08307</v>
          </cell>
        </row>
        <row r="7563">
          <cell r="H7563" t="str">
            <v>Vilaplana</v>
          </cell>
          <cell r="I7563" t="str">
            <v>43169</v>
          </cell>
        </row>
        <row r="7564">
          <cell r="H7564" t="str">
            <v>Vilar de Barrio</v>
          </cell>
          <cell r="I7564" t="str">
            <v>32089</v>
          </cell>
        </row>
        <row r="7565">
          <cell r="H7565" t="str">
            <v>Vilar de Canes</v>
          </cell>
          <cell r="I7565" t="str">
            <v>12134</v>
          </cell>
        </row>
        <row r="7566">
          <cell r="H7566" t="str">
            <v>Vilar de Santos</v>
          </cell>
          <cell r="I7566" t="str">
            <v>32090</v>
          </cell>
        </row>
        <row r="7567">
          <cell r="H7567" t="str">
            <v>Vilardevós</v>
          </cell>
          <cell r="I7567" t="str">
            <v>32091</v>
          </cell>
        </row>
        <row r="7568">
          <cell r="H7568" t="str">
            <v>Vila-real</v>
          </cell>
          <cell r="I7568" t="str">
            <v>12135</v>
          </cell>
        </row>
        <row r="7569">
          <cell r="H7569" t="str">
            <v>Vilariño de Conso</v>
          </cell>
          <cell r="I7569" t="str">
            <v>32092</v>
          </cell>
        </row>
        <row r="7570">
          <cell r="H7570" t="str">
            <v>Vilarmaior</v>
          </cell>
          <cell r="I7570" t="str">
            <v>15091</v>
          </cell>
        </row>
        <row r="7571">
          <cell r="H7571" t="str">
            <v>Vila-rodona</v>
          </cell>
          <cell r="I7571" t="str">
            <v>43170</v>
          </cell>
        </row>
        <row r="7572">
          <cell r="H7572" t="str">
            <v>Vila-sacra</v>
          </cell>
          <cell r="I7572" t="str">
            <v>17230</v>
          </cell>
        </row>
        <row r="7573">
          <cell r="H7573" t="str">
            <v>Vila-sana</v>
          </cell>
          <cell r="I7573" t="str">
            <v>25252</v>
          </cell>
        </row>
        <row r="7574">
          <cell r="H7574" t="str">
            <v>Vilasantar</v>
          </cell>
          <cell r="I7574" t="str">
            <v>15090</v>
          </cell>
        </row>
        <row r="7575">
          <cell r="H7575" t="str">
            <v>Vila-seca</v>
          </cell>
          <cell r="I7575" t="str">
            <v>43171</v>
          </cell>
        </row>
        <row r="7576">
          <cell r="H7576" t="str">
            <v>Vilassar de Dalt</v>
          </cell>
          <cell r="I7576" t="str">
            <v>08214</v>
          </cell>
        </row>
        <row r="7577">
          <cell r="H7577" t="str">
            <v>Vilassar de Mar</v>
          </cell>
          <cell r="I7577" t="str">
            <v>08219</v>
          </cell>
        </row>
        <row r="7578">
          <cell r="H7578" t="str">
            <v>Vilaür</v>
          </cell>
          <cell r="I7578" t="str">
            <v>17222</v>
          </cell>
        </row>
        <row r="7579">
          <cell r="H7579" t="str">
            <v>Vilavella, la</v>
          </cell>
          <cell r="I7579" t="str">
            <v>12136</v>
          </cell>
        </row>
        <row r="7580">
          <cell r="H7580" t="str">
            <v>Vilaverd</v>
          </cell>
          <cell r="I7580" t="str">
            <v>43172</v>
          </cell>
        </row>
        <row r="7581">
          <cell r="H7581" t="str">
            <v>Vilches</v>
          </cell>
          <cell r="I7581" t="str">
            <v>23094</v>
          </cell>
        </row>
        <row r="7582">
          <cell r="H7582" t="str">
            <v>Vilella Alta, La</v>
          </cell>
          <cell r="I7582" t="str">
            <v>43173</v>
          </cell>
        </row>
        <row r="7583">
          <cell r="H7583" t="str">
            <v>Vilella Baixa, La</v>
          </cell>
          <cell r="I7583" t="str">
            <v>43174</v>
          </cell>
        </row>
        <row r="7584">
          <cell r="H7584" t="str">
            <v>Vileña</v>
          </cell>
          <cell r="I7584" t="str">
            <v>09423</v>
          </cell>
        </row>
        <row r="7585">
          <cell r="H7585" t="str">
            <v>Villa de Don Fadrique, La</v>
          </cell>
          <cell r="I7585" t="str">
            <v>45186</v>
          </cell>
        </row>
        <row r="7586">
          <cell r="H7586" t="str">
            <v>Villa de Mazo</v>
          </cell>
          <cell r="I7586" t="str">
            <v>38053</v>
          </cell>
        </row>
        <row r="7587">
          <cell r="H7587" t="str">
            <v>Villa de Otura</v>
          </cell>
          <cell r="I7587" t="str">
            <v>18149</v>
          </cell>
        </row>
        <row r="7588">
          <cell r="H7588" t="str">
            <v>Villa de Ves</v>
          </cell>
          <cell r="I7588" t="str">
            <v>02077</v>
          </cell>
        </row>
        <row r="7589">
          <cell r="H7589" t="str">
            <v>Villa del Campo</v>
          </cell>
          <cell r="I7589" t="str">
            <v>10207</v>
          </cell>
        </row>
        <row r="7590">
          <cell r="H7590" t="str">
            <v>Villa del Prado</v>
          </cell>
          <cell r="I7590" t="str">
            <v>28171</v>
          </cell>
        </row>
        <row r="7591">
          <cell r="H7591" t="str">
            <v>Villa del Rey</v>
          </cell>
          <cell r="I7591" t="str">
            <v>10208</v>
          </cell>
        </row>
        <row r="7592">
          <cell r="H7592" t="str">
            <v>Villa del Río</v>
          </cell>
          <cell r="I7592" t="str">
            <v>14066</v>
          </cell>
        </row>
        <row r="7593">
          <cell r="H7593" t="str">
            <v>Villabáñez</v>
          </cell>
          <cell r="I7593" t="str">
            <v>47195</v>
          </cell>
        </row>
        <row r="7594">
          <cell r="H7594" t="str">
            <v>Villabaruz de Campos</v>
          </cell>
          <cell r="I7594" t="str">
            <v>47196</v>
          </cell>
        </row>
        <row r="7595">
          <cell r="H7595" t="str">
            <v>Villabasta de Valdavia</v>
          </cell>
          <cell r="I7595" t="str">
            <v>34202</v>
          </cell>
        </row>
        <row r="7596">
          <cell r="H7596" t="str">
            <v>Villablanca</v>
          </cell>
          <cell r="I7596" t="str">
            <v>21073</v>
          </cell>
        </row>
        <row r="7597">
          <cell r="H7597" t="str">
            <v>Villabona</v>
          </cell>
          <cell r="I7597" t="str">
            <v>20075</v>
          </cell>
        </row>
        <row r="7598">
          <cell r="H7598" t="str">
            <v>Villabrágima</v>
          </cell>
          <cell r="I7598" t="str">
            <v>47197</v>
          </cell>
        </row>
        <row r="7599">
          <cell r="H7599" t="str">
            <v>Villabraz</v>
          </cell>
          <cell r="I7599" t="str">
            <v>24203</v>
          </cell>
        </row>
        <row r="7600">
          <cell r="H7600" t="str">
            <v>Villabrázaro</v>
          </cell>
          <cell r="I7600" t="str">
            <v>49238</v>
          </cell>
        </row>
        <row r="7601">
          <cell r="H7601" t="str">
            <v>Villabuena de Álava/Eskuernaga</v>
          </cell>
          <cell r="I7601" t="str">
            <v>01057</v>
          </cell>
        </row>
        <row r="7602">
          <cell r="H7602" t="str">
            <v>Villabuena del Puente</v>
          </cell>
          <cell r="I7602" t="str">
            <v>49239</v>
          </cell>
        </row>
        <row r="7603">
          <cell r="H7603" t="str">
            <v>Villacañas</v>
          </cell>
          <cell r="I7603" t="str">
            <v>45185</v>
          </cell>
        </row>
        <row r="7604">
          <cell r="H7604" t="str">
            <v>Villacarralón</v>
          </cell>
          <cell r="I7604" t="str">
            <v>47198</v>
          </cell>
        </row>
        <row r="7605">
          <cell r="H7605" t="str">
            <v>Villacarriedo</v>
          </cell>
          <cell r="I7605" t="str">
            <v>39098</v>
          </cell>
        </row>
        <row r="7606">
          <cell r="H7606" t="str">
            <v>Villacarrillo</v>
          </cell>
          <cell r="I7606" t="str">
            <v>23095</v>
          </cell>
        </row>
        <row r="7607">
          <cell r="H7607" t="str">
            <v>Villacastín</v>
          </cell>
          <cell r="I7607" t="str">
            <v>40225</v>
          </cell>
        </row>
        <row r="7608">
          <cell r="H7608" t="str">
            <v>Villacid de Campos</v>
          </cell>
          <cell r="I7608" t="str">
            <v>47199</v>
          </cell>
        </row>
        <row r="7609">
          <cell r="H7609" t="str">
            <v>Villacidaler</v>
          </cell>
          <cell r="I7609" t="str">
            <v>34204</v>
          </cell>
        </row>
        <row r="7610">
          <cell r="H7610" t="str">
            <v>Villaciervos</v>
          </cell>
          <cell r="I7610" t="str">
            <v>42205</v>
          </cell>
        </row>
        <row r="7611">
          <cell r="H7611" t="str">
            <v>Villaco</v>
          </cell>
          <cell r="I7611" t="str">
            <v>47200</v>
          </cell>
        </row>
        <row r="7612">
          <cell r="H7612" t="str">
            <v>Villaconancio</v>
          </cell>
          <cell r="I7612" t="str">
            <v>34205</v>
          </cell>
        </row>
        <row r="7613">
          <cell r="H7613" t="str">
            <v>Villaconejos</v>
          </cell>
          <cell r="I7613" t="str">
            <v>28170</v>
          </cell>
        </row>
        <row r="7614">
          <cell r="H7614" t="str">
            <v>Villaconejos de Trabaque</v>
          </cell>
          <cell r="I7614" t="str">
            <v>16242</v>
          </cell>
        </row>
        <row r="7615">
          <cell r="H7615" t="str">
            <v>Villada</v>
          </cell>
          <cell r="I7615" t="str">
            <v>34206</v>
          </cell>
        </row>
        <row r="7616">
          <cell r="H7616" t="str">
            <v>Villadangos del Páramo</v>
          </cell>
          <cell r="I7616" t="str">
            <v>24205</v>
          </cell>
        </row>
        <row r="7617">
          <cell r="H7617" t="str">
            <v>Villademor de la Vega</v>
          </cell>
          <cell r="I7617" t="str">
            <v>24207</v>
          </cell>
        </row>
        <row r="7618">
          <cell r="H7618" t="str">
            <v>Villadepera</v>
          </cell>
          <cell r="I7618" t="str">
            <v>49240</v>
          </cell>
        </row>
        <row r="7619">
          <cell r="H7619" t="str">
            <v>Villadiego</v>
          </cell>
          <cell r="I7619" t="str">
            <v>09427</v>
          </cell>
        </row>
        <row r="7620">
          <cell r="H7620" t="str">
            <v>Villadoz</v>
          </cell>
          <cell r="I7620" t="str">
            <v>50283</v>
          </cell>
        </row>
        <row r="7621">
          <cell r="H7621" t="str">
            <v>Villaeles de Valdavia</v>
          </cell>
          <cell r="I7621" t="str">
            <v>34208</v>
          </cell>
        </row>
        <row r="7622">
          <cell r="H7622" t="str">
            <v>Villaescusa</v>
          </cell>
          <cell r="I7622" t="str">
            <v>39099</v>
          </cell>
        </row>
        <row r="7623">
          <cell r="H7623" t="str">
            <v>Villaescusa</v>
          </cell>
          <cell r="I7623" t="str">
            <v>49241</v>
          </cell>
        </row>
        <row r="7624">
          <cell r="H7624" t="str">
            <v>Villaescusa de Haro</v>
          </cell>
          <cell r="I7624" t="str">
            <v>16243</v>
          </cell>
        </row>
        <row r="7625">
          <cell r="H7625" t="str">
            <v>Villaescusa de Roa</v>
          </cell>
          <cell r="I7625" t="str">
            <v>09428</v>
          </cell>
        </row>
        <row r="7626">
          <cell r="H7626" t="str">
            <v>Villaescusa la Sombría</v>
          </cell>
          <cell r="I7626" t="str">
            <v>09429</v>
          </cell>
        </row>
        <row r="7627">
          <cell r="H7627" t="str">
            <v>Villaespasa</v>
          </cell>
          <cell r="I7627" t="str">
            <v>09430</v>
          </cell>
        </row>
        <row r="7628">
          <cell r="H7628" t="str">
            <v>Villafáfila</v>
          </cell>
          <cell r="I7628" t="str">
            <v>49242</v>
          </cell>
        </row>
        <row r="7629">
          <cell r="H7629" t="str">
            <v>Villafeliche</v>
          </cell>
          <cell r="I7629" t="str">
            <v>50284</v>
          </cell>
        </row>
        <row r="7630">
          <cell r="H7630" t="str">
            <v>Villaferrueña</v>
          </cell>
          <cell r="I7630" t="str">
            <v>49243</v>
          </cell>
        </row>
        <row r="7631">
          <cell r="H7631" t="str">
            <v>Villaflor</v>
          </cell>
          <cell r="I7631" t="str">
            <v>05256</v>
          </cell>
        </row>
        <row r="7632">
          <cell r="H7632" t="str">
            <v>Villaflores</v>
          </cell>
          <cell r="I7632" t="str">
            <v>37351</v>
          </cell>
        </row>
        <row r="7633">
          <cell r="H7633" t="str">
            <v>Villafrades de Campos</v>
          </cell>
          <cell r="I7633" t="str">
            <v>47203</v>
          </cell>
        </row>
        <row r="7634">
          <cell r="H7634" t="str">
            <v>Villafranca</v>
          </cell>
          <cell r="I7634" t="str">
            <v>31254</v>
          </cell>
        </row>
        <row r="7635">
          <cell r="H7635" t="str">
            <v>Villafranca de Córdoba</v>
          </cell>
          <cell r="I7635" t="str">
            <v>14067</v>
          </cell>
        </row>
        <row r="7636">
          <cell r="H7636" t="str">
            <v>Villafranca de Duero</v>
          </cell>
          <cell r="I7636" t="str">
            <v>47204</v>
          </cell>
        </row>
        <row r="7637">
          <cell r="H7637" t="str">
            <v>Villafranca de Ebro</v>
          </cell>
          <cell r="I7637" t="str">
            <v>50285</v>
          </cell>
        </row>
        <row r="7638">
          <cell r="H7638" t="str">
            <v>Villafranca de la Sierra</v>
          </cell>
          <cell r="I7638" t="str">
            <v>05257</v>
          </cell>
        </row>
        <row r="7639">
          <cell r="H7639" t="str">
            <v>Villafranca de los Barros</v>
          </cell>
          <cell r="I7639" t="str">
            <v>06149</v>
          </cell>
        </row>
        <row r="7640">
          <cell r="H7640" t="str">
            <v>Villafranca de los Caballeros</v>
          </cell>
          <cell r="I7640" t="str">
            <v>45187</v>
          </cell>
        </row>
        <row r="7641">
          <cell r="H7641" t="str">
            <v>Villafranca del Campo</v>
          </cell>
          <cell r="I7641" t="str">
            <v>44251</v>
          </cell>
        </row>
        <row r="7642">
          <cell r="H7642" t="str">
            <v>Villafranca Montes de Oca</v>
          </cell>
          <cell r="I7642" t="str">
            <v>09431</v>
          </cell>
        </row>
        <row r="7643">
          <cell r="H7643" t="str">
            <v>Villafrechós</v>
          </cell>
          <cell r="I7643" t="str">
            <v>47205</v>
          </cell>
        </row>
        <row r="7644">
          <cell r="H7644" t="str">
            <v>Villafruela</v>
          </cell>
          <cell r="I7644" t="str">
            <v>09432</v>
          </cell>
        </row>
        <row r="7645">
          <cell r="H7645" t="str">
            <v>Villafuerte</v>
          </cell>
          <cell r="I7645" t="str">
            <v>47206</v>
          </cell>
        </row>
        <row r="7646">
          <cell r="H7646" t="str">
            <v>Villafufre</v>
          </cell>
          <cell r="I7646" t="str">
            <v>39100</v>
          </cell>
        </row>
        <row r="7647">
          <cell r="H7647" t="str">
            <v>Villagalijo</v>
          </cell>
          <cell r="I7647" t="str">
            <v>09433</v>
          </cell>
        </row>
        <row r="7648">
          <cell r="H7648" t="str">
            <v>Villagarcía de Campos</v>
          </cell>
          <cell r="I7648" t="str">
            <v>47207</v>
          </cell>
        </row>
        <row r="7649">
          <cell r="H7649" t="str">
            <v>Villagarcía de la Torre</v>
          </cell>
          <cell r="I7649" t="str">
            <v>06150</v>
          </cell>
        </row>
        <row r="7650">
          <cell r="H7650" t="str">
            <v>Villagarcía del Llano</v>
          </cell>
          <cell r="I7650" t="str">
            <v>16244</v>
          </cell>
        </row>
        <row r="7651">
          <cell r="H7651" t="str">
            <v>Villageriz</v>
          </cell>
          <cell r="I7651" t="str">
            <v>49244</v>
          </cell>
        </row>
        <row r="7652">
          <cell r="H7652" t="str">
            <v>Villagómez la Nueva</v>
          </cell>
          <cell r="I7652" t="str">
            <v>47208</v>
          </cell>
        </row>
        <row r="7653">
          <cell r="H7653" t="str">
            <v>Villagonzalo</v>
          </cell>
          <cell r="I7653" t="str">
            <v>06151</v>
          </cell>
        </row>
        <row r="7654">
          <cell r="H7654" t="str">
            <v>Villagonzalo de Tormes</v>
          </cell>
          <cell r="I7654" t="str">
            <v>37352</v>
          </cell>
        </row>
        <row r="7655">
          <cell r="H7655" t="str">
            <v>Villagonzalo Pedernales</v>
          </cell>
          <cell r="I7655" t="str">
            <v>09434</v>
          </cell>
        </row>
        <row r="7656">
          <cell r="H7656" t="str">
            <v>Villahán</v>
          </cell>
          <cell r="I7656" t="str">
            <v>34210</v>
          </cell>
        </row>
        <row r="7657">
          <cell r="H7657" t="str">
            <v>Villahermosa</v>
          </cell>
          <cell r="I7657" t="str">
            <v>13089</v>
          </cell>
        </row>
        <row r="7658">
          <cell r="H7658" t="str">
            <v>Villahermosa del Campo</v>
          </cell>
          <cell r="I7658" t="str">
            <v>44252</v>
          </cell>
        </row>
        <row r="7659">
          <cell r="H7659" t="str">
            <v>Villahermosa del Río</v>
          </cell>
          <cell r="I7659" t="str">
            <v>12130</v>
          </cell>
        </row>
        <row r="7660">
          <cell r="H7660" t="str">
            <v>Villaherreros</v>
          </cell>
          <cell r="I7660" t="str">
            <v>34211</v>
          </cell>
        </row>
        <row r="7661">
          <cell r="H7661" t="str">
            <v>Villahoz</v>
          </cell>
          <cell r="I7661" t="str">
            <v>09437</v>
          </cell>
        </row>
        <row r="7662">
          <cell r="H7662" t="str">
            <v>Villalaco</v>
          </cell>
          <cell r="I7662" t="str">
            <v>34213</v>
          </cell>
        </row>
        <row r="7663">
          <cell r="H7663" t="str">
            <v>Villalán de Campos</v>
          </cell>
          <cell r="I7663" t="str">
            <v>47209</v>
          </cell>
        </row>
        <row r="7664">
          <cell r="H7664" t="str">
            <v>Villalar de los Comuneros</v>
          </cell>
          <cell r="I7664" t="str">
            <v>47210</v>
          </cell>
        </row>
        <row r="7665">
          <cell r="H7665" t="str">
            <v>Villalazán</v>
          </cell>
          <cell r="I7665" t="str">
            <v>49245</v>
          </cell>
        </row>
        <row r="7666">
          <cell r="H7666" t="str">
            <v>Villalba de Duero</v>
          </cell>
          <cell r="I7666" t="str">
            <v>09438</v>
          </cell>
        </row>
        <row r="7667">
          <cell r="H7667" t="str">
            <v>Villalba de la Lampreana</v>
          </cell>
          <cell r="I7667" t="str">
            <v>49246</v>
          </cell>
        </row>
        <row r="7668">
          <cell r="H7668" t="str">
            <v>Villalba de la Loma</v>
          </cell>
          <cell r="I7668" t="str">
            <v>47211</v>
          </cell>
        </row>
        <row r="7669">
          <cell r="H7669" t="str">
            <v>Villalba de la Sierra</v>
          </cell>
          <cell r="I7669" t="str">
            <v>16245</v>
          </cell>
        </row>
        <row r="7670">
          <cell r="H7670" t="str">
            <v>Villalba de los Alcores</v>
          </cell>
          <cell r="I7670" t="str">
            <v>47212</v>
          </cell>
        </row>
        <row r="7671">
          <cell r="H7671" t="str">
            <v>Villalba de los Barros</v>
          </cell>
          <cell r="I7671" t="str">
            <v>06152</v>
          </cell>
        </row>
        <row r="7672">
          <cell r="H7672" t="str">
            <v>Villalba de los Llanos</v>
          </cell>
          <cell r="I7672" t="str">
            <v>37353</v>
          </cell>
        </row>
        <row r="7673">
          <cell r="H7673" t="str">
            <v>Villalba de Perejil</v>
          </cell>
          <cell r="I7673" t="str">
            <v>50286</v>
          </cell>
        </row>
        <row r="7674">
          <cell r="H7674" t="str">
            <v>Villalba de Rioja</v>
          </cell>
          <cell r="I7674" t="str">
            <v>26166</v>
          </cell>
        </row>
        <row r="7675">
          <cell r="H7675" t="str">
            <v>Villalba del Alcor</v>
          </cell>
          <cell r="I7675" t="str">
            <v>21074</v>
          </cell>
        </row>
        <row r="7676">
          <cell r="H7676" t="str">
            <v>Villalba del Rey</v>
          </cell>
          <cell r="I7676" t="str">
            <v>16246</v>
          </cell>
        </row>
        <row r="7677">
          <cell r="H7677" t="str">
            <v>Villalbarba</v>
          </cell>
          <cell r="I7677" t="str">
            <v>47213</v>
          </cell>
        </row>
        <row r="7678">
          <cell r="H7678" t="str">
            <v>Villalbilla</v>
          </cell>
          <cell r="I7678" t="str">
            <v>28172</v>
          </cell>
        </row>
        <row r="7679">
          <cell r="H7679" t="str">
            <v>Villalbilla de Burgos</v>
          </cell>
          <cell r="I7679" t="str">
            <v>09439</v>
          </cell>
        </row>
        <row r="7680">
          <cell r="H7680" t="str">
            <v>Villalbilla de Gumiel</v>
          </cell>
          <cell r="I7680" t="str">
            <v>09440</v>
          </cell>
        </row>
        <row r="7681">
          <cell r="H7681" t="str">
            <v>Villalcampo</v>
          </cell>
          <cell r="I7681" t="str">
            <v>49247</v>
          </cell>
        </row>
        <row r="7682">
          <cell r="H7682" t="str">
            <v>Villalcázar de Sirga</v>
          </cell>
          <cell r="I7682" t="str">
            <v>34215</v>
          </cell>
        </row>
        <row r="7683">
          <cell r="H7683" t="str">
            <v>Villalcón</v>
          </cell>
          <cell r="I7683" t="str">
            <v>34216</v>
          </cell>
        </row>
        <row r="7684">
          <cell r="H7684" t="str">
            <v>Villaldemiro</v>
          </cell>
          <cell r="I7684" t="str">
            <v>09441</v>
          </cell>
        </row>
        <row r="7685">
          <cell r="H7685" t="str">
            <v>Villalengua</v>
          </cell>
          <cell r="I7685" t="str">
            <v>50287</v>
          </cell>
        </row>
        <row r="7686">
          <cell r="H7686" t="str">
            <v>Villalgordo del Júcar</v>
          </cell>
          <cell r="I7686" t="str">
            <v>02078</v>
          </cell>
        </row>
        <row r="7687">
          <cell r="H7687" t="str">
            <v>Villalgordo del Marquesado</v>
          </cell>
          <cell r="I7687" t="str">
            <v>16247</v>
          </cell>
        </row>
        <row r="7688">
          <cell r="H7688" t="str">
            <v>Villalmanzo</v>
          </cell>
          <cell r="I7688" t="str">
            <v>09442</v>
          </cell>
        </row>
        <row r="7689">
          <cell r="H7689" t="str">
            <v>Villalobar de Rioja</v>
          </cell>
          <cell r="I7689" t="str">
            <v>26167</v>
          </cell>
        </row>
        <row r="7690">
          <cell r="H7690" t="str">
            <v>Villalobón</v>
          </cell>
          <cell r="I7690" t="str">
            <v>34217</v>
          </cell>
        </row>
        <row r="7691">
          <cell r="H7691" t="str">
            <v>Villalobos</v>
          </cell>
          <cell r="I7691" t="str">
            <v>49248</v>
          </cell>
        </row>
        <row r="7692">
          <cell r="H7692" t="str">
            <v>Villalón de Campos</v>
          </cell>
          <cell r="I7692" t="str">
            <v>47214</v>
          </cell>
        </row>
        <row r="7693">
          <cell r="H7693" t="str">
            <v>Villalonso</v>
          </cell>
          <cell r="I7693" t="str">
            <v>49249</v>
          </cell>
        </row>
        <row r="7694">
          <cell r="H7694" t="str">
            <v>Villalpando</v>
          </cell>
          <cell r="I7694" t="str">
            <v>49250</v>
          </cell>
        </row>
        <row r="7695">
          <cell r="H7695" t="str">
            <v>Villalpardo</v>
          </cell>
          <cell r="I7695" t="str">
            <v>16248</v>
          </cell>
        </row>
        <row r="7696">
          <cell r="H7696" t="str">
            <v>Villalube</v>
          </cell>
          <cell r="I7696" t="str">
            <v>49251</v>
          </cell>
        </row>
        <row r="7697">
          <cell r="H7697" t="str">
            <v>Villaluenga de la Sagra</v>
          </cell>
          <cell r="I7697" t="str">
            <v>45188</v>
          </cell>
        </row>
        <row r="7698">
          <cell r="H7698" t="str">
            <v>Villaluenga de la Vega</v>
          </cell>
          <cell r="I7698" t="str">
            <v>34218</v>
          </cell>
        </row>
        <row r="7699">
          <cell r="H7699" t="str">
            <v>Villaluenga del Rosario</v>
          </cell>
          <cell r="I7699" t="str">
            <v>11040</v>
          </cell>
        </row>
        <row r="7700">
          <cell r="H7700" t="str">
            <v>Villamalea</v>
          </cell>
          <cell r="I7700" t="str">
            <v>02079</v>
          </cell>
        </row>
        <row r="7701">
          <cell r="H7701" t="str">
            <v>Villamalur</v>
          </cell>
          <cell r="I7701" t="str">
            <v>12131</v>
          </cell>
        </row>
        <row r="7702">
          <cell r="H7702" t="str">
            <v>Villamandos</v>
          </cell>
          <cell r="I7702" t="str">
            <v>24211</v>
          </cell>
        </row>
        <row r="7703">
          <cell r="H7703" t="str">
            <v>Villamanrique</v>
          </cell>
          <cell r="I7703" t="str">
            <v>13090</v>
          </cell>
        </row>
        <row r="7704">
          <cell r="H7704" t="str">
            <v>Villamanrique de la Condesa</v>
          </cell>
          <cell r="I7704" t="str">
            <v>41097</v>
          </cell>
        </row>
        <row r="7705">
          <cell r="H7705" t="str">
            <v>Villamanrique de Tajo</v>
          </cell>
          <cell r="I7705" t="str">
            <v>28173</v>
          </cell>
        </row>
        <row r="7706">
          <cell r="H7706" t="str">
            <v>Villamanta</v>
          </cell>
          <cell r="I7706" t="str">
            <v>28174</v>
          </cell>
        </row>
        <row r="7707">
          <cell r="H7707" t="str">
            <v>Villamantilla</v>
          </cell>
          <cell r="I7707" t="str">
            <v>28175</v>
          </cell>
        </row>
        <row r="7708">
          <cell r="H7708" t="str">
            <v>Villamañán</v>
          </cell>
          <cell r="I7708" t="str">
            <v>24212</v>
          </cell>
        </row>
        <row r="7709">
          <cell r="H7709" t="str">
            <v>Villamartín</v>
          </cell>
          <cell r="I7709" t="str">
            <v>11041</v>
          </cell>
        </row>
        <row r="7710">
          <cell r="H7710" t="str">
            <v>Villamartín de Campos</v>
          </cell>
          <cell r="I7710" t="str">
            <v>34220</v>
          </cell>
        </row>
        <row r="7711">
          <cell r="H7711" t="str">
            <v>Villamartín de Don Sancho</v>
          </cell>
          <cell r="I7711" t="str">
            <v>24213</v>
          </cell>
        </row>
        <row r="7712">
          <cell r="H7712" t="str">
            <v>Villamayor</v>
          </cell>
          <cell r="I7712" t="str">
            <v>37354</v>
          </cell>
        </row>
        <row r="7713">
          <cell r="H7713" t="str">
            <v>Villamayor de Calatrava</v>
          </cell>
          <cell r="I7713" t="str">
            <v>13091</v>
          </cell>
        </row>
        <row r="7714">
          <cell r="H7714" t="str">
            <v>Villamayor de Campos</v>
          </cell>
          <cell r="I7714" t="str">
            <v>49252</v>
          </cell>
        </row>
        <row r="7715">
          <cell r="H7715" t="str">
            <v>Villamayor de Gállego</v>
          </cell>
          <cell r="I7715" t="str">
            <v>50903</v>
          </cell>
        </row>
        <row r="7716">
          <cell r="H7716" t="str">
            <v>Villamayor de los Montes</v>
          </cell>
          <cell r="I7716" t="str">
            <v>09443</v>
          </cell>
        </row>
        <row r="7717">
          <cell r="H7717" t="str">
            <v>Villamayor de Monjardín</v>
          </cell>
          <cell r="I7717" t="str">
            <v>31255</v>
          </cell>
        </row>
        <row r="7718">
          <cell r="H7718" t="str">
            <v>Villamayor de Santiago</v>
          </cell>
          <cell r="I7718" t="str">
            <v>16249</v>
          </cell>
        </row>
        <row r="7719">
          <cell r="H7719" t="str">
            <v>Villamayor de Treviño</v>
          </cell>
          <cell r="I7719" t="str">
            <v>09444</v>
          </cell>
        </row>
        <row r="7720">
          <cell r="H7720" t="str">
            <v>Villambistia</v>
          </cell>
          <cell r="I7720" t="str">
            <v>09445</v>
          </cell>
        </row>
        <row r="7721">
          <cell r="H7721" t="str">
            <v>Villamediana</v>
          </cell>
          <cell r="I7721" t="str">
            <v>34221</v>
          </cell>
        </row>
        <row r="7722">
          <cell r="H7722" t="str">
            <v>Villamediana de Iregua</v>
          </cell>
          <cell r="I7722" t="str">
            <v>26168</v>
          </cell>
        </row>
        <row r="7723">
          <cell r="H7723" t="str">
            <v>Villamedianilla</v>
          </cell>
          <cell r="I7723" t="str">
            <v>09446</v>
          </cell>
        </row>
        <row r="7724">
          <cell r="H7724" t="str">
            <v>Villamejil</v>
          </cell>
          <cell r="I7724" t="str">
            <v>24214</v>
          </cell>
        </row>
        <row r="7725">
          <cell r="H7725" t="str">
            <v>Villamena</v>
          </cell>
          <cell r="I7725" t="str">
            <v>18908</v>
          </cell>
        </row>
        <row r="7726">
          <cell r="H7726" t="str">
            <v>Villameriel</v>
          </cell>
          <cell r="I7726" t="str">
            <v>34222</v>
          </cell>
        </row>
        <row r="7727">
          <cell r="H7727" t="str">
            <v>Villamesías</v>
          </cell>
          <cell r="I7727" t="str">
            <v>10209</v>
          </cell>
        </row>
        <row r="7728">
          <cell r="H7728" t="str">
            <v>Villamiel</v>
          </cell>
          <cell r="I7728" t="str">
            <v>10210</v>
          </cell>
        </row>
        <row r="7729">
          <cell r="H7729" t="str">
            <v>Villamiel de la Sierra</v>
          </cell>
          <cell r="I7729" t="str">
            <v>09447</v>
          </cell>
        </row>
        <row r="7730">
          <cell r="H7730" t="str">
            <v>Villamiel de Toledo</v>
          </cell>
          <cell r="I7730" t="str">
            <v>45189</v>
          </cell>
        </row>
        <row r="7731">
          <cell r="H7731" t="str">
            <v>Villaminaya</v>
          </cell>
          <cell r="I7731" t="str">
            <v>45190</v>
          </cell>
        </row>
        <row r="7732">
          <cell r="H7732" t="str">
            <v>Villamol</v>
          </cell>
          <cell r="I7732" t="str">
            <v>24215</v>
          </cell>
        </row>
        <row r="7733">
          <cell r="H7733" t="str">
            <v>Villamontán de la Valduerna</v>
          </cell>
          <cell r="I7733" t="str">
            <v>24216</v>
          </cell>
        </row>
        <row r="7734">
          <cell r="H7734" t="str">
            <v>Villamor de los Escuderos</v>
          </cell>
          <cell r="I7734" t="str">
            <v>49255</v>
          </cell>
        </row>
        <row r="7735">
          <cell r="H7735" t="str">
            <v>Villamoratiel de las Matas</v>
          </cell>
          <cell r="I7735" t="str">
            <v>24217</v>
          </cell>
        </row>
        <row r="7736">
          <cell r="H7736" t="str">
            <v>Villamoronta</v>
          </cell>
          <cell r="I7736" t="str">
            <v>34223</v>
          </cell>
        </row>
        <row r="7737">
          <cell r="H7737" t="str">
            <v>Villamuelas</v>
          </cell>
          <cell r="I7737" t="str">
            <v>45191</v>
          </cell>
        </row>
        <row r="7738">
          <cell r="H7738" t="str">
            <v>Villamuera de la Cueza</v>
          </cell>
          <cell r="I7738" t="str">
            <v>34224</v>
          </cell>
        </row>
        <row r="7739">
          <cell r="H7739" t="str">
            <v>Villamuriel de Campos</v>
          </cell>
          <cell r="I7739" t="str">
            <v>47215</v>
          </cell>
        </row>
        <row r="7740">
          <cell r="H7740" t="str">
            <v>Villamuriel de Cerrato</v>
          </cell>
          <cell r="I7740" t="str">
            <v>34225</v>
          </cell>
        </row>
        <row r="7741">
          <cell r="H7741" t="str">
            <v>Villán de Tordesillas</v>
          </cell>
          <cell r="I7741" t="str">
            <v>47216</v>
          </cell>
        </row>
        <row r="7742">
          <cell r="H7742" t="str">
            <v>Villanázar</v>
          </cell>
          <cell r="I7742" t="str">
            <v>49256</v>
          </cell>
        </row>
        <row r="7743">
          <cell r="H7743" t="str">
            <v>Villangómez</v>
          </cell>
          <cell r="I7743" t="str">
            <v>09448</v>
          </cell>
        </row>
        <row r="7744">
          <cell r="H7744" t="str">
            <v>Villanova</v>
          </cell>
          <cell r="I7744" t="str">
            <v>22249</v>
          </cell>
        </row>
        <row r="7745">
          <cell r="H7745" t="str">
            <v>Villanúa</v>
          </cell>
          <cell r="I7745" t="str">
            <v>22250</v>
          </cell>
        </row>
        <row r="7746">
          <cell r="H7746" t="str">
            <v>Villanubla</v>
          </cell>
          <cell r="I7746" t="str">
            <v>47217</v>
          </cell>
        </row>
        <row r="7747">
          <cell r="H7747" t="str">
            <v>Villanueva de Alcardete</v>
          </cell>
          <cell r="I7747" t="str">
            <v>45192</v>
          </cell>
        </row>
        <row r="7748">
          <cell r="H7748" t="str">
            <v>Villanueva de Alcorón</v>
          </cell>
          <cell r="I7748" t="str">
            <v>19317</v>
          </cell>
        </row>
        <row r="7749">
          <cell r="H7749" t="str">
            <v>Villanueva de Algaidas</v>
          </cell>
          <cell r="I7749" t="str">
            <v>29095</v>
          </cell>
        </row>
        <row r="7750">
          <cell r="H7750" t="str">
            <v>Villanueva de Argaño</v>
          </cell>
          <cell r="I7750" t="str">
            <v>09449</v>
          </cell>
        </row>
        <row r="7751">
          <cell r="H7751" t="str">
            <v>Villanueva de Argecilla</v>
          </cell>
          <cell r="I7751" t="str">
            <v>19318</v>
          </cell>
        </row>
        <row r="7752">
          <cell r="H7752" t="str">
            <v>Villanueva de Ávila</v>
          </cell>
          <cell r="I7752" t="str">
            <v>05905</v>
          </cell>
        </row>
        <row r="7753">
          <cell r="H7753" t="str">
            <v>Villanueva de Azoague</v>
          </cell>
          <cell r="I7753" t="str">
            <v>49257</v>
          </cell>
        </row>
        <row r="7754">
          <cell r="H7754" t="str">
            <v>Villanueva de Bogas</v>
          </cell>
          <cell r="I7754" t="str">
            <v>45193</v>
          </cell>
        </row>
        <row r="7755">
          <cell r="H7755" t="str">
            <v>Villanueva de Cameros</v>
          </cell>
          <cell r="I7755" t="str">
            <v>26169</v>
          </cell>
        </row>
        <row r="7756">
          <cell r="H7756" t="str">
            <v>Villanueva de Campeán</v>
          </cell>
          <cell r="I7756" t="str">
            <v>49258</v>
          </cell>
        </row>
        <row r="7757">
          <cell r="H7757" t="str">
            <v>Villanueva de Carazo</v>
          </cell>
          <cell r="I7757" t="str">
            <v>09450</v>
          </cell>
        </row>
        <row r="7758">
          <cell r="H7758" t="str">
            <v>Villanueva de Córdoba</v>
          </cell>
          <cell r="I7758" t="str">
            <v>14069</v>
          </cell>
        </row>
        <row r="7759">
          <cell r="H7759" t="str">
            <v>Villanueva de Duero</v>
          </cell>
          <cell r="I7759" t="str">
            <v>47218</v>
          </cell>
        </row>
        <row r="7760">
          <cell r="H7760" t="str">
            <v>Villanueva de Gállego</v>
          </cell>
          <cell r="I7760" t="str">
            <v>50288</v>
          </cell>
        </row>
        <row r="7761">
          <cell r="H7761" t="str">
            <v>Villanueva de Gómez</v>
          </cell>
          <cell r="I7761" t="str">
            <v>05258</v>
          </cell>
        </row>
        <row r="7762">
          <cell r="H7762" t="str">
            <v>Villanueva de Gormaz</v>
          </cell>
          <cell r="I7762" t="str">
            <v>42206</v>
          </cell>
        </row>
        <row r="7763">
          <cell r="H7763" t="str">
            <v>Villanueva de Guadamejud</v>
          </cell>
          <cell r="I7763" t="str">
            <v>16250</v>
          </cell>
        </row>
        <row r="7764">
          <cell r="H7764" t="str">
            <v>Villanueva de Gumiel</v>
          </cell>
          <cell r="I7764" t="str">
            <v>09451</v>
          </cell>
        </row>
        <row r="7765">
          <cell r="H7765" t="str">
            <v>Villanueva de Huerva</v>
          </cell>
          <cell r="I7765" t="str">
            <v>50290</v>
          </cell>
        </row>
        <row r="7766">
          <cell r="H7766" t="str">
            <v>Villanueva de Jiloca</v>
          </cell>
          <cell r="I7766" t="str">
            <v>50289</v>
          </cell>
        </row>
        <row r="7767">
          <cell r="H7767" t="str">
            <v>Villanueva de la Cañada</v>
          </cell>
          <cell r="I7767" t="str">
            <v>28176</v>
          </cell>
        </row>
        <row r="7768">
          <cell r="H7768" t="str">
            <v>Villanueva de la Concepción</v>
          </cell>
          <cell r="I7768" t="str">
            <v>29902</v>
          </cell>
        </row>
        <row r="7769">
          <cell r="H7769" t="str">
            <v>Villanueva de la Condesa</v>
          </cell>
          <cell r="I7769" t="str">
            <v>47219</v>
          </cell>
        </row>
        <row r="7770">
          <cell r="H7770" t="str">
            <v>Villanueva de la Fuente</v>
          </cell>
          <cell r="I7770" t="str">
            <v>13092</v>
          </cell>
        </row>
        <row r="7771">
          <cell r="H7771" t="str">
            <v>Villanueva de la Jara</v>
          </cell>
          <cell r="I7771" t="str">
            <v>16251</v>
          </cell>
        </row>
        <row r="7772">
          <cell r="H7772" t="str">
            <v>Villanueva de la Reina</v>
          </cell>
          <cell r="I7772" t="str">
            <v>23096</v>
          </cell>
        </row>
        <row r="7773">
          <cell r="H7773" t="str">
            <v>Villanueva de la Serena</v>
          </cell>
          <cell r="I7773" t="str">
            <v>06153</v>
          </cell>
        </row>
        <row r="7774">
          <cell r="H7774" t="str">
            <v>Villanueva de la Sierra</v>
          </cell>
          <cell r="I7774" t="str">
            <v>10211</v>
          </cell>
        </row>
        <row r="7775">
          <cell r="H7775" t="str">
            <v>Villanueva de la Torre</v>
          </cell>
          <cell r="I7775" t="str">
            <v>19319</v>
          </cell>
        </row>
        <row r="7776">
          <cell r="H7776" t="str">
            <v>Villanueva de la Vera</v>
          </cell>
          <cell r="I7776" t="str">
            <v>10212</v>
          </cell>
        </row>
        <row r="7777">
          <cell r="H7777" t="str">
            <v>Villanueva de las Cruces</v>
          </cell>
          <cell r="I7777" t="str">
            <v>21075</v>
          </cell>
        </row>
        <row r="7778">
          <cell r="H7778" t="str">
            <v>Villanueva de las Manzanas</v>
          </cell>
          <cell r="I7778" t="str">
            <v>24218</v>
          </cell>
        </row>
        <row r="7779">
          <cell r="H7779" t="str">
            <v>Villanueva de las Peras</v>
          </cell>
          <cell r="I7779" t="str">
            <v>49259</v>
          </cell>
        </row>
        <row r="7780">
          <cell r="H7780" t="str">
            <v>Villanueva de las Torres</v>
          </cell>
          <cell r="I7780" t="str">
            <v>18187</v>
          </cell>
        </row>
        <row r="7781">
          <cell r="H7781" t="str">
            <v>Villanueva de los Caballeros</v>
          </cell>
          <cell r="I7781" t="str">
            <v>47220</v>
          </cell>
        </row>
        <row r="7782">
          <cell r="H7782" t="str">
            <v>Villanueva de los Castillejos</v>
          </cell>
          <cell r="I7782" t="str">
            <v>21076</v>
          </cell>
        </row>
        <row r="7783">
          <cell r="H7783" t="str">
            <v>Villanueva de los Infantes</v>
          </cell>
          <cell r="I7783" t="str">
            <v>13093</v>
          </cell>
        </row>
        <row r="7784">
          <cell r="H7784" t="str">
            <v>Villanueva de los Infantes</v>
          </cell>
          <cell r="I7784" t="str">
            <v>47221</v>
          </cell>
        </row>
        <row r="7785">
          <cell r="H7785" t="str">
            <v>Villanueva de Oscos</v>
          </cell>
          <cell r="I7785" t="str">
            <v>33075</v>
          </cell>
        </row>
        <row r="7786">
          <cell r="H7786" t="str">
            <v>Villanueva de Perales</v>
          </cell>
          <cell r="I7786" t="str">
            <v>28178</v>
          </cell>
        </row>
        <row r="7787">
          <cell r="H7787" t="str">
            <v>Villanueva de San Carlos</v>
          </cell>
          <cell r="I7787" t="str">
            <v>13094</v>
          </cell>
        </row>
        <row r="7788">
          <cell r="H7788" t="str">
            <v>Villanueva de San Juan</v>
          </cell>
          <cell r="I7788" t="str">
            <v>41100</v>
          </cell>
        </row>
        <row r="7789">
          <cell r="H7789" t="str">
            <v>Villanueva de San Mancio</v>
          </cell>
          <cell r="I7789" t="str">
            <v>47222</v>
          </cell>
        </row>
        <row r="7790">
          <cell r="H7790" t="str">
            <v>Villanueva de Sigena</v>
          </cell>
          <cell r="I7790" t="str">
            <v>22251</v>
          </cell>
        </row>
        <row r="7791">
          <cell r="H7791" t="str">
            <v>Villanueva de Tapia</v>
          </cell>
          <cell r="I7791" t="str">
            <v>29098</v>
          </cell>
        </row>
        <row r="7792">
          <cell r="H7792" t="str">
            <v>Villanueva de Viver</v>
          </cell>
          <cell r="I7792" t="str">
            <v>12133</v>
          </cell>
        </row>
        <row r="7793">
          <cell r="H7793" t="str">
            <v>Villanueva del Aceral</v>
          </cell>
          <cell r="I7793" t="str">
            <v>05259</v>
          </cell>
        </row>
        <row r="7794">
          <cell r="H7794" t="str">
            <v>Villanueva del Ariscal</v>
          </cell>
          <cell r="I7794" t="str">
            <v>41098</v>
          </cell>
        </row>
        <row r="7795">
          <cell r="H7795" t="str">
            <v>Villanueva del Arzobispo</v>
          </cell>
          <cell r="I7795" t="str">
            <v>23097</v>
          </cell>
        </row>
        <row r="7796">
          <cell r="H7796" t="str">
            <v>Villanueva del Campillo</v>
          </cell>
          <cell r="I7796" t="str">
            <v>05260</v>
          </cell>
        </row>
        <row r="7797">
          <cell r="H7797" t="str">
            <v>Villanueva del Campo</v>
          </cell>
          <cell r="I7797" t="str">
            <v>49260</v>
          </cell>
        </row>
        <row r="7798">
          <cell r="H7798" t="str">
            <v>Villanueva del Conde</v>
          </cell>
          <cell r="I7798" t="str">
            <v>37355</v>
          </cell>
        </row>
        <row r="7799">
          <cell r="H7799" t="str">
            <v>Villanueva del Duque</v>
          </cell>
          <cell r="I7799" t="str">
            <v>14070</v>
          </cell>
        </row>
        <row r="7800">
          <cell r="H7800" t="str">
            <v>Villanueva del Fresno</v>
          </cell>
          <cell r="I7800" t="str">
            <v>06154</v>
          </cell>
        </row>
        <row r="7801">
          <cell r="H7801" t="str">
            <v>Villanueva del Pardillo</v>
          </cell>
          <cell r="I7801" t="str">
            <v>28177</v>
          </cell>
        </row>
        <row r="7802">
          <cell r="H7802" t="str">
            <v>Villanueva del Rebollar</v>
          </cell>
          <cell r="I7802" t="str">
            <v>34227</v>
          </cell>
        </row>
        <row r="7803">
          <cell r="H7803" t="str">
            <v>Villanueva del Río Segura</v>
          </cell>
          <cell r="I7803" t="str">
            <v>30042</v>
          </cell>
        </row>
        <row r="7804">
          <cell r="H7804" t="str">
            <v>Villanueva del Río y Minas</v>
          </cell>
          <cell r="I7804" t="str">
            <v>41099</v>
          </cell>
        </row>
        <row r="7805">
          <cell r="H7805" t="str">
            <v>Villanueva del Rosario</v>
          </cell>
          <cell r="I7805" t="str">
            <v>29096</v>
          </cell>
        </row>
        <row r="7806">
          <cell r="H7806" t="str">
            <v>Villanueva del Trabuco</v>
          </cell>
          <cell r="I7806" t="str">
            <v>29097</v>
          </cell>
        </row>
        <row r="7807">
          <cell r="H7807" t="str">
            <v>Villanueva Mesía</v>
          </cell>
          <cell r="I7807" t="str">
            <v>18188</v>
          </cell>
        </row>
        <row r="7808">
          <cell r="H7808" t="str">
            <v>Villanuño de Valdavia</v>
          </cell>
          <cell r="I7808" t="str">
            <v>34228</v>
          </cell>
        </row>
        <row r="7809">
          <cell r="H7809" t="str">
            <v>Villaobispo de Otero</v>
          </cell>
          <cell r="I7809" t="str">
            <v>24219</v>
          </cell>
        </row>
        <row r="7810">
          <cell r="H7810" t="str">
            <v>Villaornate y Castro</v>
          </cell>
          <cell r="I7810" t="str">
            <v>24902</v>
          </cell>
        </row>
        <row r="7811">
          <cell r="H7811" t="str">
            <v>Villapalacios</v>
          </cell>
          <cell r="I7811" t="str">
            <v>02080</v>
          </cell>
        </row>
        <row r="7812">
          <cell r="H7812" t="str">
            <v>Villaprovedo</v>
          </cell>
          <cell r="I7812" t="str">
            <v>34229</v>
          </cell>
        </row>
        <row r="7813">
          <cell r="H7813" t="str">
            <v>Villaquejida</v>
          </cell>
          <cell r="I7813" t="str">
            <v>24221</v>
          </cell>
        </row>
        <row r="7814">
          <cell r="H7814" t="str">
            <v>Villaquilambre</v>
          </cell>
          <cell r="I7814" t="str">
            <v>24222</v>
          </cell>
        </row>
        <row r="7815">
          <cell r="H7815" t="str">
            <v>Villaquirán de la Puebla</v>
          </cell>
          <cell r="I7815" t="str">
            <v>09455</v>
          </cell>
        </row>
        <row r="7816">
          <cell r="H7816" t="str">
            <v>Villaquirán de los Infantes</v>
          </cell>
          <cell r="I7816" t="str">
            <v>09456</v>
          </cell>
        </row>
        <row r="7817">
          <cell r="H7817" t="str">
            <v>Villar de Argañán</v>
          </cell>
          <cell r="I7817" t="str">
            <v>37356</v>
          </cell>
        </row>
        <row r="7818">
          <cell r="H7818" t="str">
            <v>Villar de Arnedo, El</v>
          </cell>
          <cell r="I7818" t="str">
            <v>26170</v>
          </cell>
        </row>
        <row r="7819">
          <cell r="H7819" t="str">
            <v>Villar de Cañas</v>
          </cell>
          <cell r="I7819" t="str">
            <v>16253</v>
          </cell>
        </row>
        <row r="7820">
          <cell r="H7820" t="str">
            <v>Villar de Ciervo</v>
          </cell>
          <cell r="I7820" t="str">
            <v>37357</v>
          </cell>
        </row>
        <row r="7821">
          <cell r="H7821" t="str">
            <v>Villar de Corneja</v>
          </cell>
          <cell r="I7821" t="str">
            <v>05261</v>
          </cell>
        </row>
        <row r="7822">
          <cell r="H7822" t="str">
            <v>Villar de Domingo García</v>
          </cell>
          <cell r="I7822" t="str">
            <v>16254</v>
          </cell>
        </row>
        <row r="7823">
          <cell r="H7823" t="str">
            <v>Villar de Fallaves</v>
          </cell>
          <cell r="I7823" t="str">
            <v>49263</v>
          </cell>
        </row>
        <row r="7824">
          <cell r="H7824" t="str">
            <v>Villar de Gallimazo</v>
          </cell>
          <cell r="I7824" t="str">
            <v>37358</v>
          </cell>
        </row>
        <row r="7825">
          <cell r="H7825" t="str">
            <v>Villar de la Encina</v>
          </cell>
          <cell r="I7825" t="str">
            <v>16255</v>
          </cell>
        </row>
        <row r="7826">
          <cell r="H7826" t="str">
            <v>Villar de la Yegua</v>
          </cell>
          <cell r="I7826" t="str">
            <v>37359</v>
          </cell>
        </row>
        <row r="7827">
          <cell r="H7827" t="str">
            <v>Villar de los Navarros</v>
          </cell>
          <cell r="I7827" t="str">
            <v>50291</v>
          </cell>
        </row>
        <row r="7828">
          <cell r="H7828" t="str">
            <v>Villar de Olalla</v>
          </cell>
          <cell r="I7828" t="str">
            <v>16263</v>
          </cell>
        </row>
        <row r="7829">
          <cell r="H7829" t="str">
            <v>Villar de Peralonso</v>
          </cell>
          <cell r="I7829" t="str">
            <v>37360</v>
          </cell>
        </row>
        <row r="7830">
          <cell r="H7830" t="str">
            <v>Villar de Plasencia</v>
          </cell>
          <cell r="I7830" t="str">
            <v>10214</v>
          </cell>
        </row>
        <row r="7831">
          <cell r="H7831" t="str">
            <v>Villar de Rena</v>
          </cell>
          <cell r="I7831" t="str">
            <v>06156</v>
          </cell>
        </row>
        <row r="7832">
          <cell r="H7832" t="str">
            <v>Villar de Samaniego</v>
          </cell>
          <cell r="I7832" t="str">
            <v>37361</v>
          </cell>
        </row>
        <row r="7833">
          <cell r="H7833" t="str">
            <v>Villar de Torre</v>
          </cell>
          <cell r="I7833" t="str">
            <v>26171</v>
          </cell>
        </row>
        <row r="7834">
          <cell r="H7834" t="str">
            <v>Villar del Ala</v>
          </cell>
          <cell r="I7834" t="str">
            <v>42207</v>
          </cell>
        </row>
        <row r="7835">
          <cell r="H7835" t="str">
            <v>Villar del Arzobispo</v>
          </cell>
          <cell r="I7835" t="str">
            <v>46258</v>
          </cell>
        </row>
        <row r="7836">
          <cell r="H7836" t="str">
            <v>Villar del Buey</v>
          </cell>
          <cell r="I7836" t="str">
            <v>49264</v>
          </cell>
        </row>
        <row r="7837">
          <cell r="H7837" t="str">
            <v>Villar del Campo</v>
          </cell>
          <cell r="I7837" t="str">
            <v>42208</v>
          </cell>
        </row>
        <row r="7838">
          <cell r="H7838" t="str">
            <v>Villar del Cobo</v>
          </cell>
          <cell r="I7838" t="str">
            <v>44257</v>
          </cell>
        </row>
        <row r="7839">
          <cell r="H7839" t="str">
            <v>Villar del Humo</v>
          </cell>
          <cell r="I7839" t="str">
            <v>16258</v>
          </cell>
        </row>
        <row r="7840">
          <cell r="H7840" t="str">
            <v>Villar del Infantado</v>
          </cell>
          <cell r="I7840" t="str">
            <v>16259</v>
          </cell>
        </row>
        <row r="7841">
          <cell r="H7841" t="str">
            <v>Villar del Olmo</v>
          </cell>
          <cell r="I7841" t="str">
            <v>28179</v>
          </cell>
        </row>
        <row r="7842">
          <cell r="H7842" t="str">
            <v>Villar del Pedroso</v>
          </cell>
          <cell r="I7842" t="str">
            <v>10213</v>
          </cell>
        </row>
        <row r="7843">
          <cell r="H7843" t="str">
            <v>Villar del Pozo</v>
          </cell>
          <cell r="I7843" t="str">
            <v>13095</v>
          </cell>
        </row>
        <row r="7844">
          <cell r="H7844" t="str">
            <v>Villar del Rey</v>
          </cell>
          <cell r="I7844" t="str">
            <v>06155</v>
          </cell>
        </row>
        <row r="7845">
          <cell r="H7845" t="str">
            <v>Villar del Río</v>
          </cell>
          <cell r="I7845" t="str">
            <v>42209</v>
          </cell>
        </row>
        <row r="7846">
          <cell r="H7846" t="str">
            <v>Villar del Salz</v>
          </cell>
          <cell r="I7846" t="str">
            <v>44258</v>
          </cell>
        </row>
        <row r="7847">
          <cell r="H7847" t="str">
            <v>Villar y Velasco</v>
          </cell>
          <cell r="I7847" t="str">
            <v>16910</v>
          </cell>
        </row>
        <row r="7848">
          <cell r="H7848" t="str">
            <v>Villaralbo</v>
          </cell>
          <cell r="I7848" t="str">
            <v>49261</v>
          </cell>
        </row>
        <row r="7849">
          <cell r="H7849" t="str">
            <v>Villaralto</v>
          </cell>
          <cell r="I7849" t="str">
            <v>14072</v>
          </cell>
        </row>
        <row r="7850">
          <cell r="H7850" t="str">
            <v>Villarcayo de Merindad de Castilla la Vieja</v>
          </cell>
          <cell r="I7850" t="str">
            <v>09903</v>
          </cell>
        </row>
        <row r="7851">
          <cell r="H7851" t="str">
            <v>Villardeciervos</v>
          </cell>
          <cell r="I7851" t="str">
            <v>49262</v>
          </cell>
        </row>
        <row r="7852">
          <cell r="H7852" t="str">
            <v>Villardefrades</v>
          </cell>
          <cell r="I7852" t="str">
            <v>47223</v>
          </cell>
        </row>
        <row r="7853">
          <cell r="H7853" t="str">
            <v>Villardiegua de la Ribera</v>
          </cell>
          <cell r="I7853" t="str">
            <v>49265</v>
          </cell>
        </row>
        <row r="7854">
          <cell r="H7854" t="str">
            <v>Villárdiga</v>
          </cell>
          <cell r="I7854" t="str">
            <v>49266</v>
          </cell>
        </row>
        <row r="7855">
          <cell r="H7855" t="str">
            <v>Villardompardo</v>
          </cell>
          <cell r="I7855" t="str">
            <v>23098</v>
          </cell>
        </row>
        <row r="7856">
          <cell r="H7856" t="str">
            <v>Villardondiego</v>
          </cell>
          <cell r="I7856" t="str">
            <v>49267</v>
          </cell>
        </row>
        <row r="7857">
          <cell r="H7857" t="str">
            <v>Villarejo</v>
          </cell>
          <cell r="I7857" t="str">
            <v>26172</v>
          </cell>
        </row>
        <row r="7858">
          <cell r="H7858" t="str">
            <v>Villarejo de Fuentes</v>
          </cell>
          <cell r="I7858" t="str">
            <v>16264</v>
          </cell>
        </row>
        <row r="7859">
          <cell r="H7859" t="str">
            <v>Villarejo de la Peñuela</v>
          </cell>
          <cell r="I7859" t="str">
            <v>16265</v>
          </cell>
        </row>
        <row r="7860">
          <cell r="H7860" t="str">
            <v>Villarejo de Montalbán</v>
          </cell>
          <cell r="I7860" t="str">
            <v>45194</v>
          </cell>
        </row>
        <row r="7861">
          <cell r="H7861" t="str">
            <v>Villarejo de Órbigo</v>
          </cell>
          <cell r="I7861" t="str">
            <v>24223</v>
          </cell>
        </row>
        <row r="7862">
          <cell r="H7862" t="str">
            <v>Villarejo de Salvanés</v>
          </cell>
          <cell r="I7862" t="str">
            <v>28180</v>
          </cell>
        </row>
        <row r="7863">
          <cell r="H7863" t="str">
            <v>Villarejo del Valle</v>
          </cell>
          <cell r="I7863" t="str">
            <v>05262</v>
          </cell>
        </row>
        <row r="7864">
          <cell r="H7864" t="str">
            <v>Villarejo-Periesteban</v>
          </cell>
          <cell r="I7864" t="str">
            <v>16266</v>
          </cell>
        </row>
        <row r="7865">
          <cell r="H7865" t="str">
            <v>Villares de Jadraque</v>
          </cell>
          <cell r="I7865" t="str">
            <v>19321</v>
          </cell>
        </row>
        <row r="7866">
          <cell r="H7866" t="str">
            <v>Villares de la Reina</v>
          </cell>
          <cell r="I7866" t="str">
            <v>37362</v>
          </cell>
        </row>
        <row r="7867">
          <cell r="H7867" t="str">
            <v>Villares de Órbigo</v>
          </cell>
          <cell r="I7867" t="str">
            <v>24224</v>
          </cell>
        </row>
        <row r="7868">
          <cell r="H7868" t="str">
            <v>Villares de Soria, Los</v>
          </cell>
          <cell r="I7868" t="str">
            <v>42211</v>
          </cell>
        </row>
        <row r="7869">
          <cell r="H7869" t="str">
            <v>Villares de Yeltes</v>
          </cell>
          <cell r="I7869" t="str">
            <v>37363</v>
          </cell>
        </row>
        <row r="7870">
          <cell r="H7870" t="str">
            <v>Villares del Saz</v>
          </cell>
          <cell r="I7870" t="str">
            <v>16269</v>
          </cell>
        </row>
        <row r="7871">
          <cell r="H7871" t="str">
            <v>Villares, Los</v>
          </cell>
          <cell r="I7871" t="str">
            <v>23099</v>
          </cell>
        </row>
        <row r="7872">
          <cell r="H7872" t="str">
            <v>Villargordo del Cabriel</v>
          </cell>
          <cell r="I7872" t="str">
            <v>46259</v>
          </cell>
        </row>
        <row r="7873">
          <cell r="H7873" t="str">
            <v>Villariezo</v>
          </cell>
          <cell r="I7873" t="str">
            <v>09458</v>
          </cell>
        </row>
        <row r="7874">
          <cell r="H7874" t="str">
            <v>Villarino de los Aires</v>
          </cell>
          <cell r="I7874" t="str">
            <v>37364</v>
          </cell>
        </row>
        <row r="7875">
          <cell r="H7875" t="str">
            <v>Villarmayor</v>
          </cell>
          <cell r="I7875" t="str">
            <v>37365</v>
          </cell>
        </row>
        <row r="7876">
          <cell r="H7876" t="str">
            <v>Villarmentero de Campos</v>
          </cell>
          <cell r="I7876" t="str">
            <v>34230</v>
          </cell>
        </row>
        <row r="7877">
          <cell r="H7877" t="str">
            <v>Villarmentero de Esgueva</v>
          </cell>
          <cell r="I7877" t="str">
            <v>47224</v>
          </cell>
        </row>
        <row r="7878">
          <cell r="H7878" t="str">
            <v>Villarmuerto</v>
          </cell>
          <cell r="I7878" t="str">
            <v>37366</v>
          </cell>
        </row>
        <row r="7879">
          <cell r="H7879" t="str">
            <v>Villarquemado</v>
          </cell>
          <cell r="I7879" t="str">
            <v>44261</v>
          </cell>
        </row>
        <row r="7880">
          <cell r="H7880" t="str">
            <v>Villarrabé</v>
          </cell>
          <cell r="I7880" t="str">
            <v>34231</v>
          </cell>
        </row>
        <row r="7881">
          <cell r="H7881" t="str">
            <v>Villarramiel</v>
          </cell>
          <cell r="I7881" t="str">
            <v>34232</v>
          </cell>
        </row>
        <row r="7882">
          <cell r="H7882" t="str">
            <v>Villarrasa</v>
          </cell>
          <cell r="I7882" t="str">
            <v>21077</v>
          </cell>
        </row>
        <row r="7883">
          <cell r="H7883" t="str">
            <v>Villarreal de Huerva</v>
          </cell>
          <cell r="I7883" t="str">
            <v>50292</v>
          </cell>
        </row>
        <row r="7884">
          <cell r="H7884" t="str">
            <v>Villarrín de Campos</v>
          </cell>
          <cell r="I7884" t="str">
            <v>49268</v>
          </cell>
        </row>
        <row r="7885">
          <cell r="H7885" t="str">
            <v>Villarrobledo</v>
          </cell>
          <cell r="I7885" t="str">
            <v>02081</v>
          </cell>
        </row>
        <row r="7886">
          <cell r="H7886" t="str">
            <v>Villarrodrigo</v>
          </cell>
          <cell r="I7886" t="str">
            <v>23101</v>
          </cell>
        </row>
        <row r="7887">
          <cell r="H7887" t="str">
            <v>Villarroya</v>
          </cell>
          <cell r="I7887" t="str">
            <v>26173</v>
          </cell>
        </row>
        <row r="7888">
          <cell r="H7888" t="str">
            <v>Villarroya de la Sierra</v>
          </cell>
          <cell r="I7888" t="str">
            <v>50293</v>
          </cell>
        </row>
        <row r="7889">
          <cell r="H7889" t="str">
            <v>Villarroya del Campo</v>
          </cell>
          <cell r="I7889" t="str">
            <v>50294</v>
          </cell>
        </row>
        <row r="7890">
          <cell r="H7890" t="str">
            <v>Villarrubia de los Ojos</v>
          </cell>
          <cell r="I7890" t="str">
            <v>13096</v>
          </cell>
        </row>
        <row r="7891">
          <cell r="H7891" t="str">
            <v>Villarrubia de Santiago</v>
          </cell>
          <cell r="I7891" t="str">
            <v>45195</v>
          </cell>
        </row>
        <row r="7892">
          <cell r="H7892" t="str">
            <v>Villarrubio</v>
          </cell>
          <cell r="I7892" t="str">
            <v>16270</v>
          </cell>
        </row>
        <row r="7893">
          <cell r="H7893" t="str">
            <v>Villarta</v>
          </cell>
          <cell r="I7893" t="str">
            <v>16271</v>
          </cell>
        </row>
        <row r="7894">
          <cell r="H7894" t="str">
            <v>Villarta de los Montes</v>
          </cell>
          <cell r="I7894" t="str">
            <v>06157</v>
          </cell>
        </row>
        <row r="7895">
          <cell r="H7895" t="str">
            <v>Villarta de San Juan</v>
          </cell>
          <cell r="I7895" t="str">
            <v>13097</v>
          </cell>
        </row>
        <row r="7896">
          <cell r="H7896" t="str">
            <v>Villarta-Quintana</v>
          </cell>
          <cell r="I7896" t="str">
            <v>26174</v>
          </cell>
        </row>
        <row r="7897">
          <cell r="H7897" t="str">
            <v>Villas de la Ventosa</v>
          </cell>
          <cell r="I7897" t="str">
            <v>16272</v>
          </cell>
        </row>
        <row r="7898">
          <cell r="H7898" t="str">
            <v>Villasabariego</v>
          </cell>
          <cell r="I7898" t="str">
            <v>24225</v>
          </cell>
        </row>
        <row r="7899">
          <cell r="H7899" t="str">
            <v>Villasandino</v>
          </cell>
          <cell r="I7899" t="str">
            <v>09460</v>
          </cell>
        </row>
        <row r="7900">
          <cell r="H7900" t="str">
            <v>Villasarracino</v>
          </cell>
          <cell r="I7900" t="str">
            <v>34233</v>
          </cell>
        </row>
        <row r="7901">
          <cell r="H7901" t="str">
            <v>Villasayas</v>
          </cell>
          <cell r="I7901" t="str">
            <v>42212</v>
          </cell>
        </row>
        <row r="7902">
          <cell r="H7902" t="str">
            <v>Villasbuenas</v>
          </cell>
          <cell r="I7902" t="str">
            <v>37367</v>
          </cell>
        </row>
        <row r="7903">
          <cell r="H7903" t="str">
            <v>Villasbuenas de Gata</v>
          </cell>
          <cell r="I7903" t="str">
            <v>10215</v>
          </cell>
        </row>
        <row r="7904">
          <cell r="H7904" t="str">
            <v>Villasdardo</v>
          </cell>
          <cell r="I7904" t="str">
            <v>37368</v>
          </cell>
        </row>
        <row r="7905">
          <cell r="H7905" t="str">
            <v>Villaseca de Arciel</v>
          </cell>
          <cell r="I7905" t="str">
            <v>42213</v>
          </cell>
        </row>
        <row r="7906">
          <cell r="H7906" t="str">
            <v>Villaseca de Henares</v>
          </cell>
          <cell r="I7906" t="str">
            <v>19322</v>
          </cell>
        </row>
        <row r="7907">
          <cell r="H7907" t="str">
            <v>Villaseca de la Sagra</v>
          </cell>
          <cell r="I7907" t="str">
            <v>45196</v>
          </cell>
        </row>
        <row r="7908">
          <cell r="H7908" t="str">
            <v>Villaseca de Uceda</v>
          </cell>
          <cell r="I7908" t="str">
            <v>19323</v>
          </cell>
        </row>
        <row r="7909">
          <cell r="H7909" t="str">
            <v>Villaseco de los Gamitos</v>
          </cell>
          <cell r="I7909" t="str">
            <v>37369</v>
          </cell>
        </row>
        <row r="7910">
          <cell r="H7910" t="str">
            <v>Villaseco de los Reyes</v>
          </cell>
          <cell r="I7910" t="str">
            <v>37370</v>
          </cell>
        </row>
        <row r="7911">
          <cell r="H7911" t="str">
            <v>Villaseco del Pan</v>
          </cell>
          <cell r="I7911" t="str">
            <v>49269</v>
          </cell>
        </row>
        <row r="7912">
          <cell r="H7912" t="str">
            <v>Villaselán</v>
          </cell>
          <cell r="I7912" t="str">
            <v>24226</v>
          </cell>
        </row>
        <row r="7913">
          <cell r="H7913" t="str">
            <v>Villasequilla</v>
          </cell>
          <cell r="I7913" t="str">
            <v>45197</v>
          </cell>
        </row>
        <row r="7914">
          <cell r="H7914" t="str">
            <v>Villasexmir</v>
          </cell>
          <cell r="I7914" t="str">
            <v>47225</v>
          </cell>
        </row>
        <row r="7915">
          <cell r="H7915" t="str">
            <v>Villasila de Valdavia</v>
          </cell>
          <cell r="I7915" t="str">
            <v>34234</v>
          </cell>
        </row>
        <row r="7916">
          <cell r="H7916" t="str">
            <v>Villasrubias</v>
          </cell>
          <cell r="I7916" t="str">
            <v>37371</v>
          </cell>
        </row>
        <row r="7917">
          <cell r="H7917" t="str">
            <v>Villastar</v>
          </cell>
          <cell r="I7917" t="str">
            <v>44263</v>
          </cell>
        </row>
        <row r="7918">
          <cell r="H7918" t="str">
            <v>Villasur de Herreros</v>
          </cell>
          <cell r="I7918" t="str">
            <v>09463</v>
          </cell>
        </row>
        <row r="7919">
          <cell r="H7919" t="str">
            <v>Villatobas</v>
          </cell>
          <cell r="I7919" t="str">
            <v>45198</v>
          </cell>
        </row>
        <row r="7920">
          <cell r="H7920" t="str">
            <v>Villatoro</v>
          </cell>
          <cell r="I7920" t="str">
            <v>05263</v>
          </cell>
        </row>
        <row r="7921">
          <cell r="H7921" t="str">
            <v>Villatorres</v>
          </cell>
          <cell r="I7921" t="str">
            <v>23903</v>
          </cell>
        </row>
        <row r="7922">
          <cell r="H7922" t="str">
            <v>Villatoya</v>
          </cell>
          <cell r="I7922" t="str">
            <v>02082</v>
          </cell>
        </row>
        <row r="7923">
          <cell r="H7923" t="str">
            <v>Villatuelda</v>
          </cell>
          <cell r="I7923" t="str">
            <v>09464</v>
          </cell>
        </row>
        <row r="7924">
          <cell r="H7924" t="str">
            <v>Villatuerta</v>
          </cell>
          <cell r="I7924" t="str">
            <v>31257</v>
          </cell>
        </row>
        <row r="7925">
          <cell r="H7925" t="str">
            <v>Villaturde</v>
          </cell>
          <cell r="I7925" t="str">
            <v>34236</v>
          </cell>
        </row>
        <row r="7926">
          <cell r="H7926" t="str">
            <v>Villaturiel</v>
          </cell>
          <cell r="I7926" t="str">
            <v>24227</v>
          </cell>
        </row>
        <row r="7927">
          <cell r="H7927" t="str">
            <v>Villaumbrales</v>
          </cell>
          <cell r="I7927" t="str">
            <v>34237</v>
          </cell>
        </row>
        <row r="7928">
          <cell r="H7928" t="str">
            <v>Villava/Atarrabia</v>
          </cell>
          <cell r="I7928" t="str">
            <v>31258</v>
          </cell>
        </row>
        <row r="7929">
          <cell r="H7929" t="str">
            <v>Villavaliente</v>
          </cell>
          <cell r="I7929" t="str">
            <v>02083</v>
          </cell>
        </row>
        <row r="7930">
          <cell r="H7930" t="str">
            <v>Villavaquerín</v>
          </cell>
          <cell r="I7930" t="str">
            <v>47226</v>
          </cell>
        </row>
        <row r="7931">
          <cell r="H7931" t="str">
            <v>Villavelayo</v>
          </cell>
          <cell r="I7931" t="str">
            <v>26175</v>
          </cell>
        </row>
        <row r="7932">
          <cell r="H7932" t="str">
            <v>Villavellid</v>
          </cell>
          <cell r="I7932" t="str">
            <v>47227</v>
          </cell>
        </row>
        <row r="7933">
          <cell r="H7933" t="str">
            <v>Villavendimio</v>
          </cell>
          <cell r="I7933" t="str">
            <v>49270</v>
          </cell>
        </row>
        <row r="7934">
          <cell r="H7934" t="str">
            <v>Villaverde de Guadalimar</v>
          </cell>
          <cell r="I7934" t="str">
            <v>02084</v>
          </cell>
        </row>
        <row r="7935">
          <cell r="H7935" t="str">
            <v>Villaverde de Guareña</v>
          </cell>
          <cell r="I7935" t="str">
            <v>37372</v>
          </cell>
        </row>
        <row r="7936">
          <cell r="H7936" t="str">
            <v>Villaverde de Íscar</v>
          </cell>
          <cell r="I7936" t="str">
            <v>40228</v>
          </cell>
        </row>
        <row r="7937">
          <cell r="H7937" t="str">
            <v>Villaverde de Medina</v>
          </cell>
          <cell r="I7937" t="str">
            <v>47228</v>
          </cell>
        </row>
        <row r="7938">
          <cell r="H7938" t="str">
            <v>Villaverde de Montejo</v>
          </cell>
          <cell r="I7938" t="str">
            <v>40229</v>
          </cell>
        </row>
        <row r="7939">
          <cell r="H7939" t="str">
            <v>Villaverde de Rioja</v>
          </cell>
          <cell r="I7939" t="str">
            <v>26176</v>
          </cell>
        </row>
        <row r="7940">
          <cell r="H7940" t="str">
            <v>Villaverde del Monte</v>
          </cell>
          <cell r="I7940" t="str">
            <v>09466</v>
          </cell>
        </row>
        <row r="7941">
          <cell r="H7941" t="str">
            <v>Villaverde del Río</v>
          </cell>
          <cell r="I7941" t="str">
            <v>41101</v>
          </cell>
        </row>
        <row r="7942">
          <cell r="H7942" t="str">
            <v>Villaverde y Pasaconsol</v>
          </cell>
          <cell r="I7942" t="str">
            <v>16273</v>
          </cell>
        </row>
        <row r="7943">
          <cell r="H7943" t="str">
            <v>Villaverde-Mogina</v>
          </cell>
          <cell r="I7943" t="str">
            <v>09467</v>
          </cell>
        </row>
        <row r="7944">
          <cell r="H7944" t="str">
            <v>Villaveza de Valverde</v>
          </cell>
          <cell r="I7944" t="str">
            <v>49272</v>
          </cell>
        </row>
        <row r="7945">
          <cell r="H7945" t="str">
            <v>Villaveza del Agua</v>
          </cell>
          <cell r="I7945" t="str">
            <v>49271</v>
          </cell>
        </row>
        <row r="7946">
          <cell r="H7946" t="str">
            <v>Villavicencio de los Caballeros</v>
          </cell>
          <cell r="I7946" t="str">
            <v>47229</v>
          </cell>
        </row>
        <row r="7947">
          <cell r="H7947" t="str">
            <v>Villaviciosa de Odón</v>
          </cell>
          <cell r="I7947" t="str">
            <v>28181</v>
          </cell>
        </row>
        <row r="7948">
          <cell r="H7948" t="str">
            <v>Villavieja de Yeltes</v>
          </cell>
          <cell r="I7948" t="str">
            <v>37373</v>
          </cell>
        </row>
        <row r="7949">
          <cell r="H7949" t="str">
            <v>Villavieja del Lozoya</v>
          </cell>
          <cell r="I7949" t="str">
            <v>28182</v>
          </cell>
        </row>
        <row r="7950">
          <cell r="H7950" t="str">
            <v>Villaviudas</v>
          </cell>
          <cell r="I7950" t="str">
            <v>34238</v>
          </cell>
        </row>
        <row r="7951">
          <cell r="H7951" t="str">
            <v>Villayerno Morquillas</v>
          </cell>
          <cell r="I7951" t="str">
            <v>09471</v>
          </cell>
        </row>
        <row r="7952">
          <cell r="H7952" t="str">
            <v>Villazala</v>
          </cell>
          <cell r="I7952" t="str">
            <v>24228</v>
          </cell>
        </row>
        <row r="7953">
          <cell r="H7953" t="str">
            <v>Villazanzo de Valderaduey</v>
          </cell>
          <cell r="I7953" t="str">
            <v>24229</v>
          </cell>
        </row>
        <row r="7954">
          <cell r="H7954" t="str">
            <v>Villazopeque</v>
          </cell>
          <cell r="I7954" t="str">
            <v>09472</v>
          </cell>
        </row>
        <row r="7955">
          <cell r="H7955" t="str">
            <v>Villegas</v>
          </cell>
          <cell r="I7955" t="str">
            <v>09473</v>
          </cell>
        </row>
        <row r="7956">
          <cell r="H7956" t="str">
            <v>Villeguillo</v>
          </cell>
          <cell r="I7956" t="str">
            <v>40230</v>
          </cell>
        </row>
        <row r="7957">
          <cell r="H7957" t="str">
            <v>Villel</v>
          </cell>
          <cell r="I7957" t="str">
            <v>44264</v>
          </cell>
        </row>
        <row r="7958">
          <cell r="H7958" t="str">
            <v>Villel de Mesa</v>
          </cell>
          <cell r="I7958" t="str">
            <v>19324</v>
          </cell>
        </row>
        <row r="7959">
          <cell r="H7959" t="str">
            <v>Villena</v>
          </cell>
          <cell r="I7959" t="str">
            <v>03140</v>
          </cell>
        </row>
        <row r="7960">
          <cell r="H7960" t="str">
            <v>Villerías de Campos</v>
          </cell>
          <cell r="I7960" t="str">
            <v>34240</v>
          </cell>
        </row>
        <row r="7961">
          <cell r="H7961" t="str">
            <v>Villodre</v>
          </cell>
          <cell r="I7961" t="str">
            <v>34241</v>
          </cell>
        </row>
        <row r="7962">
          <cell r="H7962" t="str">
            <v>Villodrigo</v>
          </cell>
          <cell r="I7962" t="str">
            <v>34242</v>
          </cell>
        </row>
        <row r="7963">
          <cell r="H7963" t="str">
            <v>Villoldo</v>
          </cell>
          <cell r="I7963" t="str">
            <v>34243</v>
          </cell>
        </row>
        <row r="7964">
          <cell r="H7964" t="str">
            <v>Víllora</v>
          </cell>
          <cell r="I7964" t="str">
            <v>16274</v>
          </cell>
        </row>
        <row r="7965">
          <cell r="H7965" t="str">
            <v>Villores</v>
          </cell>
          <cell r="I7965" t="str">
            <v>12137</v>
          </cell>
        </row>
        <row r="7966">
          <cell r="H7966" t="str">
            <v>Villoria</v>
          </cell>
          <cell r="I7966" t="str">
            <v>37374</v>
          </cell>
        </row>
        <row r="7967">
          <cell r="H7967" t="str">
            <v>Villoruebo</v>
          </cell>
          <cell r="I7967" t="str">
            <v>09476</v>
          </cell>
        </row>
        <row r="7968">
          <cell r="H7968" t="str">
            <v>Villoruela</v>
          </cell>
          <cell r="I7968" t="str">
            <v>37375</v>
          </cell>
        </row>
        <row r="7969">
          <cell r="H7969" t="str">
            <v>Villoslada de Cameros</v>
          </cell>
          <cell r="I7969" t="str">
            <v>26177</v>
          </cell>
        </row>
        <row r="7970">
          <cell r="H7970" t="str">
            <v>Villota del Páramo</v>
          </cell>
          <cell r="I7970" t="str">
            <v>34245</v>
          </cell>
        </row>
        <row r="7971">
          <cell r="H7971" t="str">
            <v>Villovieco</v>
          </cell>
          <cell r="I7971" t="str">
            <v>34246</v>
          </cell>
        </row>
        <row r="7972">
          <cell r="H7972" t="str">
            <v>Vilobí del Penedès</v>
          </cell>
          <cell r="I7972" t="str">
            <v>08304</v>
          </cell>
        </row>
        <row r="7973">
          <cell r="H7973" t="str">
            <v>Vilobí d'Onyar</v>
          </cell>
          <cell r="I7973" t="str">
            <v>17233</v>
          </cell>
        </row>
        <row r="7974">
          <cell r="H7974" t="str">
            <v>Vilopriu</v>
          </cell>
          <cell r="I7974" t="str">
            <v>17232</v>
          </cell>
        </row>
        <row r="7975">
          <cell r="H7975" t="str">
            <v>Viloria</v>
          </cell>
          <cell r="I7975" t="str">
            <v>47194</v>
          </cell>
        </row>
        <row r="7976">
          <cell r="H7976" t="str">
            <v>Viloria de Rioja</v>
          </cell>
          <cell r="I7976" t="str">
            <v>09424</v>
          </cell>
        </row>
        <row r="7977">
          <cell r="H7977" t="str">
            <v>Vilosell, El</v>
          </cell>
          <cell r="I7977" t="str">
            <v>25253</v>
          </cell>
        </row>
        <row r="7978">
          <cell r="H7978" t="str">
            <v>Vilueña, La</v>
          </cell>
          <cell r="I7978" t="str">
            <v>50282</v>
          </cell>
        </row>
        <row r="7979">
          <cell r="H7979" t="str">
            <v>Vilvestre</v>
          </cell>
          <cell r="I7979" t="str">
            <v>37350</v>
          </cell>
        </row>
        <row r="7980">
          <cell r="H7980" t="str">
            <v>Vilviestre del Pinar</v>
          </cell>
          <cell r="I7980" t="str">
            <v>09425</v>
          </cell>
        </row>
        <row r="7981">
          <cell r="H7981" t="str">
            <v>Vimbodí i Poblet</v>
          </cell>
          <cell r="I7981" t="str">
            <v>43176</v>
          </cell>
        </row>
        <row r="7982">
          <cell r="H7982" t="str">
            <v>Vimianzo</v>
          </cell>
          <cell r="I7982" t="str">
            <v>15092</v>
          </cell>
        </row>
        <row r="7983">
          <cell r="H7983" t="str">
            <v>Vinaixa</v>
          </cell>
          <cell r="I7983" t="str">
            <v>25255</v>
          </cell>
        </row>
        <row r="7984">
          <cell r="H7984" t="str">
            <v>Vinalesa</v>
          </cell>
          <cell r="I7984" t="str">
            <v>46260</v>
          </cell>
        </row>
        <row r="7985">
          <cell r="H7985" t="str">
            <v>Vinaròs</v>
          </cell>
          <cell r="I7985" t="str">
            <v>12138</v>
          </cell>
        </row>
        <row r="7986">
          <cell r="H7986" t="str">
            <v>Vindel</v>
          </cell>
          <cell r="I7986" t="str">
            <v>16275</v>
          </cell>
        </row>
        <row r="7987">
          <cell r="H7987" t="str">
            <v>Vinebre</v>
          </cell>
          <cell r="I7987" t="str">
            <v>43177</v>
          </cell>
        </row>
        <row r="7988">
          <cell r="H7988" t="str">
            <v>Viniegra de Abajo</v>
          </cell>
          <cell r="I7988" t="str">
            <v>26178</v>
          </cell>
        </row>
        <row r="7989">
          <cell r="H7989" t="str">
            <v>Viniegra de Arriba</v>
          </cell>
          <cell r="I7989" t="str">
            <v>26179</v>
          </cell>
        </row>
        <row r="7990">
          <cell r="H7990" t="str">
            <v>Vinuesa</v>
          </cell>
          <cell r="I7990" t="str">
            <v>42215</v>
          </cell>
        </row>
        <row r="7991">
          <cell r="H7991" t="str">
            <v>Vinyols i els Arcs</v>
          </cell>
          <cell r="I7991" t="str">
            <v>43178</v>
          </cell>
        </row>
        <row r="7992">
          <cell r="H7992" t="str">
            <v>Viñas</v>
          </cell>
          <cell r="I7992" t="str">
            <v>49273</v>
          </cell>
        </row>
        <row r="7993">
          <cell r="H7993" t="str">
            <v>Viñegra de Moraña</v>
          </cell>
          <cell r="I7993" t="str">
            <v>05264</v>
          </cell>
        </row>
        <row r="7994">
          <cell r="H7994" t="str">
            <v>Viñuela</v>
          </cell>
          <cell r="I7994" t="str">
            <v>29099</v>
          </cell>
        </row>
        <row r="7995">
          <cell r="H7995" t="str">
            <v>Viñuelas</v>
          </cell>
          <cell r="I7995" t="str">
            <v>19325</v>
          </cell>
        </row>
        <row r="7996">
          <cell r="H7996" t="str">
            <v>Viso de San Juan, El</v>
          </cell>
          <cell r="I7996" t="str">
            <v>45199</v>
          </cell>
        </row>
        <row r="7997">
          <cell r="H7997" t="str">
            <v>Viso del Alcor, El</v>
          </cell>
          <cell r="I7997" t="str">
            <v>41102</v>
          </cell>
        </row>
        <row r="7998">
          <cell r="H7998" t="str">
            <v>Viso del Marqués</v>
          </cell>
          <cell r="I7998" t="str">
            <v>13098</v>
          </cell>
        </row>
        <row r="7999">
          <cell r="H7999" t="str">
            <v>Viso, El</v>
          </cell>
          <cell r="I7999" t="str">
            <v>14074</v>
          </cell>
        </row>
        <row r="8000">
          <cell r="H8000" t="str">
            <v>Vistabella</v>
          </cell>
          <cell r="I8000" t="str">
            <v>50295</v>
          </cell>
        </row>
        <row r="8001">
          <cell r="H8001" t="str">
            <v>Vistabella del Maestrat</v>
          </cell>
          <cell r="I8001" t="str">
            <v>12139</v>
          </cell>
        </row>
        <row r="8002">
          <cell r="H8002" t="str">
            <v>Vita</v>
          </cell>
          <cell r="I8002" t="str">
            <v>05265</v>
          </cell>
        </row>
        <row r="8003">
          <cell r="H8003" t="str">
            <v>Vitigudino</v>
          </cell>
          <cell r="I8003" t="str">
            <v>37376</v>
          </cell>
        </row>
        <row r="8004">
          <cell r="H8004" t="str">
            <v>Vitoria-Gasteiz</v>
          </cell>
          <cell r="I8004" t="str">
            <v>01059</v>
          </cell>
        </row>
        <row r="8005">
          <cell r="H8005" t="str">
            <v>Viveiro</v>
          </cell>
          <cell r="I8005" t="str">
            <v>27066</v>
          </cell>
        </row>
        <row r="8006">
          <cell r="H8006" t="str">
            <v>Viver</v>
          </cell>
          <cell r="I8006" t="str">
            <v>12140</v>
          </cell>
        </row>
        <row r="8007">
          <cell r="H8007" t="str">
            <v>Viver i Serrateix</v>
          </cell>
          <cell r="I8007" t="str">
            <v>08308</v>
          </cell>
        </row>
        <row r="8008">
          <cell r="H8008" t="str">
            <v>Viveros</v>
          </cell>
          <cell r="I8008" t="str">
            <v>02085</v>
          </cell>
        </row>
        <row r="8009">
          <cell r="H8009" t="str">
            <v>Vizcaínos</v>
          </cell>
          <cell r="I8009" t="str">
            <v>09478</v>
          </cell>
        </row>
        <row r="8010">
          <cell r="H8010" t="str">
            <v>Vizmanos</v>
          </cell>
          <cell r="I8010" t="str">
            <v>42216</v>
          </cell>
        </row>
        <row r="8011">
          <cell r="H8011" t="str">
            <v>Víznar</v>
          </cell>
          <cell r="I8011" t="str">
            <v>18189</v>
          </cell>
        </row>
        <row r="8012">
          <cell r="H8012" t="str">
            <v>Voto</v>
          </cell>
          <cell r="I8012" t="str">
            <v>39102</v>
          </cell>
        </row>
        <row r="8013">
          <cell r="H8013" t="str">
            <v>Vozmediano</v>
          </cell>
          <cell r="I8013" t="str">
            <v>42217</v>
          </cell>
        </row>
        <row r="8014">
          <cell r="H8014" t="str">
            <v>Wamba</v>
          </cell>
          <cell r="I8014" t="str">
            <v>47230</v>
          </cell>
        </row>
        <row r="8015">
          <cell r="H8015" t="str">
            <v>Xàbia/Jávea</v>
          </cell>
          <cell r="I8015" t="str">
            <v>03082</v>
          </cell>
        </row>
        <row r="8016">
          <cell r="H8016" t="str">
            <v>Xaló</v>
          </cell>
          <cell r="I8016" t="str">
            <v>03081</v>
          </cell>
        </row>
        <row r="8017">
          <cell r="H8017" t="str">
            <v>Xàtiva</v>
          </cell>
          <cell r="I8017" t="str">
            <v>46145</v>
          </cell>
        </row>
        <row r="8018">
          <cell r="H8018" t="str">
            <v>Xeraco</v>
          </cell>
          <cell r="I8018" t="str">
            <v>46143</v>
          </cell>
        </row>
        <row r="8019">
          <cell r="H8019" t="str">
            <v>Xeresa</v>
          </cell>
          <cell r="I8019" t="str">
            <v>46146</v>
          </cell>
        </row>
        <row r="8020">
          <cell r="H8020" t="str">
            <v>Xert</v>
          </cell>
          <cell r="I8020" t="str">
            <v>12052</v>
          </cell>
        </row>
        <row r="8021">
          <cell r="H8021" t="str">
            <v>Xerta</v>
          </cell>
          <cell r="I8021" t="str">
            <v>43052</v>
          </cell>
        </row>
        <row r="8022">
          <cell r="H8022" t="str">
            <v>Xinzo de Limia</v>
          </cell>
          <cell r="I8022" t="str">
            <v>32032</v>
          </cell>
        </row>
        <row r="8023">
          <cell r="H8023" t="str">
            <v>Xirivella</v>
          </cell>
          <cell r="I8023" t="str">
            <v>46110</v>
          </cell>
        </row>
        <row r="8024">
          <cell r="H8024" t="str">
            <v>Xixona/Jijona</v>
          </cell>
          <cell r="I8024" t="str">
            <v>03083</v>
          </cell>
        </row>
        <row r="8025">
          <cell r="H8025" t="str">
            <v>Xodos/Chodos</v>
          </cell>
          <cell r="I8025" t="str">
            <v>12055</v>
          </cell>
        </row>
        <row r="8026">
          <cell r="H8026" t="str">
            <v>Xove</v>
          </cell>
          <cell r="I8026" t="str">
            <v>27025</v>
          </cell>
        </row>
        <row r="8027">
          <cell r="H8027" t="str">
            <v>Xunqueira de Ambía</v>
          </cell>
          <cell r="I8027" t="str">
            <v>32036</v>
          </cell>
        </row>
        <row r="8028">
          <cell r="H8028" t="str">
            <v>Xunqueira de Espadanedo</v>
          </cell>
          <cell r="I8028" t="str">
            <v>32037</v>
          </cell>
        </row>
        <row r="8029">
          <cell r="H8029" t="str">
            <v>Yaiza</v>
          </cell>
          <cell r="I8029" t="str">
            <v>35034</v>
          </cell>
        </row>
        <row r="8030">
          <cell r="H8030" t="str">
            <v>Yanguas</v>
          </cell>
          <cell r="I8030" t="str">
            <v>42218</v>
          </cell>
        </row>
        <row r="8031">
          <cell r="H8031" t="str">
            <v>Yanguas de Eresma</v>
          </cell>
          <cell r="I8031" t="str">
            <v>40231</v>
          </cell>
        </row>
        <row r="8032">
          <cell r="H8032" t="str">
            <v>Yátova</v>
          </cell>
          <cell r="I8032" t="str">
            <v>46261</v>
          </cell>
        </row>
        <row r="8033">
          <cell r="H8033" t="str">
            <v>Yébenes, Los</v>
          </cell>
          <cell r="I8033" t="str">
            <v>45200</v>
          </cell>
        </row>
        <row r="8034">
          <cell r="H8034" t="str">
            <v>Yebes</v>
          </cell>
          <cell r="I8034" t="str">
            <v>19326</v>
          </cell>
        </row>
        <row r="8035">
          <cell r="H8035" t="str">
            <v>Yebra de Basa</v>
          </cell>
          <cell r="I8035" t="str">
            <v>22252</v>
          </cell>
        </row>
        <row r="8036">
          <cell r="H8036" t="str">
            <v>Yecla</v>
          </cell>
          <cell r="I8036" t="str">
            <v>30043</v>
          </cell>
        </row>
        <row r="8037">
          <cell r="H8037" t="str">
            <v>Yecla de Yeltes</v>
          </cell>
          <cell r="I8037" t="str">
            <v>37377</v>
          </cell>
        </row>
        <row r="8038">
          <cell r="H8038" t="str">
            <v>Yécora/Iekora</v>
          </cell>
          <cell r="I8038" t="str">
            <v>01060</v>
          </cell>
        </row>
        <row r="8039">
          <cell r="H8039" t="str">
            <v>Yélamos de Abajo</v>
          </cell>
          <cell r="I8039" t="str">
            <v>19329</v>
          </cell>
        </row>
        <row r="8040">
          <cell r="H8040" t="str">
            <v>Yélamos de Arriba</v>
          </cell>
          <cell r="I8040" t="str">
            <v>19330</v>
          </cell>
        </row>
        <row r="8041">
          <cell r="H8041" t="str">
            <v>Yeles</v>
          </cell>
          <cell r="I8041" t="str">
            <v>45201</v>
          </cell>
        </row>
        <row r="8042">
          <cell r="H8042" t="str">
            <v>Yelo</v>
          </cell>
          <cell r="I8042" t="str">
            <v>42219</v>
          </cell>
        </row>
        <row r="8043">
          <cell r="H8043" t="str">
            <v>Yémeda</v>
          </cell>
          <cell r="I8043" t="str">
            <v>16276</v>
          </cell>
        </row>
        <row r="8044">
          <cell r="H8044" t="str">
            <v>Yepes</v>
          </cell>
          <cell r="I8044" t="str">
            <v>45202</v>
          </cell>
        </row>
        <row r="8045">
          <cell r="H8045" t="str">
            <v>Yesa</v>
          </cell>
          <cell r="I8045" t="str">
            <v>31261</v>
          </cell>
        </row>
        <row r="8046">
          <cell r="H8046" t="str">
            <v>Yesa, La</v>
          </cell>
          <cell r="I8046" t="str">
            <v>46262</v>
          </cell>
        </row>
        <row r="8047">
          <cell r="H8047" t="str">
            <v>Yésero</v>
          </cell>
          <cell r="I8047" t="str">
            <v>22253</v>
          </cell>
        </row>
        <row r="8048">
          <cell r="H8048" t="str">
            <v>Yeste</v>
          </cell>
          <cell r="I8048" t="str">
            <v>02086</v>
          </cell>
        </row>
        <row r="8049">
          <cell r="H8049" t="str">
            <v>Yuncler</v>
          </cell>
          <cell r="I8049" t="str">
            <v>45203</v>
          </cell>
        </row>
        <row r="8050">
          <cell r="H8050" t="str">
            <v>Yunclillos</v>
          </cell>
          <cell r="I8050" t="str">
            <v>45204</v>
          </cell>
        </row>
        <row r="8051">
          <cell r="H8051" t="str">
            <v>Yuncos</v>
          </cell>
          <cell r="I8051" t="str">
            <v>45205</v>
          </cell>
        </row>
        <row r="8052">
          <cell r="H8052" t="str">
            <v>Yunquera</v>
          </cell>
          <cell r="I8052" t="str">
            <v>29100</v>
          </cell>
        </row>
        <row r="8053">
          <cell r="H8053" t="str">
            <v>Yunquera de Henares</v>
          </cell>
          <cell r="I8053" t="str">
            <v>19331</v>
          </cell>
        </row>
        <row r="8054">
          <cell r="H8054" t="str">
            <v>Yunta, La</v>
          </cell>
          <cell r="I8054" t="str">
            <v>19332</v>
          </cell>
        </row>
        <row r="8055">
          <cell r="H8055" t="str">
            <v>Zabalza/Zabaltza</v>
          </cell>
          <cell r="I8055" t="str">
            <v>31262</v>
          </cell>
        </row>
        <row r="8056">
          <cell r="H8056" t="str">
            <v>Zael</v>
          </cell>
          <cell r="I8056" t="str">
            <v>09480</v>
          </cell>
        </row>
        <row r="8057">
          <cell r="H8057" t="str">
            <v>Zafarraya</v>
          </cell>
          <cell r="I8057" t="str">
            <v>18192</v>
          </cell>
        </row>
        <row r="8058">
          <cell r="H8058" t="str">
            <v>Zafra</v>
          </cell>
          <cell r="I8058" t="str">
            <v>06158</v>
          </cell>
        </row>
        <row r="8059">
          <cell r="H8059" t="str">
            <v>Zafra de Záncara</v>
          </cell>
          <cell r="I8059" t="str">
            <v>16277</v>
          </cell>
        </row>
        <row r="8060">
          <cell r="H8060" t="str">
            <v>Zafrilla</v>
          </cell>
          <cell r="I8060" t="str">
            <v>16278</v>
          </cell>
        </row>
        <row r="8061">
          <cell r="H8061" t="str">
            <v>Zagra</v>
          </cell>
          <cell r="I8061" t="str">
            <v>18913</v>
          </cell>
        </row>
        <row r="8062">
          <cell r="H8062" t="str">
            <v>Zahara</v>
          </cell>
          <cell r="I8062" t="str">
            <v>11042</v>
          </cell>
        </row>
        <row r="8063">
          <cell r="H8063" t="str">
            <v>Zahínos</v>
          </cell>
          <cell r="I8063" t="str">
            <v>06159</v>
          </cell>
        </row>
        <row r="8064">
          <cell r="H8064" t="str">
            <v>Zaida, La</v>
          </cell>
          <cell r="I8064" t="str">
            <v>50296</v>
          </cell>
        </row>
        <row r="8065">
          <cell r="H8065" t="str">
            <v>Zaidín</v>
          </cell>
          <cell r="I8065" t="str">
            <v>22254</v>
          </cell>
        </row>
        <row r="8066">
          <cell r="H8066" t="str">
            <v>Zalamea de la Serena</v>
          </cell>
          <cell r="I8066" t="str">
            <v>06160</v>
          </cell>
        </row>
        <row r="8067">
          <cell r="H8067" t="str">
            <v>Zalamea la Real</v>
          </cell>
          <cell r="I8067" t="str">
            <v>21078</v>
          </cell>
        </row>
        <row r="8068">
          <cell r="H8068" t="str">
            <v>Zaldibar</v>
          </cell>
          <cell r="I8068" t="str">
            <v>48095</v>
          </cell>
        </row>
        <row r="8069">
          <cell r="H8069" t="str">
            <v>Zaldibia</v>
          </cell>
          <cell r="I8069" t="str">
            <v>20078</v>
          </cell>
        </row>
        <row r="8070">
          <cell r="H8070" t="str">
            <v>Zalduondo</v>
          </cell>
          <cell r="I8070" t="str">
            <v>01061</v>
          </cell>
        </row>
        <row r="8071">
          <cell r="H8071" t="str">
            <v>Zalla</v>
          </cell>
          <cell r="I8071" t="str">
            <v>48096</v>
          </cell>
        </row>
        <row r="8072">
          <cell r="H8072" t="str">
            <v>Zamarra</v>
          </cell>
          <cell r="I8072" t="str">
            <v>37378</v>
          </cell>
        </row>
        <row r="8073">
          <cell r="H8073" t="str">
            <v>Zamayón</v>
          </cell>
          <cell r="I8073" t="str">
            <v>37379</v>
          </cell>
        </row>
        <row r="8074">
          <cell r="H8074" t="str">
            <v>Zambrana</v>
          </cell>
          <cell r="I8074" t="str">
            <v>01062</v>
          </cell>
        </row>
        <row r="8075">
          <cell r="H8075" t="str">
            <v>Zamora</v>
          </cell>
          <cell r="I8075" t="str">
            <v>49275</v>
          </cell>
        </row>
        <row r="8076">
          <cell r="H8076" t="str">
            <v>Zamudio</v>
          </cell>
          <cell r="I8076" t="str">
            <v>48905</v>
          </cell>
        </row>
        <row r="8077">
          <cell r="H8077" t="str">
            <v>Zaorejas</v>
          </cell>
          <cell r="I8077" t="str">
            <v>19333</v>
          </cell>
        </row>
        <row r="8078">
          <cell r="H8078" t="str">
            <v>Zapardiel de la Cañada</v>
          </cell>
          <cell r="I8078" t="str">
            <v>05266</v>
          </cell>
        </row>
        <row r="8079">
          <cell r="H8079" t="str">
            <v>Zapardiel de la Ribera</v>
          </cell>
          <cell r="I8079" t="str">
            <v>05267</v>
          </cell>
        </row>
        <row r="8080">
          <cell r="H8080" t="str">
            <v>Zaragoza</v>
          </cell>
          <cell r="I8080" t="str">
            <v>50297</v>
          </cell>
        </row>
        <row r="8081">
          <cell r="H8081" t="str">
            <v>Zarapicos</v>
          </cell>
          <cell r="I8081" t="str">
            <v>37380</v>
          </cell>
        </row>
        <row r="8082">
          <cell r="H8082" t="str">
            <v>Zaratamo</v>
          </cell>
          <cell r="I8082" t="str">
            <v>48097</v>
          </cell>
        </row>
        <row r="8083">
          <cell r="H8083" t="str">
            <v>Zaratán</v>
          </cell>
          <cell r="I8083" t="str">
            <v>47231</v>
          </cell>
        </row>
        <row r="8084">
          <cell r="H8084" t="str">
            <v>Zarautz</v>
          </cell>
          <cell r="I8084" t="str">
            <v>20079</v>
          </cell>
        </row>
        <row r="8085">
          <cell r="H8085" t="str">
            <v>Zarra</v>
          </cell>
          <cell r="I8085" t="str">
            <v>46263</v>
          </cell>
        </row>
        <row r="8086">
          <cell r="H8086" t="str">
            <v>Zarratón</v>
          </cell>
          <cell r="I8086" t="str">
            <v>26180</v>
          </cell>
        </row>
        <row r="8087">
          <cell r="H8087" t="str">
            <v>Zarza de Granadilla</v>
          </cell>
          <cell r="I8087" t="str">
            <v>10216</v>
          </cell>
        </row>
        <row r="8088">
          <cell r="H8088" t="str">
            <v>Zarza de Montánchez</v>
          </cell>
          <cell r="I8088" t="str">
            <v>10217</v>
          </cell>
        </row>
        <row r="8089">
          <cell r="H8089" t="str">
            <v>Zarza de Pumareda, La</v>
          </cell>
          <cell r="I8089" t="str">
            <v>37381</v>
          </cell>
        </row>
        <row r="8090">
          <cell r="H8090" t="str">
            <v>Zarza de Tajo</v>
          </cell>
          <cell r="I8090" t="str">
            <v>16279</v>
          </cell>
        </row>
        <row r="8091">
          <cell r="H8091" t="str">
            <v>Zarza la Mayor</v>
          </cell>
          <cell r="I8091" t="str">
            <v>10218</v>
          </cell>
        </row>
        <row r="8092">
          <cell r="H8092" t="str">
            <v>Zarza, La</v>
          </cell>
          <cell r="I8092" t="str">
            <v>06162</v>
          </cell>
        </row>
        <row r="8093">
          <cell r="H8093" t="str">
            <v>Zarza, La</v>
          </cell>
          <cell r="I8093" t="str">
            <v>47232</v>
          </cell>
        </row>
        <row r="8094">
          <cell r="H8094" t="str">
            <v>Zarza-Capilla</v>
          </cell>
          <cell r="I8094" t="str">
            <v>06161</v>
          </cell>
        </row>
        <row r="8095">
          <cell r="H8095" t="str">
            <v>Zarzalejo</v>
          </cell>
          <cell r="I8095" t="str">
            <v>28183</v>
          </cell>
        </row>
        <row r="8096">
          <cell r="H8096" t="str">
            <v>Zarza-Perrunal, La</v>
          </cell>
          <cell r="I8096" t="str">
            <v>21902</v>
          </cell>
        </row>
        <row r="8097">
          <cell r="H8097" t="str">
            <v>Zarzosa</v>
          </cell>
          <cell r="I8097" t="str">
            <v>26181</v>
          </cell>
        </row>
        <row r="8098">
          <cell r="H8098" t="str">
            <v>Zarzosa de Río Pisuerga</v>
          </cell>
          <cell r="I8098" t="str">
            <v>09482</v>
          </cell>
        </row>
        <row r="8099">
          <cell r="H8099" t="str">
            <v>Zarzuela</v>
          </cell>
          <cell r="I8099" t="str">
            <v>16280</v>
          </cell>
        </row>
        <row r="8100">
          <cell r="H8100" t="str">
            <v>Zarzuela de Jadraque</v>
          </cell>
          <cell r="I8100" t="str">
            <v>19334</v>
          </cell>
        </row>
        <row r="8101">
          <cell r="H8101" t="str">
            <v>Zarzuela del Monte</v>
          </cell>
          <cell r="I8101" t="str">
            <v>40233</v>
          </cell>
        </row>
        <row r="8102">
          <cell r="H8102" t="str">
            <v>Zarzuela del Pinar</v>
          </cell>
          <cell r="I8102" t="str">
            <v>40234</v>
          </cell>
        </row>
        <row r="8103">
          <cell r="H8103" t="str">
            <v>Zas</v>
          </cell>
          <cell r="I8103" t="str">
            <v>15093</v>
          </cell>
        </row>
        <row r="8104">
          <cell r="H8104" t="str">
            <v>Zazuar</v>
          </cell>
          <cell r="I8104" t="str">
            <v>09483</v>
          </cell>
        </row>
        <row r="8105">
          <cell r="H8105" t="str">
            <v>Zeanuri</v>
          </cell>
          <cell r="I8105" t="str">
            <v>48024</v>
          </cell>
        </row>
        <row r="8106">
          <cell r="H8106" t="str">
            <v>Zeberio</v>
          </cell>
          <cell r="I8106" t="str">
            <v>48025</v>
          </cell>
        </row>
        <row r="8107">
          <cell r="H8107" t="str">
            <v>Zegama</v>
          </cell>
          <cell r="I8107" t="str">
            <v>20025</v>
          </cell>
        </row>
        <row r="8108">
          <cell r="H8108" t="str">
            <v>Zerain</v>
          </cell>
          <cell r="I8108" t="str">
            <v>20026</v>
          </cell>
        </row>
        <row r="8109">
          <cell r="H8109" t="str">
            <v>Zestoa</v>
          </cell>
          <cell r="I8109" t="str">
            <v>20027</v>
          </cell>
        </row>
        <row r="8110">
          <cell r="H8110" t="str">
            <v>Zierbena</v>
          </cell>
          <cell r="I8110" t="str">
            <v>48913</v>
          </cell>
        </row>
        <row r="8111">
          <cell r="H8111" t="str">
            <v>Zigoitia</v>
          </cell>
          <cell r="I8111" t="str">
            <v>01018</v>
          </cell>
        </row>
        <row r="8112">
          <cell r="H8112" t="str">
            <v>Ziordia</v>
          </cell>
          <cell r="I8112" t="str">
            <v>31073</v>
          </cell>
        </row>
        <row r="8113">
          <cell r="H8113" t="str">
            <v>Ziortza-Bolibar</v>
          </cell>
          <cell r="I8113" t="str">
            <v>48915</v>
          </cell>
        </row>
        <row r="8114">
          <cell r="H8114" t="str">
            <v>Zizur Mayor/Zizur Nagusia</v>
          </cell>
          <cell r="I8114" t="str">
            <v>31907</v>
          </cell>
        </row>
        <row r="8115">
          <cell r="H8115" t="str">
            <v>Zizurkil</v>
          </cell>
          <cell r="I8115" t="str">
            <v>20028</v>
          </cell>
        </row>
        <row r="8116">
          <cell r="H8116" t="str">
            <v>Zorita</v>
          </cell>
          <cell r="I8116" t="str">
            <v>10219</v>
          </cell>
        </row>
        <row r="8117">
          <cell r="H8117" t="str">
            <v>Zorita de la Frontera</v>
          </cell>
          <cell r="I8117" t="str">
            <v>37382</v>
          </cell>
        </row>
        <row r="8118">
          <cell r="H8118" t="str">
            <v>Zorita del Maestrazgo</v>
          </cell>
          <cell r="I8118" t="str">
            <v>12141</v>
          </cell>
        </row>
        <row r="8119">
          <cell r="H8119" t="str">
            <v>Zorraquín</v>
          </cell>
          <cell r="I8119" t="str">
            <v>26183</v>
          </cell>
        </row>
        <row r="8120">
          <cell r="H8120" t="str">
            <v>Zotes del Páramo</v>
          </cell>
          <cell r="I8120" t="str">
            <v>24230</v>
          </cell>
        </row>
        <row r="8121">
          <cell r="H8121" t="str">
            <v>Zubia, La</v>
          </cell>
          <cell r="I8121" t="str">
            <v>18193</v>
          </cell>
        </row>
        <row r="8122">
          <cell r="H8122" t="str">
            <v>Zubieta</v>
          </cell>
          <cell r="I8122" t="str">
            <v>31263</v>
          </cell>
        </row>
        <row r="8123">
          <cell r="H8123" t="str">
            <v>Zucaina</v>
          </cell>
          <cell r="I8123" t="str">
            <v>12142</v>
          </cell>
        </row>
        <row r="8124">
          <cell r="H8124" t="str">
            <v>Zuera</v>
          </cell>
          <cell r="I8124" t="str">
            <v>50298</v>
          </cell>
        </row>
        <row r="8125">
          <cell r="H8125" t="str">
            <v>Zufre</v>
          </cell>
          <cell r="I8125" t="str">
            <v>21079</v>
          </cell>
        </row>
        <row r="8126">
          <cell r="H8126" t="str">
            <v>Zugarramurdi</v>
          </cell>
          <cell r="I8126" t="str">
            <v>31264</v>
          </cell>
        </row>
        <row r="8127">
          <cell r="H8127" t="str">
            <v>Zuheros</v>
          </cell>
          <cell r="I8127" t="str">
            <v>14075</v>
          </cell>
        </row>
        <row r="8128">
          <cell r="H8128" t="str">
            <v>Zuia</v>
          </cell>
          <cell r="I8128" t="str">
            <v>01063</v>
          </cell>
        </row>
        <row r="8129">
          <cell r="H8129" t="str">
            <v>Zújar</v>
          </cell>
          <cell r="I8129" t="str">
            <v>18194</v>
          </cell>
        </row>
        <row r="8130">
          <cell r="H8130" t="str">
            <v>Zumaia</v>
          </cell>
          <cell r="I8130" t="str">
            <v>20081</v>
          </cell>
        </row>
        <row r="8131">
          <cell r="H8131" t="str">
            <v>Zumarraga</v>
          </cell>
          <cell r="I8131" t="str">
            <v>20080</v>
          </cell>
        </row>
        <row r="8132">
          <cell r="H8132" t="str">
            <v>Zuñeda</v>
          </cell>
          <cell r="I8132" t="str">
            <v>09485</v>
          </cell>
        </row>
        <row r="8133">
          <cell r="H8133" t="str">
            <v>Zúñiga</v>
          </cell>
          <cell r="I8133" t="str">
            <v>31265</v>
          </cell>
        </row>
        <row r="8134">
          <cell r="H8134" t="str">
            <v>Zurgena</v>
          </cell>
          <cell r="I8134" t="str">
            <v>04103</v>
          </cell>
        </row>
      </sheetData>
      <sheetData sheetId="9"/>
      <sheetData sheetId="10"/>
      <sheetData sheetId="11"/>
      <sheetData sheetId="12"/>
      <sheetData sheetId="13"/>
      <sheetData sheetId="14"/>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3BA4D1-086A-4832-954E-94C919B0A657}" name="Tabla35" displayName="Tabla35" ref="A1:AL1299" totalsRowShown="0" headerRowDxfId="162" dataDxfId="161" totalsRowDxfId="160">
  <autoFilter ref="A1:AL1299" xr:uid="{6F506DF0-C8B3-40E7-AC51-6A8D67204D79}">
    <filterColumn colId="8">
      <colorFilter dxfId="83"/>
    </filterColumn>
  </autoFilter>
  <tableColumns count="38">
    <tableColumn id="1" xr3:uid="{7899ED71-0CAB-4D69-9972-6251C3EE43CC}" name="VISOR " dataDxfId="159" totalsRowDxfId="158"/>
    <tableColumn id="38" xr3:uid="{DD507D08-0A62-446B-9799-C3297BF1A62C}" name="Ficha" dataDxfId="157" totalsRowDxfId="156">
      <calculatedColumnFormula>VLOOKUP(Tabla35[[#This Row],[Ref. Proyecto]],#REF!,2,FALSE)</calculatedColumnFormula>
    </tableColumn>
    <tableColumn id="37" xr3:uid="{56B00D52-E486-4473-871C-19013B37AB55}" name="ORG" dataDxfId="155" totalsRowDxfId="154"/>
    <tableColumn id="11" xr3:uid="{3B9FD7E8-A7B2-45B8-8C94-CCD66EADE2E3}" name="Tipo" dataDxfId="153" totalsRowDxfId="152"/>
    <tableColumn id="2" xr3:uid="{A1572D0B-6D5A-4BDE-8CB1-1450E48B0BDC}" name="Priorización TJ" dataDxfId="151" totalsRowDxfId="150"/>
    <tableColumn id="3" xr3:uid="{CF16E33E-6757-450B-83F9-33B1553D9F3C}" name="PLAN" dataDxfId="149" totalsRowDxfId="148"/>
    <tableColumn id="4" xr3:uid="{E8E65006-BC73-4D93-811D-BD75CA2E3D37}" name="Línea de Ayuda" dataDxfId="147" totalsRowDxfId="146"/>
    <tableColumn id="30" xr3:uid="{D0F86F03-E6CD-4F4F-9624-66B1F5AF4573}" name="Procedencia de las ayudas" dataDxfId="145" totalsRowDxfId="144"/>
    <tableColumn id="5" xr3:uid="{A5CF81D8-4D4A-4FC5-BC96-4BBAA6337BE2}" name="Ref. Proyecto" dataDxfId="143" totalsRowDxfId="142"/>
    <tableColumn id="6" xr3:uid="{A582867F-A405-4CF4-A821-D06A42063064}" name="Año Conv." dataDxfId="141" totalsRowDxfId="140"/>
    <tableColumn id="34" xr3:uid="{A93AD141-0EB7-4764-A0C4-0CA765CF72BE}" name="TÍTULO PROYECTO" dataDxfId="139" totalsRowDxfId="138">
      <calculatedColumnFormula>VLOOKUP(Tabla35[[#This Row],[Ref. Proyecto]],#REF!,11,FALSE)</calculatedColumnFormula>
    </tableColumn>
    <tableColumn id="33" xr3:uid="{C86C8488-3E89-4D4C-8049-E7A4C0D4BDA9}" name="DESCRIPCIÓN" dataDxfId="137" totalsRowDxfId="136">
      <calculatedColumnFormula>VLOOKUP(Tabla35[[#This Row],[Ref. Proyecto]],#REF!,12,FALSE)</calculatedColumnFormula>
    </tableColumn>
    <tableColumn id="35" xr3:uid="{02F333B4-A338-402B-83CC-D6203DA85493}" name="LINKS" dataDxfId="135" totalsRowDxfId="134">
      <calculatedColumnFormula>VLOOKUP(Tabla35[[#This Row],[Ref. Proyecto]],#REF!,13,FALSE)</calculatedColumnFormula>
    </tableColumn>
    <tableColumn id="36" xr3:uid="{46EF8B4C-23E6-457D-9FB2-DD5BE94B983A}" name="FOTOGRAFÍAS" dataDxfId="133" totalsRowDxfId="132">
      <calculatedColumnFormula>VLOOKUP(Tabla35[[#This Row],[Ref. Proyecto]],#REF!,14,FALSE)</calculatedColumnFormula>
    </tableColumn>
    <tableColumn id="31" xr3:uid="{45E6EAC5-E7C3-40E4-BB5E-C55776639C1D}" name="Descripción fotografía" dataDxfId="131" totalsRowDxfId="130">
      <calculatedColumnFormula>VLOOKUP(Tabla35[[#This Row],[Ref. Proyecto]],#REF!,15,FALSE)</calculatedColumnFormula>
    </tableColumn>
    <tableColumn id="7" xr3:uid="{3A116E1C-470E-44FB-8E2B-5F6066802EA0}" name="Beneficiario" dataDxfId="129" totalsRowDxfId="128"/>
    <tableColumn id="8" xr3:uid="{F8984995-143D-43CD-8CD3-D868101791F4}" name="CCAA" dataDxfId="127" totalsRowDxfId="126"/>
    <tableColumn id="9" xr3:uid="{3C828806-E6CD-4DED-B348-E87296C0B0A3}" name="Provincia" dataDxfId="125" totalsRowDxfId="124"/>
    <tableColumn id="10" xr3:uid="{0576DA3C-20F9-48E4-9ECC-4EAE7516B714}" name="Municipio" dataDxfId="123" totalsRowDxfId="122"/>
    <tableColumn id="27" xr3:uid="{29538E6B-D563-4057-B4D3-F6878549E5A5}" name="COD_INE" dataDxfId="121" totalsRowDxfId="120"/>
    <tableColumn id="28" xr3:uid="{0D148217-FEAB-4CD7-9BDE-D67BE594FE40}" name="Grupo" dataDxfId="119" totalsRowDxfId="118"/>
    <tableColumn id="12" xr3:uid="{A9E51584-B46B-409D-8758-8B8040BDD2F6}" name="Zona" dataDxfId="117" totalsRowDxfId="116"/>
    <tableColumn id="13" xr3:uid="{1F91AB14-B095-4D66-A8CF-67A0BDB99537}" name="Síntesis" dataDxfId="115" totalsRowDxfId="114"/>
    <tableColumn id="14" xr3:uid="{8E2C77C1-7E4A-41E4-ACD4-ED6722258862}" name="Sector" dataDxfId="113" totalsRowDxfId="112"/>
    <tableColumn id="15" xr3:uid="{BE236541-BA30-436F-89EB-A2EC2C05FD98}" name="Fecha RD" dataDxfId="111" totalsRowDxfId="110"/>
    <tableColumn id="29" xr3:uid="{A2020D9B-F7B3-4324-AC97-6097D2502435}" name="Año RD" dataDxfId="109" totalsRowDxfId="108"/>
    <tableColumn id="16" xr3:uid="{F2BB3431-C503-4029-A070-66E4F4773C97}" name="Inversión subvencionable" dataDxfId="107" totalsRowDxfId="106"/>
    <tableColumn id="17" xr3:uid="{0410529D-9E11-46BC-B580-72407F810828}" name="Prestamo concedido" dataDxfId="105" totalsRowDxfId="104"/>
    <tableColumn id="18" xr3:uid="{7C5CBF83-78F3-4D77-AEA3-85DCFCCAC1E0}" name="Subvención aprobada" dataDxfId="103" totalsRowDxfId="102"/>
    <tableColumn id="19" xr3:uid="{70D8956B-D674-4F81-B197-6626E30BA94F}" name="Empleo a crear (operación)" dataDxfId="101" totalsRowDxfId="100"/>
    <tableColumn id="32" xr3:uid="{F85223DA-83E7-4A0A-BFB7-A6AC9CCA8925}" name="Empleo femenino " dataDxfId="99" totalsRowDxfId="98">
      <calculatedColumnFormula>VLOOKUP(Tabla35[[#This Row],[Ref. Proyecto]],#REF!,24,FALSE)</calculatedColumnFormula>
    </tableColumn>
    <tableColumn id="20" xr3:uid="{A3E9DD28-24A0-4251-9505-0AA8D55D4988}" name="Empleo en ejecución (construción)" dataDxfId="97" totalsRowDxfId="96"/>
    <tableColumn id="21" xr3:uid="{69B16C12-1B85-4BEF-A6C7-61A24BAA959C}" name="Situación del Proyecto" dataDxfId="95" totalsRowDxfId="94"/>
    <tableColumn id="22" xr3:uid="{33115187-E664-43FE-9813-469ADFACC342}" name="Motivo " dataDxfId="93" totalsRowDxfId="92"/>
    <tableColumn id="23" xr3:uid="{150569C7-DA76-4AE4-914F-55456B9E206F}" name="Ayuda actual" dataDxfId="91" totalsRowDxfId="90"/>
    <tableColumn id="24" xr3:uid="{4CCAB97E-7A1E-4653-ADD2-7F78C64BFEF3}" name="Superficie (Ha) restaurada" dataDxfId="89" totalsRowDxfId="88"/>
    <tableColumn id="26" xr3:uid="{2DCE06C2-BB50-4598-8386-4429ADAB7D0E}" name="Objetivo del proyecto" dataDxfId="87" totalsRowDxfId="86"/>
    <tableColumn id="25" xr3:uid="{B48FD9CC-29AD-4D77-9BAC-DDD2B8B77057}" name="Observaciones" dataDxfId="85" totalsRowDxfId="8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F37781-2FBF-4DC3-A02E-AAEFA7ED1C17}" name="Tabla354" displayName="Tabla354" ref="A1:AL1300" totalsRowCount="1" headerRowDxfId="82" dataDxfId="81" totalsRowDxfId="80">
  <autoFilter ref="A1:AL1299" xr:uid="{6F506DF0-C8B3-40E7-AC51-6A8D67204D79}"/>
  <tableColumns count="38">
    <tableColumn id="1" xr3:uid="{7D632845-997F-4F86-83D3-E1EE926DB19E}" name="VISOR " dataDxfId="79" totalsRowDxfId="37"/>
    <tableColumn id="38" xr3:uid="{3CD92191-EC64-468D-B242-245AB63C069C}" name="Ficha" dataDxfId="78" totalsRowDxfId="36">
      <calculatedColumnFormula>VLOOKUP(Tabla354[[#This Row],[Ref. Proyecto]],#REF!,2,FALSE)</calculatedColumnFormula>
    </tableColumn>
    <tableColumn id="37" xr3:uid="{CE70E282-1D31-49D2-B3D1-82FB84101290}" name="ORG" dataDxfId="77" totalsRowDxfId="35"/>
    <tableColumn id="11" xr3:uid="{D2C39487-40E2-49E0-B13F-9D22FAB2273D}" name="Tipo" dataDxfId="76" totalsRowDxfId="34"/>
    <tableColumn id="2" xr3:uid="{59D6AC57-96BA-4480-AAD5-2FB42CAA2A37}" name="Priorización TJ" dataDxfId="75" totalsRowDxfId="33"/>
    <tableColumn id="3" xr3:uid="{98B141B8-5AF2-4C79-B959-244B9F6A85EF}" name="PLAN" dataDxfId="74" totalsRowDxfId="32"/>
    <tableColumn id="4" xr3:uid="{D9F57121-BAF5-45E3-9FDC-5A050909F18C}" name="Línea de Ayuda" dataDxfId="73" totalsRowDxfId="31"/>
    <tableColumn id="30" xr3:uid="{302EF3C6-00AB-47E5-A25F-D10B525D816C}" name="Procedencia de las ayudas" dataDxfId="72" totalsRowDxfId="30"/>
    <tableColumn id="5" xr3:uid="{D2883286-1310-44BA-90A1-CB342D09F5F1}" name="Ref. Proyecto" totalsRowFunction="count" dataDxfId="71" totalsRowDxfId="29"/>
    <tableColumn id="6" xr3:uid="{2DF58DC5-BECA-494A-8DEE-147E15E74F6D}" name="Año Conv." dataDxfId="70" totalsRowDxfId="28"/>
    <tableColumn id="34" xr3:uid="{C22AC262-1B15-4B7D-B72B-98EF4F81C4E0}" name="TÍTULO PROYECTO" dataDxfId="69" totalsRowDxfId="27">
      <calculatedColumnFormula>VLOOKUP(Tabla354[[#This Row],[Ref. Proyecto]],#REF!,11,FALSE)</calculatedColumnFormula>
    </tableColumn>
    <tableColumn id="33" xr3:uid="{05BBAFE8-CBA9-45EF-A89A-A6AE89F091FD}" name="DESCRIPCIÓN" dataDxfId="68" totalsRowDxfId="26">
      <calculatedColumnFormula>VLOOKUP(Tabla354[[#This Row],[Ref. Proyecto]],#REF!,12,FALSE)</calculatedColumnFormula>
    </tableColumn>
    <tableColumn id="35" xr3:uid="{B6DBE89B-E33E-4E4D-9CFA-E5EB074EBF16}" name="LINKS" dataDxfId="67" totalsRowDxfId="25">
      <calculatedColumnFormula>VLOOKUP(Tabla354[[#This Row],[Ref. Proyecto]],#REF!,13,FALSE)</calculatedColumnFormula>
    </tableColumn>
    <tableColumn id="36" xr3:uid="{39FB23A7-A536-4844-8D0E-14ABD0452B85}" name="FOTOGRAFÍAS" dataDxfId="66" totalsRowDxfId="24">
      <calculatedColumnFormula>VLOOKUP(Tabla354[[#This Row],[Ref. Proyecto]],#REF!,14,FALSE)</calculatedColumnFormula>
    </tableColumn>
    <tableColumn id="31" xr3:uid="{41985441-4FF4-4E77-B237-0768FE97EFA7}" name="Descripción fotografía" dataDxfId="65" totalsRowDxfId="23">
      <calculatedColumnFormula>VLOOKUP(Tabla354[[#This Row],[Ref. Proyecto]],#REF!,15,FALSE)</calculatedColumnFormula>
    </tableColumn>
    <tableColumn id="7" xr3:uid="{7632AD65-4839-4D45-9CC2-2F8C5137E2BB}" name="Beneficiario" dataDxfId="64" totalsRowDxfId="22"/>
    <tableColumn id="8" xr3:uid="{4514AC0E-2E10-4D99-9240-08EC3BA18BFB}" name="CCAA" dataDxfId="63" totalsRowDxfId="21"/>
    <tableColumn id="9" xr3:uid="{B3AE1493-0FEE-400B-AF63-7227F7967610}" name="Provincia" dataDxfId="62" totalsRowDxfId="20"/>
    <tableColumn id="10" xr3:uid="{2B253615-3C17-49EB-BBCD-15DD7D4095D0}" name="Municipio" dataDxfId="61" totalsRowDxfId="19"/>
    <tableColumn id="27" xr3:uid="{5F8D1B40-6EF4-47AA-8A9A-4FE572FD3D4F}" name="COD_INE" dataDxfId="60" totalsRowDxfId="18"/>
    <tableColumn id="28" xr3:uid="{5B86EE12-E550-4863-BC99-1415BB23D743}" name="Grupo" dataDxfId="59" totalsRowDxfId="17"/>
    <tableColumn id="12" xr3:uid="{16B48680-7B36-43AB-8D41-D2EDB0A7B5BF}" name="Zona" dataDxfId="58" totalsRowDxfId="16"/>
    <tableColumn id="13" xr3:uid="{C03D2074-C70A-4986-BEDF-F76D738927B8}" name="Síntesis" dataDxfId="57" totalsRowDxfId="15"/>
    <tableColumn id="14" xr3:uid="{36AB4DCA-7E35-455A-8ABB-47C5825919AD}" name="Sector" dataDxfId="56" totalsRowDxfId="14"/>
    <tableColumn id="15" xr3:uid="{3074ECD0-681F-4169-9AF9-11CBE7CA5C3D}" name="Fecha RD" dataDxfId="55" totalsRowDxfId="13"/>
    <tableColumn id="29" xr3:uid="{3BA5CD27-419B-406A-8B9B-188F4F33A871}" name="Año RD" dataDxfId="54" totalsRowDxfId="12"/>
    <tableColumn id="16" xr3:uid="{55D54FB2-B544-4276-BE9D-41231845843D}" name="Inversión subvencionable" totalsRowFunction="sum" dataDxfId="53" totalsRowDxfId="11"/>
    <tableColumn id="17" xr3:uid="{2E4355AD-E4C3-48C0-8FBD-2B5C0D432C39}" name="Prestamo concedido" dataDxfId="52" totalsRowDxfId="10"/>
    <tableColumn id="18" xr3:uid="{82205B9F-3C2B-40CD-B0FB-EACB9EF8BFA2}" name="Subvención aprobada" dataDxfId="51" totalsRowDxfId="9"/>
    <tableColumn id="19" xr3:uid="{DC8A47E3-63B6-4B17-BBD2-E0EBE8A58B40}" name="Empleo a crear (operación)" totalsRowFunction="sum" dataDxfId="38" totalsRowDxfId="0"/>
    <tableColumn id="32" xr3:uid="{DD4AED28-92C4-4BBD-80FD-99A3DDF03372}" name="Empleo femenino " dataDxfId="50" totalsRowDxfId="8">
      <calculatedColumnFormula>VLOOKUP(Tabla354[[#This Row],[Ref. Proyecto]],#REF!,24,FALSE)</calculatedColumnFormula>
    </tableColumn>
    <tableColumn id="20" xr3:uid="{5684445A-6225-4EBE-A318-6C3B3FF44206}" name="Empleo en ejecución (construción)" dataDxfId="49" totalsRowDxfId="7"/>
    <tableColumn id="21" xr3:uid="{A1DEC082-7351-485C-A978-85C09ACDEC35}" name="Situación del Proyecto" dataDxfId="48" totalsRowDxfId="6"/>
    <tableColumn id="22" xr3:uid="{7E0EA8E1-484F-48E8-8289-CA8840C62962}" name="Motivo " dataDxfId="47" totalsRowDxfId="5"/>
    <tableColumn id="23" xr3:uid="{34FF4FA5-B407-4E6C-8FFD-1632361F8D9A}" name="Ayuda actual" totalsRowFunction="sum" dataDxfId="39" totalsRowDxfId="4"/>
    <tableColumn id="24" xr3:uid="{A54ADF06-C5F2-4A06-9137-99059CCF7EE6}" name="Superficie (Ha) restaurada" dataDxfId="46" totalsRowDxfId="3"/>
    <tableColumn id="26" xr3:uid="{4FE5A611-AC2F-435F-AE2D-009C2D57D4AF}" name="Objetivo del proyecto" dataDxfId="45" totalsRowDxfId="2"/>
    <tableColumn id="25" xr3:uid="{040B602C-9A77-4A26-AFDB-10359133FCAB}" name="Observaciones" dataDxfId="44" totalsRowDxfId="1"/>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alogreenerecinorassomozas.com/" TargetMode="External"/><Relationship Id="rId2" Type="http://schemas.openxmlformats.org/officeDocument/2006/relationships/hyperlink" Target="https://xeracion.org/nosotros/" TargetMode="External"/><Relationship Id="rId1" Type="http://schemas.openxmlformats.org/officeDocument/2006/relationships/hyperlink" Target="https://www.xermade.org/comunidade-de-enerxias-renovables-xerando/"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valogreenerecinorassomozas.com/" TargetMode="External"/><Relationship Id="rId2" Type="http://schemas.openxmlformats.org/officeDocument/2006/relationships/hyperlink" Target="https://xeracion.org/nosotros/" TargetMode="External"/><Relationship Id="rId1" Type="http://schemas.openxmlformats.org/officeDocument/2006/relationships/hyperlink" Target="https://www.xermade.org/comunidade-de-enerxias-renovables-xerando/" TargetMode="External"/><Relationship Id="rId5" Type="http://schemas.openxmlformats.org/officeDocument/2006/relationships/table" Target="../tables/table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700F-EC6A-4707-8100-C83578D3BC5D}">
  <sheetPr>
    <tabColor rgb="FFFF0000"/>
  </sheetPr>
  <dimension ref="A1:BB1307"/>
  <sheetViews>
    <sheetView tabSelected="1" zoomScale="115" zoomScaleNormal="115" workbookViewId="0">
      <pane ySplit="1" topLeftCell="A2" activePane="bottomLeft" state="frozen"/>
      <selection activeCell="N3748" sqref="N3748"/>
      <selection pane="bottomLeft" activeCell="D1307" sqref="D1307"/>
    </sheetView>
  </sheetViews>
  <sheetFormatPr baseColWidth="10" defaultColWidth="11.42578125" defaultRowHeight="12.75" x14ac:dyDescent="0.2"/>
  <cols>
    <col min="1" max="1" width="9.5703125" style="1" customWidth="1"/>
    <col min="2" max="2" width="9.5703125" style="9" customWidth="1"/>
    <col min="3" max="3" width="5.28515625" style="1" customWidth="1"/>
    <col min="4" max="4" width="12.42578125" style="1" customWidth="1"/>
    <col min="5" max="5" width="6.5703125" style="1" customWidth="1"/>
    <col min="6" max="6" width="12.140625" style="1" customWidth="1"/>
    <col min="7" max="7" width="9.140625" style="1" customWidth="1"/>
    <col min="8" max="8" width="23.140625" style="1" customWidth="1"/>
    <col min="9" max="9" width="21.7109375" style="1" customWidth="1"/>
    <col min="10" max="10" width="6.42578125" style="1" customWidth="1"/>
    <col min="11" max="11" width="20.7109375" style="1" customWidth="1"/>
    <col min="12" max="12" width="21" style="1" customWidth="1"/>
    <col min="13" max="13" width="20.7109375" style="1" customWidth="1"/>
    <col min="14" max="14" width="27.85546875" style="1" customWidth="1"/>
    <col min="15" max="15" width="13.140625" style="1" customWidth="1"/>
    <col min="16" max="16" width="23.7109375" style="1" customWidth="1"/>
    <col min="17" max="18" width="9.28515625" style="1" customWidth="1"/>
    <col min="19" max="19" width="24.28515625" style="1" customWidth="1"/>
    <col min="20" max="20" width="6.7109375" style="1" customWidth="1"/>
    <col min="21" max="22" width="9.28515625" style="1" customWidth="1"/>
    <col min="23" max="23" width="40.140625" style="1" customWidth="1"/>
    <col min="24" max="24" width="9.28515625" style="1" customWidth="1"/>
    <col min="25" max="25" width="11.7109375" style="10" customWidth="1"/>
    <col min="26" max="26" width="9.28515625" style="1" customWidth="1"/>
    <col min="27" max="27" width="15.28515625" style="1" customWidth="1"/>
    <col min="28" max="28" width="11.28515625" style="1" customWidth="1"/>
    <col min="29" max="29" width="17.85546875" style="1" customWidth="1"/>
    <col min="30" max="30" width="14.7109375" style="1" customWidth="1"/>
    <col min="31" max="31" width="17.28515625" style="1" customWidth="1"/>
    <col min="32" max="32" width="10.7109375" style="1" customWidth="1"/>
    <col min="33" max="33" width="9.7109375" style="1" customWidth="1"/>
    <col min="34" max="34" width="21" style="1" customWidth="1"/>
    <col min="35" max="35" width="17.28515625" style="2" customWidth="1"/>
    <col min="36" max="36" width="17.28515625" style="1" customWidth="1"/>
    <col min="37" max="37" width="55.28515625" style="1" bestFit="1" customWidth="1"/>
    <col min="38" max="38" width="255.7109375" style="1" bestFit="1" customWidth="1"/>
    <col min="39" max="16384" width="11.42578125" style="1"/>
  </cols>
  <sheetData>
    <row r="1" spans="1:38" s="5" customFormat="1" ht="51.6" customHeight="1" x14ac:dyDescent="0.2">
      <c r="A1" s="5" t="s">
        <v>0</v>
      </c>
      <c r="B1" s="6" t="s">
        <v>1</v>
      </c>
      <c r="C1" s="5" t="s">
        <v>2</v>
      </c>
      <c r="D1" s="5" t="s">
        <v>3</v>
      </c>
      <c r="E1" s="5" t="s">
        <v>4</v>
      </c>
      <c r="F1" s="5" t="s">
        <v>5</v>
      </c>
      <c r="G1" s="5" t="s">
        <v>6</v>
      </c>
      <c r="H1" s="5" t="s">
        <v>7</v>
      </c>
      <c r="I1" s="5" t="s">
        <v>8</v>
      </c>
      <c r="J1" s="5" t="s">
        <v>9</v>
      </c>
      <c r="K1" s="50" t="s">
        <v>10</v>
      </c>
      <c r="L1" s="50" t="s">
        <v>11</v>
      </c>
      <c r="M1" s="50" t="s">
        <v>12</v>
      </c>
      <c r="N1" s="50" t="s">
        <v>13</v>
      </c>
      <c r="O1" s="50" t="s">
        <v>14</v>
      </c>
      <c r="P1" s="5" t="s">
        <v>15</v>
      </c>
      <c r="Q1" s="5" t="s">
        <v>16</v>
      </c>
      <c r="R1" s="5" t="s">
        <v>17</v>
      </c>
      <c r="S1" s="5" t="s">
        <v>18</v>
      </c>
      <c r="T1" s="5" t="s">
        <v>19</v>
      </c>
      <c r="U1" s="5" t="s">
        <v>20</v>
      </c>
      <c r="V1" s="5" t="s">
        <v>21</v>
      </c>
      <c r="W1" s="5" t="s">
        <v>22</v>
      </c>
      <c r="X1" s="5" t="s">
        <v>23</v>
      </c>
      <c r="Y1" s="7" t="s">
        <v>24</v>
      </c>
      <c r="Z1" s="5" t="s">
        <v>25</v>
      </c>
      <c r="AA1" s="5" t="s">
        <v>26</v>
      </c>
      <c r="AB1" s="5" t="s">
        <v>27</v>
      </c>
      <c r="AC1" s="5" t="s">
        <v>28</v>
      </c>
      <c r="AD1" s="5" t="s">
        <v>29</v>
      </c>
      <c r="AE1" s="5" t="s">
        <v>30</v>
      </c>
      <c r="AF1" s="5" t="s">
        <v>31</v>
      </c>
      <c r="AG1" s="5" t="s">
        <v>32</v>
      </c>
      <c r="AH1" s="5" t="s">
        <v>33</v>
      </c>
      <c r="AI1" s="5" t="s">
        <v>34</v>
      </c>
      <c r="AJ1" s="5" t="s">
        <v>35</v>
      </c>
      <c r="AK1" s="5" t="s">
        <v>36</v>
      </c>
      <c r="AL1" s="5" t="s">
        <v>37</v>
      </c>
    </row>
    <row r="2" spans="1:38" ht="14.45" customHeight="1" x14ac:dyDescent="0.2">
      <c r="A2" s="1" t="s">
        <v>38</v>
      </c>
      <c r="B2" s="9" t="s">
        <v>39</v>
      </c>
      <c r="C2" s="1" t="s">
        <v>40</v>
      </c>
      <c r="D2" s="1" t="s">
        <v>41</v>
      </c>
      <c r="E2" s="1" t="s">
        <v>42</v>
      </c>
      <c r="F2" s="1" t="s">
        <v>43</v>
      </c>
      <c r="G2" s="1" t="s">
        <v>44</v>
      </c>
      <c r="H2" s="1" t="s">
        <v>45</v>
      </c>
      <c r="I2" s="1" t="s">
        <v>46</v>
      </c>
      <c r="J2" s="1">
        <v>2022</v>
      </c>
      <c r="K2" s="1" t="s">
        <v>47</v>
      </c>
      <c r="L2" s="1" t="s">
        <v>48</v>
      </c>
      <c r="P2" s="1" t="s">
        <v>49</v>
      </c>
      <c r="Q2" s="1" t="s">
        <v>50</v>
      </c>
      <c r="R2" s="1" t="s">
        <v>51</v>
      </c>
      <c r="S2" s="1" t="s">
        <v>52</v>
      </c>
      <c r="T2" s="1" t="s">
        <v>53</v>
      </c>
      <c r="V2" s="1" t="s">
        <v>54</v>
      </c>
      <c r="W2" s="1" t="s">
        <v>47</v>
      </c>
      <c r="X2" s="1" t="s">
        <v>55</v>
      </c>
      <c r="Y2" s="10">
        <v>45222</v>
      </c>
      <c r="Z2" s="1">
        <v>2023</v>
      </c>
      <c r="AA2" s="2">
        <v>229478.24</v>
      </c>
      <c r="AB2" s="2"/>
      <c r="AC2" s="2">
        <v>183582.59</v>
      </c>
      <c r="AG2" s="1" t="s">
        <v>56</v>
      </c>
      <c r="AI2" s="2">
        <v>183582.59</v>
      </c>
    </row>
    <row r="3" spans="1:38" ht="14.45" customHeight="1" x14ac:dyDescent="0.2">
      <c r="A3" s="1" t="s">
        <v>57</v>
      </c>
      <c r="B3" s="9" t="s">
        <v>38</v>
      </c>
      <c r="C3" s="1" t="s">
        <v>58</v>
      </c>
      <c r="D3" s="1" t="s">
        <v>59</v>
      </c>
      <c r="E3" s="1" t="s">
        <v>42</v>
      </c>
      <c r="G3" s="1" t="s">
        <v>60</v>
      </c>
      <c r="H3" s="1" t="s">
        <v>61</v>
      </c>
      <c r="I3" s="1" t="s">
        <v>62</v>
      </c>
      <c r="J3" s="1">
        <v>2016</v>
      </c>
      <c r="K3" s="1" t="s">
        <v>63</v>
      </c>
      <c r="L3" s="1" t="s">
        <v>64</v>
      </c>
      <c r="M3" s="1" t="s">
        <v>65</v>
      </c>
      <c r="N3" s="1" t="s">
        <v>66</v>
      </c>
      <c r="P3" s="1" t="s">
        <v>67</v>
      </c>
      <c r="Q3" s="1" t="s">
        <v>50</v>
      </c>
      <c r="R3" s="1" t="s">
        <v>68</v>
      </c>
      <c r="S3" s="1" t="s">
        <v>69</v>
      </c>
      <c r="T3" s="1" t="s">
        <v>70</v>
      </c>
      <c r="U3" s="1">
        <v>1</v>
      </c>
      <c r="V3" s="1" t="s">
        <v>71</v>
      </c>
      <c r="W3" s="1" t="s">
        <v>63</v>
      </c>
      <c r="Y3" s="10">
        <v>44255</v>
      </c>
      <c r="Z3" s="1">
        <v>2021</v>
      </c>
      <c r="AA3" s="2">
        <v>3267135.94</v>
      </c>
      <c r="AB3" s="2"/>
      <c r="AC3" s="2">
        <v>300000</v>
      </c>
      <c r="AD3" s="1">
        <v>3</v>
      </c>
      <c r="AG3" s="1" t="s">
        <v>56</v>
      </c>
      <c r="AI3" s="2">
        <v>300000</v>
      </c>
    </row>
    <row r="4" spans="1:38" ht="14.45" customHeight="1" x14ac:dyDescent="0.2">
      <c r="A4" s="1" t="s">
        <v>57</v>
      </c>
      <c r="B4" s="9" t="s">
        <v>39</v>
      </c>
      <c r="C4" s="1" t="s">
        <v>58</v>
      </c>
      <c r="D4" s="1" t="s">
        <v>59</v>
      </c>
      <c r="E4" s="1" t="s">
        <v>42</v>
      </c>
      <c r="G4" s="1" t="s">
        <v>60</v>
      </c>
      <c r="H4" s="1" t="s">
        <v>61</v>
      </c>
      <c r="I4" s="1" t="s">
        <v>72</v>
      </c>
      <c r="J4" s="1">
        <v>2016</v>
      </c>
      <c r="K4" s="1" t="s">
        <v>73</v>
      </c>
      <c r="L4" s="1" t="s">
        <v>74</v>
      </c>
      <c r="M4" s="1" t="s">
        <v>75</v>
      </c>
      <c r="P4" s="1" t="s">
        <v>76</v>
      </c>
      <c r="Q4" s="1" t="s">
        <v>50</v>
      </c>
      <c r="R4" s="1" t="s">
        <v>77</v>
      </c>
      <c r="S4" s="1" t="s">
        <v>78</v>
      </c>
      <c r="T4" s="1" t="s">
        <v>79</v>
      </c>
      <c r="U4" s="1">
        <v>2</v>
      </c>
      <c r="V4" s="1" t="s">
        <v>80</v>
      </c>
      <c r="W4" s="1" t="s">
        <v>73</v>
      </c>
      <c r="Y4" s="10">
        <v>44923</v>
      </c>
      <c r="Z4" s="1">
        <v>2022</v>
      </c>
      <c r="AA4" s="2">
        <v>49899000</v>
      </c>
      <c r="AB4" s="2"/>
      <c r="AC4" s="2">
        <v>2494950</v>
      </c>
      <c r="AD4" s="1">
        <v>57</v>
      </c>
      <c r="AE4" s="1">
        <v>15</v>
      </c>
      <c r="AG4" s="1" t="s">
        <v>56</v>
      </c>
      <c r="AI4" s="2">
        <v>2494950</v>
      </c>
    </row>
    <row r="5" spans="1:38" ht="14.45" customHeight="1" x14ac:dyDescent="0.2">
      <c r="A5" s="1" t="s">
        <v>57</v>
      </c>
      <c r="B5" s="9" t="s">
        <v>39</v>
      </c>
      <c r="C5" s="1" t="s">
        <v>58</v>
      </c>
      <c r="D5" s="1" t="s">
        <v>59</v>
      </c>
      <c r="E5" s="1" t="s">
        <v>42</v>
      </c>
      <c r="G5" s="1" t="s">
        <v>60</v>
      </c>
      <c r="H5" s="1" t="s">
        <v>61</v>
      </c>
      <c r="I5" s="1" t="s">
        <v>81</v>
      </c>
      <c r="J5" s="1" t="s">
        <v>82</v>
      </c>
      <c r="K5" s="1" t="s">
        <v>83</v>
      </c>
      <c r="L5" s="1" t="s">
        <v>84</v>
      </c>
      <c r="P5" s="1" t="s">
        <v>85</v>
      </c>
      <c r="Q5" s="1" t="s">
        <v>50</v>
      </c>
      <c r="R5" s="1" t="s">
        <v>77</v>
      </c>
      <c r="S5" s="1" t="s">
        <v>78</v>
      </c>
      <c r="T5" s="1" t="s">
        <v>79</v>
      </c>
      <c r="U5" s="1">
        <v>2</v>
      </c>
      <c r="V5" s="1" t="s">
        <v>80</v>
      </c>
      <c r="W5" s="1" t="s">
        <v>86</v>
      </c>
      <c r="X5" s="1" t="s">
        <v>87</v>
      </c>
      <c r="Y5" s="10">
        <v>43825</v>
      </c>
      <c r="Z5" s="1">
        <v>2019</v>
      </c>
      <c r="AA5" s="2">
        <v>748997.89</v>
      </c>
      <c r="AB5" s="2"/>
      <c r="AC5" s="2">
        <v>42000</v>
      </c>
      <c r="AD5" s="1">
        <v>3</v>
      </c>
      <c r="AG5" s="1" t="s">
        <v>56</v>
      </c>
      <c r="AI5" s="2">
        <v>42000</v>
      </c>
    </row>
    <row r="6" spans="1:38" ht="14.45" customHeight="1" x14ac:dyDescent="0.2">
      <c r="A6" s="1" t="s">
        <v>57</v>
      </c>
      <c r="B6" s="9" t="s">
        <v>39</v>
      </c>
      <c r="C6" s="1" t="s">
        <v>58</v>
      </c>
      <c r="D6" s="1" t="s">
        <v>59</v>
      </c>
      <c r="E6" s="1" t="s">
        <v>42</v>
      </c>
      <c r="G6" s="1" t="s">
        <v>88</v>
      </c>
      <c r="H6" s="1" t="s">
        <v>61</v>
      </c>
      <c r="I6" s="1" t="s">
        <v>89</v>
      </c>
      <c r="J6" s="1" t="s">
        <v>82</v>
      </c>
      <c r="K6" s="1" t="s">
        <v>90</v>
      </c>
      <c r="L6" s="1" t="s">
        <v>90</v>
      </c>
      <c r="M6" s="1" t="s">
        <v>91</v>
      </c>
      <c r="P6" s="1" t="s">
        <v>92</v>
      </c>
      <c r="Q6" s="1" t="s">
        <v>50</v>
      </c>
      <c r="R6" s="1" t="s">
        <v>68</v>
      </c>
      <c r="S6" s="1" t="s">
        <v>93</v>
      </c>
      <c r="T6" s="1" t="s">
        <v>94</v>
      </c>
      <c r="U6" s="1">
        <v>2</v>
      </c>
      <c r="V6" s="1" t="s">
        <v>80</v>
      </c>
      <c r="W6" s="1" t="s">
        <v>90</v>
      </c>
      <c r="X6" s="1" t="s">
        <v>87</v>
      </c>
      <c r="Y6" s="10">
        <v>43825</v>
      </c>
      <c r="Z6" s="1">
        <v>2019</v>
      </c>
      <c r="AA6" s="2">
        <v>78574.37</v>
      </c>
      <c r="AB6" s="2"/>
      <c r="AC6" s="2">
        <v>11786.16</v>
      </c>
      <c r="AD6" s="1">
        <v>1</v>
      </c>
      <c r="AG6" s="1" t="s">
        <v>56</v>
      </c>
      <c r="AI6" s="2">
        <v>11786.16</v>
      </c>
    </row>
    <row r="7" spans="1:38" ht="14.45" customHeight="1" x14ac:dyDescent="0.2">
      <c r="A7" s="1" t="s">
        <v>57</v>
      </c>
      <c r="B7" s="9" t="s">
        <v>38</v>
      </c>
      <c r="C7" s="1" t="s">
        <v>58</v>
      </c>
      <c r="D7" s="1" t="s">
        <v>59</v>
      </c>
      <c r="E7" s="1" t="s">
        <v>42</v>
      </c>
      <c r="G7" s="1" t="s">
        <v>60</v>
      </c>
      <c r="H7" s="1" t="s">
        <v>61</v>
      </c>
      <c r="I7" s="1" t="s">
        <v>95</v>
      </c>
      <c r="J7" s="1">
        <v>2017</v>
      </c>
      <c r="K7" s="1" t="s">
        <v>96</v>
      </c>
      <c r="L7" s="1" t="s">
        <v>97</v>
      </c>
      <c r="M7" s="1" t="s">
        <v>98</v>
      </c>
      <c r="N7" s="1" t="s">
        <v>99</v>
      </c>
      <c r="P7" s="1" t="s">
        <v>100</v>
      </c>
      <c r="Q7" s="1" t="s">
        <v>101</v>
      </c>
      <c r="R7" s="1" t="s">
        <v>102</v>
      </c>
      <c r="S7" s="1" t="s">
        <v>103</v>
      </c>
      <c r="T7" s="1" t="s">
        <v>104</v>
      </c>
      <c r="U7" s="1">
        <v>1</v>
      </c>
      <c r="V7" s="1" t="s">
        <v>101</v>
      </c>
      <c r="W7" s="1" t="s">
        <v>96</v>
      </c>
      <c r="X7" s="1" t="s">
        <v>87</v>
      </c>
      <c r="Y7" s="10">
        <v>44923</v>
      </c>
      <c r="Z7" s="1">
        <v>2022</v>
      </c>
      <c r="AA7" s="2">
        <v>20598890</v>
      </c>
      <c r="AB7" s="2"/>
      <c r="AC7" s="2">
        <v>2625000</v>
      </c>
      <c r="AD7" s="1">
        <v>30</v>
      </c>
      <c r="AE7" s="1">
        <v>8</v>
      </c>
      <c r="AG7" s="1" t="s">
        <v>56</v>
      </c>
      <c r="AI7" s="2">
        <v>2625000</v>
      </c>
    </row>
    <row r="8" spans="1:38" ht="14.45" customHeight="1" x14ac:dyDescent="0.2">
      <c r="A8" s="1" t="s">
        <v>57</v>
      </c>
      <c r="B8" s="9" t="s">
        <v>39</v>
      </c>
      <c r="C8" s="1" t="s">
        <v>58</v>
      </c>
      <c r="D8" s="1" t="s">
        <v>59</v>
      </c>
      <c r="E8" s="1" t="s">
        <v>42</v>
      </c>
      <c r="G8" s="1" t="s">
        <v>105</v>
      </c>
      <c r="H8" s="1" t="s">
        <v>61</v>
      </c>
      <c r="I8" s="1" t="s">
        <v>106</v>
      </c>
      <c r="J8" s="1">
        <v>2023</v>
      </c>
      <c r="K8" s="1" t="s">
        <v>107</v>
      </c>
      <c r="L8" s="1" t="s">
        <v>108</v>
      </c>
      <c r="P8" s="1" t="s">
        <v>109</v>
      </c>
      <c r="Q8" s="1" t="s">
        <v>110</v>
      </c>
      <c r="R8" s="1" t="s">
        <v>111</v>
      </c>
      <c r="S8" s="1" t="s">
        <v>112</v>
      </c>
      <c r="T8" s="1" t="s">
        <v>113</v>
      </c>
      <c r="V8" s="1" t="s">
        <v>114</v>
      </c>
      <c r="W8" s="1" t="s">
        <v>108</v>
      </c>
      <c r="Y8" s="10">
        <v>45462</v>
      </c>
      <c r="Z8" s="1">
        <v>2024</v>
      </c>
      <c r="AA8" s="2">
        <v>6618250</v>
      </c>
      <c r="AB8" s="2"/>
      <c r="AC8" s="2">
        <f>1147930.14+611632.36</f>
        <v>1759562.5</v>
      </c>
      <c r="AD8" s="1">
        <v>10</v>
      </c>
      <c r="AE8" s="1">
        <v>3</v>
      </c>
      <c r="AG8" s="1" t="s">
        <v>56</v>
      </c>
      <c r="AI8" s="2">
        <v>1759562.5</v>
      </c>
      <c r="AL8" s="1" t="s">
        <v>115</v>
      </c>
    </row>
    <row r="9" spans="1:38" ht="14.45" customHeight="1" x14ac:dyDescent="0.2">
      <c r="A9" s="1" t="s">
        <v>57</v>
      </c>
      <c r="B9" s="9" t="s">
        <v>39</v>
      </c>
      <c r="C9" s="1" t="s">
        <v>58</v>
      </c>
      <c r="D9" s="1" t="s">
        <v>59</v>
      </c>
      <c r="E9" s="1" t="s">
        <v>42</v>
      </c>
      <c r="G9" s="1" t="s">
        <v>105</v>
      </c>
      <c r="H9" s="1" t="s">
        <v>61</v>
      </c>
      <c r="I9" s="1" t="s">
        <v>116</v>
      </c>
      <c r="J9" s="1">
        <v>2023</v>
      </c>
      <c r="K9" s="1" t="s">
        <v>117</v>
      </c>
      <c r="L9" s="1" t="s">
        <v>118</v>
      </c>
      <c r="P9" s="1" t="s">
        <v>119</v>
      </c>
      <c r="Q9" s="1" t="s">
        <v>110</v>
      </c>
      <c r="R9" s="1" t="s">
        <v>111</v>
      </c>
      <c r="S9" s="1" t="s">
        <v>120</v>
      </c>
      <c r="T9" s="1" t="s">
        <v>121</v>
      </c>
      <c r="V9" s="1" t="s">
        <v>114</v>
      </c>
      <c r="W9" s="1" t="s">
        <v>117</v>
      </c>
      <c r="Y9" s="10">
        <v>45462</v>
      </c>
      <c r="Z9" s="1">
        <v>2024</v>
      </c>
      <c r="AA9" s="2">
        <v>648129.39</v>
      </c>
      <c r="AB9" s="2"/>
      <c r="AC9" s="2">
        <v>213407.35</v>
      </c>
      <c r="AD9" s="1">
        <v>4.0999999999999996</v>
      </c>
      <c r="AE9" s="1">
        <v>2.25</v>
      </c>
      <c r="AG9" s="1" t="s">
        <v>56</v>
      </c>
      <c r="AI9" s="2">
        <v>213407.35</v>
      </c>
    </row>
    <row r="10" spans="1:38" ht="14.45" customHeight="1" x14ac:dyDescent="0.2">
      <c r="A10" s="1" t="s">
        <v>57</v>
      </c>
      <c r="B10" s="9" t="s">
        <v>39</v>
      </c>
      <c r="C10" s="1" t="s">
        <v>58</v>
      </c>
      <c r="D10" s="1" t="s">
        <v>59</v>
      </c>
      <c r="E10" s="1" t="s">
        <v>42</v>
      </c>
      <c r="G10" s="1" t="s">
        <v>122</v>
      </c>
      <c r="H10" s="1" t="s">
        <v>61</v>
      </c>
      <c r="I10" s="1" t="s">
        <v>123</v>
      </c>
      <c r="J10" s="1">
        <v>2023</v>
      </c>
      <c r="K10" s="1" t="s">
        <v>124</v>
      </c>
      <c r="L10" s="1" t="s">
        <v>124</v>
      </c>
      <c r="M10" s="1" t="s">
        <v>125</v>
      </c>
      <c r="P10" s="1" t="s">
        <v>126</v>
      </c>
      <c r="Q10" s="1" t="s">
        <v>50</v>
      </c>
      <c r="R10" s="1" t="s">
        <v>51</v>
      </c>
      <c r="S10" s="1" t="s">
        <v>52</v>
      </c>
      <c r="T10" s="1" t="s">
        <v>53</v>
      </c>
      <c r="V10" s="1" t="s">
        <v>54</v>
      </c>
      <c r="W10" s="1" t="s">
        <v>124</v>
      </c>
      <c r="Y10" s="10">
        <v>45478</v>
      </c>
      <c r="Z10" s="1">
        <v>2024</v>
      </c>
      <c r="AA10" s="2">
        <v>221000</v>
      </c>
      <c r="AB10" s="2"/>
      <c r="AC10" s="2">
        <v>55250</v>
      </c>
      <c r="AD10" s="1">
        <v>0</v>
      </c>
      <c r="AG10" s="1" t="s">
        <v>56</v>
      </c>
      <c r="AI10" s="2">
        <v>55250</v>
      </c>
    </row>
    <row r="11" spans="1:38" ht="14.45" customHeight="1" x14ac:dyDescent="0.2">
      <c r="A11" s="1" t="s">
        <v>57</v>
      </c>
      <c r="B11" s="9" t="s">
        <v>39</v>
      </c>
      <c r="C11" s="1" t="s">
        <v>58</v>
      </c>
      <c r="D11" s="1" t="s">
        <v>59</v>
      </c>
      <c r="E11" s="1" t="s">
        <v>42</v>
      </c>
      <c r="G11" s="1" t="s">
        <v>122</v>
      </c>
      <c r="H11" s="1" t="s">
        <v>61</v>
      </c>
      <c r="I11" s="1" t="s">
        <v>127</v>
      </c>
      <c r="J11" s="1">
        <v>2023</v>
      </c>
      <c r="K11" s="1" t="s">
        <v>128</v>
      </c>
      <c r="L11" s="1" t="s">
        <v>129</v>
      </c>
      <c r="P11" s="1" t="s">
        <v>130</v>
      </c>
      <c r="Q11" s="1" t="s">
        <v>110</v>
      </c>
      <c r="R11" s="1" t="s">
        <v>111</v>
      </c>
      <c r="S11" s="1" t="s">
        <v>112</v>
      </c>
      <c r="T11" s="1" t="s">
        <v>113</v>
      </c>
      <c r="V11" s="1" t="s">
        <v>114</v>
      </c>
      <c r="W11" s="1" t="s">
        <v>128</v>
      </c>
      <c r="Y11" s="10">
        <v>45478</v>
      </c>
      <c r="Z11" s="1">
        <v>2024</v>
      </c>
      <c r="AA11" s="2">
        <v>174686.68</v>
      </c>
      <c r="AB11" s="2"/>
      <c r="AC11" s="2">
        <v>43671.67</v>
      </c>
      <c r="AD11" s="1">
        <v>0</v>
      </c>
      <c r="AG11" s="1" t="s">
        <v>56</v>
      </c>
      <c r="AI11" s="2">
        <v>43671.67</v>
      </c>
    </row>
    <row r="12" spans="1:38" ht="14.45" customHeight="1" x14ac:dyDescent="0.2">
      <c r="A12" s="1" t="s">
        <v>57</v>
      </c>
      <c r="B12" s="9" t="s">
        <v>39</v>
      </c>
      <c r="C12" s="1" t="s">
        <v>58</v>
      </c>
      <c r="D12" s="1" t="s">
        <v>59</v>
      </c>
      <c r="E12" s="1" t="s">
        <v>42</v>
      </c>
      <c r="G12" s="1" t="s">
        <v>60</v>
      </c>
      <c r="H12" s="1" t="s">
        <v>61</v>
      </c>
      <c r="I12" s="1" t="s">
        <v>131</v>
      </c>
      <c r="J12" s="1">
        <v>2021</v>
      </c>
      <c r="K12" s="1" t="s">
        <v>132</v>
      </c>
      <c r="L12" s="1" t="s">
        <v>133</v>
      </c>
      <c r="M12" s="1" t="s">
        <v>134</v>
      </c>
      <c r="P12" s="1" t="s">
        <v>135</v>
      </c>
      <c r="Q12" s="1" t="s">
        <v>50</v>
      </c>
      <c r="R12" s="1" t="s">
        <v>68</v>
      </c>
      <c r="S12" s="1" t="s">
        <v>136</v>
      </c>
      <c r="T12" s="1" t="s">
        <v>137</v>
      </c>
      <c r="U12" s="1">
        <v>2</v>
      </c>
      <c r="V12" s="1" t="s">
        <v>80</v>
      </c>
      <c r="W12" s="1" t="s">
        <v>132</v>
      </c>
      <c r="X12" s="1" t="s">
        <v>138</v>
      </c>
      <c r="Y12" s="10">
        <v>44557</v>
      </c>
      <c r="Z12" s="1">
        <v>2021</v>
      </c>
      <c r="AA12" s="2">
        <v>4183830.98</v>
      </c>
      <c r="AB12" s="2"/>
      <c r="AC12" s="2">
        <v>625000</v>
      </c>
      <c r="AD12" s="1">
        <v>25</v>
      </c>
      <c r="AE12" s="1">
        <v>25</v>
      </c>
      <c r="AG12" s="1" t="s">
        <v>56</v>
      </c>
      <c r="AI12" s="2">
        <v>625000</v>
      </c>
    </row>
    <row r="13" spans="1:38" ht="14.45" customHeight="1" x14ac:dyDescent="0.2">
      <c r="A13" s="1" t="s">
        <v>57</v>
      </c>
      <c r="B13" s="9" t="s">
        <v>39</v>
      </c>
      <c r="C13" s="1" t="s">
        <v>58</v>
      </c>
      <c r="D13" s="1" t="s">
        <v>59</v>
      </c>
      <c r="E13" s="1" t="s">
        <v>42</v>
      </c>
      <c r="G13" s="1" t="s">
        <v>88</v>
      </c>
      <c r="H13" s="1" t="s">
        <v>61</v>
      </c>
      <c r="I13" s="1" t="s">
        <v>139</v>
      </c>
      <c r="J13" s="1">
        <v>2021</v>
      </c>
      <c r="K13" s="1" t="s">
        <v>140</v>
      </c>
      <c r="L13" s="1" t="s">
        <v>141</v>
      </c>
      <c r="P13" s="1" t="s">
        <v>142</v>
      </c>
      <c r="Q13" s="1" t="s">
        <v>50</v>
      </c>
      <c r="R13" s="1" t="s">
        <v>68</v>
      </c>
      <c r="S13" s="1" t="s">
        <v>143</v>
      </c>
      <c r="T13" s="1" t="s">
        <v>144</v>
      </c>
      <c r="U13" s="1">
        <v>2</v>
      </c>
      <c r="V13" s="1" t="s">
        <v>80</v>
      </c>
      <c r="W13" s="1" t="s">
        <v>140</v>
      </c>
      <c r="X13" s="1" t="s">
        <v>145</v>
      </c>
      <c r="Y13" s="10">
        <v>44557</v>
      </c>
      <c r="Z13" s="1">
        <v>2021</v>
      </c>
      <c r="AA13" s="2">
        <v>191082.08</v>
      </c>
      <c r="AB13" s="2"/>
      <c r="AC13" s="2">
        <v>50000</v>
      </c>
      <c r="AD13" s="1">
        <v>1</v>
      </c>
      <c r="AE13" s="1">
        <v>1</v>
      </c>
      <c r="AG13" s="1" t="s">
        <v>56</v>
      </c>
      <c r="AI13" s="2">
        <v>50000</v>
      </c>
    </row>
    <row r="14" spans="1:38" ht="14.45" hidden="1" customHeight="1" x14ac:dyDescent="0.2">
      <c r="A14" s="1" t="s">
        <v>57</v>
      </c>
      <c r="B14" s="9" t="s">
        <v>39</v>
      </c>
      <c r="C14" s="1" t="s">
        <v>58</v>
      </c>
      <c r="D14" s="1" t="s">
        <v>146</v>
      </c>
      <c r="E14" s="1" t="s">
        <v>42</v>
      </c>
      <c r="G14" s="1" t="s">
        <v>147</v>
      </c>
      <c r="H14" s="1" t="s">
        <v>148</v>
      </c>
      <c r="I14" s="1" t="s">
        <v>149</v>
      </c>
      <c r="J14" s="1">
        <v>2020</v>
      </c>
      <c r="K14" s="1" t="s">
        <v>150</v>
      </c>
      <c r="L14" s="1" t="s">
        <v>152</v>
      </c>
      <c r="P14" s="1" t="s">
        <v>151</v>
      </c>
      <c r="Q14" s="1" t="s">
        <v>50</v>
      </c>
      <c r="R14" s="1" t="s">
        <v>77</v>
      </c>
      <c r="S14" s="11" t="s">
        <v>78</v>
      </c>
      <c r="T14" s="1" t="s">
        <v>79</v>
      </c>
      <c r="U14" s="1">
        <v>2</v>
      </c>
      <c r="V14" s="1" t="s">
        <v>80</v>
      </c>
      <c r="W14" s="1" t="s">
        <v>152</v>
      </c>
      <c r="X14" s="1" t="s">
        <v>153</v>
      </c>
      <c r="Y14" s="10">
        <v>44127</v>
      </c>
      <c r="Z14" s="1">
        <v>2020</v>
      </c>
      <c r="AA14" s="2"/>
      <c r="AB14" s="2"/>
      <c r="AC14" s="2"/>
      <c r="AD14" s="1">
        <v>0</v>
      </c>
      <c r="AG14" s="1" t="s">
        <v>56</v>
      </c>
      <c r="AH14" s="1" t="s">
        <v>154</v>
      </c>
    </row>
    <row r="15" spans="1:38" ht="14.45" customHeight="1" x14ac:dyDescent="0.2">
      <c r="A15" s="1" t="s">
        <v>57</v>
      </c>
      <c r="B15" s="9" t="s">
        <v>39</v>
      </c>
      <c r="C15" s="1" t="s">
        <v>58</v>
      </c>
      <c r="D15" s="1" t="s">
        <v>146</v>
      </c>
      <c r="E15" s="1" t="s">
        <v>42</v>
      </c>
      <c r="G15" s="1" t="s">
        <v>155</v>
      </c>
      <c r="H15" s="1" t="s">
        <v>156</v>
      </c>
      <c r="I15" s="1" t="s">
        <v>157</v>
      </c>
      <c r="J15" s="1">
        <v>2022</v>
      </c>
      <c r="K15" s="1" t="s">
        <v>158</v>
      </c>
      <c r="L15" s="1" t="s">
        <v>159</v>
      </c>
      <c r="P15" s="1" t="s">
        <v>160</v>
      </c>
      <c r="Q15" s="1" t="s">
        <v>110</v>
      </c>
      <c r="R15" s="1" t="s">
        <v>161</v>
      </c>
      <c r="S15" s="1" t="s">
        <v>162</v>
      </c>
      <c r="T15" s="1" t="s">
        <v>163</v>
      </c>
      <c r="V15" s="1" t="s">
        <v>114</v>
      </c>
      <c r="W15" s="1" t="s">
        <v>164</v>
      </c>
      <c r="Y15" s="10">
        <v>45112</v>
      </c>
      <c r="Z15" s="1">
        <v>2023</v>
      </c>
      <c r="AA15" s="2">
        <v>379940</v>
      </c>
      <c r="AB15" s="2"/>
      <c r="AC15" s="2">
        <v>379940</v>
      </c>
      <c r="AG15" s="1" t="s">
        <v>56</v>
      </c>
      <c r="AI15" s="2">
        <v>379940</v>
      </c>
    </row>
    <row r="16" spans="1:38" ht="14.45" customHeight="1" x14ac:dyDescent="0.2">
      <c r="A16" s="1" t="s">
        <v>57</v>
      </c>
      <c r="B16" s="9" t="s">
        <v>39</v>
      </c>
      <c r="C16" s="1" t="s">
        <v>58</v>
      </c>
      <c r="D16" s="1" t="s">
        <v>59</v>
      </c>
      <c r="E16" s="1" t="s">
        <v>42</v>
      </c>
      <c r="F16" s="1" t="s">
        <v>165</v>
      </c>
      <c r="G16" s="1" t="s">
        <v>88</v>
      </c>
      <c r="H16" s="1" t="s">
        <v>166</v>
      </c>
      <c r="I16" s="1" t="s">
        <v>167</v>
      </c>
      <c r="J16" s="1">
        <v>2023</v>
      </c>
      <c r="K16" s="1" t="s">
        <v>168</v>
      </c>
      <c r="L16" s="1" t="s">
        <v>169</v>
      </c>
      <c r="M16" s="1" t="s">
        <v>170</v>
      </c>
      <c r="P16" s="1" t="s">
        <v>171</v>
      </c>
      <c r="Q16" s="1" t="s">
        <v>50</v>
      </c>
      <c r="R16" s="1" t="s">
        <v>68</v>
      </c>
      <c r="S16" s="1" t="s">
        <v>172</v>
      </c>
      <c r="T16" s="2" t="s">
        <v>173</v>
      </c>
      <c r="U16" s="1">
        <v>2</v>
      </c>
      <c r="V16" s="1" t="s">
        <v>80</v>
      </c>
      <c r="W16" s="1" t="s">
        <v>174</v>
      </c>
      <c r="Y16" s="10">
        <v>45802</v>
      </c>
      <c r="Z16" s="1">
        <v>2025</v>
      </c>
      <c r="AA16" s="12">
        <v>132004.29999999999</v>
      </c>
      <c r="AB16" s="2"/>
      <c r="AC16" s="12">
        <v>23100.75</v>
      </c>
      <c r="AD16" s="1">
        <v>1.5</v>
      </c>
      <c r="AE16" s="1">
        <v>0.5</v>
      </c>
      <c r="AG16" s="1" t="s">
        <v>56</v>
      </c>
      <c r="AI16" s="13">
        <v>23100.75</v>
      </c>
    </row>
    <row r="17" spans="1:38" ht="14.45" customHeight="1" x14ac:dyDescent="0.2">
      <c r="A17" s="1" t="s">
        <v>57</v>
      </c>
      <c r="B17" s="9" t="s">
        <v>39</v>
      </c>
      <c r="C17" s="1" t="s">
        <v>58</v>
      </c>
      <c r="D17" s="1" t="s">
        <v>146</v>
      </c>
      <c r="E17" s="1" t="s">
        <v>42</v>
      </c>
      <c r="G17" s="1" t="s">
        <v>155</v>
      </c>
      <c r="H17" s="1" t="s">
        <v>156</v>
      </c>
      <c r="I17" s="1" t="s">
        <v>175</v>
      </c>
      <c r="J17" s="1">
        <v>2022</v>
      </c>
      <c r="K17" s="1" t="s">
        <v>176</v>
      </c>
      <c r="L17" s="1" t="s">
        <v>177</v>
      </c>
      <c r="P17" s="1" t="s">
        <v>178</v>
      </c>
      <c r="Q17" s="1" t="s">
        <v>110</v>
      </c>
      <c r="R17" s="1" t="s">
        <v>111</v>
      </c>
      <c r="S17" s="1" t="s">
        <v>179</v>
      </c>
      <c r="T17" s="1" t="s">
        <v>180</v>
      </c>
      <c r="V17" s="1" t="s">
        <v>114</v>
      </c>
      <c r="W17" s="1" t="s">
        <v>181</v>
      </c>
      <c r="Y17" s="10">
        <v>45112</v>
      </c>
      <c r="Z17" s="1">
        <v>2023</v>
      </c>
      <c r="AA17" s="2">
        <v>250593.21</v>
      </c>
      <c r="AB17" s="2"/>
      <c r="AC17" s="2">
        <v>250593.21</v>
      </c>
      <c r="AG17" s="1" t="s">
        <v>56</v>
      </c>
      <c r="AI17" s="2">
        <v>250593.21</v>
      </c>
    </row>
    <row r="18" spans="1:38" ht="14.45" hidden="1" customHeight="1" x14ac:dyDescent="0.2">
      <c r="A18" s="1" t="s">
        <v>57</v>
      </c>
      <c r="B18" s="9" t="s">
        <v>38</v>
      </c>
      <c r="C18" s="1" t="s">
        <v>58</v>
      </c>
      <c r="D18" s="1" t="s">
        <v>146</v>
      </c>
      <c r="E18" s="1" t="s">
        <v>42</v>
      </c>
      <c r="G18" s="1" t="s">
        <v>147</v>
      </c>
      <c r="H18" s="1" t="s">
        <v>148</v>
      </c>
      <c r="I18" s="1" t="s">
        <v>149</v>
      </c>
      <c r="J18" s="1">
        <v>2020</v>
      </c>
      <c r="K18" s="1" t="s">
        <v>150</v>
      </c>
      <c r="L18" s="1" t="s">
        <v>182</v>
      </c>
      <c r="P18" s="1" t="s">
        <v>183</v>
      </c>
      <c r="Q18" s="1" t="s">
        <v>50</v>
      </c>
      <c r="R18" s="1" t="s">
        <v>77</v>
      </c>
      <c r="S18" s="1" t="s">
        <v>184</v>
      </c>
      <c r="T18" s="1" t="s">
        <v>185</v>
      </c>
      <c r="U18" s="1">
        <v>1</v>
      </c>
      <c r="V18" s="1" t="s">
        <v>186</v>
      </c>
      <c r="W18" s="1" t="s">
        <v>152</v>
      </c>
      <c r="X18" s="1" t="s">
        <v>153</v>
      </c>
      <c r="Y18" s="10">
        <v>44127</v>
      </c>
      <c r="Z18" s="1">
        <v>2020</v>
      </c>
      <c r="AA18" s="2">
        <v>84384.49</v>
      </c>
      <c r="AB18" s="2"/>
      <c r="AC18" s="2">
        <v>63288.367500000008</v>
      </c>
      <c r="AD18" s="1">
        <v>0</v>
      </c>
      <c r="AG18" s="1" t="s">
        <v>56</v>
      </c>
      <c r="AH18" s="1" t="s">
        <v>154</v>
      </c>
      <c r="AI18" s="2">
        <v>63288.367500000008</v>
      </c>
    </row>
    <row r="19" spans="1:38" ht="14.45" hidden="1" customHeight="1" x14ac:dyDescent="0.2">
      <c r="A19" s="1" t="s">
        <v>57</v>
      </c>
      <c r="B19" s="9" t="s">
        <v>38</v>
      </c>
      <c r="C19" s="1" t="s">
        <v>58</v>
      </c>
      <c r="D19" s="1" t="s">
        <v>146</v>
      </c>
      <c r="E19" s="1" t="s">
        <v>42</v>
      </c>
      <c r="G19" s="1" t="s">
        <v>147</v>
      </c>
      <c r="H19" s="1" t="s">
        <v>148</v>
      </c>
      <c r="I19" s="1" t="s">
        <v>149</v>
      </c>
      <c r="J19" s="1">
        <v>2020</v>
      </c>
      <c r="K19" s="1" t="s">
        <v>150</v>
      </c>
      <c r="L19" s="1" t="s">
        <v>187</v>
      </c>
      <c r="P19" s="1" t="s">
        <v>188</v>
      </c>
      <c r="Q19" s="1" t="s">
        <v>50</v>
      </c>
      <c r="R19" s="1" t="s">
        <v>68</v>
      </c>
      <c r="S19" s="1" t="s">
        <v>189</v>
      </c>
      <c r="T19" s="1" t="s">
        <v>190</v>
      </c>
      <c r="U19" s="1">
        <v>1</v>
      </c>
      <c r="V19" s="1" t="s">
        <v>71</v>
      </c>
      <c r="W19" s="1" t="s">
        <v>152</v>
      </c>
      <c r="X19" s="1" t="s">
        <v>153</v>
      </c>
      <c r="Y19" s="10">
        <v>44127</v>
      </c>
      <c r="Z19" s="1">
        <v>2020</v>
      </c>
      <c r="AA19" s="2">
        <v>94562.69</v>
      </c>
      <c r="AB19" s="2"/>
      <c r="AC19" s="2">
        <v>70922.017500000002</v>
      </c>
      <c r="AD19" s="1">
        <v>0</v>
      </c>
      <c r="AG19" s="1" t="s">
        <v>56</v>
      </c>
      <c r="AH19" s="1" t="s">
        <v>154</v>
      </c>
      <c r="AI19" s="2">
        <v>70922.017500000002</v>
      </c>
    </row>
    <row r="20" spans="1:38" ht="14.45" hidden="1" customHeight="1" x14ac:dyDescent="0.2">
      <c r="A20" s="1" t="s">
        <v>57</v>
      </c>
      <c r="B20" s="9" t="s">
        <v>38</v>
      </c>
      <c r="C20" s="1" t="s">
        <v>58</v>
      </c>
      <c r="D20" s="1" t="s">
        <v>146</v>
      </c>
      <c r="E20" s="1" t="s">
        <v>42</v>
      </c>
      <c r="G20" s="1" t="s">
        <v>147</v>
      </c>
      <c r="H20" s="1" t="s">
        <v>148</v>
      </c>
      <c r="I20" s="1" t="s">
        <v>149</v>
      </c>
      <c r="J20" s="1">
        <v>2020</v>
      </c>
      <c r="K20" s="1" t="s">
        <v>150</v>
      </c>
      <c r="L20" s="1" t="s">
        <v>191</v>
      </c>
      <c r="P20" s="1" t="s">
        <v>192</v>
      </c>
      <c r="Q20" s="1" t="s">
        <v>50</v>
      </c>
      <c r="R20" s="1" t="s">
        <v>68</v>
      </c>
      <c r="S20" s="1" t="s">
        <v>193</v>
      </c>
      <c r="T20" s="1" t="s">
        <v>194</v>
      </c>
      <c r="U20" s="1">
        <v>1</v>
      </c>
      <c r="V20" s="1" t="s">
        <v>195</v>
      </c>
      <c r="W20" s="1" t="s">
        <v>152</v>
      </c>
      <c r="X20" s="1" t="s">
        <v>153</v>
      </c>
      <c r="Y20" s="10">
        <v>44127</v>
      </c>
      <c r="Z20" s="1">
        <v>2020</v>
      </c>
      <c r="AA20" s="2">
        <v>132822.10999999999</v>
      </c>
      <c r="AB20" s="2"/>
      <c r="AC20" s="2">
        <v>99616.58249999999</v>
      </c>
      <c r="AD20" s="1">
        <v>0</v>
      </c>
      <c r="AG20" s="1" t="s">
        <v>56</v>
      </c>
      <c r="AH20" s="1" t="s">
        <v>154</v>
      </c>
      <c r="AI20" s="2">
        <v>99616.58249999999</v>
      </c>
    </row>
    <row r="21" spans="1:38" ht="14.45" hidden="1" customHeight="1" x14ac:dyDescent="0.2">
      <c r="A21" s="1" t="s">
        <v>57</v>
      </c>
      <c r="B21" s="9" t="s">
        <v>38</v>
      </c>
      <c r="C21" s="1" t="s">
        <v>58</v>
      </c>
      <c r="D21" s="1" t="s">
        <v>146</v>
      </c>
      <c r="E21" s="1" t="s">
        <v>42</v>
      </c>
      <c r="G21" s="1" t="s">
        <v>147</v>
      </c>
      <c r="H21" s="1" t="s">
        <v>148</v>
      </c>
      <c r="I21" s="1" t="s">
        <v>149</v>
      </c>
      <c r="J21" s="1">
        <v>2020</v>
      </c>
      <c r="K21" s="1" t="s">
        <v>150</v>
      </c>
      <c r="L21" s="1" t="s">
        <v>196</v>
      </c>
      <c r="M21" s="14"/>
      <c r="P21" s="1" t="s">
        <v>197</v>
      </c>
      <c r="Q21" s="1" t="s">
        <v>50</v>
      </c>
      <c r="R21" s="1" t="s">
        <v>77</v>
      </c>
      <c r="S21" s="1" t="s">
        <v>198</v>
      </c>
      <c r="T21" s="1" t="s">
        <v>199</v>
      </c>
      <c r="U21" s="1">
        <v>1</v>
      </c>
      <c r="V21" s="1" t="s">
        <v>186</v>
      </c>
      <c r="W21" s="1" t="s">
        <v>152</v>
      </c>
      <c r="X21" s="1" t="s">
        <v>153</v>
      </c>
      <c r="Y21" s="10">
        <v>44127</v>
      </c>
      <c r="Z21" s="1">
        <v>2020</v>
      </c>
      <c r="AA21" s="2">
        <v>67124.02</v>
      </c>
      <c r="AB21" s="2"/>
      <c r="AC21" s="2">
        <v>50343.014999999999</v>
      </c>
      <c r="AD21" s="1">
        <v>0</v>
      </c>
      <c r="AG21" s="1" t="s">
        <v>56</v>
      </c>
      <c r="AH21" s="1" t="s">
        <v>154</v>
      </c>
      <c r="AI21" s="2">
        <v>50343.014999999999</v>
      </c>
    </row>
    <row r="22" spans="1:38" ht="12.6" customHeight="1" x14ac:dyDescent="0.2">
      <c r="A22" s="1" t="s">
        <v>57</v>
      </c>
      <c r="B22" s="9" t="s">
        <v>39</v>
      </c>
      <c r="C22" s="1" t="s">
        <v>40</v>
      </c>
      <c r="D22" s="1" t="s">
        <v>41</v>
      </c>
      <c r="E22" s="1" t="s">
        <v>200</v>
      </c>
      <c r="F22" s="1" t="s">
        <v>201</v>
      </c>
      <c r="G22" s="1" t="s">
        <v>202</v>
      </c>
      <c r="H22" s="1" t="s">
        <v>45</v>
      </c>
      <c r="I22" s="1" t="s">
        <v>203</v>
      </c>
      <c r="J22" s="1">
        <v>2022</v>
      </c>
      <c r="K22" s="1" t="s">
        <v>204</v>
      </c>
      <c r="L22" s="1" t="s">
        <v>205</v>
      </c>
      <c r="M22" s="1" t="s">
        <v>206</v>
      </c>
      <c r="P22" s="1" t="s">
        <v>207</v>
      </c>
      <c r="Q22" s="1" t="s">
        <v>50</v>
      </c>
      <c r="R22" s="1" t="s">
        <v>77</v>
      </c>
      <c r="S22" s="1" t="s">
        <v>198</v>
      </c>
      <c r="T22" s="1" t="s">
        <v>199</v>
      </c>
      <c r="U22" s="1">
        <v>1</v>
      </c>
      <c r="V22" s="1" t="s">
        <v>186</v>
      </c>
      <c r="W22" s="1" t="s">
        <v>208</v>
      </c>
      <c r="Y22" s="10">
        <v>45112</v>
      </c>
      <c r="Z22" s="1">
        <v>2023</v>
      </c>
      <c r="AA22" s="2">
        <v>5663263.0300000003</v>
      </c>
      <c r="AB22" s="2"/>
      <c r="AC22" s="2">
        <v>1684820.71</v>
      </c>
      <c r="AD22" s="1">
        <v>25</v>
      </c>
      <c r="AF22" s="1">
        <v>15</v>
      </c>
      <c r="AG22" s="1" t="s">
        <v>56</v>
      </c>
      <c r="AI22" s="2">
        <v>1684820.71</v>
      </c>
    </row>
    <row r="23" spans="1:38" ht="14.45" customHeight="1" x14ac:dyDescent="0.2">
      <c r="A23" s="1" t="s">
        <v>57</v>
      </c>
      <c r="B23" s="9" t="s">
        <v>39</v>
      </c>
      <c r="C23" s="1" t="s">
        <v>40</v>
      </c>
      <c r="D23" s="1" t="s">
        <v>41</v>
      </c>
      <c r="E23" s="1" t="s">
        <v>200</v>
      </c>
      <c r="F23" s="1" t="s">
        <v>209</v>
      </c>
      <c r="G23" s="1" t="s">
        <v>210</v>
      </c>
      <c r="H23" s="1" t="s">
        <v>45</v>
      </c>
      <c r="I23" s="1" t="s">
        <v>211</v>
      </c>
      <c r="J23" s="1">
        <v>2022</v>
      </c>
      <c r="K23" s="1" t="s">
        <v>212</v>
      </c>
      <c r="L23" s="1" t="s">
        <v>213</v>
      </c>
      <c r="P23" s="1" t="s">
        <v>214</v>
      </c>
      <c r="Q23" s="1" t="s">
        <v>50</v>
      </c>
      <c r="R23" s="1" t="s">
        <v>51</v>
      </c>
      <c r="S23" s="1" t="s">
        <v>52</v>
      </c>
      <c r="T23" s="1" t="s">
        <v>53</v>
      </c>
      <c r="V23" s="1" t="s">
        <v>54</v>
      </c>
      <c r="Y23" s="10">
        <v>44840</v>
      </c>
      <c r="Z23" s="1">
        <v>2022</v>
      </c>
      <c r="AA23" s="2">
        <v>7239800</v>
      </c>
      <c r="AB23" s="2"/>
      <c r="AC23" s="2">
        <v>3707400</v>
      </c>
      <c r="AG23" s="1" t="s">
        <v>56</v>
      </c>
      <c r="AI23" s="2">
        <v>3707400</v>
      </c>
    </row>
    <row r="24" spans="1:38" ht="14.45" customHeight="1" x14ac:dyDescent="0.2">
      <c r="A24" s="1" t="s">
        <v>57</v>
      </c>
      <c r="B24" s="9" t="s">
        <v>39</v>
      </c>
      <c r="C24" s="1" t="s">
        <v>40</v>
      </c>
      <c r="D24" s="1" t="s">
        <v>41</v>
      </c>
      <c r="E24" s="1" t="s">
        <v>200</v>
      </c>
      <c r="F24" s="1" t="s">
        <v>215</v>
      </c>
      <c r="G24" s="1" t="s">
        <v>216</v>
      </c>
      <c r="H24" s="1" t="s">
        <v>45</v>
      </c>
      <c r="I24" s="1" t="s">
        <v>217</v>
      </c>
      <c r="J24" s="1">
        <v>2022</v>
      </c>
      <c r="K24" s="1" t="s">
        <v>218</v>
      </c>
      <c r="L24" s="1" t="s">
        <v>218</v>
      </c>
      <c r="M24" s="1" t="s">
        <v>219</v>
      </c>
      <c r="P24" s="1" t="s">
        <v>220</v>
      </c>
      <c r="Q24" s="1" t="s">
        <v>50</v>
      </c>
      <c r="R24" s="1" t="s">
        <v>68</v>
      </c>
      <c r="S24" s="1" t="s">
        <v>221</v>
      </c>
      <c r="T24" s="1" t="s">
        <v>222</v>
      </c>
      <c r="U24" s="1">
        <v>2</v>
      </c>
      <c r="V24" s="1" t="s">
        <v>80</v>
      </c>
      <c r="W24" s="1" t="s">
        <v>218</v>
      </c>
      <c r="X24" s="1" t="s">
        <v>55</v>
      </c>
      <c r="Y24" s="10">
        <v>45019</v>
      </c>
      <c r="Z24" s="1">
        <v>2023</v>
      </c>
      <c r="AA24" s="2">
        <v>14717362</v>
      </c>
      <c r="AB24" s="2"/>
      <c r="AC24" s="2">
        <v>7358681.0499999998</v>
      </c>
      <c r="AG24" s="1" t="s">
        <v>56</v>
      </c>
      <c r="AI24" s="2">
        <v>7358681.0499999998</v>
      </c>
    </row>
    <row r="25" spans="1:38" ht="12.6" customHeight="1" x14ac:dyDescent="0.2">
      <c r="A25" s="1" t="s">
        <v>57</v>
      </c>
      <c r="B25" s="9" t="s">
        <v>39</v>
      </c>
      <c r="C25" s="1" t="s">
        <v>40</v>
      </c>
      <c r="D25" s="1" t="s">
        <v>41</v>
      </c>
      <c r="E25" s="1" t="s">
        <v>42</v>
      </c>
      <c r="F25" s="1" t="s">
        <v>223</v>
      </c>
      <c r="G25" s="1" t="s">
        <v>224</v>
      </c>
      <c r="H25" s="1" t="s">
        <v>45</v>
      </c>
      <c r="I25" s="1" t="s">
        <v>225</v>
      </c>
      <c r="J25" s="1">
        <v>2023</v>
      </c>
      <c r="K25" s="1" t="s">
        <v>226</v>
      </c>
      <c r="L25" s="1" t="s">
        <v>227</v>
      </c>
      <c r="P25" s="1" t="s">
        <v>228</v>
      </c>
      <c r="Q25" s="1" t="s">
        <v>50</v>
      </c>
      <c r="R25" s="1" t="s">
        <v>68</v>
      </c>
      <c r="S25" s="1" t="s">
        <v>136</v>
      </c>
      <c r="T25" s="1" t="s">
        <v>137</v>
      </c>
      <c r="U25" s="1">
        <v>2</v>
      </c>
      <c r="V25" s="1" t="s">
        <v>80</v>
      </c>
      <c r="W25" s="1" t="s">
        <v>229</v>
      </c>
      <c r="X25" s="1" t="s">
        <v>55</v>
      </c>
      <c r="Y25" s="10">
        <v>45744</v>
      </c>
      <c r="Z25" s="1">
        <v>2025</v>
      </c>
      <c r="AA25" s="2">
        <v>1913036.31</v>
      </c>
      <c r="AB25" s="2"/>
      <c r="AC25" s="2">
        <v>944889.96</v>
      </c>
      <c r="AF25" s="2" t="s">
        <v>56</v>
      </c>
      <c r="AI25" s="2">
        <v>944889.96</v>
      </c>
    </row>
    <row r="26" spans="1:38" x14ac:dyDescent="0.2">
      <c r="A26" s="1" t="s">
        <v>57</v>
      </c>
      <c r="B26" s="9" t="s">
        <v>39</v>
      </c>
      <c r="C26" s="1" t="s">
        <v>40</v>
      </c>
      <c r="D26" s="1" t="s">
        <v>41</v>
      </c>
      <c r="E26" s="1" t="s">
        <v>200</v>
      </c>
      <c r="F26" s="1" t="s">
        <v>230</v>
      </c>
      <c r="G26" s="1" t="s">
        <v>231</v>
      </c>
      <c r="H26" s="1" t="s">
        <v>45</v>
      </c>
      <c r="I26" s="1" t="s">
        <v>232</v>
      </c>
      <c r="J26" s="1">
        <v>2022</v>
      </c>
      <c r="K26" s="1" t="s">
        <v>233</v>
      </c>
      <c r="L26" s="1" t="s">
        <v>234</v>
      </c>
      <c r="M26" s="1" t="s">
        <v>235</v>
      </c>
      <c r="P26" s="1" t="s">
        <v>236</v>
      </c>
      <c r="Q26" s="1" t="s">
        <v>50</v>
      </c>
      <c r="R26" s="1" t="s">
        <v>68</v>
      </c>
      <c r="S26" s="1" t="s">
        <v>237</v>
      </c>
      <c r="T26" s="1" t="s">
        <v>238</v>
      </c>
      <c r="U26" s="1">
        <v>2</v>
      </c>
      <c r="V26" s="1" t="s">
        <v>80</v>
      </c>
      <c r="W26" s="1" t="s">
        <v>239</v>
      </c>
      <c r="X26" s="1" t="s">
        <v>240</v>
      </c>
      <c r="Y26" s="10">
        <v>45254</v>
      </c>
      <c r="Z26" s="1">
        <v>2023</v>
      </c>
      <c r="AA26" s="2">
        <v>115000</v>
      </c>
      <c r="AB26" s="2"/>
      <c r="AC26" s="2">
        <v>40250</v>
      </c>
      <c r="AG26" s="1" t="s">
        <v>56</v>
      </c>
      <c r="AI26" s="2">
        <v>40250</v>
      </c>
    </row>
    <row r="27" spans="1:38" ht="14.45" customHeight="1" x14ac:dyDescent="0.2">
      <c r="A27" s="1" t="s">
        <v>38</v>
      </c>
      <c r="B27" s="9" t="s">
        <v>38</v>
      </c>
      <c r="C27" s="1" t="s">
        <v>40</v>
      </c>
      <c r="D27" s="1" t="s">
        <v>41</v>
      </c>
      <c r="E27" s="1" t="s">
        <v>42</v>
      </c>
      <c r="F27" s="1" t="s">
        <v>241</v>
      </c>
      <c r="G27" s="1" t="s">
        <v>242</v>
      </c>
      <c r="H27" s="1" t="s">
        <v>45</v>
      </c>
      <c r="I27" s="1" t="s">
        <v>243</v>
      </c>
      <c r="J27" s="1">
        <v>2024</v>
      </c>
      <c r="K27" s="1" t="s">
        <v>244</v>
      </c>
      <c r="L27" s="1" t="s">
        <v>245</v>
      </c>
      <c r="P27" s="1" t="s">
        <v>246</v>
      </c>
      <c r="Q27" s="1" t="s">
        <v>50</v>
      </c>
      <c r="R27" s="1" t="s">
        <v>51</v>
      </c>
      <c r="S27" s="1" t="s">
        <v>247</v>
      </c>
      <c r="T27" s="1" t="s">
        <v>248</v>
      </c>
      <c r="U27" s="1">
        <v>0</v>
      </c>
      <c r="V27" s="1" t="s">
        <v>54</v>
      </c>
      <c r="W27" s="1" t="s">
        <v>244</v>
      </c>
      <c r="Y27" s="10">
        <v>45869</v>
      </c>
      <c r="Z27" s="1">
        <v>2025</v>
      </c>
      <c r="AA27" s="1">
        <v>1783240</v>
      </c>
      <c r="AC27" s="1">
        <v>665750</v>
      </c>
      <c r="AI27" s="1"/>
    </row>
    <row r="28" spans="1:38" ht="14.45" customHeight="1" x14ac:dyDescent="0.2">
      <c r="A28" s="1" t="s">
        <v>57</v>
      </c>
      <c r="B28" s="9" t="s">
        <v>38</v>
      </c>
      <c r="C28" s="1" t="s">
        <v>40</v>
      </c>
      <c r="D28" s="1" t="s">
        <v>41</v>
      </c>
      <c r="E28" s="1" t="s">
        <v>42</v>
      </c>
      <c r="F28" s="1" t="s">
        <v>249</v>
      </c>
      <c r="G28" s="1" t="s">
        <v>250</v>
      </c>
      <c r="H28" s="1" t="s">
        <v>45</v>
      </c>
      <c r="I28" s="1" t="s">
        <v>251</v>
      </c>
      <c r="J28" s="1">
        <v>2024</v>
      </c>
      <c r="K28" s="1" t="s">
        <v>252</v>
      </c>
      <c r="L28" s="1" t="s">
        <v>253</v>
      </c>
      <c r="P28" s="1" t="s">
        <v>254</v>
      </c>
      <c r="Q28" s="1" t="s">
        <v>101</v>
      </c>
      <c r="R28" s="1" t="s">
        <v>102</v>
      </c>
      <c r="S28" s="1" t="s">
        <v>255</v>
      </c>
      <c r="T28" s="1" t="s">
        <v>256</v>
      </c>
      <c r="U28" s="1">
        <v>1</v>
      </c>
      <c r="V28" s="1" t="s">
        <v>101</v>
      </c>
      <c r="W28" s="1" t="s">
        <v>257</v>
      </c>
      <c r="X28" s="1" t="s">
        <v>258</v>
      </c>
      <c r="Y28" s="10">
        <v>45960</v>
      </c>
      <c r="Z28" s="1">
        <v>2025</v>
      </c>
      <c r="AA28" s="2">
        <v>98634</v>
      </c>
      <c r="AB28" s="2"/>
      <c r="AC28" s="2">
        <v>29299.8</v>
      </c>
      <c r="AG28" s="1" t="s">
        <v>56</v>
      </c>
      <c r="AI28" s="2">
        <v>29299.8</v>
      </c>
    </row>
    <row r="29" spans="1:38" ht="14.45" customHeight="1" x14ac:dyDescent="0.2">
      <c r="A29" s="1" t="s">
        <v>57</v>
      </c>
      <c r="B29" s="9" t="s">
        <v>38</v>
      </c>
      <c r="C29" s="1" t="s">
        <v>58</v>
      </c>
      <c r="D29" s="1" t="s">
        <v>59</v>
      </c>
      <c r="E29" s="1" t="s">
        <v>42</v>
      </c>
      <c r="G29" s="1" t="s">
        <v>60</v>
      </c>
      <c r="H29" s="1" t="s">
        <v>61</v>
      </c>
      <c r="I29" s="1" t="s">
        <v>259</v>
      </c>
      <c r="J29" s="1" t="s">
        <v>82</v>
      </c>
      <c r="K29" s="1" t="s">
        <v>260</v>
      </c>
      <c r="L29" s="1" t="s">
        <v>261</v>
      </c>
      <c r="M29" s="1" t="s">
        <v>262</v>
      </c>
      <c r="P29" s="1" t="s">
        <v>263</v>
      </c>
      <c r="Q29" s="1" t="s">
        <v>264</v>
      </c>
      <c r="R29" s="1" t="s">
        <v>265</v>
      </c>
      <c r="S29" s="1" t="s">
        <v>266</v>
      </c>
      <c r="T29" s="1" t="s">
        <v>267</v>
      </c>
      <c r="U29" s="1">
        <v>2</v>
      </c>
      <c r="V29" s="1" t="s">
        <v>268</v>
      </c>
      <c r="W29" s="1" t="s">
        <v>269</v>
      </c>
      <c r="X29" s="1" t="s">
        <v>153</v>
      </c>
      <c r="Y29" s="10">
        <v>43825</v>
      </c>
      <c r="Z29" s="1">
        <v>2019</v>
      </c>
      <c r="AA29" s="2">
        <v>1599536.02</v>
      </c>
      <c r="AB29" s="2"/>
      <c r="AC29" s="2">
        <v>108500</v>
      </c>
      <c r="AD29" s="1">
        <v>7</v>
      </c>
      <c r="AG29" s="1" t="s">
        <v>56</v>
      </c>
      <c r="AI29" s="2">
        <v>108500</v>
      </c>
      <c r="AL29" s="1" t="s">
        <v>270</v>
      </c>
    </row>
    <row r="30" spans="1:38" ht="14.45" customHeight="1" x14ac:dyDescent="0.2">
      <c r="A30" s="1" t="s">
        <v>57</v>
      </c>
      <c r="B30" s="9" t="s">
        <v>38</v>
      </c>
      <c r="C30" s="1" t="s">
        <v>58</v>
      </c>
      <c r="D30" s="1" t="s">
        <v>59</v>
      </c>
      <c r="E30" s="1" t="s">
        <v>42</v>
      </c>
      <c r="G30" s="1" t="s">
        <v>60</v>
      </c>
      <c r="H30" s="1" t="s">
        <v>61</v>
      </c>
      <c r="I30" s="1" t="s">
        <v>271</v>
      </c>
      <c r="J30" s="1" t="s">
        <v>82</v>
      </c>
      <c r="K30" s="1" t="s">
        <v>272</v>
      </c>
      <c r="L30" s="1" t="s">
        <v>273</v>
      </c>
      <c r="P30" s="1" t="s">
        <v>274</v>
      </c>
      <c r="Q30" s="1" t="s">
        <v>264</v>
      </c>
      <c r="R30" s="1" t="s">
        <v>265</v>
      </c>
      <c r="S30" s="1" t="s">
        <v>275</v>
      </c>
      <c r="T30" s="1" t="s">
        <v>276</v>
      </c>
      <c r="U30" s="1">
        <v>2</v>
      </c>
      <c r="V30" s="1" t="s">
        <v>80</v>
      </c>
      <c r="W30" s="1" t="s">
        <v>273</v>
      </c>
      <c r="X30" s="1" t="s">
        <v>87</v>
      </c>
      <c r="Y30" s="10">
        <v>43825</v>
      </c>
      <c r="Z30" s="1">
        <v>2019</v>
      </c>
      <c r="AA30" s="2">
        <v>1803728.85</v>
      </c>
      <c r="AB30" s="2"/>
      <c r="AC30" s="2">
        <v>87500</v>
      </c>
      <c r="AD30" s="1">
        <v>3</v>
      </c>
      <c r="AE30" s="1">
        <v>1</v>
      </c>
      <c r="AG30" s="1" t="s">
        <v>56</v>
      </c>
      <c r="AI30" s="2">
        <v>87208.33</v>
      </c>
      <c r="AL30" s="15" t="s">
        <v>277</v>
      </c>
    </row>
    <row r="31" spans="1:38" ht="14.45" customHeight="1" x14ac:dyDescent="0.2">
      <c r="A31" s="1" t="s">
        <v>57</v>
      </c>
      <c r="B31" s="9" t="s">
        <v>38</v>
      </c>
      <c r="C31" s="1" t="s">
        <v>58</v>
      </c>
      <c r="D31" s="1" t="s">
        <v>59</v>
      </c>
      <c r="E31" s="1" t="s">
        <v>42</v>
      </c>
      <c r="G31" s="1" t="s">
        <v>60</v>
      </c>
      <c r="H31" s="1" t="s">
        <v>61</v>
      </c>
      <c r="I31" s="1" t="s">
        <v>278</v>
      </c>
      <c r="J31" s="1" t="s">
        <v>82</v>
      </c>
      <c r="K31" s="1" t="s">
        <v>279</v>
      </c>
      <c r="L31" s="1" t="s">
        <v>280</v>
      </c>
      <c r="P31" s="1" t="s">
        <v>281</v>
      </c>
      <c r="Q31" s="1" t="s">
        <v>264</v>
      </c>
      <c r="R31" s="1" t="s">
        <v>265</v>
      </c>
      <c r="S31" s="1" t="s">
        <v>282</v>
      </c>
      <c r="T31" s="1" t="s">
        <v>283</v>
      </c>
      <c r="U31" s="1">
        <v>2</v>
      </c>
      <c r="V31" s="1" t="s">
        <v>80</v>
      </c>
      <c r="W31" s="1" t="s">
        <v>280</v>
      </c>
      <c r="X31" s="1" t="s">
        <v>87</v>
      </c>
      <c r="Y31" s="10">
        <v>43825</v>
      </c>
      <c r="Z31" s="1">
        <v>2019</v>
      </c>
      <c r="AA31" s="2">
        <v>1235647.1499999999</v>
      </c>
      <c r="AB31" s="2"/>
      <c r="AC31" s="2">
        <v>52500</v>
      </c>
      <c r="AD31" s="1">
        <v>3</v>
      </c>
      <c r="AE31" s="1">
        <v>2</v>
      </c>
      <c r="AG31" s="1" t="s">
        <v>56</v>
      </c>
      <c r="AI31" s="2">
        <v>52500</v>
      </c>
      <c r="AL31" s="1" t="s">
        <v>284</v>
      </c>
    </row>
    <row r="32" spans="1:38" ht="14.45" customHeight="1" x14ac:dyDescent="0.2">
      <c r="A32" s="1" t="s">
        <v>57</v>
      </c>
      <c r="B32" s="9" t="s">
        <v>38</v>
      </c>
      <c r="C32" s="1" t="s">
        <v>58</v>
      </c>
      <c r="D32" s="1" t="s">
        <v>59</v>
      </c>
      <c r="E32" s="1" t="s">
        <v>42</v>
      </c>
      <c r="G32" s="1" t="s">
        <v>60</v>
      </c>
      <c r="H32" s="1" t="s">
        <v>61</v>
      </c>
      <c r="I32" s="1" t="s">
        <v>285</v>
      </c>
      <c r="J32" s="1" t="s">
        <v>82</v>
      </c>
      <c r="K32" s="1" t="s">
        <v>286</v>
      </c>
      <c r="L32" s="1" t="s">
        <v>287</v>
      </c>
      <c r="M32" s="1" t="s">
        <v>288</v>
      </c>
      <c r="P32" s="1" t="s">
        <v>289</v>
      </c>
      <c r="Q32" s="1" t="s">
        <v>264</v>
      </c>
      <c r="R32" s="1" t="s">
        <v>265</v>
      </c>
      <c r="S32" s="1" t="s">
        <v>290</v>
      </c>
      <c r="T32" s="1" t="s">
        <v>291</v>
      </c>
      <c r="U32" s="1">
        <v>1</v>
      </c>
      <c r="V32" s="1" t="s">
        <v>268</v>
      </c>
      <c r="W32" s="1" t="s">
        <v>292</v>
      </c>
      <c r="X32" s="1" t="s">
        <v>87</v>
      </c>
      <c r="Y32" s="10">
        <v>44286</v>
      </c>
      <c r="Z32" s="1">
        <v>2021</v>
      </c>
      <c r="AA32" s="2">
        <v>2013926.09</v>
      </c>
      <c r="AB32" s="2"/>
      <c r="AC32" s="2">
        <v>166250</v>
      </c>
      <c r="AD32" s="1">
        <v>5</v>
      </c>
      <c r="AE32" s="1">
        <v>1</v>
      </c>
      <c r="AG32" s="1" t="s">
        <v>56</v>
      </c>
      <c r="AI32" s="2">
        <v>44406.16</v>
      </c>
      <c r="AL32" s="1" t="s">
        <v>293</v>
      </c>
    </row>
    <row r="33" spans="1:38" ht="14.45" customHeight="1" x14ac:dyDescent="0.2">
      <c r="A33" s="1" t="s">
        <v>57</v>
      </c>
      <c r="B33" s="9" t="s">
        <v>38</v>
      </c>
      <c r="C33" s="1" t="s">
        <v>58</v>
      </c>
      <c r="D33" s="1" t="s">
        <v>59</v>
      </c>
      <c r="E33" s="1" t="s">
        <v>42</v>
      </c>
      <c r="G33" s="1" t="s">
        <v>60</v>
      </c>
      <c r="H33" s="1" t="s">
        <v>61</v>
      </c>
      <c r="I33" s="1" t="s">
        <v>294</v>
      </c>
      <c r="J33" s="1" t="s">
        <v>82</v>
      </c>
      <c r="K33" s="1" t="s">
        <v>295</v>
      </c>
      <c r="L33" s="1" t="s">
        <v>296</v>
      </c>
      <c r="M33" s="1" t="s">
        <v>297</v>
      </c>
      <c r="P33" s="1" t="s">
        <v>298</v>
      </c>
      <c r="Q33" s="1" t="s">
        <v>264</v>
      </c>
      <c r="R33" s="1" t="s">
        <v>265</v>
      </c>
      <c r="S33" s="1" t="s">
        <v>299</v>
      </c>
      <c r="T33" s="1" t="s">
        <v>300</v>
      </c>
      <c r="U33" s="1">
        <v>2</v>
      </c>
      <c r="V33" s="1" t="s">
        <v>268</v>
      </c>
      <c r="W33" s="1" t="s">
        <v>295</v>
      </c>
      <c r="X33" s="1" t="s">
        <v>153</v>
      </c>
      <c r="Y33" s="10">
        <v>44127</v>
      </c>
      <c r="Z33" s="1">
        <v>2020</v>
      </c>
      <c r="AA33" s="2">
        <v>2476665</v>
      </c>
      <c r="AB33" s="2"/>
      <c r="AC33" s="2">
        <v>117250</v>
      </c>
      <c r="AD33" s="1">
        <v>8</v>
      </c>
      <c r="AG33" s="1" t="s">
        <v>56</v>
      </c>
      <c r="AI33" s="2">
        <v>117250</v>
      </c>
      <c r="AK33" s="1" t="s">
        <v>301</v>
      </c>
    </row>
    <row r="34" spans="1:38" ht="14.45" customHeight="1" x14ac:dyDescent="0.25">
      <c r="A34" s="1" t="s">
        <v>57</v>
      </c>
      <c r="B34" s="9" t="s">
        <v>38</v>
      </c>
      <c r="C34" s="1" t="s">
        <v>58</v>
      </c>
      <c r="D34" s="1" t="s">
        <v>59</v>
      </c>
      <c r="E34" s="1" t="s">
        <v>42</v>
      </c>
      <c r="G34" s="1" t="s">
        <v>88</v>
      </c>
      <c r="H34" s="1" t="s">
        <v>61</v>
      </c>
      <c r="I34" s="1" t="s">
        <v>302</v>
      </c>
      <c r="J34" s="1" t="s">
        <v>82</v>
      </c>
      <c r="K34" s="1" t="s">
        <v>303</v>
      </c>
      <c r="L34" s="1" t="s">
        <v>304</v>
      </c>
      <c r="P34" s="1" t="s">
        <v>305</v>
      </c>
      <c r="Q34" s="1" t="s">
        <v>264</v>
      </c>
      <c r="R34" s="1" t="s">
        <v>265</v>
      </c>
      <c r="S34" s="16" t="s">
        <v>306</v>
      </c>
      <c r="T34" s="1" t="s">
        <v>307</v>
      </c>
      <c r="U34" s="1">
        <v>1</v>
      </c>
      <c r="V34" s="1" t="s">
        <v>308</v>
      </c>
      <c r="W34" s="1" t="s">
        <v>303</v>
      </c>
      <c r="X34" s="1" t="s">
        <v>309</v>
      </c>
      <c r="Y34" s="10">
        <v>43825</v>
      </c>
      <c r="Z34" s="1">
        <v>2019</v>
      </c>
      <c r="AA34" s="2">
        <v>389718.09</v>
      </c>
      <c r="AB34" s="2"/>
      <c r="AC34" s="2">
        <v>115000</v>
      </c>
      <c r="AD34" s="1">
        <v>2</v>
      </c>
      <c r="AG34" s="1" t="s">
        <v>56</v>
      </c>
      <c r="AI34" s="2">
        <v>115000</v>
      </c>
      <c r="AL34" s="1" t="s">
        <v>310</v>
      </c>
    </row>
    <row r="35" spans="1:38" ht="14.45" customHeight="1" x14ac:dyDescent="0.2">
      <c r="A35" s="1" t="s">
        <v>57</v>
      </c>
      <c r="B35" s="9" t="s">
        <v>38</v>
      </c>
      <c r="C35" s="1" t="s">
        <v>58</v>
      </c>
      <c r="D35" s="1" t="s">
        <v>59</v>
      </c>
      <c r="E35" s="1" t="s">
        <v>42</v>
      </c>
      <c r="G35" s="1" t="s">
        <v>88</v>
      </c>
      <c r="H35" s="1" t="s">
        <v>61</v>
      </c>
      <c r="I35" s="1" t="s">
        <v>311</v>
      </c>
      <c r="J35" s="1" t="s">
        <v>82</v>
      </c>
      <c r="K35" s="1" t="s">
        <v>312</v>
      </c>
      <c r="L35" s="1" t="s">
        <v>313</v>
      </c>
      <c r="P35" s="1" t="s">
        <v>314</v>
      </c>
      <c r="Q35" s="1" t="s">
        <v>264</v>
      </c>
      <c r="R35" s="1" t="s">
        <v>265</v>
      </c>
      <c r="S35" s="1" t="s">
        <v>315</v>
      </c>
      <c r="T35" s="1" t="s">
        <v>316</v>
      </c>
      <c r="U35" s="1">
        <v>1</v>
      </c>
      <c r="V35" s="1" t="s">
        <v>268</v>
      </c>
      <c r="W35" s="1" t="s">
        <v>317</v>
      </c>
      <c r="X35" s="1" t="s">
        <v>138</v>
      </c>
      <c r="Y35" s="10">
        <v>43825</v>
      </c>
      <c r="Z35" s="1">
        <v>2019</v>
      </c>
      <c r="AA35" s="2">
        <v>72558.42</v>
      </c>
      <c r="AB35" s="2"/>
      <c r="AC35" s="2">
        <v>21767.53</v>
      </c>
      <c r="AD35" s="1">
        <v>1</v>
      </c>
      <c r="AG35" s="1" t="s">
        <v>56</v>
      </c>
      <c r="AI35" s="2">
        <v>21767.53</v>
      </c>
    </row>
    <row r="36" spans="1:38" ht="14.45" customHeight="1" x14ac:dyDescent="0.2">
      <c r="A36" s="1" t="s">
        <v>57</v>
      </c>
      <c r="B36" s="9" t="s">
        <v>38</v>
      </c>
      <c r="C36" s="1" t="s">
        <v>58</v>
      </c>
      <c r="D36" s="1" t="s">
        <v>59</v>
      </c>
      <c r="E36" s="1" t="s">
        <v>42</v>
      </c>
      <c r="G36" s="1" t="s">
        <v>88</v>
      </c>
      <c r="H36" s="1" t="s">
        <v>61</v>
      </c>
      <c r="I36" s="1" t="s">
        <v>318</v>
      </c>
      <c r="J36" s="1" t="s">
        <v>82</v>
      </c>
      <c r="K36" s="1" t="s">
        <v>319</v>
      </c>
      <c r="L36" s="1" t="s">
        <v>319</v>
      </c>
      <c r="P36" s="1" t="s">
        <v>320</v>
      </c>
      <c r="Q36" s="1" t="s">
        <v>264</v>
      </c>
      <c r="R36" s="1" t="s">
        <v>265</v>
      </c>
      <c r="S36" s="1" t="s">
        <v>275</v>
      </c>
      <c r="T36" s="1" t="s">
        <v>276</v>
      </c>
      <c r="U36" s="1">
        <v>1</v>
      </c>
      <c r="V36" s="1" t="s">
        <v>80</v>
      </c>
      <c r="W36" s="1" t="s">
        <v>319</v>
      </c>
      <c r="X36" s="1" t="s">
        <v>321</v>
      </c>
      <c r="Y36" s="10">
        <v>43825</v>
      </c>
      <c r="Z36" s="1">
        <v>2019</v>
      </c>
      <c r="AA36" s="2">
        <v>102901.25</v>
      </c>
      <c r="AB36" s="2"/>
      <c r="AC36" s="2">
        <v>20580.25</v>
      </c>
      <c r="AD36" s="1">
        <v>2</v>
      </c>
      <c r="AG36" s="1" t="s">
        <v>56</v>
      </c>
      <c r="AI36" s="2">
        <v>20580.25</v>
      </c>
    </row>
    <row r="37" spans="1:38" ht="14.45" customHeight="1" x14ac:dyDescent="0.2">
      <c r="A37" s="1" t="s">
        <v>57</v>
      </c>
      <c r="B37" s="9" t="s">
        <v>38</v>
      </c>
      <c r="C37" s="1" t="s">
        <v>58</v>
      </c>
      <c r="D37" s="1" t="s">
        <v>59</v>
      </c>
      <c r="E37" s="1" t="s">
        <v>42</v>
      </c>
      <c r="G37" s="1" t="s">
        <v>60</v>
      </c>
      <c r="H37" s="1" t="s">
        <v>61</v>
      </c>
      <c r="I37" s="1" t="s">
        <v>322</v>
      </c>
      <c r="J37" s="1">
        <v>2016</v>
      </c>
      <c r="K37" s="1" t="s">
        <v>323</v>
      </c>
      <c r="L37" s="1" t="s">
        <v>324</v>
      </c>
      <c r="P37" s="1" t="s">
        <v>325</v>
      </c>
      <c r="Q37" s="1" t="s">
        <v>101</v>
      </c>
      <c r="R37" s="1" t="s">
        <v>326</v>
      </c>
      <c r="S37" s="1" t="s">
        <v>327</v>
      </c>
      <c r="T37" s="1" t="s">
        <v>328</v>
      </c>
      <c r="U37" s="1">
        <v>2</v>
      </c>
      <c r="V37" s="1" t="s">
        <v>80</v>
      </c>
      <c r="W37" s="1" t="s">
        <v>329</v>
      </c>
      <c r="Y37" s="10">
        <v>44255</v>
      </c>
      <c r="Z37" s="1">
        <v>2021</v>
      </c>
      <c r="AA37" s="2">
        <v>2919619.42</v>
      </c>
      <c r="AB37" s="2"/>
      <c r="AC37" s="2">
        <v>437942.91</v>
      </c>
      <c r="AD37" s="1">
        <v>15</v>
      </c>
      <c r="AE37" s="1">
        <v>6</v>
      </c>
      <c r="AG37" s="1" t="s">
        <v>56</v>
      </c>
      <c r="AI37" s="2">
        <v>437942.91</v>
      </c>
    </row>
    <row r="38" spans="1:38" ht="14.45" customHeight="1" x14ac:dyDescent="0.2">
      <c r="A38" s="1" t="s">
        <v>57</v>
      </c>
      <c r="B38" s="9" t="s">
        <v>38</v>
      </c>
      <c r="C38" s="1" t="s">
        <v>58</v>
      </c>
      <c r="D38" s="1" t="s">
        <v>59</v>
      </c>
      <c r="E38" s="1" t="s">
        <v>42</v>
      </c>
      <c r="G38" s="1" t="s">
        <v>88</v>
      </c>
      <c r="H38" s="1" t="s">
        <v>61</v>
      </c>
      <c r="I38" s="1" t="s">
        <v>330</v>
      </c>
      <c r="J38" s="1" t="s">
        <v>82</v>
      </c>
      <c r="K38" s="1" t="s">
        <v>331</v>
      </c>
      <c r="L38" s="1" t="s">
        <v>332</v>
      </c>
      <c r="P38" s="1" t="s">
        <v>333</v>
      </c>
      <c r="Q38" s="1" t="s">
        <v>264</v>
      </c>
      <c r="R38" s="1" t="s">
        <v>265</v>
      </c>
      <c r="S38" s="1" t="s">
        <v>266</v>
      </c>
      <c r="T38" s="1" t="s">
        <v>267</v>
      </c>
      <c r="U38" s="1">
        <v>2</v>
      </c>
      <c r="V38" s="1" t="s">
        <v>268</v>
      </c>
      <c r="W38" s="1" t="s">
        <v>334</v>
      </c>
      <c r="X38" s="1" t="s">
        <v>138</v>
      </c>
      <c r="Y38" s="10">
        <v>43825</v>
      </c>
      <c r="Z38" s="1">
        <v>2019</v>
      </c>
      <c r="AA38" s="2">
        <v>74455</v>
      </c>
      <c r="AB38" s="2"/>
      <c r="AC38" s="2">
        <v>11168.25</v>
      </c>
      <c r="AD38" s="1">
        <v>1</v>
      </c>
      <c r="AG38" s="1" t="s">
        <v>56</v>
      </c>
      <c r="AI38" s="2">
        <v>11168.25</v>
      </c>
    </row>
    <row r="39" spans="1:38" ht="14.45" customHeight="1" x14ac:dyDescent="0.2">
      <c r="A39" s="1" t="s">
        <v>57</v>
      </c>
      <c r="B39" s="9" t="s">
        <v>38</v>
      </c>
      <c r="C39" s="1" t="s">
        <v>58</v>
      </c>
      <c r="D39" s="1" t="s">
        <v>59</v>
      </c>
      <c r="E39" s="1" t="s">
        <v>42</v>
      </c>
      <c r="G39" s="1" t="s">
        <v>60</v>
      </c>
      <c r="H39" s="1" t="s">
        <v>61</v>
      </c>
      <c r="I39" s="1" t="s">
        <v>335</v>
      </c>
      <c r="J39" s="1">
        <v>2016</v>
      </c>
      <c r="K39" s="1" t="s">
        <v>336</v>
      </c>
      <c r="L39" s="1" t="s">
        <v>337</v>
      </c>
      <c r="P39" s="1" t="s">
        <v>338</v>
      </c>
      <c r="Q39" s="1" t="s">
        <v>101</v>
      </c>
      <c r="R39" s="1" t="s">
        <v>339</v>
      </c>
      <c r="S39" s="1" t="s">
        <v>340</v>
      </c>
      <c r="T39" s="1" t="s">
        <v>341</v>
      </c>
      <c r="U39" s="1">
        <v>1</v>
      </c>
      <c r="V39" s="1" t="s">
        <v>80</v>
      </c>
      <c r="W39" s="1" t="s">
        <v>337</v>
      </c>
      <c r="Y39" s="10">
        <v>44255</v>
      </c>
      <c r="Z39" s="1">
        <v>2021</v>
      </c>
      <c r="AA39" s="2">
        <v>1184134</v>
      </c>
      <c r="AB39" s="2"/>
      <c r="AC39" s="2">
        <v>78831.81</v>
      </c>
      <c r="AD39" s="1">
        <v>5</v>
      </c>
      <c r="AE39" s="1">
        <v>4</v>
      </c>
      <c r="AG39" s="1" t="s">
        <v>56</v>
      </c>
      <c r="AI39" s="2">
        <v>78831.81</v>
      </c>
    </row>
    <row r="40" spans="1:38" ht="14.45" customHeight="1" x14ac:dyDescent="0.2">
      <c r="A40" s="1" t="s">
        <v>57</v>
      </c>
      <c r="B40" s="9" t="s">
        <v>38</v>
      </c>
      <c r="C40" s="1" t="s">
        <v>58</v>
      </c>
      <c r="D40" s="1" t="s">
        <v>59</v>
      </c>
      <c r="E40" s="1" t="s">
        <v>42</v>
      </c>
      <c r="G40" s="1" t="s">
        <v>60</v>
      </c>
      <c r="H40" s="1" t="s">
        <v>61</v>
      </c>
      <c r="I40" s="1" t="s">
        <v>342</v>
      </c>
      <c r="J40" s="1">
        <v>2016</v>
      </c>
      <c r="K40" s="1" t="s">
        <v>323</v>
      </c>
      <c r="L40" s="1" t="s">
        <v>343</v>
      </c>
      <c r="P40" s="1" t="s">
        <v>344</v>
      </c>
      <c r="Q40" s="1" t="s">
        <v>101</v>
      </c>
      <c r="R40" s="1" t="s">
        <v>326</v>
      </c>
      <c r="S40" s="1" t="s">
        <v>327</v>
      </c>
      <c r="T40" s="1" t="s">
        <v>328</v>
      </c>
      <c r="U40" s="1">
        <v>2</v>
      </c>
      <c r="V40" s="1" t="s">
        <v>80</v>
      </c>
      <c r="W40" s="1" t="s">
        <v>345</v>
      </c>
      <c r="Y40" s="10">
        <v>44255</v>
      </c>
      <c r="Z40" s="1">
        <v>2021</v>
      </c>
      <c r="AA40" s="2">
        <v>1272762.6000000001</v>
      </c>
      <c r="AB40" s="2"/>
      <c r="AC40" s="2">
        <v>190914.39</v>
      </c>
      <c r="AD40" s="1">
        <v>4</v>
      </c>
      <c r="AE40" s="1">
        <v>3</v>
      </c>
      <c r="AG40" s="1" t="s">
        <v>56</v>
      </c>
      <c r="AI40" s="2">
        <v>190914.39</v>
      </c>
    </row>
    <row r="41" spans="1:38" ht="14.45" customHeight="1" x14ac:dyDescent="0.2">
      <c r="A41" s="1" t="s">
        <v>57</v>
      </c>
      <c r="B41" s="9" t="s">
        <v>38</v>
      </c>
      <c r="C41" s="1" t="s">
        <v>58</v>
      </c>
      <c r="D41" s="1" t="s">
        <v>59</v>
      </c>
      <c r="E41" s="1" t="s">
        <v>42</v>
      </c>
      <c r="G41" s="1" t="s">
        <v>88</v>
      </c>
      <c r="H41" s="1" t="s">
        <v>61</v>
      </c>
      <c r="I41" s="1" t="s">
        <v>346</v>
      </c>
      <c r="J41" s="1" t="s">
        <v>82</v>
      </c>
      <c r="K41" s="1" t="s">
        <v>347</v>
      </c>
      <c r="L41" s="1" t="s">
        <v>348</v>
      </c>
      <c r="P41" s="1" t="s">
        <v>349</v>
      </c>
      <c r="Q41" s="1" t="s">
        <v>264</v>
      </c>
      <c r="R41" s="1" t="s">
        <v>265</v>
      </c>
      <c r="S41" s="1" t="s">
        <v>350</v>
      </c>
      <c r="T41" s="1" t="s">
        <v>351</v>
      </c>
      <c r="U41" s="1">
        <v>1</v>
      </c>
      <c r="V41" s="1" t="s">
        <v>80</v>
      </c>
      <c r="W41" s="1" t="s">
        <v>348</v>
      </c>
      <c r="X41" s="1" t="s">
        <v>138</v>
      </c>
      <c r="Y41" s="10">
        <v>43825</v>
      </c>
      <c r="Z41" s="1">
        <v>2019</v>
      </c>
      <c r="AA41" s="2">
        <v>68242.86</v>
      </c>
      <c r="AB41" s="2"/>
      <c r="AC41" s="2">
        <v>34121.43</v>
      </c>
      <c r="AD41" s="1">
        <v>2</v>
      </c>
      <c r="AE41" s="1">
        <v>1</v>
      </c>
      <c r="AG41" s="1" t="s">
        <v>56</v>
      </c>
      <c r="AI41" s="2">
        <v>34121.43</v>
      </c>
    </row>
    <row r="42" spans="1:38" ht="12.6" customHeight="1" x14ac:dyDescent="0.2">
      <c r="A42" s="1" t="s">
        <v>57</v>
      </c>
      <c r="B42" s="9" t="s">
        <v>38</v>
      </c>
      <c r="C42" s="1" t="s">
        <v>58</v>
      </c>
      <c r="D42" s="1" t="s">
        <v>59</v>
      </c>
      <c r="E42" s="1" t="s">
        <v>42</v>
      </c>
      <c r="G42" s="1" t="s">
        <v>88</v>
      </c>
      <c r="H42" s="1" t="s">
        <v>61</v>
      </c>
      <c r="I42" s="1" t="s">
        <v>352</v>
      </c>
      <c r="J42" s="1" t="s">
        <v>82</v>
      </c>
      <c r="K42" s="1" t="s">
        <v>353</v>
      </c>
      <c r="L42" s="1" t="s">
        <v>354</v>
      </c>
      <c r="P42" s="1" t="s">
        <v>355</v>
      </c>
      <c r="Q42" s="1" t="s">
        <v>264</v>
      </c>
      <c r="R42" s="1" t="s">
        <v>265</v>
      </c>
      <c r="S42" s="1" t="s">
        <v>350</v>
      </c>
      <c r="T42" s="1" t="s">
        <v>351</v>
      </c>
      <c r="U42" s="1">
        <v>1</v>
      </c>
      <c r="V42" s="1" t="s">
        <v>80</v>
      </c>
      <c r="W42" s="1" t="s">
        <v>354</v>
      </c>
      <c r="X42" s="1" t="s">
        <v>138</v>
      </c>
      <c r="Y42" s="10">
        <v>43825</v>
      </c>
      <c r="Z42" s="1">
        <v>2019</v>
      </c>
      <c r="AA42" s="2">
        <v>46519.17</v>
      </c>
      <c r="AB42" s="2"/>
      <c r="AC42" s="2">
        <v>17455.75</v>
      </c>
      <c r="AD42" s="1">
        <v>2.5</v>
      </c>
      <c r="AE42" s="1">
        <v>0.5</v>
      </c>
      <c r="AG42" s="1" t="s">
        <v>56</v>
      </c>
      <c r="AI42" s="2">
        <v>17455.75</v>
      </c>
      <c r="AL42" s="1" t="s">
        <v>356</v>
      </c>
    </row>
    <row r="43" spans="1:38" ht="12.6" customHeight="1" x14ac:dyDescent="0.25">
      <c r="A43" s="1" t="s">
        <v>57</v>
      </c>
      <c r="B43" s="9" t="s">
        <v>38</v>
      </c>
      <c r="C43" s="1" t="s">
        <v>58</v>
      </c>
      <c r="D43" s="1" t="s">
        <v>59</v>
      </c>
      <c r="E43" s="1" t="s">
        <v>42</v>
      </c>
      <c r="G43" s="1" t="s">
        <v>60</v>
      </c>
      <c r="H43" s="1" t="s">
        <v>61</v>
      </c>
      <c r="I43" s="1" t="s">
        <v>357</v>
      </c>
      <c r="J43" s="1">
        <v>2016</v>
      </c>
      <c r="K43" s="1" t="s">
        <v>358</v>
      </c>
      <c r="L43" s="1" t="s">
        <v>359</v>
      </c>
      <c r="P43" s="1" t="s">
        <v>360</v>
      </c>
      <c r="Q43" s="1" t="s">
        <v>101</v>
      </c>
      <c r="R43" s="1" t="s">
        <v>326</v>
      </c>
      <c r="S43" s="16" t="s">
        <v>361</v>
      </c>
      <c r="T43" s="1" t="s">
        <v>362</v>
      </c>
      <c r="U43" s="1">
        <v>2</v>
      </c>
      <c r="V43" s="1" t="s">
        <v>80</v>
      </c>
      <c r="W43" s="1" t="s">
        <v>359</v>
      </c>
      <c r="Y43" s="10">
        <v>44255</v>
      </c>
      <c r="Z43" s="1">
        <v>2021</v>
      </c>
      <c r="AA43" s="2">
        <v>3087034.6</v>
      </c>
      <c r="AB43" s="2"/>
      <c r="AC43" s="2">
        <v>308703.46000000002</v>
      </c>
      <c r="AD43" s="1">
        <v>10</v>
      </c>
      <c r="AE43" s="1">
        <v>7</v>
      </c>
      <c r="AG43" s="1" t="s">
        <v>56</v>
      </c>
      <c r="AI43" s="2">
        <v>308703.46000000002</v>
      </c>
    </row>
    <row r="44" spans="1:38" ht="14.45" customHeight="1" x14ac:dyDescent="0.2">
      <c r="A44" s="1" t="s">
        <v>57</v>
      </c>
      <c r="B44" s="9" t="s">
        <v>38</v>
      </c>
      <c r="C44" s="1" t="s">
        <v>58</v>
      </c>
      <c r="D44" s="1" t="s">
        <v>59</v>
      </c>
      <c r="E44" s="1" t="s">
        <v>42</v>
      </c>
      <c r="G44" s="1" t="s">
        <v>60</v>
      </c>
      <c r="H44" s="1" t="s">
        <v>61</v>
      </c>
      <c r="I44" s="1" t="s">
        <v>363</v>
      </c>
      <c r="J44" s="1">
        <v>2016</v>
      </c>
      <c r="K44" s="1" t="s">
        <v>336</v>
      </c>
      <c r="L44" s="1" t="s">
        <v>364</v>
      </c>
      <c r="P44" s="1" t="s">
        <v>365</v>
      </c>
      <c r="Q44" s="1" t="s">
        <v>101</v>
      </c>
      <c r="R44" s="1" t="s">
        <v>339</v>
      </c>
      <c r="S44" s="1" t="s">
        <v>340</v>
      </c>
      <c r="T44" s="1" t="s">
        <v>341</v>
      </c>
      <c r="U44" s="1">
        <v>1</v>
      </c>
      <c r="V44" s="1" t="s">
        <v>80</v>
      </c>
      <c r="W44" s="1" t="s">
        <v>364</v>
      </c>
      <c r="Y44" s="10">
        <v>44255</v>
      </c>
      <c r="Z44" s="1">
        <v>2021</v>
      </c>
      <c r="AA44" s="2">
        <v>715244.39</v>
      </c>
      <c r="AB44" s="2"/>
      <c r="AC44" s="2">
        <v>143048.88</v>
      </c>
      <c r="AD44" s="1">
        <v>3</v>
      </c>
      <c r="AG44" s="1" t="s">
        <v>56</v>
      </c>
      <c r="AI44" s="2">
        <v>143048.88</v>
      </c>
    </row>
    <row r="45" spans="1:38" ht="14.45" customHeight="1" x14ac:dyDescent="0.2">
      <c r="A45" s="1" t="s">
        <v>57</v>
      </c>
      <c r="B45" s="9" t="s">
        <v>38</v>
      </c>
      <c r="C45" s="1" t="s">
        <v>58</v>
      </c>
      <c r="D45" s="1" t="s">
        <v>59</v>
      </c>
      <c r="E45" s="1" t="s">
        <v>42</v>
      </c>
      <c r="G45" s="1" t="s">
        <v>60</v>
      </c>
      <c r="H45" s="1" t="s">
        <v>61</v>
      </c>
      <c r="I45" s="1" t="s">
        <v>366</v>
      </c>
      <c r="J45" s="1" t="s">
        <v>82</v>
      </c>
      <c r="K45" s="1" t="s">
        <v>367</v>
      </c>
      <c r="L45" s="1" t="s">
        <v>368</v>
      </c>
      <c r="M45" s="1" t="s">
        <v>369</v>
      </c>
      <c r="N45" s="1" t="s">
        <v>370</v>
      </c>
      <c r="P45" s="1" t="s">
        <v>371</v>
      </c>
      <c r="Q45" s="1" t="s">
        <v>101</v>
      </c>
      <c r="R45" s="1" t="s">
        <v>102</v>
      </c>
      <c r="S45" s="1" t="s">
        <v>372</v>
      </c>
      <c r="T45" s="1" t="s">
        <v>373</v>
      </c>
      <c r="U45" s="1">
        <v>1</v>
      </c>
      <c r="V45" s="1" t="s">
        <v>101</v>
      </c>
      <c r="W45" s="1" t="s">
        <v>367</v>
      </c>
      <c r="X45" s="1" t="s">
        <v>153</v>
      </c>
      <c r="Y45" s="10">
        <v>43825</v>
      </c>
      <c r="Z45" s="1">
        <v>2019</v>
      </c>
      <c r="AA45" s="2">
        <v>3429084</v>
      </c>
      <c r="AB45" s="2"/>
      <c r="AC45" s="2">
        <v>525000</v>
      </c>
      <c r="AD45" s="1">
        <v>15</v>
      </c>
      <c r="AG45" s="1" t="s">
        <v>56</v>
      </c>
      <c r="AI45" s="2">
        <v>525000</v>
      </c>
    </row>
    <row r="46" spans="1:38" ht="14.45" customHeight="1" x14ac:dyDescent="0.2">
      <c r="A46" s="1" t="s">
        <v>57</v>
      </c>
      <c r="B46" s="9" t="s">
        <v>38</v>
      </c>
      <c r="C46" s="1" t="s">
        <v>58</v>
      </c>
      <c r="D46" s="1" t="s">
        <v>59</v>
      </c>
      <c r="E46" s="1" t="s">
        <v>42</v>
      </c>
      <c r="G46" s="1" t="s">
        <v>88</v>
      </c>
      <c r="H46" s="1" t="s">
        <v>61</v>
      </c>
      <c r="I46" s="1" t="s">
        <v>374</v>
      </c>
      <c r="J46" s="1" t="s">
        <v>82</v>
      </c>
      <c r="K46" s="1" t="s">
        <v>375</v>
      </c>
      <c r="L46" s="1" t="s">
        <v>376</v>
      </c>
      <c r="M46" s="1" t="s">
        <v>377</v>
      </c>
      <c r="P46" s="1" t="s">
        <v>378</v>
      </c>
      <c r="Q46" s="1" t="s">
        <v>264</v>
      </c>
      <c r="R46" s="1" t="s">
        <v>265</v>
      </c>
      <c r="S46" s="1" t="s">
        <v>379</v>
      </c>
      <c r="T46" s="1" t="s">
        <v>380</v>
      </c>
      <c r="U46" s="1">
        <v>2</v>
      </c>
      <c r="V46" s="1" t="s">
        <v>268</v>
      </c>
      <c r="W46" s="1" t="s">
        <v>381</v>
      </c>
      <c r="X46" s="1" t="s">
        <v>153</v>
      </c>
      <c r="Y46" s="10">
        <v>43825</v>
      </c>
      <c r="Z46" s="1">
        <v>2019</v>
      </c>
      <c r="AA46" s="2">
        <v>96821.53</v>
      </c>
      <c r="AB46" s="2"/>
      <c r="AC46" s="2">
        <v>14523.23</v>
      </c>
      <c r="AD46" s="1">
        <v>0</v>
      </c>
      <c r="AG46" s="1" t="s">
        <v>56</v>
      </c>
      <c r="AI46" s="2">
        <v>14523.23</v>
      </c>
    </row>
    <row r="47" spans="1:38" ht="14.45" customHeight="1" x14ac:dyDescent="0.2">
      <c r="A47" s="1" t="s">
        <v>57</v>
      </c>
      <c r="B47" s="9" t="s">
        <v>38</v>
      </c>
      <c r="C47" s="1" t="s">
        <v>58</v>
      </c>
      <c r="D47" s="1" t="s">
        <v>59</v>
      </c>
      <c r="E47" s="1" t="s">
        <v>42</v>
      </c>
      <c r="G47" s="1" t="s">
        <v>60</v>
      </c>
      <c r="H47" s="1" t="s">
        <v>61</v>
      </c>
      <c r="I47" s="1" t="s">
        <v>382</v>
      </c>
      <c r="J47" s="1" t="s">
        <v>82</v>
      </c>
      <c r="K47" s="1" t="s">
        <v>383</v>
      </c>
      <c r="L47" s="1" t="s">
        <v>384</v>
      </c>
      <c r="N47" s="1" t="s">
        <v>385</v>
      </c>
      <c r="P47" s="1" t="s">
        <v>386</v>
      </c>
      <c r="Q47" s="1" t="s">
        <v>101</v>
      </c>
      <c r="R47" s="1" t="s">
        <v>102</v>
      </c>
      <c r="S47" s="1" t="s">
        <v>387</v>
      </c>
      <c r="T47" s="1" t="s">
        <v>388</v>
      </c>
      <c r="U47" s="1">
        <v>2</v>
      </c>
      <c r="V47" s="1" t="s">
        <v>101</v>
      </c>
      <c r="W47" s="1" t="s">
        <v>383</v>
      </c>
      <c r="X47" s="1" t="s">
        <v>87</v>
      </c>
      <c r="Y47" s="10">
        <v>43825</v>
      </c>
      <c r="Z47" s="1">
        <v>2019</v>
      </c>
      <c r="AA47" s="2">
        <v>2431647.54</v>
      </c>
      <c r="AB47" s="2"/>
      <c r="AC47" s="2">
        <v>47250</v>
      </c>
      <c r="AD47" s="1">
        <v>3</v>
      </c>
      <c r="AE47" s="1">
        <v>1</v>
      </c>
      <c r="AG47" s="1" t="s">
        <v>56</v>
      </c>
      <c r="AI47" s="2">
        <v>47250</v>
      </c>
    </row>
    <row r="48" spans="1:38" ht="14.45" customHeight="1" x14ac:dyDescent="0.2">
      <c r="A48" s="1" t="s">
        <v>57</v>
      </c>
      <c r="B48" s="9" t="s">
        <v>38</v>
      </c>
      <c r="C48" s="1" t="s">
        <v>58</v>
      </c>
      <c r="D48" s="1" t="s">
        <v>59</v>
      </c>
      <c r="E48" s="1" t="s">
        <v>42</v>
      </c>
      <c r="G48" s="1" t="s">
        <v>88</v>
      </c>
      <c r="H48" s="1" t="s">
        <v>61</v>
      </c>
      <c r="I48" s="1" t="s">
        <v>389</v>
      </c>
      <c r="J48" s="1" t="s">
        <v>82</v>
      </c>
      <c r="K48" s="1" t="s">
        <v>390</v>
      </c>
      <c r="L48" s="1" t="s">
        <v>391</v>
      </c>
      <c r="M48" s="1" t="s">
        <v>392</v>
      </c>
      <c r="P48" s="1" t="s">
        <v>393</v>
      </c>
      <c r="Q48" s="1" t="s">
        <v>264</v>
      </c>
      <c r="R48" s="1" t="s">
        <v>265</v>
      </c>
      <c r="S48" s="1" t="s">
        <v>266</v>
      </c>
      <c r="T48" s="1" t="s">
        <v>267</v>
      </c>
      <c r="U48" s="1">
        <v>2</v>
      </c>
      <c r="V48" s="1" t="s">
        <v>268</v>
      </c>
      <c r="W48" s="1" t="s">
        <v>394</v>
      </c>
      <c r="X48" s="1" t="s">
        <v>153</v>
      </c>
      <c r="Y48" s="10">
        <v>43825</v>
      </c>
      <c r="Z48" s="1">
        <v>2019</v>
      </c>
      <c r="AA48" s="2">
        <v>324230.53999999998</v>
      </c>
      <c r="AB48" s="2"/>
      <c r="AC48" s="2">
        <v>62634.58</v>
      </c>
      <c r="AD48" s="1">
        <v>2</v>
      </c>
      <c r="AG48" s="1" t="s">
        <v>56</v>
      </c>
      <c r="AI48" s="2">
        <v>62634.58</v>
      </c>
      <c r="AL48" s="1" t="s">
        <v>395</v>
      </c>
    </row>
    <row r="49" spans="1:38" ht="14.45" customHeight="1" x14ac:dyDescent="0.2">
      <c r="A49" s="1" t="s">
        <v>57</v>
      </c>
      <c r="B49" s="9" t="s">
        <v>38</v>
      </c>
      <c r="C49" s="1" t="s">
        <v>58</v>
      </c>
      <c r="D49" s="1" t="s">
        <v>59</v>
      </c>
      <c r="E49" s="1" t="s">
        <v>42</v>
      </c>
      <c r="G49" s="1" t="s">
        <v>60</v>
      </c>
      <c r="H49" s="1" t="s">
        <v>61</v>
      </c>
      <c r="I49" s="1" t="s">
        <v>396</v>
      </c>
      <c r="J49" s="1" t="s">
        <v>82</v>
      </c>
      <c r="K49" s="1" t="s">
        <v>397</v>
      </c>
      <c r="L49" s="1" t="s">
        <v>398</v>
      </c>
      <c r="P49" s="1" t="s">
        <v>365</v>
      </c>
      <c r="Q49" s="1" t="s">
        <v>101</v>
      </c>
      <c r="R49" s="1" t="s">
        <v>339</v>
      </c>
      <c r="S49" s="1" t="s">
        <v>340</v>
      </c>
      <c r="T49" s="1" t="s">
        <v>341</v>
      </c>
      <c r="U49" s="1">
        <v>1</v>
      </c>
      <c r="V49" s="1" t="s">
        <v>80</v>
      </c>
      <c r="W49" s="1" t="s">
        <v>399</v>
      </c>
      <c r="X49" s="1" t="s">
        <v>400</v>
      </c>
      <c r="Y49" s="10">
        <v>43825</v>
      </c>
      <c r="Z49" s="1">
        <v>2019</v>
      </c>
      <c r="AA49" s="2">
        <v>1282789.69</v>
      </c>
      <c r="AB49" s="2"/>
      <c r="AC49" s="2">
        <v>105000</v>
      </c>
      <c r="AD49" s="1">
        <v>4</v>
      </c>
      <c r="AG49" s="1" t="s">
        <v>56</v>
      </c>
      <c r="AI49" s="2">
        <v>105000</v>
      </c>
    </row>
    <row r="50" spans="1:38" ht="14.45" customHeight="1" x14ac:dyDescent="0.2">
      <c r="A50" s="1" t="s">
        <v>57</v>
      </c>
      <c r="B50" s="9" t="s">
        <v>39</v>
      </c>
      <c r="C50" s="1" t="s">
        <v>58</v>
      </c>
      <c r="D50" s="1" t="s">
        <v>59</v>
      </c>
      <c r="E50" s="1" t="s">
        <v>42</v>
      </c>
      <c r="G50" s="1" t="s">
        <v>60</v>
      </c>
      <c r="H50" s="1" t="s">
        <v>61</v>
      </c>
      <c r="I50" s="1" t="s">
        <v>401</v>
      </c>
      <c r="J50" s="1" t="s">
        <v>82</v>
      </c>
      <c r="K50" s="1" t="s">
        <v>402</v>
      </c>
      <c r="L50" s="1" t="s">
        <v>403</v>
      </c>
      <c r="M50" s="1" t="s">
        <v>404</v>
      </c>
      <c r="N50" s="1" t="s">
        <v>405</v>
      </c>
      <c r="P50" s="1" t="s">
        <v>406</v>
      </c>
      <c r="Q50" s="1" t="s">
        <v>50</v>
      </c>
      <c r="R50" s="1" t="s">
        <v>77</v>
      </c>
      <c r="S50" s="1" t="s">
        <v>407</v>
      </c>
      <c r="T50" s="1" t="s">
        <v>408</v>
      </c>
      <c r="U50" s="1">
        <v>1</v>
      </c>
      <c r="V50" s="1" t="s">
        <v>186</v>
      </c>
      <c r="W50" s="1" t="s">
        <v>402</v>
      </c>
      <c r="X50" s="1" t="s">
        <v>87</v>
      </c>
      <c r="Y50" s="10">
        <v>43825</v>
      </c>
      <c r="Z50" s="1">
        <v>2019</v>
      </c>
      <c r="AA50" s="2">
        <v>4590736.3899999997</v>
      </c>
      <c r="AB50" s="2"/>
      <c r="AC50" s="2">
        <v>525000</v>
      </c>
      <c r="AD50" s="1">
        <v>16</v>
      </c>
      <c r="AE50" s="1">
        <v>3</v>
      </c>
      <c r="AG50" s="1" t="s">
        <v>56</v>
      </c>
      <c r="AI50" s="2">
        <v>525000</v>
      </c>
      <c r="AL50" s="1" t="s">
        <v>409</v>
      </c>
    </row>
    <row r="51" spans="1:38" ht="14.45" customHeight="1" x14ac:dyDescent="0.2">
      <c r="A51" s="1" t="s">
        <v>57</v>
      </c>
      <c r="B51" s="9" t="s">
        <v>38</v>
      </c>
      <c r="C51" s="1" t="s">
        <v>58</v>
      </c>
      <c r="D51" s="1" t="s">
        <v>59</v>
      </c>
      <c r="E51" s="1" t="s">
        <v>42</v>
      </c>
      <c r="G51" s="1" t="s">
        <v>60</v>
      </c>
      <c r="H51" s="1" t="s">
        <v>61</v>
      </c>
      <c r="I51" s="1" t="s">
        <v>410</v>
      </c>
      <c r="J51" s="1" t="s">
        <v>82</v>
      </c>
      <c r="K51" s="1" t="s">
        <v>323</v>
      </c>
      <c r="L51" s="1" t="s">
        <v>343</v>
      </c>
      <c r="P51" s="1" t="s">
        <v>325</v>
      </c>
      <c r="Q51" s="1" t="s">
        <v>101</v>
      </c>
      <c r="R51" s="1" t="s">
        <v>326</v>
      </c>
      <c r="S51" s="1" t="s">
        <v>327</v>
      </c>
      <c r="T51" s="1" t="s">
        <v>328</v>
      </c>
      <c r="U51" s="1">
        <v>2</v>
      </c>
      <c r="V51" s="1" t="s">
        <v>80</v>
      </c>
      <c r="W51" s="1" t="s">
        <v>411</v>
      </c>
      <c r="X51" s="1" t="s">
        <v>400</v>
      </c>
      <c r="Y51" s="10">
        <v>43825</v>
      </c>
      <c r="Z51" s="1">
        <v>2019</v>
      </c>
      <c r="AA51" s="2">
        <v>2368823.7400000002</v>
      </c>
      <c r="AB51" s="2"/>
      <c r="AC51" s="2">
        <v>173250</v>
      </c>
      <c r="AD51" s="1">
        <v>9</v>
      </c>
      <c r="AE51" s="1">
        <v>8</v>
      </c>
      <c r="AG51" s="1" t="s">
        <v>56</v>
      </c>
      <c r="AI51" s="2">
        <v>173250</v>
      </c>
    </row>
    <row r="52" spans="1:38" ht="12.6" customHeight="1" x14ac:dyDescent="0.2">
      <c r="A52" s="1" t="s">
        <v>57</v>
      </c>
      <c r="B52" s="9" t="s">
        <v>38</v>
      </c>
      <c r="C52" s="1" t="s">
        <v>58</v>
      </c>
      <c r="D52" s="1" t="s">
        <v>59</v>
      </c>
      <c r="E52" s="1" t="s">
        <v>42</v>
      </c>
      <c r="G52" s="1" t="s">
        <v>88</v>
      </c>
      <c r="H52" s="1" t="s">
        <v>61</v>
      </c>
      <c r="I52" s="1" t="s">
        <v>412</v>
      </c>
      <c r="J52" s="1" t="s">
        <v>82</v>
      </c>
      <c r="K52" s="1" t="s">
        <v>413</v>
      </c>
      <c r="L52" s="1" t="s">
        <v>414</v>
      </c>
      <c r="M52" s="1" t="s">
        <v>415</v>
      </c>
      <c r="N52" s="1" t="s">
        <v>416</v>
      </c>
      <c r="P52" s="1" t="s">
        <v>417</v>
      </c>
      <c r="Q52" s="1" t="s">
        <v>50</v>
      </c>
      <c r="R52" s="1" t="s">
        <v>68</v>
      </c>
      <c r="S52" s="1" t="s">
        <v>69</v>
      </c>
      <c r="T52" s="1" t="s">
        <v>70</v>
      </c>
      <c r="U52" s="1">
        <v>1</v>
      </c>
      <c r="V52" s="1" t="s">
        <v>71</v>
      </c>
      <c r="W52" s="1" t="s">
        <v>413</v>
      </c>
      <c r="X52" s="1" t="s">
        <v>138</v>
      </c>
      <c r="Y52" s="10">
        <v>44127</v>
      </c>
      <c r="Z52" s="1">
        <v>2020</v>
      </c>
      <c r="AA52" s="2">
        <v>39355.1</v>
      </c>
      <c r="AB52" s="2"/>
      <c r="AC52" s="2">
        <v>11806.53</v>
      </c>
      <c r="AD52" s="1">
        <v>2</v>
      </c>
      <c r="AG52" s="1" t="s">
        <v>56</v>
      </c>
      <c r="AI52" s="2">
        <v>11806.53</v>
      </c>
      <c r="AK52" s="1" t="s">
        <v>418</v>
      </c>
    </row>
    <row r="53" spans="1:38" ht="14.45" customHeight="1" x14ac:dyDescent="0.2">
      <c r="A53" s="1" t="s">
        <v>57</v>
      </c>
      <c r="B53" s="9" t="s">
        <v>38</v>
      </c>
      <c r="C53" s="1" t="s">
        <v>58</v>
      </c>
      <c r="D53" s="1" t="s">
        <v>59</v>
      </c>
      <c r="E53" s="1" t="s">
        <v>42</v>
      </c>
      <c r="G53" s="1" t="s">
        <v>88</v>
      </c>
      <c r="H53" s="1" t="s">
        <v>61</v>
      </c>
      <c r="I53" s="1" t="s">
        <v>419</v>
      </c>
      <c r="J53" s="1" t="s">
        <v>82</v>
      </c>
      <c r="K53" s="1" t="s">
        <v>420</v>
      </c>
      <c r="L53" s="1" t="s">
        <v>421</v>
      </c>
      <c r="M53" s="1" t="s">
        <v>422</v>
      </c>
      <c r="N53" s="1" t="s">
        <v>423</v>
      </c>
      <c r="P53" s="1" t="s">
        <v>424</v>
      </c>
      <c r="Q53" s="1" t="s">
        <v>50</v>
      </c>
      <c r="R53" s="1" t="s">
        <v>68</v>
      </c>
      <c r="S53" s="1" t="s">
        <v>425</v>
      </c>
      <c r="T53" s="1" t="s">
        <v>426</v>
      </c>
      <c r="U53" s="1">
        <v>1</v>
      </c>
      <c r="V53" s="1" t="s">
        <v>195</v>
      </c>
      <c r="W53" s="1" t="s">
        <v>420</v>
      </c>
      <c r="X53" s="1" t="s">
        <v>321</v>
      </c>
      <c r="Y53" s="10">
        <v>43825</v>
      </c>
      <c r="Z53" s="1">
        <v>2019</v>
      </c>
      <c r="AA53" s="2">
        <v>151106.1</v>
      </c>
      <c r="AB53" s="2"/>
      <c r="AC53" s="2">
        <v>45331.83</v>
      </c>
      <c r="AD53" s="1">
        <v>1</v>
      </c>
      <c r="AG53" s="1" t="s">
        <v>56</v>
      </c>
      <c r="AI53" s="2">
        <v>45331.83</v>
      </c>
    </row>
    <row r="54" spans="1:38" ht="12.6" customHeight="1" x14ac:dyDescent="0.2">
      <c r="A54" s="1" t="s">
        <v>57</v>
      </c>
      <c r="B54" s="9" t="s">
        <v>39</v>
      </c>
      <c r="C54" s="1" t="s">
        <v>58</v>
      </c>
      <c r="D54" s="1" t="s">
        <v>59</v>
      </c>
      <c r="E54" s="1" t="s">
        <v>42</v>
      </c>
      <c r="G54" s="1" t="s">
        <v>60</v>
      </c>
      <c r="H54" s="1" t="s">
        <v>61</v>
      </c>
      <c r="I54" s="1" t="s">
        <v>427</v>
      </c>
      <c r="J54" s="1" t="s">
        <v>82</v>
      </c>
      <c r="K54" s="1" t="s">
        <v>428</v>
      </c>
      <c r="P54" s="1" t="s">
        <v>429</v>
      </c>
      <c r="Q54" s="1" t="s">
        <v>50</v>
      </c>
      <c r="R54" s="1" t="s">
        <v>68</v>
      </c>
      <c r="S54" s="1" t="s">
        <v>430</v>
      </c>
      <c r="T54" s="1" t="s">
        <v>431</v>
      </c>
      <c r="U54" s="1">
        <v>1</v>
      </c>
      <c r="V54" s="1" t="s">
        <v>71</v>
      </c>
      <c r="W54" s="1" t="s">
        <v>428</v>
      </c>
      <c r="X54" s="1" t="s">
        <v>153</v>
      </c>
      <c r="Y54" s="10">
        <v>44827</v>
      </c>
      <c r="Z54" s="1">
        <v>2022</v>
      </c>
      <c r="AA54" s="2">
        <v>582836.76</v>
      </c>
      <c r="AB54" s="2"/>
      <c r="AC54" s="2">
        <v>174851.03</v>
      </c>
      <c r="AD54" s="1">
        <v>9</v>
      </c>
      <c r="AE54" s="1">
        <v>2</v>
      </c>
      <c r="AG54" s="1" t="s">
        <v>432</v>
      </c>
      <c r="AH54" s="1" t="s">
        <v>433</v>
      </c>
      <c r="AI54" s="2">
        <v>0</v>
      </c>
    </row>
    <row r="55" spans="1:38" ht="14.45" customHeight="1" x14ac:dyDescent="0.2">
      <c r="A55" s="1" t="s">
        <v>57</v>
      </c>
      <c r="B55" s="9" t="s">
        <v>38</v>
      </c>
      <c r="C55" s="1" t="s">
        <v>58</v>
      </c>
      <c r="D55" s="1" t="s">
        <v>59</v>
      </c>
      <c r="E55" s="1" t="s">
        <v>42</v>
      </c>
      <c r="G55" s="1" t="s">
        <v>88</v>
      </c>
      <c r="H55" s="1" t="s">
        <v>61</v>
      </c>
      <c r="I55" s="1" t="s">
        <v>434</v>
      </c>
      <c r="J55" s="1" t="s">
        <v>82</v>
      </c>
      <c r="K55" s="1" t="s">
        <v>435</v>
      </c>
      <c r="L55" s="1" t="s">
        <v>436</v>
      </c>
      <c r="M55" s="1" t="s">
        <v>437</v>
      </c>
      <c r="P55" s="1" t="s">
        <v>438</v>
      </c>
      <c r="Q55" s="1" t="s">
        <v>264</v>
      </c>
      <c r="R55" s="1" t="s">
        <v>265</v>
      </c>
      <c r="S55" s="1" t="s">
        <v>299</v>
      </c>
      <c r="T55" s="1" t="s">
        <v>300</v>
      </c>
      <c r="U55" s="1">
        <v>2</v>
      </c>
      <c r="V55" s="1" t="s">
        <v>268</v>
      </c>
      <c r="W55" s="1" t="s">
        <v>439</v>
      </c>
      <c r="X55" s="1" t="s">
        <v>153</v>
      </c>
      <c r="Y55" s="10">
        <v>44127</v>
      </c>
      <c r="Z55" s="1">
        <v>2020</v>
      </c>
      <c r="AA55" s="2">
        <v>147122.23999999999</v>
      </c>
      <c r="AB55" s="2"/>
      <c r="AC55" s="2">
        <v>22068.34</v>
      </c>
      <c r="AD55" s="1">
        <v>0</v>
      </c>
      <c r="AG55" s="1" t="s">
        <v>56</v>
      </c>
      <c r="AI55" s="2">
        <v>22068.34</v>
      </c>
      <c r="AK55" s="1" t="s">
        <v>440</v>
      </c>
    </row>
    <row r="56" spans="1:38" ht="14.45" customHeight="1" x14ac:dyDescent="0.2">
      <c r="A56" s="1" t="s">
        <v>57</v>
      </c>
      <c r="B56" s="9" t="s">
        <v>38</v>
      </c>
      <c r="C56" s="1" t="s">
        <v>58</v>
      </c>
      <c r="D56" s="1" t="s">
        <v>59</v>
      </c>
      <c r="E56" s="1" t="s">
        <v>42</v>
      </c>
      <c r="G56" s="1" t="s">
        <v>88</v>
      </c>
      <c r="H56" s="1" t="s">
        <v>61</v>
      </c>
      <c r="I56" s="1" t="s">
        <v>441</v>
      </c>
      <c r="J56" s="1" t="s">
        <v>82</v>
      </c>
      <c r="K56" s="1" t="s">
        <v>442</v>
      </c>
      <c r="L56" s="1" t="s">
        <v>443</v>
      </c>
      <c r="P56" s="1" t="s">
        <v>444</v>
      </c>
      <c r="Q56" s="1" t="s">
        <v>264</v>
      </c>
      <c r="R56" s="1" t="s">
        <v>265</v>
      </c>
      <c r="S56" s="1" t="s">
        <v>350</v>
      </c>
      <c r="T56" s="1" t="s">
        <v>351</v>
      </c>
      <c r="U56" s="1">
        <v>1</v>
      </c>
      <c r="V56" s="1" t="s">
        <v>80</v>
      </c>
      <c r="W56" s="1" t="s">
        <v>445</v>
      </c>
      <c r="X56" s="1" t="s">
        <v>138</v>
      </c>
      <c r="Y56" s="10">
        <v>43825</v>
      </c>
      <c r="Z56" s="1">
        <v>2019</v>
      </c>
      <c r="AA56" s="2">
        <v>207968.27</v>
      </c>
      <c r="AB56" s="2"/>
      <c r="AC56" s="2">
        <v>83390.48</v>
      </c>
      <c r="AD56" s="1">
        <v>3</v>
      </c>
      <c r="AE56" s="1">
        <v>2</v>
      </c>
      <c r="AG56" s="1" t="s">
        <v>56</v>
      </c>
      <c r="AI56" s="2">
        <v>83390.48</v>
      </c>
    </row>
    <row r="57" spans="1:38" x14ac:dyDescent="0.2">
      <c r="A57" s="1" t="s">
        <v>57</v>
      </c>
      <c r="B57" s="9" t="s">
        <v>38</v>
      </c>
      <c r="C57" s="1" t="s">
        <v>58</v>
      </c>
      <c r="D57" s="1" t="s">
        <v>59</v>
      </c>
      <c r="E57" s="1" t="s">
        <v>42</v>
      </c>
      <c r="G57" s="1" t="s">
        <v>88</v>
      </c>
      <c r="H57" s="1" t="s">
        <v>61</v>
      </c>
      <c r="I57" s="1" t="s">
        <v>446</v>
      </c>
      <c r="J57" s="1" t="s">
        <v>82</v>
      </c>
      <c r="K57" s="1" t="s">
        <v>447</v>
      </c>
      <c r="L57" s="1" t="s">
        <v>448</v>
      </c>
      <c r="P57" s="1" t="s">
        <v>449</v>
      </c>
      <c r="Q57" s="1" t="s">
        <v>264</v>
      </c>
      <c r="R57" s="1" t="s">
        <v>265</v>
      </c>
      <c r="S57" s="1" t="s">
        <v>450</v>
      </c>
      <c r="T57" s="1" t="s">
        <v>451</v>
      </c>
      <c r="U57" s="1">
        <v>2</v>
      </c>
      <c r="V57" s="1" t="s">
        <v>80</v>
      </c>
      <c r="W57" s="1" t="s">
        <v>448</v>
      </c>
      <c r="X57" s="1" t="s">
        <v>87</v>
      </c>
      <c r="Y57" s="10">
        <v>43825</v>
      </c>
      <c r="Z57" s="1">
        <v>2019</v>
      </c>
      <c r="AA57" s="2">
        <v>172967.38</v>
      </c>
      <c r="AB57" s="2"/>
      <c r="AC57" s="2">
        <v>25945.11</v>
      </c>
      <c r="AD57" s="1">
        <v>1</v>
      </c>
      <c r="AG57" s="1" t="s">
        <v>56</v>
      </c>
      <c r="AI57" s="2">
        <v>25945.11</v>
      </c>
    </row>
    <row r="58" spans="1:38" ht="14.45" customHeight="1" x14ac:dyDescent="0.2">
      <c r="A58" s="1" t="s">
        <v>57</v>
      </c>
      <c r="B58" s="9" t="s">
        <v>38</v>
      </c>
      <c r="C58" s="1" t="s">
        <v>58</v>
      </c>
      <c r="D58" s="1" t="s">
        <v>59</v>
      </c>
      <c r="E58" s="1" t="s">
        <v>42</v>
      </c>
      <c r="G58" s="1" t="s">
        <v>88</v>
      </c>
      <c r="H58" s="1" t="s">
        <v>61</v>
      </c>
      <c r="I58" s="1" t="s">
        <v>452</v>
      </c>
      <c r="J58" s="1" t="s">
        <v>82</v>
      </c>
      <c r="K58" s="1" t="s">
        <v>453</v>
      </c>
      <c r="L58" s="1" t="s">
        <v>454</v>
      </c>
      <c r="M58" s="1" t="s">
        <v>455</v>
      </c>
      <c r="P58" s="1" t="s">
        <v>456</v>
      </c>
      <c r="Q58" s="1" t="s">
        <v>264</v>
      </c>
      <c r="R58" s="1" t="s">
        <v>265</v>
      </c>
      <c r="S58" s="1" t="s">
        <v>266</v>
      </c>
      <c r="T58" s="1" t="s">
        <v>267</v>
      </c>
      <c r="U58" s="1">
        <v>2</v>
      </c>
      <c r="V58" s="1" t="s">
        <v>268</v>
      </c>
      <c r="W58" s="1" t="s">
        <v>457</v>
      </c>
      <c r="X58" s="1" t="s">
        <v>138</v>
      </c>
      <c r="Y58" s="10">
        <v>43825</v>
      </c>
      <c r="Z58" s="1">
        <v>2019</v>
      </c>
      <c r="AA58" s="2">
        <v>50044.51</v>
      </c>
      <c r="AB58" s="2"/>
      <c r="AC58" s="2">
        <v>14506.68</v>
      </c>
      <c r="AD58" s="1">
        <v>1</v>
      </c>
      <c r="AE58" s="1">
        <v>1</v>
      </c>
      <c r="AG58" s="1" t="s">
        <v>56</v>
      </c>
      <c r="AI58" s="2">
        <v>14506.68</v>
      </c>
    </row>
    <row r="59" spans="1:38" ht="14.45" customHeight="1" x14ac:dyDescent="0.2">
      <c r="A59" s="1" t="s">
        <v>57</v>
      </c>
      <c r="B59" s="9" t="s">
        <v>38</v>
      </c>
      <c r="C59" s="1" t="s">
        <v>58</v>
      </c>
      <c r="D59" s="1" t="s">
        <v>59</v>
      </c>
      <c r="E59" s="1" t="s">
        <v>42</v>
      </c>
      <c r="G59" s="1" t="s">
        <v>88</v>
      </c>
      <c r="H59" s="1" t="s">
        <v>61</v>
      </c>
      <c r="I59" s="1" t="s">
        <v>458</v>
      </c>
      <c r="J59" s="1" t="s">
        <v>82</v>
      </c>
      <c r="K59" s="1" t="s">
        <v>459</v>
      </c>
      <c r="L59" s="1" t="s">
        <v>460</v>
      </c>
      <c r="P59" s="1" t="s">
        <v>461</v>
      </c>
      <c r="Q59" s="1" t="s">
        <v>264</v>
      </c>
      <c r="R59" s="1" t="s">
        <v>265</v>
      </c>
      <c r="S59" s="1" t="s">
        <v>266</v>
      </c>
      <c r="T59" s="1" t="s">
        <v>267</v>
      </c>
      <c r="U59" s="1">
        <v>2</v>
      </c>
      <c r="V59" s="1" t="s">
        <v>268</v>
      </c>
      <c r="W59" s="1" t="s">
        <v>462</v>
      </c>
      <c r="X59" s="1" t="s">
        <v>145</v>
      </c>
      <c r="Y59" s="10">
        <v>43825</v>
      </c>
      <c r="Z59" s="1">
        <v>2019</v>
      </c>
      <c r="AA59" s="2">
        <v>290393.37</v>
      </c>
      <c r="AB59" s="2"/>
      <c r="AC59" s="2">
        <v>39000</v>
      </c>
      <c r="AD59" s="1">
        <v>1</v>
      </c>
      <c r="AG59" s="1" t="s">
        <v>56</v>
      </c>
      <c r="AI59" s="2">
        <v>39000</v>
      </c>
    </row>
    <row r="60" spans="1:38" ht="14.45" customHeight="1" x14ac:dyDescent="0.2">
      <c r="A60" s="1" t="s">
        <v>57</v>
      </c>
      <c r="B60" s="9" t="s">
        <v>38</v>
      </c>
      <c r="C60" s="1" t="s">
        <v>58</v>
      </c>
      <c r="D60" s="1" t="s">
        <v>59</v>
      </c>
      <c r="E60" s="1" t="s">
        <v>42</v>
      </c>
      <c r="G60" s="1" t="s">
        <v>88</v>
      </c>
      <c r="H60" s="1" t="s">
        <v>61</v>
      </c>
      <c r="I60" s="1" t="s">
        <v>463</v>
      </c>
      <c r="J60" s="1" t="s">
        <v>82</v>
      </c>
      <c r="K60" s="1" t="s">
        <v>464</v>
      </c>
      <c r="L60" s="1" t="s">
        <v>465</v>
      </c>
      <c r="P60" s="1" t="s">
        <v>466</v>
      </c>
      <c r="Q60" s="1" t="s">
        <v>264</v>
      </c>
      <c r="R60" s="1" t="s">
        <v>265</v>
      </c>
      <c r="S60" s="1" t="s">
        <v>350</v>
      </c>
      <c r="T60" s="1" t="s">
        <v>351</v>
      </c>
      <c r="U60" s="1">
        <v>1</v>
      </c>
      <c r="V60" s="1" t="s">
        <v>80</v>
      </c>
      <c r="W60" s="1" t="s">
        <v>465</v>
      </c>
      <c r="X60" s="1" t="s">
        <v>153</v>
      </c>
      <c r="Y60" s="10">
        <v>43825</v>
      </c>
      <c r="Z60" s="1">
        <v>2019</v>
      </c>
      <c r="AA60" s="2">
        <v>166235.79999999999</v>
      </c>
      <c r="AB60" s="2"/>
      <c r="AC60" s="2">
        <v>49870.74</v>
      </c>
      <c r="AD60" s="1">
        <v>2</v>
      </c>
      <c r="AG60" s="1" t="s">
        <v>56</v>
      </c>
      <c r="AI60" s="2">
        <v>49870.74</v>
      </c>
    </row>
    <row r="61" spans="1:38" ht="14.45" customHeight="1" x14ac:dyDescent="0.2">
      <c r="A61" s="1" t="s">
        <v>57</v>
      </c>
      <c r="B61" s="9" t="s">
        <v>38</v>
      </c>
      <c r="C61" s="1" t="s">
        <v>58</v>
      </c>
      <c r="D61" s="1" t="s">
        <v>59</v>
      </c>
      <c r="E61" s="1" t="s">
        <v>42</v>
      </c>
      <c r="G61" s="1" t="s">
        <v>60</v>
      </c>
      <c r="H61" s="1" t="s">
        <v>61</v>
      </c>
      <c r="I61" s="1" t="s">
        <v>467</v>
      </c>
      <c r="J61" s="1" t="s">
        <v>82</v>
      </c>
      <c r="K61" s="1" t="s">
        <v>468</v>
      </c>
      <c r="L61" s="1" t="s">
        <v>469</v>
      </c>
      <c r="P61" s="1" t="s">
        <v>470</v>
      </c>
      <c r="Q61" s="1" t="s">
        <v>101</v>
      </c>
      <c r="R61" s="1" t="s">
        <v>326</v>
      </c>
      <c r="S61" s="1" t="s">
        <v>327</v>
      </c>
      <c r="T61" s="1" t="s">
        <v>328</v>
      </c>
      <c r="U61" s="1">
        <v>2</v>
      </c>
      <c r="V61" s="1" t="s">
        <v>80</v>
      </c>
      <c r="W61" s="1" t="s">
        <v>471</v>
      </c>
      <c r="X61" s="1" t="s">
        <v>87</v>
      </c>
      <c r="Y61" s="10">
        <v>43825</v>
      </c>
      <c r="Z61" s="1">
        <v>2019</v>
      </c>
      <c r="AA61" s="2">
        <v>4274406.2699999996</v>
      </c>
      <c r="AB61" s="2"/>
      <c r="AC61" s="2">
        <v>262500</v>
      </c>
      <c r="AD61" s="1">
        <v>15</v>
      </c>
      <c r="AE61" s="1">
        <v>7</v>
      </c>
      <c r="AG61" s="1" t="s">
        <v>56</v>
      </c>
      <c r="AI61" s="2">
        <v>262500</v>
      </c>
      <c r="AL61" s="1" t="s">
        <v>472</v>
      </c>
    </row>
    <row r="62" spans="1:38" ht="14.45" customHeight="1" x14ac:dyDescent="0.2">
      <c r="A62" s="1" t="s">
        <v>57</v>
      </c>
      <c r="B62" s="9" t="s">
        <v>38</v>
      </c>
      <c r="C62" s="1" t="s">
        <v>58</v>
      </c>
      <c r="D62" s="1" t="s">
        <v>59</v>
      </c>
      <c r="E62" s="1" t="s">
        <v>42</v>
      </c>
      <c r="G62" s="1" t="s">
        <v>60</v>
      </c>
      <c r="H62" s="1" t="s">
        <v>61</v>
      </c>
      <c r="I62" s="1" t="s">
        <v>473</v>
      </c>
      <c r="J62" s="1" t="s">
        <v>82</v>
      </c>
      <c r="K62" s="1" t="s">
        <v>474</v>
      </c>
      <c r="L62" s="1" t="s">
        <v>475</v>
      </c>
      <c r="P62" s="1" t="s">
        <v>476</v>
      </c>
      <c r="Q62" s="1" t="s">
        <v>101</v>
      </c>
      <c r="R62" s="1" t="s">
        <v>326</v>
      </c>
      <c r="S62" s="1" t="s">
        <v>327</v>
      </c>
      <c r="T62" s="1" t="s">
        <v>328</v>
      </c>
      <c r="U62" s="1">
        <v>2</v>
      </c>
      <c r="V62" s="1" t="s">
        <v>80</v>
      </c>
      <c r="W62" s="1" t="s">
        <v>475</v>
      </c>
      <c r="X62" s="1" t="s">
        <v>87</v>
      </c>
      <c r="Y62" s="10">
        <v>43825</v>
      </c>
      <c r="Z62" s="1">
        <v>2019</v>
      </c>
      <c r="AA62" s="2">
        <v>2877016.6</v>
      </c>
      <c r="AB62" s="2"/>
      <c r="AC62" s="2">
        <v>192500</v>
      </c>
      <c r="AD62" s="1">
        <v>10</v>
      </c>
      <c r="AE62" s="1">
        <v>8.5</v>
      </c>
      <c r="AG62" s="1" t="s">
        <v>56</v>
      </c>
      <c r="AI62" s="2">
        <v>187518.04</v>
      </c>
      <c r="AL62" s="15" t="s">
        <v>477</v>
      </c>
    </row>
    <row r="63" spans="1:38" ht="14.45" customHeight="1" x14ac:dyDescent="0.2">
      <c r="A63" s="1" t="s">
        <v>57</v>
      </c>
      <c r="B63" s="9" t="s">
        <v>38</v>
      </c>
      <c r="C63" s="1" t="s">
        <v>58</v>
      </c>
      <c r="D63" s="1" t="s">
        <v>59</v>
      </c>
      <c r="E63" s="1" t="s">
        <v>42</v>
      </c>
      <c r="G63" s="1" t="s">
        <v>88</v>
      </c>
      <c r="H63" s="1" t="s">
        <v>61</v>
      </c>
      <c r="I63" s="1" t="s">
        <v>478</v>
      </c>
      <c r="J63" s="1" t="s">
        <v>82</v>
      </c>
      <c r="K63" s="1" t="s">
        <v>479</v>
      </c>
      <c r="L63" s="1" t="s">
        <v>480</v>
      </c>
      <c r="P63" s="1" t="s">
        <v>481</v>
      </c>
      <c r="Q63" s="1" t="s">
        <v>264</v>
      </c>
      <c r="R63" s="1" t="s">
        <v>265</v>
      </c>
      <c r="S63" s="1" t="s">
        <v>266</v>
      </c>
      <c r="T63" s="1" t="s">
        <v>267</v>
      </c>
      <c r="U63" s="1">
        <v>2</v>
      </c>
      <c r="V63" s="1" t="s">
        <v>268</v>
      </c>
      <c r="W63" s="1" t="s">
        <v>482</v>
      </c>
      <c r="X63" s="1" t="s">
        <v>87</v>
      </c>
      <c r="Y63" s="10">
        <v>43825</v>
      </c>
      <c r="Z63" s="1">
        <v>2019</v>
      </c>
      <c r="AA63" s="2">
        <v>193838.7</v>
      </c>
      <c r="AB63" s="2"/>
      <c r="AC63" s="2">
        <v>50075.81</v>
      </c>
      <c r="AD63" s="1">
        <v>3</v>
      </c>
      <c r="AG63" s="1" t="s">
        <v>56</v>
      </c>
      <c r="AI63" s="2">
        <v>50075.81</v>
      </c>
      <c r="AL63" s="1" t="s">
        <v>483</v>
      </c>
    </row>
    <row r="64" spans="1:38" ht="14.45" customHeight="1" x14ac:dyDescent="0.2">
      <c r="A64" s="1" t="s">
        <v>57</v>
      </c>
      <c r="B64" s="9" t="s">
        <v>38</v>
      </c>
      <c r="C64" s="1" t="s">
        <v>58</v>
      </c>
      <c r="D64" s="1" t="s">
        <v>59</v>
      </c>
      <c r="E64" s="1" t="s">
        <v>42</v>
      </c>
      <c r="G64" s="1" t="s">
        <v>88</v>
      </c>
      <c r="H64" s="1" t="s">
        <v>61</v>
      </c>
      <c r="I64" s="1" t="s">
        <v>484</v>
      </c>
      <c r="J64" s="1" t="s">
        <v>82</v>
      </c>
      <c r="K64" s="1" t="s">
        <v>485</v>
      </c>
      <c r="L64" s="1" t="s">
        <v>486</v>
      </c>
      <c r="P64" s="1" t="s">
        <v>487</v>
      </c>
      <c r="Q64" s="1" t="s">
        <v>264</v>
      </c>
      <c r="R64" s="1" t="s">
        <v>265</v>
      </c>
      <c r="S64" s="1" t="s">
        <v>266</v>
      </c>
      <c r="T64" s="1" t="s">
        <v>267</v>
      </c>
      <c r="U64" s="1">
        <v>2</v>
      </c>
      <c r="V64" s="1" t="s">
        <v>268</v>
      </c>
      <c r="W64" s="1" t="s">
        <v>488</v>
      </c>
      <c r="X64" s="1" t="s">
        <v>87</v>
      </c>
      <c r="Y64" s="10">
        <v>43825</v>
      </c>
      <c r="Z64" s="1">
        <v>2019</v>
      </c>
      <c r="AA64" s="2">
        <v>272191.99</v>
      </c>
      <c r="AB64" s="2"/>
      <c r="AC64" s="2">
        <v>40828.800000000003</v>
      </c>
      <c r="AD64" s="1">
        <v>0</v>
      </c>
      <c r="AG64" s="1" t="s">
        <v>56</v>
      </c>
      <c r="AI64" s="2">
        <v>40828.800000000003</v>
      </c>
    </row>
    <row r="65" spans="1:38" ht="14.45" customHeight="1" x14ac:dyDescent="0.2">
      <c r="A65" s="1" t="s">
        <v>57</v>
      </c>
      <c r="B65" s="9" t="s">
        <v>39</v>
      </c>
      <c r="C65" s="1" t="s">
        <v>58</v>
      </c>
      <c r="D65" s="1" t="s">
        <v>59</v>
      </c>
      <c r="E65" s="1" t="s">
        <v>42</v>
      </c>
      <c r="G65" s="1" t="s">
        <v>60</v>
      </c>
      <c r="H65" s="1" t="s">
        <v>61</v>
      </c>
      <c r="I65" s="1" t="s">
        <v>489</v>
      </c>
      <c r="J65" s="1" t="s">
        <v>82</v>
      </c>
      <c r="K65" s="1" t="s">
        <v>490</v>
      </c>
      <c r="P65" s="1" t="s">
        <v>491</v>
      </c>
      <c r="Q65" s="1" t="s">
        <v>50</v>
      </c>
      <c r="R65" s="1" t="s">
        <v>77</v>
      </c>
      <c r="S65" s="1" t="s">
        <v>198</v>
      </c>
      <c r="T65" s="1" t="s">
        <v>199</v>
      </c>
      <c r="U65" s="1">
        <v>1</v>
      </c>
      <c r="V65" s="1" t="s">
        <v>186</v>
      </c>
      <c r="W65" s="1" t="s">
        <v>490</v>
      </c>
      <c r="X65" s="1" t="s">
        <v>87</v>
      </c>
      <c r="Y65" s="10">
        <v>44348</v>
      </c>
      <c r="Z65" s="1">
        <v>2021</v>
      </c>
      <c r="AA65" s="2">
        <v>14354057.119999999</v>
      </c>
      <c r="AB65" s="2"/>
      <c r="AC65" s="2">
        <v>1120000</v>
      </c>
      <c r="AD65" s="1">
        <v>36</v>
      </c>
      <c r="AE65" s="1">
        <v>2</v>
      </c>
      <c r="AG65" s="1" t="s">
        <v>432</v>
      </c>
      <c r="AH65" s="1" t="s">
        <v>492</v>
      </c>
      <c r="AI65" s="2">
        <v>0</v>
      </c>
    </row>
    <row r="66" spans="1:38" ht="14.45" customHeight="1" x14ac:dyDescent="0.2">
      <c r="A66" s="1" t="s">
        <v>57</v>
      </c>
      <c r="B66" s="9" t="s">
        <v>38</v>
      </c>
      <c r="C66" s="1" t="s">
        <v>58</v>
      </c>
      <c r="D66" s="1" t="s">
        <v>59</v>
      </c>
      <c r="E66" s="1" t="s">
        <v>42</v>
      </c>
      <c r="G66" s="1" t="s">
        <v>88</v>
      </c>
      <c r="H66" s="1" t="s">
        <v>61</v>
      </c>
      <c r="I66" s="1" t="s">
        <v>493</v>
      </c>
      <c r="J66" s="1" t="s">
        <v>82</v>
      </c>
      <c r="K66" s="1" t="s">
        <v>494</v>
      </c>
      <c r="L66" s="1" t="s">
        <v>495</v>
      </c>
      <c r="P66" s="1" t="s">
        <v>496</v>
      </c>
      <c r="Q66" s="1" t="s">
        <v>264</v>
      </c>
      <c r="R66" s="1" t="s">
        <v>265</v>
      </c>
      <c r="S66" s="1" t="s">
        <v>350</v>
      </c>
      <c r="T66" s="1" t="s">
        <v>351</v>
      </c>
      <c r="U66" s="1">
        <v>1</v>
      </c>
      <c r="V66" s="1" t="s">
        <v>80</v>
      </c>
      <c r="W66" s="1" t="s">
        <v>497</v>
      </c>
      <c r="X66" s="1" t="s">
        <v>309</v>
      </c>
      <c r="Y66" s="10">
        <v>43825</v>
      </c>
      <c r="Z66" s="1">
        <v>2019</v>
      </c>
      <c r="AA66" s="2">
        <v>32878</v>
      </c>
      <c r="AB66" s="2"/>
      <c r="AC66" s="2">
        <v>9863.4</v>
      </c>
      <c r="AD66" s="1">
        <v>0</v>
      </c>
      <c r="AG66" s="1" t="s">
        <v>56</v>
      </c>
      <c r="AI66" s="2">
        <v>9863.4</v>
      </c>
    </row>
    <row r="67" spans="1:38" ht="12.6" customHeight="1" x14ac:dyDescent="0.2">
      <c r="A67" s="1" t="s">
        <v>57</v>
      </c>
      <c r="B67" s="9" t="s">
        <v>38</v>
      </c>
      <c r="C67" s="1" t="s">
        <v>58</v>
      </c>
      <c r="D67" s="1" t="s">
        <v>59</v>
      </c>
      <c r="E67" s="1" t="s">
        <v>42</v>
      </c>
      <c r="G67" s="1" t="s">
        <v>88</v>
      </c>
      <c r="H67" s="1" t="s">
        <v>61</v>
      </c>
      <c r="I67" s="1" t="s">
        <v>498</v>
      </c>
      <c r="J67" s="1" t="s">
        <v>82</v>
      </c>
      <c r="K67" s="1" t="s">
        <v>499</v>
      </c>
      <c r="L67" s="1" t="s">
        <v>500</v>
      </c>
      <c r="P67" s="1" t="s">
        <v>501</v>
      </c>
      <c r="Q67" s="1" t="s">
        <v>264</v>
      </c>
      <c r="R67" s="1" t="s">
        <v>265</v>
      </c>
      <c r="S67" s="1" t="s">
        <v>379</v>
      </c>
      <c r="T67" s="1" t="s">
        <v>380</v>
      </c>
      <c r="U67" s="1">
        <v>2</v>
      </c>
      <c r="V67" s="1" t="s">
        <v>268</v>
      </c>
      <c r="W67" s="1" t="s">
        <v>502</v>
      </c>
      <c r="X67" s="1" t="s">
        <v>87</v>
      </c>
      <c r="Y67" s="10">
        <v>43825</v>
      </c>
      <c r="Z67" s="1">
        <v>2019</v>
      </c>
      <c r="AA67" s="2">
        <v>125370.49</v>
      </c>
      <c r="AB67" s="2"/>
      <c r="AC67" s="2">
        <v>12537.05</v>
      </c>
      <c r="AD67" s="1">
        <v>1</v>
      </c>
      <c r="AG67" s="1" t="s">
        <v>56</v>
      </c>
      <c r="AI67" s="2">
        <v>12537.05</v>
      </c>
      <c r="AL67" s="1" t="s">
        <v>503</v>
      </c>
    </row>
    <row r="68" spans="1:38" ht="14.45" customHeight="1" x14ac:dyDescent="0.2">
      <c r="A68" s="1" t="s">
        <v>57</v>
      </c>
      <c r="B68" s="9" t="s">
        <v>38</v>
      </c>
      <c r="C68" s="1" t="s">
        <v>58</v>
      </c>
      <c r="D68" s="1" t="s">
        <v>59</v>
      </c>
      <c r="E68" s="1" t="s">
        <v>42</v>
      </c>
      <c r="G68" s="1" t="s">
        <v>60</v>
      </c>
      <c r="H68" s="1" t="s">
        <v>61</v>
      </c>
      <c r="I68" s="1" t="s">
        <v>504</v>
      </c>
      <c r="J68" s="1" t="s">
        <v>82</v>
      </c>
      <c r="K68" s="1" t="s">
        <v>505</v>
      </c>
      <c r="L68" s="1" t="s">
        <v>506</v>
      </c>
      <c r="P68" s="1" t="s">
        <v>507</v>
      </c>
      <c r="Q68" s="1" t="s">
        <v>101</v>
      </c>
      <c r="R68" s="1" t="s">
        <v>102</v>
      </c>
      <c r="S68" s="1" t="s">
        <v>508</v>
      </c>
      <c r="T68" s="1" t="s">
        <v>509</v>
      </c>
      <c r="U68" s="1">
        <v>2</v>
      </c>
      <c r="V68" s="1" t="s">
        <v>80</v>
      </c>
      <c r="W68" s="1" t="s">
        <v>506</v>
      </c>
      <c r="X68" s="1" t="s">
        <v>145</v>
      </c>
      <c r="Y68" s="10">
        <v>43825</v>
      </c>
      <c r="Z68" s="1">
        <v>2019</v>
      </c>
      <c r="AA68" s="2">
        <v>4084960.18</v>
      </c>
      <c r="AB68" s="2"/>
      <c r="AC68" s="2">
        <v>105000</v>
      </c>
      <c r="AD68" s="1">
        <v>6</v>
      </c>
      <c r="AE68" s="1">
        <v>2</v>
      </c>
      <c r="AG68" s="1" t="s">
        <v>56</v>
      </c>
      <c r="AI68" s="2">
        <v>105000</v>
      </c>
      <c r="AL68" s="1" t="s">
        <v>510</v>
      </c>
    </row>
    <row r="69" spans="1:38" ht="14.45" customHeight="1" x14ac:dyDescent="0.2">
      <c r="A69" s="1" t="s">
        <v>57</v>
      </c>
      <c r="B69" s="9" t="s">
        <v>38</v>
      </c>
      <c r="C69" s="1" t="s">
        <v>58</v>
      </c>
      <c r="D69" s="1" t="s">
        <v>59</v>
      </c>
      <c r="E69" s="1" t="s">
        <v>42</v>
      </c>
      <c r="G69" s="1" t="s">
        <v>60</v>
      </c>
      <c r="H69" s="1" t="s">
        <v>61</v>
      </c>
      <c r="I69" s="1" t="s">
        <v>511</v>
      </c>
      <c r="J69" s="1" t="s">
        <v>82</v>
      </c>
      <c r="K69" s="1" t="s">
        <v>512</v>
      </c>
      <c r="L69" s="1" t="s">
        <v>513</v>
      </c>
      <c r="P69" s="1" t="s">
        <v>514</v>
      </c>
      <c r="Q69" s="1" t="s">
        <v>101</v>
      </c>
      <c r="R69" s="1" t="s">
        <v>339</v>
      </c>
      <c r="S69" s="1" t="s">
        <v>515</v>
      </c>
      <c r="T69" s="1" t="s">
        <v>516</v>
      </c>
      <c r="U69" s="1">
        <v>2</v>
      </c>
      <c r="V69" s="1" t="s">
        <v>80</v>
      </c>
      <c r="W69" s="1" t="s">
        <v>513</v>
      </c>
      <c r="X69" s="1" t="s">
        <v>87</v>
      </c>
      <c r="Y69" s="10">
        <v>44127</v>
      </c>
      <c r="Z69" s="1">
        <v>2020</v>
      </c>
      <c r="AA69" s="2">
        <v>4507775.8</v>
      </c>
      <c r="AB69" s="2"/>
      <c r="AC69" s="2">
        <v>119000</v>
      </c>
      <c r="AD69" s="1">
        <v>7</v>
      </c>
      <c r="AE69" s="1">
        <v>3</v>
      </c>
      <c r="AG69" s="1" t="s">
        <v>56</v>
      </c>
      <c r="AI69" s="2">
        <v>119000</v>
      </c>
      <c r="AK69" s="1" t="s">
        <v>301</v>
      </c>
      <c r="AL69" s="1" t="s">
        <v>517</v>
      </c>
    </row>
    <row r="70" spans="1:38" ht="14.45" customHeight="1" x14ac:dyDescent="0.2">
      <c r="A70" s="1" t="s">
        <v>57</v>
      </c>
      <c r="B70" s="9" t="s">
        <v>38</v>
      </c>
      <c r="C70" s="1" t="s">
        <v>58</v>
      </c>
      <c r="D70" s="1" t="s">
        <v>59</v>
      </c>
      <c r="E70" s="1" t="s">
        <v>42</v>
      </c>
      <c r="G70" s="1" t="s">
        <v>88</v>
      </c>
      <c r="H70" s="1" t="s">
        <v>61</v>
      </c>
      <c r="I70" s="1" t="s">
        <v>518</v>
      </c>
      <c r="J70" s="1" t="s">
        <v>82</v>
      </c>
      <c r="K70" s="1" t="s">
        <v>519</v>
      </c>
      <c r="L70" s="1" t="s">
        <v>520</v>
      </c>
      <c r="N70" s="1" t="s">
        <v>521</v>
      </c>
      <c r="P70" s="1" t="s">
        <v>522</v>
      </c>
      <c r="Q70" s="1" t="s">
        <v>101</v>
      </c>
      <c r="R70" s="1" t="s">
        <v>102</v>
      </c>
      <c r="S70" s="1" t="s">
        <v>523</v>
      </c>
      <c r="T70" s="1" t="s">
        <v>524</v>
      </c>
      <c r="U70" s="1">
        <v>1</v>
      </c>
      <c r="V70" s="1" t="s">
        <v>101</v>
      </c>
      <c r="W70" s="1" t="s">
        <v>519</v>
      </c>
      <c r="X70" s="1" t="s">
        <v>153</v>
      </c>
      <c r="Y70" s="10">
        <v>43825</v>
      </c>
      <c r="Z70" s="1">
        <v>2019</v>
      </c>
      <c r="AA70" s="2">
        <v>453970</v>
      </c>
      <c r="AB70" s="2"/>
      <c r="AC70" s="2">
        <v>68095.5</v>
      </c>
      <c r="AD70" s="1">
        <v>2</v>
      </c>
      <c r="AG70" s="1" t="s">
        <v>56</v>
      </c>
      <c r="AI70" s="2">
        <v>68095.5</v>
      </c>
      <c r="AK70" s="1" t="s">
        <v>301</v>
      </c>
    </row>
    <row r="71" spans="1:38" ht="14.45" customHeight="1" x14ac:dyDescent="0.2">
      <c r="A71" s="1" t="s">
        <v>57</v>
      </c>
      <c r="B71" s="9" t="s">
        <v>38</v>
      </c>
      <c r="C71" s="1" t="s">
        <v>58</v>
      </c>
      <c r="D71" s="1" t="s">
        <v>59</v>
      </c>
      <c r="E71" s="1" t="s">
        <v>42</v>
      </c>
      <c r="G71" s="1" t="s">
        <v>88</v>
      </c>
      <c r="H71" s="1" t="s">
        <v>61</v>
      </c>
      <c r="I71" s="1" t="s">
        <v>525</v>
      </c>
      <c r="J71" s="1" t="s">
        <v>82</v>
      </c>
      <c r="K71" s="1" t="s">
        <v>526</v>
      </c>
      <c r="L71" s="1" t="s">
        <v>527</v>
      </c>
      <c r="P71" s="1" t="s">
        <v>528</v>
      </c>
      <c r="Q71" s="1" t="s">
        <v>101</v>
      </c>
      <c r="R71" s="1" t="s">
        <v>339</v>
      </c>
      <c r="S71" s="1" t="s">
        <v>515</v>
      </c>
      <c r="T71" s="1" t="s">
        <v>516</v>
      </c>
      <c r="U71" s="1">
        <v>2</v>
      </c>
      <c r="V71" s="1" t="s">
        <v>80</v>
      </c>
      <c r="W71" s="1" t="s">
        <v>527</v>
      </c>
      <c r="X71" s="1" t="s">
        <v>87</v>
      </c>
      <c r="Y71" s="10">
        <v>44127</v>
      </c>
      <c r="Z71" s="1">
        <v>2020</v>
      </c>
      <c r="AA71" s="2">
        <v>332492.43</v>
      </c>
      <c r="AB71" s="2"/>
      <c r="AC71" s="2">
        <v>70873.86</v>
      </c>
      <c r="AD71" s="1">
        <v>3</v>
      </c>
      <c r="AE71" s="1">
        <v>2</v>
      </c>
      <c r="AG71" s="1" t="s">
        <v>56</v>
      </c>
      <c r="AI71" s="2">
        <v>70873.86</v>
      </c>
      <c r="AK71" s="1" t="s">
        <v>301</v>
      </c>
    </row>
    <row r="72" spans="1:38" ht="14.45" customHeight="1" x14ac:dyDescent="0.2">
      <c r="A72" s="1" t="s">
        <v>57</v>
      </c>
      <c r="B72" s="9" t="s">
        <v>38</v>
      </c>
      <c r="C72" s="1" t="s">
        <v>58</v>
      </c>
      <c r="D72" s="1" t="s">
        <v>59</v>
      </c>
      <c r="E72" s="1" t="s">
        <v>42</v>
      </c>
      <c r="G72" s="1" t="s">
        <v>88</v>
      </c>
      <c r="H72" s="1" t="s">
        <v>61</v>
      </c>
      <c r="I72" s="1" t="s">
        <v>529</v>
      </c>
      <c r="J72" s="1" t="s">
        <v>82</v>
      </c>
      <c r="K72" s="1" t="s">
        <v>530</v>
      </c>
      <c r="L72" s="1" t="s">
        <v>531</v>
      </c>
      <c r="P72" s="1" t="s">
        <v>532</v>
      </c>
      <c r="Q72" s="1" t="s">
        <v>264</v>
      </c>
      <c r="R72" s="1" t="s">
        <v>265</v>
      </c>
      <c r="S72" s="1" t="s">
        <v>533</v>
      </c>
      <c r="T72" s="1" t="s">
        <v>534</v>
      </c>
      <c r="U72" s="1">
        <v>1</v>
      </c>
      <c r="V72" s="1" t="s">
        <v>535</v>
      </c>
      <c r="W72" s="1" t="s">
        <v>536</v>
      </c>
      <c r="X72" s="1" t="s">
        <v>87</v>
      </c>
      <c r="Y72" s="10">
        <v>43825</v>
      </c>
      <c r="Z72" s="1">
        <v>2019</v>
      </c>
      <c r="AA72" s="2">
        <v>92833.81</v>
      </c>
      <c r="AB72" s="2"/>
      <c r="AC72" s="2">
        <v>34850.14</v>
      </c>
      <c r="AD72" s="1">
        <v>1</v>
      </c>
      <c r="AG72" s="1" t="s">
        <v>56</v>
      </c>
      <c r="AI72" s="2">
        <v>34850.14</v>
      </c>
      <c r="AL72" s="1" t="s">
        <v>537</v>
      </c>
    </row>
    <row r="73" spans="1:38" ht="14.45" customHeight="1" x14ac:dyDescent="0.2">
      <c r="A73" s="1" t="s">
        <v>57</v>
      </c>
      <c r="B73" s="9" t="s">
        <v>38</v>
      </c>
      <c r="C73" s="1" t="s">
        <v>58</v>
      </c>
      <c r="D73" s="1" t="s">
        <v>59</v>
      </c>
      <c r="E73" s="1" t="s">
        <v>42</v>
      </c>
      <c r="G73" s="1" t="s">
        <v>88</v>
      </c>
      <c r="H73" s="1" t="s">
        <v>61</v>
      </c>
      <c r="I73" s="1" t="s">
        <v>538</v>
      </c>
      <c r="J73" s="1" t="s">
        <v>82</v>
      </c>
      <c r="K73" s="1" t="s">
        <v>539</v>
      </c>
      <c r="L73" s="1" t="s">
        <v>540</v>
      </c>
      <c r="P73" s="1" t="s">
        <v>541</v>
      </c>
      <c r="Q73" s="1" t="s">
        <v>264</v>
      </c>
      <c r="R73" s="1" t="s">
        <v>265</v>
      </c>
      <c r="S73" s="1" t="s">
        <v>542</v>
      </c>
      <c r="T73" s="1" t="s">
        <v>543</v>
      </c>
      <c r="U73" s="1">
        <v>1</v>
      </c>
      <c r="V73" s="1" t="s">
        <v>268</v>
      </c>
      <c r="W73" s="1" t="s">
        <v>544</v>
      </c>
      <c r="X73" s="1" t="s">
        <v>87</v>
      </c>
      <c r="Y73" s="10">
        <v>43825</v>
      </c>
      <c r="Z73" s="1">
        <v>2019</v>
      </c>
      <c r="AA73" s="2">
        <v>136000</v>
      </c>
      <c r="AB73" s="2"/>
      <c r="AC73" s="2">
        <v>54800</v>
      </c>
      <c r="AD73" s="1">
        <v>2</v>
      </c>
      <c r="AG73" s="1" t="s">
        <v>56</v>
      </c>
      <c r="AI73" s="2">
        <v>34652.94</v>
      </c>
    </row>
    <row r="74" spans="1:38" ht="14.45" customHeight="1" x14ac:dyDescent="0.2">
      <c r="A74" s="1" t="s">
        <v>57</v>
      </c>
      <c r="B74" s="9" t="s">
        <v>38</v>
      </c>
      <c r="C74" s="1" t="s">
        <v>58</v>
      </c>
      <c r="D74" s="1" t="s">
        <v>59</v>
      </c>
      <c r="E74" s="1" t="s">
        <v>42</v>
      </c>
      <c r="G74" s="1" t="s">
        <v>88</v>
      </c>
      <c r="H74" s="1" t="s">
        <v>61</v>
      </c>
      <c r="I74" s="1" t="s">
        <v>545</v>
      </c>
      <c r="J74" s="1" t="s">
        <v>82</v>
      </c>
      <c r="K74" s="1" t="s">
        <v>546</v>
      </c>
      <c r="L74" s="1" t="s">
        <v>547</v>
      </c>
      <c r="P74" s="1" t="s">
        <v>548</v>
      </c>
      <c r="Q74" s="1" t="s">
        <v>101</v>
      </c>
      <c r="R74" s="1" t="s">
        <v>339</v>
      </c>
      <c r="S74" s="1" t="s">
        <v>340</v>
      </c>
      <c r="T74" s="1" t="s">
        <v>341</v>
      </c>
      <c r="U74" s="1">
        <v>1</v>
      </c>
      <c r="V74" s="1" t="s">
        <v>80</v>
      </c>
      <c r="W74" s="1" t="s">
        <v>547</v>
      </c>
      <c r="X74" s="1" t="s">
        <v>309</v>
      </c>
      <c r="Y74" s="10">
        <v>43825</v>
      </c>
      <c r="Z74" s="1">
        <v>2019</v>
      </c>
      <c r="AA74" s="2">
        <v>178397.06</v>
      </c>
      <c r="AB74" s="2"/>
      <c r="AC74" s="2">
        <v>60519.12</v>
      </c>
      <c r="AD74" s="1">
        <v>1</v>
      </c>
      <c r="AE74" s="1">
        <v>1</v>
      </c>
      <c r="AG74" s="1" t="s">
        <v>56</v>
      </c>
      <c r="AI74" s="2">
        <v>60519.12</v>
      </c>
    </row>
    <row r="75" spans="1:38" ht="14.45" customHeight="1" x14ac:dyDescent="0.2">
      <c r="A75" s="1" t="s">
        <v>57</v>
      </c>
      <c r="B75" s="9" t="s">
        <v>38</v>
      </c>
      <c r="C75" s="1" t="s">
        <v>58</v>
      </c>
      <c r="D75" s="1" t="s">
        <v>59</v>
      </c>
      <c r="E75" s="1" t="s">
        <v>42</v>
      </c>
      <c r="G75" s="1" t="s">
        <v>88</v>
      </c>
      <c r="H75" s="1" t="s">
        <v>61</v>
      </c>
      <c r="I75" s="1" t="s">
        <v>549</v>
      </c>
      <c r="J75" s="1" t="s">
        <v>82</v>
      </c>
      <c r="K75" s="1" t="s">
        <v>550</v>
      </c>
      <c r="L75" s="1" t="s">
        <v>367</v>
      </c>
      <c r="P75" s="1" t="s">
        <v>551</v>
      </c>
      <c r="Q75" s="1" t="s">
        <v>101</v>
      </c>
      <c r="R75" s="1" t="s">
        <v>339</v>
      </c>
      <c r="S75" s="1" t="s">
        <v>340</v>
      </c>
      <c r="T75" s="1" t="s">
        <v>341</v>
      </c>
      <c r="U75" s="1">
        <v>1</v>
      </c>
      <c r="V75" s="1" t="s">
        <v>80</v>
      </c>
      <c r="W75" s="1" t="s">
        <v>367</v>
      </c>
      <c r="X75" s="1" t="s">
        <v>87</v>
      </c>
      <c r="Y75" s="10">
        <v>43825</v>
      </c>
      <c r="Z75" s="1">
        <v>2019</v>
      </c>
      <c r="AA75" s="2">
        <v>424565.99</v>
      </c>
      <c r="AB75" s="2"/>
      <c r="AC75" s="2">
        <v>127369.8</v>
      </c>
      <c r="AD75" s="1">
        <v>3</v>
      </c>
      <c r="AG75" s="1" t="s">
        <v>56</v>
      </c>
      <c r="AI75" s="2">
        <v>127369.8</v>
      </c>
    </row>
    <row r="76" spans="1:38" ht="14.45" customHeight="1" x14ac:dyDescent="0.2">
      <c r="A76" s="1" t="s">
        <v>57</v>
      </c>
      <c r="B76" s="9" t="s">
        <v>38</v>
      </c>
      <c r="C76" s="1" t="s">
        <v>58</v>
      </c>
      <c r="D76" s="1" t="s">
        <v>59</v>
      </c>
      <c r="E76" s="1" t="s">
        <v>42</v>
      </c>
      <c r="G76" s="1" t="s">
        <v>88</v>
      </c>
      <c r="H76" s="1" t="s">
        <v>61</v>
      </c>
      <c r="I76" s="1" t="s">
        <v>552</v>
      </c>
      <c r="J76" s="1" t="s">
        <v>82</v>
      </c>
      <c r="K76" s="1" t="s">
        <v>553</v>
      </c>
      <c r="L76" s="1" t="s">
        <v>554</v>
      </c>
      <c r="N76" s="1" t="s">
        <v>555</v>
      </c>
      <c r="P76" s="1" t="s">
        <v>556</v>
      </c>
      <c r="Q76" s="1" t="s">
        <v>101</v>
      </c>
      <c r="R76" s="1" t="s">
        <v>102</v>
      </c>
      <c r="S76" s="1" t="s">
        <v>523</v>
      </c>
      <c r="T76" s="1" t="s">
        <v>524</v>
      </c>
      <c r="U76" s="1">
        <v>1</v>
      </c>
      <c r="V76" s="1" t="s">
        <v>101</v>
      </c>
      <c r="W76" s="1" t="s">
        <v>557</v>
      </c>
      <c r="X76" s="1" t="s">
        <v>153</v>
      </c>
      <c r="Y76" s="10">
        <v>43825</v>
      </c>
      <c r="Z76" s="1">
        <v>2019</v>
      </c>
      <c r="AA76" s="2">
        <v>499221</v>
      </c>
      <c r="AB76" s="2"/>
      <c r="AC76" s="2">
        <v>74883.149999999994</v>
      </c>
      <c r="AD76" s="1">
        <v>2</v>
      </c>
      <c r="AG76" s="1" t="s">
        <v>56</v>
      </c>
      <c r="AI76" s="2">
        <v>74883.149999999994</v>
      </c>
      <c r="AK76" s="1" t="s">
        <v>418</v>
      </c>
    </row>
    <row r="77" spans="1:38" ht="14.45" customHeight="1" x14ac:dyDescent="0.2">
      <c r="A77" s="1" t="s">
        <v>57</v>
      </c>
      <c r="B77" s="9" t="s">
        <v>38</v>
      </c>
      <c r="C77" s="1" t="s">
        <v>58</v>
      </c>
      <c r="D77" s="1" t="s">
        <v>59</v>
      </c>
      <c r="E77" s="1" t="s">
        <v>42</v>
      </c>
      <c r="G77" s="1" t="s">
        <v>88</v>
      </c>
      <c r="H77" s="1" t="s">
        <v>61</v>
      </c>
      <c r="I77" s="1" t="s">
        <v>558</v>
      </c>
      <c r="J77" s="1" t="s">
        <v>82</v>
      </c>
      <c r="K77" s="1" t="s">
        <v>559</v>
      </c>
      <c r="L77" s="1" t="s">
        <v>560</v>
      </c>
      <c r="P77" s="1" t="s">
        <v>561</v>
      </c>
      <c r="Q77" s="1" t="s">
        <v>101</v>
      </c>
      <c r="R77" s="1" t="s">
        <v>102</v>
      </c>
      <c r="S77" s="1" t="s">
        <v>562</v>
      </c>
      <c r="T77" s="1" t="s">
        <v>563</v>
      </c>
      <c r="U77" s="1">
        <v>1</v>
      </c>
      <c r="V77" s="1" t="s">
        <v>101</v>
      </c>
      <c r="W77" s="1" t="s">
        <v>564</v>
      </c>
      <c r="X77" s="1" t="s">
        <v>87</v>
      </c>
      <c r="Y77" s="10">
        <v>44127</v>
      </c>
      <c r="Z77" s="1">
        <v>2020</v>
      </c>
      <c r="AA77" s="2">
        <v>350537.32</v>
      </c>
      <c r="AB77" s="2"/>
      <c r="AC77" s="2">
        <v>108634.33</v>
      </c>
      <c r="AD77" s="1">
        <v>3</v>
      </c>
      <c r="AE77" s="1">
        <v>3</v>
      </c>
      <c r="AG77" s="1" t="s">
        <v>56</v>
      </c>
      <c r="AI77" s="2">
        <v>108634.33</v>
      </c>
      <c r="AL77" s="1" t="s">
        <v>565</v>
      </c>
    </row>
    <row r="78" spans="1:38" ht="14.45" customHeight="1" x14ac:dyDescent="0.2">
      <c r="A78" s="1" t="s">
        <v>57</v>
      </c>
      <c r="B78" s="9" t="s">
        <v>38</v>
      </c>
      <c r="C78" s="1" t="s">
        <v>58</v>
      </c>
      <c r="D78" s="1" t="s">
        <v>59</v>
      </c>
      <c r="E78" s="1" t="s">
        <v>42</v>
      </c>
      <c r="G78" s="1" t="s">
        <v>88</v>
      </c>
      <c r="H78" s="1" t="s">
        <v>61</v>
      </c>
      <c r="I78" s="1" t="s">
        <v>566</v>
      </c>
      <c r="J78" s="1" t="s">
        <v>82</v>
      </c>
      <c r="K78" s="1" t="s">
        <v>567</v>
      </c>
      <c r="L78" s="1" t="s">
        <v>568</v>
      </c>
      <c r="M78" s="1" t="s">
        <v>569</v>
      </c>
      <c r="P78" s="1" t="s">
        <v>570</v>
      </c>
      <c r="Q78" s="1" t="s">
        <v>101</v>
      </c>
      <c r="R78" s="1" t="s">
        <v>326</v>
      </c>
      <c r="S78" s="1" t="s">
        <v>327</v>
      </c>
      <c r="T78" s="1" t="s">
        <v>328</v>
      </c>
      <c r="U78" s="1">
        <v>2</v>
      </c>
      <c r="V78" s="1" t="s">
        <v>80</v>
      </c>
      <c r="W78" s="1" t="s">
        <v>567</v>
      </c>
      <c r="X78" s="1" t="s">
        <v>571</v>
      </c>
      <c r="Y78" s="10">
        <v>43825</v>
      </c>
      <c r="Z78" s="1">
        <v>2019</v>
      </c>
      <c r="AA78" s="2">
        <v>499788.64</v>
      </c>
      <c r="AB78" s="2"/>
      <c r="AC78" s="2">
        <v>78000</v>
      </c>
      <c r="AD78" s="1">
        <v>2</v>
      </c>
      <c r="AE78" s="1">
        <v>1</v>
      </c>
      <c r="AG78" s="1" t="s">
        <v>56</v>
      </c>
      <c r="AI78" s="2">
        <v>78000</v>
      </c>
    </row>
    <row r="79" spans="1:38" ht="14.45" customHeight="1" x14ac:dyDescent="0.2">
      <c r="A79" s="1" t="s">
        <v>57</v>
      </c>
      <c r="B79" s="9" t="s">
        <v>38</v>
      </c>
      <c r="C79" s="1" t="s">
        <v>58</v>
      </c>
      <c r="D79" s="1" t="s">
        <v>59</v>
      </c>
      <c r="E79" s="1" t="s">
        <v>42</v>
      </c>
      <c r="G79" s="1" t="s">
        <v>88</v>
      </c>
      <c r="H79" s="1" t="s">
        <v>61</v>
      </c>
      <c r="I79" s="1" t="s">
        <v>572</v>
      </c>
      <c r="J79" s="1" t="s">
        <v>82</v>
      </c>
      <c r="K79" s="1" t="s">
        <v>573</v>
      </c>
      <c r="L79" s="1" t="s">
        <v>574</v>
      </c>
      <c r="P79" s="1" t="s">
        <v>575</v>
      </c>
      <c r="Q79" s="1" t="s">
        <v>264</v>
      </c>
      <c r="R79" s="1" t="s">
        <v>265</v>
      </c>
      <c r="S79" s="1" t="s">
        <v>266</v>
      </c>
      <c r="T79" s="1" t="s">
        <v>267</v>
      </c>
      <c r="U79" s="1">
        <v>2</v>
      </c>
      <c r="V79" s="1" t="s">
        <v>268</v>
      </c>
      <c r="W79" s="1" t="s">
        <v>576</v>
      </c>
      <c r="X79" s="1" t="s">
        <v>309</v>
      </c>
      <c r="Y79" s="10">
        <v>43825</v>
      </c>
      <c r="Z79" s="1">
        <v>2019</v>
      </c>
      <c r="AA79" s="2">
        <v>492926</v>
      </c>
      <c r="AB79" s="2"/>
      <c r="AC79" s="2">
        <v>49292.6</v>
      </c>
      <c r="AD79" s="1">
        <v>0</v>
      </c>
      <c r="AG79" s="1" t="s">
        <v>56</v>
      </c>
      <c r="AI79" s="2">
        <v>49292.6</v>
      </c>
    </row>
    <row r="80" spans="1:38" ht="14.45" customHeight="1" x14ac:dyDescent="0.2">
      <c r="A80" s="1" t="s">
        <v>57</v>
      </c>
      <c r="B80" s="9" t="s">
        <v>38</v>
      </c>
      <c r="C80" s="1" t="s">
        <v>58</v>
      </c>
      <c r="D80" s="1" t="s">
        <v>59</v>
      </c>
      <c r="E80" s="1" t="s">
        <v>42</v>
      </c>
      <c r="G80" s="1" t="s">
        <v>88</v>
      </c>
      <c r="H80" s="1" t="s">
        <v>61</v>
      </c>
      <c r="I80" s="1" t="s">
        <v>577</v>
      </c>
      <c r="J80" s="1" t="s">
        <v>82</v>
      </c>
      <c r="K80" s="1" t="s">
        <v>578</v>
      </c>
      <c r="L80" s="1" t="s">
        <v>579</v>
      </c>
      <c r="M80" s="1" t="s">
        <v>580</v>
      </c>
      <c r="P80" s="1" t="s">
        <v>581</v>
      </c>
      <c r="Q80" s="1" t="s">
        <v>264</v>
      </c>
      <c r="R80" s="1" t="s">
        <v>265</v>
      </c>
      <c r="S80" s="1" t="s">
        <v>533</v>
      </c>
      <c r="T80" s="1" t="s">
        <v>534</v>
      </c>
      <c r="U80" s="1">
        <v>1</v>
      </c>
      <c r="V80" s="1" t="s">
        <v>535</v>
      </c>
      <c r="W80" s="1" t="s">
        <v>582</v>
      </c>
      <c r="X80" s="1" t="s">
        <v>138</v>
      </c>
      <c r="Y80" s="10">
        <v>43825</v>
      </c>
      <c r="Z80" s="1">
        <v>2019</v>
      </c>
      <c r="AA80" s="2">
        <v>41478.17</v>
      </c>
      <c r="AB80" s="2"/>
      <c r="AC80" s="2">
        <v>20739.09</v>
      </c>
      <c r="AD80" s="1">
        <v>3</v>
      </c>
      <c r="AE80" s="1">
        <v>0.73</v>
      </c>
      <c r="AG80" s="1" t="s">
        <v>56</v>
      </c>
      <c r="AI80" s="2">
        <v>11036.84</v>
      </c>
      <c r="AL80" s="17" t="s">
        <v>583</v>
      </c>
    </row>
    <row r="81" spans="1:38" ht="14.45" customHeight="1" x14ac:dyDescent="0.2">
      <c r="A81" s="1" t="s">
        <v>57</v>
      </c>
      <c r="B81" s="9" t="s">
        <v>38</v>
      </c>
      <c r="C81" s="1" t="s">
        <v>58</v>
      </c>
      <c r="D81" s="1" t="s">
        <v>59</v>
      </c>
      <c r="E81" s="1" t="s">
        <v>42</v>
      </c>
      <c r="G81" s="1" t="s">
        <v>88</v>
      </c>
      <c r="H81" s="1" t="s">
        <v>61</v>
      </c>
      <c r="I81" s="1" t="s">
        <v>584</v>
      </c>
      <c r="J81" s="1" t="s">
        <v>82</v>
      </c>
      <c r="K81" s="1" t="s">
        <v>585</v>
      </c>
      <c r="L81" s="1" t="s">
        <v>586</v>
      </c>
      <c r="M81" s="1" t="s">
        <v>587</v>
      </c>
      <c r="P81" s="1" t="s">
        <v>588</v>
      </c>
      <c r="Q81" s="1" t="s">
        <v>264</v>
      </c>
      <c r="R81" s="1" t="s">
        <v>265</v>
      </c>
      <c r="S81" s="1" t="s">
        <v>266</v>
      </c>
      <c r="T81" s="1" t="s">
        <v>267</v>
      </c>
      <c r="U81" s="1">
        <v>2</v>
      </c>
      <c r="V81" s="1" t="s">
        <v>268</v>
      </c>
      <c r="W81" s="1" t="s">
        <v>589</v>
      </c>
      <c r="X81" s="1" t="s">
        <v>309</v>
      </c>
      <c r="Y81" s="10">
        <v>43825</v>
      </c>
      <c r="Z81" s="1">
        <v>2019</v>
      </c>
      <c r="AA81" s="2">
        <v>364619.37</v>
      </c>
      <c r="AB81" s="2"/>
      <c r="AC81" s="2">
        <v>96692.91</v>
      </c>
      <c r="AD81" s="1">
        <v>6</v>
      </c>
      <c r="AE81" s="1">
        <v>3</v>
      </c>
      <c r="AG81" s="1" t="s">
        <v>56</v>
      </c>
      <c r="AI81" s="2">
        <v>96692.91</v>
      </c>
    </row>
    <row r="82" spans="1:38" ht="14.45" customHeight="1" x14ac:dyDescent="0.2">
      <c r="A82" s="1" t="s">
        <v>57</v>
      </c>
      <c r="B82" s="9" t="s">
        <v>38</v>
      </c>
      <c r="C82" s="1" t="s">
        <v>58</v>
      </c>
      <c r="D82" s="1" t="s">
        <v>59</v>
      </c>
      <c r="E82" s="1" t="s">
        <v>42</v>
      </c>
      <c r="G82" s="1" t="s">
        <v>88</v>
      </c>
      <c r="H82" s="1" t="s">
        <v>61</v>
      </c>
      <c r="I82" s="1" t="s">
        <v>590</v>
      </c>
      <c r="J82" s="1" t="s">
        <v>82</v>
      </c>
      <c r="K82" s="1" t="s">
        <v>591</v>
      </c>
      <c r="L82" s="1" t="s">
        <v>592</v>
      </c>
      <c r="P82" s="1" t="s">
        <v>593</v>
      </c>
      <c r="Q82" s="1" t="s">
        <v>264</v>
      </c>
      <c r="R82" s="1" t="s">
        <v>265</v>
      </c>
      <c r="S82" s="1" t="s">
        <v>450</v>
      </c>
      <c r="T82" s="1" t="s">
        <v>451</v>
      </c>
      <c r="U82" s="1">
        <v>2</v>
      </c>
      <c r="V82" s="1" t="s">
        <v>80</v>
      </c>
      <c r="W82" s="1" t="s">
        <v>592</v>
      </c>
      <c r="X82" s="1" t="s">
        <v>87</v>
      </c>
      <c r="Y82" s="10">
        <v>43825</v>
      </c>
      <c r="Z82" s="1">
        <v>2019</v>
      </c>
      <c r="AA82" s="2">
        <v>337404</v>
      </c>
      <c r="AB82" s="2"/>
      <c r="AC82" s="2">
        <v>33740.400000000001</v>
      </c>
      <c r="AD82" s="1">
        <v>0</v>
      </c>
      <c r="AG82" s="1" t="s">
        <v>56</v>
      </c>
      <c r="AI82" s="2">
        <v>33740.400000000001</v>
      </c>
    </row>
    <row r="83" spans="1:38" ht="14.45" customHeight="1" x14ac:dyDescent="0.2">
      <c r="A83" s="1" t="s">
        <v>57</v>
      </c>
      <c r="B83" s="9" t="s">
        <v>38</v>
      </c>
      <c r="C83" s="1" t="s">
        <v>58</v>
      </c>
      <c r="D83" s="1" t="s">
        <v>59</v>
      </c>
      <c r="E83" s="1" t="s">
        <v>42</v>
      </c>
      <c r="G83" s="1" t="s">
        <v>88</v>
      </c>
      <c r="H83" s="1" t="s">
        <v>61</v>
      </c>
      <c r="I83" s="1" t="s">
        <v>594</v>
      </c>
      <c r="J83" s="1" t="s">
        <v>82</v>
      </c>
      <c r="K83" s="1" t="s">
        <v>595</v>
      </c>
      <c r="L83" s="1" t="s">
        <v>596</v>
      </c>
      <c r="P83" s="1" t="s">
        <v>597</v>
      </c>
      <c r="Q83" s="1" t="s">
        <v>264</v>
      </c>
      <c r="R83" s="1" t="s">
        <v>265</v>
      </c>
      <c r="S83" s="1" t="s">
        <v>299</v>
      </c>
      <c r="T83" s="1" t="s">
        <v>300</v>
      </c>
      <c r="U83" s="1">
        <v>2</v>
      </c>
      <c r="V83" s="1" t="s">
        <v>268</v>
      </c>
      <c r="W83" s="1" t="s">
        <v>598</v>
      </c>
      <c r="X83" s="1" t="s">
        <v>599</v>
      </c>
      <c r="Y83" s="10">
        <v>44127</v>
      </c>
      <c r="Z83" s="1">
        <v>2020</v>
      </c>
      <c r="AA83" s="2">
        <v>60000</v>
      </c>
      <c r="AB83" s="2"/>
      <c r="AC83" s="2">
        <v>9000</v>
      </c>
      <c r="AD83" s="1">
        <v>0</v>
      </c>
      <c r="AG83" s="1" t="s">
        <v>56</v>
      </c>
      <c r="AI83" s="2">
        <v>8250</v>
      </c>
      <c r="AK83" s="1" t="s">
        <v>600</v>
      </c>
    </row>
    <row r="84" spans="1:38" ht="14.45" customHeight="1" x14ac:dyDescent="0.2">
      <c r="A84" s="1" t="s">
        <v>57</v>
      </c>
      <c r="B84" s="9" t="s">
        <v>38</v>
      </c>
      <c r="C84" s="1" t="s">
        <v>58</v>
      </c>
      <c r="D84" s="1" t="s">
        <v>59</v>
      </c>
      <c r="E84" s="1" t="s">
        <v>42</v>
      </c>
      <c r="G84" s="1" t="s">
        <v>60</v>
      </c>
      <c r="H84" s="1" t="s">
        <v>61</v>
      </c>
      <c r="I84" s="1" t="s">
        <v>601</v>
      </c>
      <c r="J84" s="1">
        <v>2021</v>
      </c>
      <c r="K84" s="1" t="s">
        <v>602</v>
      </c>
      <c r="L84" s="1" t="s">
        <v>603</v>
      </c>
      <c r="P84" s="1" t="s">
        <v>604</v>
      </c>
      <c r="Q84" s="1" t="s">
        <v>110</v>
      </c>
      <c r="R84" s="1" t="s">
        <v>605</v>
      </c>
      <c r="S84" s="1" t="s">
        <v>606</v>
      </c>
      <c r="T84" s="1" t="s">
        <v>607</v>
      </c>
      <c r="U84" s="1">
        <v>1</v>
      </c>
      <c r="V84" s="1" t="s">
        <v>80</v>
      </c>
      <c r="W84" s="1" t="s">
        <v>608</v>
      </c>
      <c r="X84" s="1" t="s">
        <v>609</v>
      </c>
      <c r="Y84" s="10">
        <v>44557</v>
      </c>
      <c r="Z84" s="1">
        <v>2021</v>
      </c>
      <c r="AA84" s="2">
        <v>4821773.76</v>
      </c>
      <c r="AB84" s="2"/>
      <c r="AC84" s="2">
        <v>950000</v>
      </c>
      <c r="AD84" s="1">
        <v>20</v>
      </c>
      <c r="AE84" s="1">
        <v>4</v>
      </c>
      <c r="AG84" s="1" t="s">
        <v>56</v>
      </c>
      <c r="AI84" s="2">
        <v>950000</v>
      </c>
    </row>
    <row r="85" spans="1:38" ht="14.45" customHeight="1" x14ac:dyDescent="0.2">
      <c r="A85" s="1" t="s">
        <v>57</v>
      </c>
      <c r="B85" s="9" t="s">
        <v>38</v>
      </c>
      <c r="C85" s="1" t="s">
        <v>58</v>
      </c>
      <c r="D85" s="1" t="s">
        <v>59</v>
      </c>
      <c r="E85" s="1" t="s">
        <v>42</v>
      </c>
      <c r="G85" s="1" t="s">
        <v>88</v>
      </c>
      <c r="H85" s="1" t="s">
        <v>61</v>
      </c>
      <c r="I85" s="1" t="s">
        <v>610</v>
      </c>
      <c r="J85" s="1" t="s">
        <v>82</v>
      </c>
      <c r="K85" s="1" t="s">
        <v>611</v>
      </c>
      <c r="L85" s="1" t="s">
        <v>612</v>
      </c>
      <c r="M85" s="1" t="s">
        <v>613</v>
      </c>
      <c r="P85" s="1" t="s">
        <v>614</v>
      </c>
      <c r="Q85" s="1" t="s">
        <v>264</v>
      </c>
      <c r="R85" s="1" t="s">
        <v>265</v>
      </c>
      <c r="S85" s="1" t="s">
        <v>533</v>
      </c>
      <c r="T85" s="1" t="s">
        <v>534</v>
      </c>
      <c r="U85" s="1">
        <v>1</v>
      </c>
      <c r="V85" s="1" t="s">
        <v>535</v>
      </c>
      <c r="W85" s="1" t="s">
        <v>615</v>
      </c>
      <c r="X85" s="1" t="s">
        <v>87</v>
      </c>
      <c r="Y85" s="10">
        <v>43825</v>
      </c>
      <c r="Z85" s="1">
        <v>2019</v>
      </c>
      <c r="AA85" s="2">
        <v>300750</v>
      </c>
      <c r="AB85" s="2"/>
      <c r="AC85" s="2">
        <v>90225</v>
      </c>
      <c r="AD85" s="1">
        <v>3</v>
      </c>
      <c r="AG85" s="1" t="s">
        <v>56</v>
      </c>
      <c r="AI85" s="2">
        <v>90225</v>
      </c>
    </row>
    <row r="86" spans="1:38" ht="14.45" customHeight="1" x14ac:dyDescent="0.2">
      <c r="A86" s="1" t="s">
        <v>57</v>
      </c>
      <c r="B86" s="9" t="s">
        <v>38</v>
      </c>
      <c r="C86" s="1" t="s">
        <v>58</v>
      </c>
      <c r="D86" s="1" t="s">
        <v>59</v>
      </c>
      <c r="E86" s="1" t="s">
        <v>42</v>
      </c>
      <c r="G86" s="1" t="s">
        <v>88</v>
      </c>
      <c r="H86" s="1" t="s">
        <v>61</v>
      </c>
      <c r="I86" s="1" t="s">
        <v>616</v>
      </c>
      <c r="J86" s="1" t="s">
        <v>82</v>
      </c>
      <c r="K86" s="1" t="s">
        <v>617</v>
      </c>
      <c r="L86" s="1" t="s">
        <v>618</v>
      </c>
      <c r="M86" s="1" t="s">
        <v>619</v>
      </c>
      <c r="P86" s="1" t="s">
        <v>620</v>
      </c>
      <c r="Q86" s="1" t="s">
        <v>264</v>
      </c>
      <c r="R86" s="1" t="s">
        <v>265</v>
      </c>
      <c r="S86" s="1" t="s">
        <v>533</v>
      </c>
      <c r="T86" s="1" t="s">
        <v>534</v>
      </c>
      <c r="U86" s="1">
        <v>1</v>
      </c>
      <c r="V86" s="1" t="s">
        <v>535</v>
      </c>
      <c r="W86" s="1" t="s">
        <v>621</v>
      </c>
      <c r="X86" s="1" t="s">
        <v>309</v>
      </c>
      <c r="Y86" s="10">
        <v>43825</v>
      </c>
      <c r="Z86" s="1">
        <v>2019</v>
      </c>
      <c r="AA86" s="2">
        <v>88200</v>
      </c>
      <c r="AB86" s="2"/>
      <c r="AC86" s="2">
        <v>24640</v>
      </c>
      <c r="AD86" s="1">
        <v>1</v>
      </c>
      <c r="AE86" s="1">
        <v>1</v>
      </c>
      <c r="AG86" s="1" t="s">
        <v>56</v>
      </c>
      <c r="AI86" s="2">
        <v>24640</v>
      </c>
    </row>
    <row r="87" spans="1:38" ht="14.45" customHeight="1" x14ac:dyDescent="0.2">
      <c r="A87" s="1" t="s">
        <v>57</v>
      </c>
      <c r="B87" s="9" t="s">
        <v>39</v>
      </c>
      <c r="C87" s="1" t="s">
        <v>58</v>
      </c>
      <c r="D87" s="1" t="s">
        <v>59</v>
      </c>
      <c r="E87" s="1" t="s">
        <v>42</v>
      </c>
      <c r="G87" s="1" t="s">
        <v>60</v>
      </c>
      <c r="H87" s="1" t="s">
        <v>61</v>
      </c>
      <c r="I87" s="1" t="s">
        <v>622</v>
      </c>
      <c r="J87" s="1" t="s">
        <v>82</v>
      </c>
      <c r="K87" s="1" t="s">
        <v>623</v>
      </c>
      <c r="P87" s="1" t="s">
        <v>624</v>
      </c>
      <c r="Q87" s="1" t="s">
        <v>50</v>
      </c>
      <c r="R87" s="1" t="s">
        <v>68</v>
      </c>
      <c r="S87" s="1" t="s">
        <v>69</v>
      </c>
      <c r="T87" s="1" t="s">
        <v>70</v>
      </c>
      <c r="U87" s="1">
        <v>1</v>
      </c>
      <c r="V87" s="1" t="s">
        <v>71</v>
      </c>
      <c r="W87" s="1" t="s">
        <v>623</v>
      </c>
      <c r="X87" s="1" t="s">
        <v>87</v>
      </c>
      <c r="Y87" s="10">
        <v>44315</v>
      </c>
      <c r="Z87" s="1">
        <v>2021</v>
      </c>
      <c r="AA87" s="2">
        <v>2550990</v>
      </c>
      <c r="AB87" s="2"/>
      <c r="AC87" s="2">
        <v>630000</v>
      </c>
      <c r="AD87" s="1">
        <v>18</v>
      </c>
      <c r="AE87" s="1">
        <v>10</v>
      </c>
      <c r="AG87" s="1" t="s">
        <v>432</v>
      </c>
      <c r="AH87" s="1" t="s">
        <v>492</v>
      </c>
      <c r="AI87" s="2">
        <v>0</v>
      </c>
      <c r="AK87" s="1" t="s">
        <v>301</v>
      </c>
    </row>
    <row r="88" spans="1:38" ht="12.6" customHeight="1" x14ac:dyDescent="0.2">
      <c r="A88" s="1" t="s">
        <v>57</v>
      </c>
      <c r="B88" s="9" t="s">
        <v>38</v>
      </c>
      <c r="C88" s="1" t="s">
        <v>58</v>
      </c>
      <c r="D88" s="1" t="s">
        <v>59</v>
      </c>
      <c r="E88" s="1" t="s">
        <v>42</v>
      </c>
      <c r="G88" s="1" t="s">
        <v>88</v>
      </c>
      <c r="H88" s="1" t="s">
        <v>61</v>
      </c>
      <c r="I88" s="1" t="s">
        <v>625</v>
      </c>
      <c r="J88" s="1" t="s">
        <v>82</v>
      </c>
      <c r="K88" s="1" t="s">
        <v>626</v>
      </c>
      <c r="L88" s="1" t="s">
        <v>627</v>
      </c>
      <c r="P88" s="1" t="s">
        <v>628</v>
      </c>
      <c r="Q88" s="1" t="s">
        <v>264</v>
      </c>
      <c r="R88" s="1" t="s">
        <v>265</v>
      </c>
      <c r="S88" s="1" t="s">
        <v>275</v>
      </c>
      <c r="T88" s="1" t="s">
        <v>276</v>
      </c>
      <c r="U88" s="1">
        <v>1</v>
      </c>
      <c r="V88" s="1" t="s">
        <v>80</v>
      </c>
      <c r="W88" s="1" t="s">
        <v>627</v>
      </c>
      <c r="X88" s="1" t="s">
        <v>87</v>
      </c>
      <c r="Y88" s="10">
        <v>43825</v>
      </c>
      <c r="Z88" s="1">
        <v>2019</v>
      </c>
      <c r="AA88" s="2">
        <v>159832.07999999999</v>
      </c>
      <c r="AB88" s="2"/>
      <c r="AC88" s="2">
        <v>47949.62</v>
      </c>
      <c r="AD88" s="1">
        <v>1</v>
      </c>
      <c r="AG88" s="1" t="s">
        <v>56</v>
      </c>
      <c r="AI88" s="2">
        <v>47949.62</v>
      </c>
    </row>
    <row r="89" spans="1:38" ht="14.45" customHeight="1" x14ac:dyDescent="0.2">
      <c r="A89" s="1" t="s">
        <v>57</v>
      </c>
      <c r="B89" s="9" t="s">
        <v>38</v>
      </c>
      <c r="C89" s="1" t="s">
        <v>58</v>
      </c>
      <c r="D89" s="1" t="s">
        <v>59</v>
      </c>
      <c r="E89" s="1" t="s">
        <v>42</v>
      </c>
      <c r="G89" s="1" t="s">
        <v>88</v>
      </c>
      <c r="H89" s="1" t="s">
        <v>61</v>
      </c>
      <c r="I89" s="1" t="s">
        <v>629</v>
      </c>
      <c r="J89" s="1" t="s">
        <v>82</v>
      </c>
      <c r="K89" s="1" t="s">
        <v>343</v>
      </c>
      <c r="L89" s="1" t="s">
        <v>630</v>
      </c>
      <c r="P89" s="1" t="s">
        <v>338</v>
      </c>
      <c r="Q89" s="1" t="s">
        <v>101</v>
      </c>
      <c r="R89" s="1" t="s">
        <v>339</v>
      </c>
      <c r="S89" s="1" t="s">
        <v>340</v>
      </c>
      <c r="T89" s="1" t="s">
        <v>341</v>
      </c>
      <c r="U89" s="1">
        <v>1</v>
      </c>
      <c r="V89" s="1" t="s">
        <v>80</v>
      </c>
      <c r="W89" s="1" t="s">
        <v>631</v>
      </c>
      <c r="X89" s="1" t="s">
        <v>400</v>
      </c>
      <c r="Y89" s="10">
        <v>43825</v>
      </c>
      <c r="Z89" s="1">
        <v>2019</v>
      </c>
      <c r="AA89" s="2">
        <v>462826.93</v>
      </c>
      <c r="AB89" s="2"/>
      <c r="AC89" s="2">
        <v>78831.81</v>
      </c>
      <c r="AD89" s="1">
        <v>2</v>
      </c>
      <c r="AE89" s="1">
        <v>2</v>
      </c>
      <c r="AG89" s="1" t="s">
        <v>56</v>
      </c>
      <c r="AI89" s="2">
        <v>78831.81</v>
      </c>
    </row>
    <row r="90" spans="1:38" ht="14.45" customHeight="1" x14ac:dyDescent="0.2">
      <c r="A90" s="1" t="s">
        <v>57</v>
      </c>
      <c r="B90" s="9" t="s">
        <v>38</v>
      </c>
      <c r="C90" s="1" t="s">
        <v>58</v>
      </c>
      <c r="D90" s="1" t="s">
        <v>59</v>
      </c>
      <c r="E90" s="1" t="s">
        <v>42</v>
      </c>
      <c r="G90" s="1" t="s">
        <v>88</v>
      </c>
      <c r="H90" s="1" t="s">
        <v>61</v>
      </c>
      <c r="I90" s="1" t="s">
        <v>632</v>
      </c>
      <c r="J90" s="1" t="s">
        <v>82</v>
      </c>
      <c r="K90" s="1" t="s">
        <v>633</v>
      </c>
      <c r="L90" s="1" t="s">
        <v>634</v>
      </c>
      <c r="N90" s="1" t="s">
        <v>635</v>
      </c>
      <c r="P90" s="1" t="s">
        <v>636</v>
      </c>
      <c r="Q90" s="1" t="s">
        <v>101</v>
      </c>
      <c r="R90" s="1" t="s">
        <v>102</v>
      </c>
      <c r="S90" s="1" t="s">
        <v>637</v>
      </c>
      <c r="T90" s="1" t="s">
        <v>638</v>
      </c>
      <c r="U90" s="1">
        <v>1</v>
      </c>
      <c r="V90" s="1" t="s">
        <v>101</v>
      </c>
      <c r="W90" s="1" t="s">
        <v>639</v>
      </c>
      <c r="X90" s="1" t="s">
        <v>87</v>
      </c>
      <c r="Y90" s="10">
        <v>44127</v>
      </c>
      <c r="Z90" s="1">
        <v>2020</v>
      </c>
      <c r="AA90" s="2">
        <v>189940.89</v>
      </c>
      <c r="AB90" s="2"/>
      <c r="AC90" s="2">
        <v>65000</v>
      </c>
      <c r="AD90" s="1">
        <v>1</v>
      </c>
      <c r="AG90" s="1" t="s">
        <v>56</v>
      </c>
      <c r="AI90" s="2">
        <v>65000</v>
      </c>
      <c r="AK90" s="1" t="s">
        <v>301</v>
      </c>
    </row>
    <row r="91" spans="1:38" ht="14.45" customHeight="1" x14ac:dyDescent="0.2">
      <c r="A91" s="1" t="s">
        <v>57</v>
      </c>
      <c r="B91" s="9" t="s">
        <v>38</v>
      </c>
      <c r="C91" s="1" t="s">
        <v>58</v>
      </c>
      <c r="D91" s="1" t="s">
        <v>59</v>
      </c>
      <c r="E91" s="1" t="s">
        <v>42</v>
      </c>
      <c r="G91" s="1" t="s">
        <v>88</v>
      </c>
      <c r="H91" s="1" t="s">
        <v>61</v>
      </c>
      <c r="I91" s="1" t="s">
        <v>640</v>
      </c>
      <c r="J91" s="1" t="s">
        <v>82</v>
      </c>
      <c r="K91" s="1" t="s">
        <v>641</v>
      </c>
      <c r="L91" s="1" t="s">
        <v>641</v>
      </c>
      <c r="P91" s="1" t="s">
        <v>642</v>
      </c>
      <c r="Q91" s="1" t="s">
        <v>264</v>
      </c>
      <c r="R91" s="1" t="s">
        <v>265</v>
      </c>
      <c r="S91" s="1" t="s">
        <v>275</v>
      </c>
      <c r="T91" s="1" t="s">
        <v>276</v>
      </c>
      <c r="U91" s="1">
        <v>2</v>
      </c>
      <c r="V91" s="1" t="s">
        <v>80</v>
      </c>
      <c r="W91" s="1" t="s">
        <v>641</v>
      </c>
      <c r="X91" s="1" t="s">
        <v>321</v>
      </c>
      <c r="Y91" s="10">
        <v>43825</v>
      </c>
      <c r="Z91" s="1">
        <v>2019</v>
      </c>
      <c r="AA91" s="2">
        <v>38865.53</v>
      </c>
      <c r="AB91" s="2"/>
      <c r="AC91" s="2">
        <v>12829.83</v>
      </c>
      <c r="AD91" s="1">
        <v>1</v>
      </c>
      <c r="AE91" s="1">
        <v>1</v>
      </c>
      <c r="AG91" s="1" t="s">
        <v>56</v>
      </c>
      <c r="AI91" s="2">
        <v>12829.83</v>
      </c>
    </row>
    <row r="92" spans="1:38" ht="14.45" customHeight="1" x14ac:dyDescent="0.2">
      <c r="A92" s="1" t="s">
        <v>57</v>
      </c>
      <c r="B92" s="9" t="s">
        <v>38</v>
      </c>
      <c r="C92" s="1" t="s">
        <v>58</v>
      </c>
      <c r="D92" s="1" t="s">
        <v>59</v>
      </c>
      <c r="E92" s="1" t="s">
        <v>42</v>
      </c>
      <c r="G92" s="1" t="s">
        <v>88</v>
      </c>
      <c r="H92" s="1" t="s">
        <v>61</v>
      </c>
      <c r="I92" s="1" t="s">
        <v>643</v>
      </c>
      <c r="J92" s="1" t="s">
        <v>82</v>
      </c>
      <c r="K92" s="1" t="s">
        <v>323</v>
      </c>
      <c r="L92" s="1" t="s">
        <v>343</v>
      </c>
      <c r="P92" s="1" t="s">
        <v>644</v>
      </c>
      <c r="Q92" s="1" t="s">
        <v>101</v>
      </c>
      <c r="R92" s="1" t="s">
        <v>326</v>
      </c>
      <c r="S92" s="1" t="s">
        <v>327</v>
      </c>
      <c r="T92" s="1" t="s">
        <v>328</v>
      </c>
      <c r="U92" s="1">
        <v>2</v>
      </c>
      <c r="V92" s="1" t="s">
        <v>80</v>
      </c>
      <c r="W92" s="1" t="s">
        <v>631</v>
      </c>
      <c r="X92" s="1" t="s">
        <v>400</v>
      </c>
      <c r="Y92" s="10">
        <v>43825</v>
      </c>
      <c r="Z92" s="1">
        <v>2019</v>
      </c>
      <c r="AA92" s="2">
        <v>499966.8</v>
      </c>
      <c r="AB92" s="2"/>
      <c r="AC92" s="2">
        <v>78000</v>
      </c>
      <c r="AD92" s="1">
        <v>2</v>
      </c>
      <c r="AE92" s="1">
        <v>1</v>
      </c>
      <c r="AG92" s="1" t="s">
        <v>56</v>
      </c>
      <c r="AI92" s="2">
        <v>28617.09</v>
      </c>
    </row>
    <row r="93" spans="1:38" ht="14.45" customHeight="1" x14ac:dyDescent="0.2">
      <c r="A93" s="1" t="s">
        <v>57</v>
      </c>
      <c r="B93" s="9" t="s">
        <v>38</v>
      </c>
      <c r="C93" s="1" t="s">
        <v>58</v>
      </c>
      <c r="D93" s="1" t="s">
        <v>59</v>
      </c>
      <c r="E93" s="1" t="s">
        <v>42</v>
      </c>
      <c r="G93" s="1" t="s">
        <v>88</v>
      </c>
      <c r="H93" s="1" t="s">
        <v>61</v>
      </c>
      <c r="I93" s="1" t="s">
        <v>645</v>
      </c>
      <c r="J93" s="1" t="s">
        <v>82</v>
      </c>
      <c r="K93" s="1" t="s">
        <v>646</v>
      </c>
      <c r="L93" s="1" t="s">
        <v>647</v>
      </c>
      <c r="M93" s="1" t="s">
        <v>648</v>
      </c>
      <c r="P93" s="1" t="s">
        <v>649</v>
      </c>
      <c r="Q93" s="1" t="s">
        <v>264</v>
      </c>
      <c r="R93" s="1" t="s">
        <v>265</v>
      </c>
      <c r="S93" s="1" t="s">
        <v>379</v>
      </c>
      <c r="T93" s="1" t="s">
        <v>380</v>
      </c>
      <c r="U93" s="1">
        <v>2</v>
      </c>
      <c r="V93" s="1" t="s">
        <v>268</v>
      </c>
      <c r="W93" s="1" t="s">
        <v>650</v>
      </c>
      <c r="X93" s="1" t="s">
        <v>87</v>
      </c>
      <c r="Y93" s="10">
        <v>43825</v>
      </c>
      <c r="Z93" s="1">
        <v>2019</v>
      </c>
      <c r="AA93" s="2">
        <v>168588.5</v>
      </c>
      <c r="AB93" s="2"/>
      <c r="AC93" s="2">
        <v>25288.28</v>
      </c>
      <c r="AD93" s="1">
        <v>0</v>
      </c>
      <c r="AG93" s="1" t="s">
        <v>56</v>
      </c>
      <c r="AI93" s="2">
        <v>25288.28</v>
      </c>
    </row>
    <row r="94" spans="1:38" ht="14.45" customHeight="1" x14ac:dyDescent="0.2">
      <c r="A94" s="1" t="s">
        <v>57</v>
      </c>
      <c r="B94" s="9" t="s">
        <v>38</v>
      </c>
      <c r="C94" s="1" t="s">
        <v>58</v>
      </c>
      <c r="D94" s="1" t="s">
        <v>59</v>
      </c>
      <c r="E94" s="1" t="s">
        <v>42</v>
      </c>
      <c r="G94" s="1" t="s">
        <v>88</v>
      </c>
      <c r="H94" s="1" t="s">
        <v>61</v>
      </c>
      <c r="I94" s="1" t="s">
        <v>651</v>
      </c>
      <c r="J94" s="1" t="s">
        <v>82</v>
      </c>
      <c r="K94" s="1" t="s">
        <v>652</v>
      </c>
      <c r="L94" s="1" t="s">
        <v>653</v>
      </c>
      <c r="M94" s="1" t="s">
        <v>654</v>
      </c>
      <c r="P94" s="1" t="s">
        <v>655</v>
      </c>
      <c r="Q94" s="1" t="s">
        <v>264</v>
      </c>
      <c r="R94" s="1" t="s">
        <v>265</v>
      </c>
      <c r="S94" s="1" t="s">
        <v>656</v>
      </c>
      <c r="T94" s="1" t="s">
        <v>657</v>
      </c>
      <c r="U94" s="1">
        <v>2</v>
      </c>
      <c r="V94" s="1" t="s">
        <v>268</v>
      </c>
      <c r="W94" s="1" t="s">
        <v>652</v>
      </c>
      <c r="X94" s="1" t="s">
        <v>321</v>
      </c>
      <c r="Y94" s="10">
        <v>43825</v>
      </c>
      <c r="Z94" s="1">
        <v>2019</v>
      </c>
      <c r="AA94" s="2">
        <v>43800</v>
      </c>
      <c r="AB94" s="2"/>
      <c r="AC94" s="2">
        <v>13570</v>
      </c>
      <c r="AD94" s="1">
        <v>1</v>
      </c>
      <c r="AE94" s="1">
        <v>1</v>
      </c>
      <c r="AG94" s="1" t="s">
        <v>56</v>
      </c>
      <c r="AI94" s="2">
        <v>13570</v>
      </c>
    </row>
    <row r="95" spans="1:38" ht="14.45" customHeight="1" x14ac:dyDescent="0.2">
      <c r="A95" s="1" t="s">
        <v>57</v>
      </c>
      <c r="B95" s="9" t="s">
        <v>38</v>
      </c>
      <c r="C95" s="1" t="s">
        <v>58</v>
      </c>
      <c r="D95" s="1" t="s">
        <v>59</v>
      </c>
      <c r="E95" s="1" t="s">
        <v>42</v>
      </c>
      <c r="G95" s="1" t="s">
        <v>88</v>
      </c>
      <c r="H95" s="1" t="s">
        <v>61</v>
      </c>
      <c r="I95" s="1" t="s">
        <v>658</v>
      </c>
      <c r="J95" s="1" t="s">
        <v>82</v>
      </c>
      <c r="K95" s="1" t="s">
        <v>659</v>
      </c>
      <c r="L95" s="1" t="s">
        <v>660</v>
      </c>
      <c r="P95" s="1" t="s">
        <v>661</v>
      </c>
      <c r="Q95" s="1" t="s">
        <v>264</v>
      </c>
      <c r="R95" s="1" t="s">
        <v>265</v>
      </c>
      <c r="S95" s="1" t="s">
        <v>275</v>
      </c>
      <c r="T95" s="1" t="s">
        <v>276</v>
      </c>
      <c r="U95" s="1">
        <v>2</v>
      </c>
      <c r="V95" s="1" t="s">
        <v>80</v>
      </c>
      <c r="W95" s="1" t="s">
        <v>660</v>
      </c>
      <c r="X95" s="1" t="s">
        <v>87</v>
      </c>
      <c r="Y95" s="10">
        <v>43825</v>
      </c>
      <c r="Z95" s="1">
        <v>2019</v>
      </c>
      <c r="AA95" s="2">
        <v>108773.63</v>
      </c>
      <c r="AB95" s="2"/>
      <c r="AC95" s="2">
        <v>30316.04</v>
      </c>
      <c r="AD95" s="1">
        <v>2</v>
      </c>
      <c r="AE95" s="1">
        <v>1.86</v>
      </c>
      <c r="AG95" s="1" t="s">
        <v>56</v>
      </c>
      <c r="AI95" s="2">
        <v>15167.58</v>
      </c>
    </row>
    <row r="96" spans="1:38" ht="14.45" customHeight="1" x14ac:dyDescent="0.2">
      <c r="A96" s="1" t="s">
        <v>57</v>
      </c>
      <c r="B96" s="9" t="s">
        <v>38</v>
      </c>
      <c r="C96" s="1" t="s">
        <v>58</v>
      </c>
      <c r="D96" s="1" t="s">
        <v>59</v>
      </c>
      <c r="E96" s="1" t="s">
        <v>42</v>
      </c>
      <c r="G96" s="1" t="s">
        <v>60</v>
      </c>
      <c r="H96" s="1" t="s">
        <v>61</v>
      </c>
      <c r="I96" s="1" t="s">
        <v>662</v>
      </c>
      <c r="J96" s="1" t="s">
        <v>82</v>
      </c>
      <c r="K96" s="1" t="s">
        <v>663</v>
      </c>
      <c r="L96" s="1" t="s">
        <v>664</v>
      </c>
      <c r="P96" s="1" t="s">
        <v>665</v>
      </c>
      <c r="Q96" s="1" t="s">
        <v>110</v>
      </c>
      <c r="R96" s="1" t="s">
        <v>605</v>
      </c>
      <c r="S96" s="1" t="s">
        <v>606</v>
      </c>
      <c r="T96" s="1" t="s">
        <v>607</v>
      </c>
      <c r="U96" s="1">
        <v>1</v>
      </c>
      <c r="V96" s="1" t="s">
        <v>80</v>
      </c>
      <c r="W96" s="1" t="s">
        <v>666</v>
      </c>
      <c r="X96" s="1" t="s">
        <v>153</v>
      </c>
      <c r="Y96" s="10">
        <v>43825</v>
      </c>
      <c r="Z96" s="1">
        <v>2019</v>
      </c>
      <c r="AA96" s="2">
        <v>4470500</v>
      </c>
      <c r="AB96" s="2"/>
      <c r="AC96" s="2">
        <v>1260000</v>
      </c>
      <c r="AD96" s="1">
        <v>38</v>
      </c>
      <c r="AE96" s="1">
        <v>10</v>
      </c>
      <c r="AG96" s="1" t="s">
        <v>56</v>
      </c>
      <c r="AI96" s="2">
        <v>1260000</v>
      </c>
      <c r="AL96" s="1" t="s">
        <v>667</v>
      </c>
    </row>
    <row r="97" spans="1:38" ht="12.6" customHeight="1" x14ac:dyDescent="0.2">
      <c r="A97" s="1" t="s">
        <v>57</v>
      </c>
      <c r="B97" s="9" t="s">
        <v>38</v>
      </c>
      <c r="C97" s="1" t="s">
        <v>58</v>
      </c>
      <c r="D97" s="1" t="s">
        <v>59</v>
      </c>
      <c r="E97" s="1" t="s">
        <v>42</v>
      </c>
      <c r="G97" s="1" t="s">
        <v>88</v>
      </c>
      <c r="H97" s="1" t="s">
        <v>61</v>
      </c>
      <c r="I97" s="1" t="s">
        <v>668</v>
      </c>
      <c r="J97" s="1" t="s">
        <v>82</v>
      </c>
      <c r="K97" s="1" t="s">
        <v>669</v>
      </c>
      <c r="L97" s="1" t="s">
        <v>670</v>
      </c>
      <c r="M97" s="1" t="s">
        <v>671</v>
      </c>
      <c r="P97" s="1" t="s">
        <v>672</v>
      </c>
      <c r="Q97" s="1" t="s">
        <v>264</v>
      </c>
      <c r="R97" s="1" t="s">
        <v>265</v>
      </c>
      <c r="S97" s="1" t="s">
        <v>673</v>
      </c>
      <c r="T97" s="1" t="s">
        <v>674</v>
      </c>
      <c r="U97" s="1">
        <v>2</v>
      </c>
      <c r="V97" s="1" t="s">
        <v>268</v>
      </c>
      <c r="W97" s="1" t="s">
        <v>675</v>
      </c>
      <c r="X97" s="1" t="s">
        <v>138</v>
      </c>
      <c r="Y97" s="10">
        <v>43825</v>
      </c>
      <c r="Z97" s="1">
        <v>2019</v>
      </c>
      <c r="AA97" s="2">
        <v>499998.15</v>
      </c>
      <c r="AB97" s="2"/>
      <c r="AC97" s="2">
        <v>100000</v>
      </c>
      <c r="AD97" s="1">
        <v>12</v>
      </c>
      <c r="AE97" s="1">
        <v>11</v>
      </c>
      <c r="AG97" s="1" t="s">
        <v>56</v>
      </c>
      <c r="AI97" s="2">
        <v>100000</v>
      </c>
    </row>
    <row r="98" spans="1:38" ht="14.45" customHeight="1" x14ac:dyDescent="0.2">
      <c r="A98" s="1" t="s">
        <v>57</v>
      </c>
      <c r="B98" s="9" t="s">
        <v>38</v>
      </c>
      <c r="C98" s="1" t="s">
        <v>58</v>
      </c>
      <c r="D98" s="1" t="s">
        <v>59</v>
      </c>
      <c r="E98" s="1" t="s">
        <v>42</v>
      </c>
      <c r="G98" s="1" t="s">
        <v>88</v>
      </c>
      <c r="H98" s="1" t="s">
        <v>61</v>
      </c>
      <c r="I98" s="1" t="s">
        <v>676</v>
      </c>
      <c r="J98" s="1" t="s">
        <v>82</v>
      </c>
      <c r="K98" s="1" t="s">
        <v>677</v>
      </c>
      <c r="L98" s="1" t="s">
        <v>678</v>
      </c>
      <c r="P98" s="1" t="s">
        <v>679</v>
      </c>
      <c r="Q98" s="1" t="s">
        <v>101</v>
      </c>
      <c r="R98" s="1" t="s">
        <v>326</v>
      </c>
      <c r="S98" s="1" t="s">
        <v>327</v>
      </c>
      <c r="T98" s="1" t="s">
        <v>328</v>
      </c>
      <c r="U98" s="1">
        <v>2</v>
      </c>
      <c r="V98" s="1" t="s">
        <v>80</v>
      </c>
      <c r="W98" s="1" t="s">
        <v>677</v>
      </c>
      <c r="X98" s="1" t="s">
        <v>153</v>
      </c>
      <c r="Y98" s="10">
        <v>43825</v>
      </c>
      <c r="Z98" s="1">
        <v>2019</v>
      </c>
      <c r="AA98" s="2">
        <v>345875.05</v>
      </c>
      <c r="AB98" s="2"/>
      <c r="AC98" s="2">
        <v>65881.259999999995</v>
      </c>
      <c r="AD98" s="1">
        <v>3</v>
      </c>
      <c r="AG98" s="1" t="s">
        <v>56</v>
      </c>
      <c r="AI98" s="2">
        <v>65881.259999999995</v>
      </c>
      <c r="AL98" s="1" t="s">
        <v>680</v>
      </c>
    </row>
    <row r="99" spans="1:38" ht="14.45" customHeight="1" x14ac:dyDescent="0.2">
      <c r="A99" s="1" t="s">
        <v>57</v>
      </c>
      <c r="B99" s="9" t="s">
        <v>38</v>
      </c>
      <c r="C99" s="1" t="s">
        <v>58</v>
      </c>
      <c r="D99" s="1" t="s">
        <v>59</v>
      </c>
      <c r="E99" s="1" t="s">
        <v>42</v>
      </c>
      <c r="G99" s="1" t="s">
        <v>60</v>
      </c>
      <c r="H99" s="1" t="s">
        <v>61</v>
      </c>
      <c r="I99" s="1" t="s">
        <v>681</v>
      </c>
      <c r="J99" s="1">
        <v>2021</v>
      </c>
      <c r="K99" s="1" t="s">
        <v>682</v>
      </c>
      <c r="L99" s="1" t="s">
        <v>683</v>
      </c>
      <c r="P99" s="1" t="s">
        <v>684</v>
      </c>
      <c r="Q99" s="1" t="s">
        <v>264</v>
      </c>
      <c r="R99" s="1" t="s">
        <v>265</v>
      </c>
      <c r="S99" s="1" t="s">
        <v>266</v>
      </c>
      <c r="T99" s="1" t="s">
        <v>267</v>
      </c>
      <c r="U99" s="1">
        <v>2</v>
      </c>
      <c r="V99" s="1" t="s">
        <v>268</v>
      </c>
      <c r="W99" s="1" t="s">
        <v>685</v>
      </c>
      <c r="X99" s="1" t="s">
        <v>609</v>
      </c>
      <c r="Y99" s="10">
        <v>44557</v>
      </c>
      <c r="Z99" s="1">
        <v>2021</v>
      </c>
      <c r="AA99" s="2">
        <v>2941898.43</v>
      </c>
      <c r="AB99" s="2"/>
      <c r="AC99" s="2">
        <v>45000</v>
      </c>
      <c r="AD99" s="1">
        <v>3</v>
      </c>
      <c r="AG99" s="1" t="s">
        <v>56</v>
      </c>
      <c r="AI99" s="2">
        <v>45000</v>
      </c>
    </row>
    <row r="100" spans="1:38" ht="12.6" customHeight="1" x14ac:dyDescent="0.2">
      <c r="A100" s="1" t="s">
        <v>57</v>
      </c>
      <c r="B100" s="9" t="s">
        <v>38</v>
      </c>
      <c r="C100" s="1" t="s">
        <v>58</v>
      </c>
      <c r="D100" s="1" t="s">
        <v>59</v>
      </c>
      <c r="E100" s="1" t="s">
        <v>42</v>
      </c>
      <c r="G100" s="1" t="s">
        <v>88</v>
      </c>
      <c r="H100" s="1" t="s">
        <v>61</v>
      </c>
      <c r="I100" s="1" t="s">
        <v>686</v>
      </c>
      <c r="J100" s="1" t="s">
        <v>82</v>
      </c>
      <c r="K100" s="1" t="s">
        <v>687</v>
      </c>
      <c r="L100" s="1" t="s">
        <v>688</v>
      </c>
      <c r="M100" s="1" t="s">
        <v>689</v>
      </c>
      <c r="N100" s="1" t="s">
        <v>690</v>
      </c>
      <c r="P100" s="1" t="s">
        <v>691</v>
      </c>
      <c r="Q100" s="1" t="s">
        <v>50</v>
      </c>
      <c r="R100" s="1" t="s">
        <v>68</v>
      </c>
      <c r="S100" s="1" t="s">
        <v>692</v>
      </c>
      <c r="T100" s="1" t="s">
        <v>693</v>
      </c>
      <c r="U100" s="1">
        <v>2</v>
      </c>
      <c r="V100" s="1" t="s">
        <v>71</v>
      </c>
      <c r="W100" s="1" t="s">
        <v>687</v>
      </c>
      <c r="X100" s="1" t="s">
        <v>309</v>
      </c>
      <c r="Y100" s="10">
        <v>43825</v>
      </c>
      <c r="Z100" s="1">
        <v>2019</v>
      </c>
      <c r="AA100" s="2">
        <v>51392.2</v>
      </c>
      <c r="AB100" s="2"/>
      <c r="AC100" s="2">
        <v>7708.83</v>
      </c>
      <c r="AD100" s="1">
        <v>1</v>
      </c>
      <c r="AG100" s="1" t="s">
        <v>56</v>
      </c>
      <c r="AI100" s="2">
        <v>7708.83</v>
      </c>
      <c r="AL100" s="1" t="s">
        <v>694</v>
      </c>
    </row>
    <row r="101" spans="1:38" ht="14.45" customHeight="1" x14ac:dyDescent="0.2">
      <c r="A101" s="1" t="s">
        <v>57</v>
      </c>
      <c r="B101" s="9" t="s">
        <v>38</v>
      </c>
      <c r="C101" s="1" t="s">
        <v>58</v>
      </c>
      <c r="D101" s="1" t="s">
        <v>59</v>
      </c>
      <c r="E101" s="1" t="s">
        <v>42</v>
      </c>
      <c r="G101" s="1" t="s">
        <v>88</v>
      </c>
      <c r="H101" s="1" t="s">
        <v>61</v>
      </c>
      <c r="I101" s="1" t="s">
        <v>695</v>
      </c>
      <c r="J101" s="1" t="s">
        <v>82</v>
      </c>
      <c r="K101" s="1" t="s">
        <v>343</v>
      </c>
      <c r="L101" s="1" t="s">
        <v>343</v>
      </c>
      <c r="P101" s="1" t="s">
        <v>696</v>
      </c>
      <c r="Q101" s="1" t="s">
        <v>101</v>
      </c>
      <c r="R101" s="1" t="s">
        <v>326</v>
      </c>
      <c r="S101" s="1" t="s">
        <v>327</v>
      </c>
      <c r="T101" s="1" t="s">
        <v>328</v>
      </c>
      <c r="U101" s="1">
        <v>2</v>
      </c>
      <c r="V101" s="1" t="s">
        <v>80</v>
      </c>
      <c r="W101" s="1" t="s">
        <v>697</v>
      </c>
      <c r="X101" s="1" t="s">
        <v>400</v>
      </c>
      <c r="Y101" s="10">
        <v>43825</v>
      </c>
      <c r="Z101" s="1">
        <v>2019</v>
      </c>
      <c r="AA101" s="2">
        <v>499691.02</v>
      </c>
      <c r="AB101" s="2"/>
      <c r="AC101" s="2">
        <v>63969.1</v>
      </c>
      <c r="AD101" s="1">
        <v>2</v>
      </c>
      <c r="AE101" s="1">
        <v>1</v>
      </c>
      <c r="AG101" s="1" t="s">
        <v>56</v>
      </c>
      <c r="AI101" s="2">
        <v>63969.1</v>
      </c>
    </row>
    <row r="102" spans="1:38" ht="14.45" customHeight="1" x14ac:dyDescent="0.2">
      <c r="A102" s="1" t="s">
        <v>57</v>
      </c>
      <c r="B102" s="9" t="s">
        <v>38</v>
      </c>
      <c r="C102" s="1" t="s">
        <v>58</v>
      </c>
      <c r="D102" s="1" t="s">
        <v>59</v>
      </c>
      <c r="E102" s="1" t="s">
        <v>42</v>
      </c>
      <c r="G102" s="1" t="s">
        <v>60</v>
      </c>
      <c r="H102" s="1" t="s">
        <v>61</v>
      </c>
      <c r="I102" s="1" t="s">
        <v>698</v>
      </c>
      <c r="J102" s="1">
        <v>2021</v>
      </c>
      <c r="K102" s="1" t="s">
        <v>699</v>
      </c>
      <c r="L102" s="1" t="s">
        <v>700</v>
      </c>
      <c r="P102" s="1" t="s">
        <v>701</v>
      </c>
      <c r="Q102" s="1" t="s">
        <v>110</v>
      </c>
      <c r="R102" s="1" t="s">
        <v>605</v>
      </c>
      <c r="S102" s="1" t="s">
        <v>606</v>
      </c>
      <c r="T102" s="1" t="s">
        <v>607</v>
      </c>
      <c r="U102" s="1">
        <v>1</v>
      </c>
      <c r="V102" s="1" t="s">
        <v>80</v>
      </c>
      <c r="W102" s="1" t="s">
        <v>702</v>
      </c>
      <c r="X102" s="1" t="s">
        <v>153</v>
      </c>
      <c r="Y102" s="10">
        <v>44557</v>
      </c>
      <c r="Z102" s="1">
        <v>2021</v>
      </c>
      <c r="AA102" s="2">
        <v>1482420</v>
      </c>
      <c r="AB102" s="2"/>
      <c r="AC102" s="2">
        <v>667089</v>
      </c>
      <c r="AD102" s="1">
        <v>20</v>
      </c>
      <c r="AE102" s="1">
        <v>1</v>
      </c>
      <c r="AG102" s="1" t="s">
        <v>56</v>
      </c>
      <c r="AI102" s="2">
        <v>667089</v>
      </c>
    </row>
    <row r="103" spans="1:38" ht="14.45" customHeight="1" x14ac:dyDescent="0.2">
      <c r="A103" s="1" t="s">
        <v>57</v>
      </c>
      <c r="B103" s="9" t="s">
        <v>38</v>
      </c>
      <c r="C103" s="1" t="s">
        <v>58</v>
      </c>
      <c r="D103" s="1" t="s">
        <v>59</v>
      </c>
      <c r="E103" s="1" t="s">
        <v>42</v>
      </c>
      <c r="G103" s="1" t="s">
        <v>60</v>
      </c>
      <c r="H103" s="1" t="s">
        <v>61</v>
      </c>
      <c r="I103" s="1" t="s">
        <v>703</v>
      </c>
      <c r="J103" s="1">
        <v>2021</v>
      </c>
      <c r="K103" s="1" t="s">
        <v>704</v>
      </c>
      <c r="L103" s="1" t="s">
        <v>705</v>
      </c>
      <c r="P103" s="1" t="s">
        <v>644</v>
      </c>
      <c r="Q103" s="1" t="s">
        <v>101</v>
      </c>
      <c r="R103" s="1" t="s">
        <v>326</v>
      </c>
      <c r="S103" s="1" t="s">
        <v>327</v>
      </c>
      <c r="T103" s="1" t="s">
        <v>328</v>
      </c>
      <c r="U103" s="1">
        <v>2</v>
      </c>
      <c r="V103" s="1" t="s">
        <v>80</v>
      </c>
      <c r="W103" s="1" t="s">
        <v>705</v>
      </c>
      <c r="X103" s="1" t="s">
        <v>571</v>
      </c>
      <c r="Y103" s="10">
        <v>44557</v>
      </c>
      <c r="Z103" s="1">
        <v>2021</v>
      </c>
      <c r="AA103" s="2">
        <v>2221225.66</v>
      </c>
      <c r="AB103" s="2"/>
      <c r="AC103" s="2">
        <v>115000</v>
      </c>
      <c r="AD103" s="1">
        <v>5</v>
      </c>
      <c r="AE103" s="1">
        <v>4</v>
      </c>
      <c r="AG103" s="1" t="s">
        <v>56</v>
      </c>
      <c r="AI103" s="2">
        <v>115000</v>
      </c>
    </row>
    <row r="104" spans="1:38" ht="14.45" customHeight="1" x14ac:dyDescent="0.2">
      <c r="A104" s="1" t="s">
        <v>57</v>
      </c>
      <c r="B104" s="9" t="s">
        <v>38</v>
      </c>
      <c r="C104" s="1" t="s">
        <v>58</v>
      </c>
      <c r="D104" s="1" t="s">
        <v>59</v>
      </c>
      <c r="E104" s="1" t="s">
        <v>42</v>
      </c>
      <c r="G104" s="1" t="s">
        <v>60</v>
      </c>
      <c r="H104" s="1" t="s">
        <v>61</v>
      </c>
      <c r="I104" s="1" t="s">
        <v>706</v>
      </c>
      <c r="J104" s="1">
        <v>2021</v>
      </c>
      <c r="K104" s="1" t="s">
        <v>707</v>
      </c>
      <c r="L104" s="1" t="s">
        <v>708</v>
      </c>
      <c r="M104" s="1" t="s">
        <v>709</v>
      </c>
      <c r="P104" s="1" t="s">
        <v>710</v>
      </c>
      <c r="Q104" s="1" t="s">
        <v>264</v>
      </c>
      <c r="R104" s="1" t="s">
        <v>265</v>
      </c>
      <c r="S104" s="1" t="s">
        <v>299</v>
      </c>
      <c r="T104" s="1" t="s">
        <v>300</v>
      </c>
      <c r="U104" s="1">
        <v>2</v>
      </c>
      <c r="V104" s="1" t="s">
        <v>268</v>
      </c>
      <c r="W104" s="1" t="s">
        <v>711</v>
      </c>
      <c r="X104" s="1" t="s">
        <v>321</v>
      </c>
      <c r="Y104" s="10">
        <v>44557</v>
      </c>
      <c r="Z104" s="1">
        <v>2021</v>
      </c>
      <c r="AA104" s="2">
        <v>645210.09</v>
      </c>
      <c r="AB104" s="2"/>
      <c r="AC104" s="2">
        <v>96781.513500000015</v>
      </c>
      <c r="AD104" s="1">
        <v>4</v>
      </c>
      <c r="AE104" s="1">
        <v>4</v>
      </c>
      <c r="AG104" s="1" t="s">
        <v>56</v>
      </c>
      <c r="AI104" s="2">
        <v>96781.513500000015</v>
      </c>
    </row>
    <row r="105" spans="1:38" ht="14.45" customHeight="1" x14ac:dyDescent="0.2">
      <c r="A105" s="1" t="s">
        <v>57</v>
      </c>
      <c r="B105" s="9" t="s">
        <v>38</v>
      </c>
      <c r="C105" s="1" t="s">
        <v>58</v>
      </c>
      <c r="D105" s="1" t="s">
        <v>59</v>
      </c>
      <c r="E105" s="1" t="s">
        <v>42</v>
      </c>
      <c r="G105" s="1" t="s">
        <v>60</v>
      </c>
      <c r="H105" s="1" t="s">
        <v>61</v>
      </c>
      <c r="I105" s="1" t="s">
        <v>712</v>
      </c>
      <c r="J105" s="1">
        <v>2021</v>
      </c>
      <c r="K105" s="1" t="s">
        <v>713</v>
      </c>
      <c r="L105" s="1" t="s">
        <v>714</v>
      </c>
      <c r="M105" s="1" t="s">
        <v>715</v>
      </c>
      <c r="P105" s="1" t="s">
        <v>716</v>
      </c>
      <c r="Q105" s="1" t="s">
        <v>264</v>
      </c>
      <c r="R105" s="1" t="s">
        <v>265</v>
      </c>
      <c r="S105" s="1" t="s">
        <v>717</v>
      </c>
      <c r="T105" s="1" t="s">
        <v>718</v>
      </c>
      <c r="U105" s="1">
        <v>1</v>
      </c>
      <c r="V105" s="1" t="s">
        <v>535</v>
      </c>
      <c r="W105" s="1" t="s">
        <v>719</v>
      </c>
      <c r="X105" s="1" t="s">
        <v>87</v>
      </c>
      <c r="Y105" s="10">
        <v>44557</v>
      </c>
      <c r="Z105" s="1">
        <v>2021</v>
      </c>
      <c r="AA105" s="2">
        <v>1277000</v>
      </c>
      <c r="AB105" s="2"/>
      <c r="AC105" s="2">
        <v>120000</v>
      </c>
      <c r="AD105" s="1">
        <v>4</v>
      </c>
      <c r="AG105" s="1" t="s">
        <v>56</v>
      </c>
      <c r="AI105" s="2">
        <v>120000</v>
      </c>
    </row>
    <row r="106" spans="1:38" ht="14.45" customHeight="1" x14ac:dyDescent="0.2">
      <c r="A106" s="1" t="s">
        <v>57</v>
      </c>
      <c r="B106" s="9" t="s">
        <v>38</v>
      </c>
      <c r="C106" s="1" t="s">
        <v>58</v>
      </c>
      <c r="D106" s="1" t="s">
        <v>59</v>
      </c>
      <c r="E106" s="1" t="s">
        <v>42</v>
      </c>
      <c r="G106" s="1" t="s">
        <v>60</v>
      </c>
      <c r="H106" s="1" t="s">
        <v>61</v>
      </c>
      <c r="I106" s="1" t="s">
        <v>720</v>
      </c>
      <c r="J106" s="1">
        <v>2021</v>
      </c>
      <c r="K106" s="1" t="s">
        <v>721</v>
      </c>
      <c r="L106" s="1" t="s">
        <v>721</v>
      </c>
      <c r="P106" s="1" t="s">
        <v>722</v>
      </c>
      <c r="Q106" s="1" t="s">
        <v>264</v>
      </c>
      <c r="R106" s="1" t="s">
        <v>265</v>
      </c>
      <c r="S106" s="1" t="s">
        <v>275</v>
      </c>
      <c r="T106" s="1" t="s">
        <v>276</v>
      </c>
      <c r="U106" s="1">
        <v>2</v>
      </c>
      <c r="V106" s="1" t="s">
        <v>80</v>
      </c>
      <c r="W106" s="1" t="s">
        <v>721</v>
      </c>
      <c r="X106" s="1" t="s">
        <v>145</v>
      </c>
      <c r="Y106" s="10">
        <v>44557</v>
      </c>
      <c r="Z106" s="1">
        <v>2021</v>
      </c>
      <c r="AA106" s="2">
        <v>3528444.35</v>
      </c>
      <c r="AB106" s="2"/>
      <c r="AC106" s="2">
        <v>375000</v>
      </c>
      <c r="AD106" s="1">
        <v>15</v>
      </c>
      <c r="AE106" s="1">
        <v>9</v>
      </c>
      <c r="AG106" s="1" t="s">
        <v>56</v>
      </c>
      <c r="AI106" s="2">
        <v>375000</v>
      </c>
    </row>
    <row r="107" spans="1:38" ht="14.45" customHeight="1" x14ac:dyDescent="0.2">
      <c r="A107" s="1" t="s">
        <v>57</v>
      </c>
      <c r="B107" s="9" t="s">
        <v>38</v>
      </c>
      <c r="C107" s="1" t="s">
        <v>58</v>
      </c>
      <c r="D107" s="1" t="s">
        <v>59</v>
      </c>
      <c r="E107" s="1" t="s">
        <v>42</v>
      </c>
      <c r="G107" s="1" t="s">
        <v>60</v>
      </c>
      <c r="H107" s="1" t="s">
        <v>61</v>
      </c>
      <c r="I107" s="1" t="s">
        <v>723</v>
      </c>
      <c r="J107" s="1">
        <v>2021</v>
      </c>
      <c r="K107" s="1" t="s">
        <v>724</v>
      </c>
      <c r="L107" s="1" t="s">
        <v>725</v>
      </c>
      <c r="M107" s="1" t="s">
        <v>726</v>
      </c>
      <c r="P107" s="1" t="s">
        <v>727</v>
      </c>
      <c r="Q107" s="1" t="s">
        <v>264</v>
      </c>
      <c r="R107" s="1" t="s">
        <v>265</v>
      </c>
      <c r="S107" s="1" t="s">
        <v>533</v>
      </c>
      <c r="T107" s="1" t="s">
        <v>534</v>
      </c>
      <c r="U107" s="1">
        <v>1</v>
      </c>
      <c r="V107" s="1" t="s">
        <v>535</v>
      </c>
      <c r="W107" s="1" t="s">
        <v>728</v>
      </c>
      <c r="X107" s="1" t="s">
        <v>138</v>
      </c>
      <c r="Y107" s="10">
        <v>44557</v>
      </c>
      <c r="Z107" s="1">
        <v>2021</v>
      </c>
      <c r="AA107" s="2">
        <v>3733443.53</v>
      </c>
      <c r="AB107" s="2"/>
      <c r="AC107" s="2">
        <v>1120033.0590000001</v>
      </c>
      <c r="AD107" s="1">
        <v>36.9</v>
      </c>
      <c r="AE107" s="1">
        <v>30</v>
      </c>
      <c r="AG107" s="1" t="s">
        <v>56</v>
      </c>
      <c r="AI107" s="2">
        <v>1120033.0590000001</v>
      </c>
    </row>
    <row r="108" spans="1:38" ht="14.45" customHeight="1" x14ac:dyDescent="0.2">
      <c r="A108" s="1" t="s">
        <v>57</v>
      </c>
      <c r="B108" s="9" t="s">
        <v>38</v>
      </c>
      <c r="C108" s="1" t="s">
        <v>58</v>
      </c>
      <c r="D108" s="1" t="s">
        <v>59</v>
      </c>
      <c r="E108" s="1" t="s">
        <v>42</v>
      </c>
      <c r="G108" s="1" t="s">
        <v>88</v>
      </c>
      <c r="H108" s="1" t="s">
        <v>61</v>
      </c>
      <c r="I108" s="1" t="s">
        <v>729</v>
      </c>
      <c r="J108" s="1" t="s">
        <v>82</v>
      </c>
      <c r="K108" s="1" t="s">
        <v>730</v>
      </c>
      <c r="L108" s="1" t="s">
        <v>731</v>
      </c>
      <c r="N108" s="1" t="s">
        <v>732</v>
      </c>
      <c r="P108" s="1" t="s">
        <v>733</v>
      </c>
      <c r="Q108" s="1" t="s">
        <v>264</v>
      </c>
      <c r="R108" s="1" t="s">
        <v>265</v>
      </c>
      <c r="S108" s="1" t="s">
        <v>266</v>
      </c>
      <c r="T108" s="1" t="s">
        <v>267</v>
      </c>
      <c r="U108" s="1">
        <v>2</v>
      </c>
      <c r="V108" s="1" t="s">
        <v>268</v>
      </c>
      <c r="W108" s="1" t="s">
        <v>734</v>
      </c>
      <c r="X108" s="1" t="s">
        <v>145</v>
      </c>
      <c r="Y108" s="10">
        <v>43825</v>
      </c>
      <c r="Z108" s="1">
        <v>2019</v>
      </c>
      <c r="AA108" s="2">
        <v>122959.33</v>
      </c>
      <c r="AB108" s="2"/>
      <c r="AC108" s="2">
        <v>18443.900000000001</v>
      </c>
      <c r="AD108" s="1">
        <v>0</v>
      </c>
      <c r="AG108" s="1" t="s">
        <v>56</v>
      </c>
      <c r="AI108" s="2">
        <v>18443.900000000001</v>
      </c>
    </row>
    <row r="109" spans="1:38" ht="12.6" customHeight="1" x14ac:dyDescent="0.2">
      <c r="A109" s="1" t="s">
        <v>57</v>
      </c>
      <c r="B109" s="9" t="s">
        <v>38</v>
      </c>
      <c r="C109" s="1" t="s">
        <v>58</v>
      </c>
      <c r="D109" s="1" t="s">
        <v>59</v>
      </c>
      <c r="E109" s="1" t="s">
        <v>42</v>
      </c>
      <c r="G109" s="1" t="s">
        <v>60</v>
      </c>
      <c r="H109" s="1" t="s">
        <v>61</v>
      </c>
      <c r="I109" s="1" t="s">
        <v>735</v>
      </c>
      <c r="J109" s="1">
        <v>2021</v>
      </c>
      <c r="K109" s="1" t="s">
        <v>736</v>
      </c>
      <c r="L109" s="1" t="s">
        <v>737</v>
      </c>
      <c r="M109" s="1" t="s">
        <v>738</v>
      </c>
      <c r="P109" s="1" t="s">
        <v>739</v>
      </c>
      <c r="Q109" s="1" t="s">
        <v>264</v>
      </c>
      <c r="R109" s="1" t="s">
        <v>265</v>
      </c>
      <c r="S109" s="1" t="s">
        <v>740</v>
      </c>
      <c r="T109" s="1" t="s">
        <v>741</v>
      </c>
      <c r="U109" s="1">
        <v>1</v>
      </c>
      <c r="V109" s="1" t="s">
        <v>535</v>
      </c>
      <c r="W109" s="1" t="s">
        <v>742</v>
      </c>
      <c r="X109" s="1" t="s">
        <v>145</v>
      </c>
      <c r="Y109" s="10">
        <v>44557</v>
      </c>
      <c r="Z109" s="1">
        <v>2021</v>
      </c>
      <c r="AA109" s="2">
        <v>382464.46</v>
      </c>
      <c r="AB109" s="2"/>
      <c r="AC109" s="2">
        <v>114739.33800000002</v>
      </c>
      <c r="AD109" s="1">
        <v>3</v>
      </c>
      <c r="AE109" s="1">
        <v>3</v>
      </c>
      <c r="AG109" s="1" t="s">
        <v>56</v>
      </c>
      <c r="AI109" s="2">
        <v>114739.33800000002</v>
      </c>
    </row>
    <row r="110" spans="1:38" ht="14.45" customHeight="1" x14ac:dyDescent="0.2">
      <c r="A110" s="1" t="s">
        <v>57</v>
      </c>
      <c r="B110" s="9" t="s">
        <v>38</v>
      </c>
      <c r="C110" s="1" t="s">
        <v>58</v>
      </c>
      <c r="D110" s="1" t="s">
        <v>59</v>
      </c>
      <c r="E110" s="1" t="s">
        <v>42</v>
      </c>
      <c r="G110" s="1" t="s">
        <v>60</v>
      </c>
      <c r="H110" s="1" t="s">
        <v>61</v>
      </c>
      <c r="I110" s="1" t="s">
        <v>743</v>
      </c>
      <c r="J110" s="1">
        <v>2021</v>
      </c>
      <c r="K110" s="1" t="s">
        <v>744</v>
      </c>
      <c r="L110" s="1" t="s">
        <v>745</v>
      </c>
      <c r="M110" s="1" t="s">
        <v>746</v>
      </c>
      <c r="P110" s="1" t="s">
        <v>747</v>
      </c>
      <c r="Q110" s="1" t="s">
        <v>264</v>
      </c>
      <c r="R110" s="1" t="s">
        <v>265</v>
      </c>
      <c r="S110" s="1" t="s">
        <v>533</v>
      </c>
      <c r="T110" s="1" t="s">
        <v>534</v>
      </c>
      <c r="U110" s="1">
        <v>1</v>
      </c>
      <c r="V110" s="1" t="s">
        <v>535</v>
      </c>
      <c r="W110" s="1" t="s">
        <v>748</v>
      </c>
      <c r="X110" s="1" t="s">
        <v>609</v>
      </c>
      <c r="Y110" s="10">
        <v>44557</v>
      </c>
      <c r="Z110" s="1">
        <v>2021</v>
      </c>
      <c r="AA110" s="2">
        <v>541464</v>
      </c>
      <c r="AB110" s="2"/>
      <c r="AC110" s="2">
        <v>162439.20000000001</v>
      </c>
      <c r="AD110" s="1">
        <v>10</v>
      </c>
      <c r="AG110" s="1" t="s">
        <v>56</v>
      </c>
      <c r="AI110" s="2">
        <v>162439.20000000001</v>
      </c>
    </row>
    <row r="111" spans="1:38" ht="14.45" customHeight="1" x14ac:dyDescent="0.2">
      <c r="A111" s="1" t="s">
        <v>57</v>
      </c>
      <c r="B111" s="9" t="s">
        <v>38</v>
      </c>
      <c r="C111" s="1" t="s">
        <v>58</v>
      </c>
      <c r="D111" s="1" t="s">
        <v>59</v>
      </c>
      <c r="E111" s="1" t="s">
        <v>42</v>
      </c>
      <c r="G111" s="1" t="s">
        <v>88</v>
      </c>
      <c r="H111" s="1" t="s">
        <v>61</v>
      </c>
      <c r="I111" s="1" t="s">
        <v>749</v>
      </c>
      <c r="J111" s="1">
        <v>2021</v>
      </c>
      <c r="K111" s="1" t="s">
        <v>750</v>
      </c>
      <c r="L111" s="1" t="s">
        <v>751</v>
      </c>
      <c r="M111" s="1" t="s">
        <v>752</v>
      </c>
      <c r="P111" s="1" t="s">
        <v>753</v>
      </c>
      <c r="Q111" s="1" t="s">
        <v>264</v>
      </c>
      <c r="R111" s="1" t="s">
        <v>265</v>
      </c>
      <c r="S111" s="1" t="s">
        <v>266</v>
      </c>
      <c r="T111" s="1" t="s">
        <v>267</v>
      </c>
      <c r="U111" s="1">
        <v>2</v>
      </c>
      <c r="V111" s="1" t="s">
        <v>268</v>
      </c>
      <c r="W111" s="1" t="s">
        <v>754</v>
      </c>
      <c r="X111" s="1" t="s">
        <v>138</v>
      </c>
      <c r="Y111" s="10">
        <v>44557</v>
      </c>
      <c r="Z111" s="1">
        <v>2021</v>
      </c>
      <c r="AA111" s="2">
        <v>74408.03</v>
      </c>
      <c r="AB111" s="2"/>
      <c r="AC111" s="2">
        <v>11161.2</v>
      </c>
      <c r="AD111" s="1">
        <v>1</v>
      </c>
      <c r="AG111" s="1" t="s">
        <v>56</v>
      </c>
      <c r="AI111" s="2">
        <v>11161.2</v>
      </c>
    </row>
    <row r="112" spans="1:38" ht="12.6" customHeight="1" x14ac:dyDescent="0.2">
      <c r="A112" s="1" t="s">
        <v>57</v>
      </c>
      <c r="B112" s="9" t="s">
        <v>38</v>
      </c>
      <c r="C112" s="1" t="s">
        <v>58</v>
      </c>
      <c r="D112" s="1" t="s">
        <v>59</v>
      </c>
      <c r="E112" s="1" t="s">
        <v>42</v>
      </c>
      <c r="G112" s="1" t="s">
        <v>88</v>
      </c>
      <c r="H112" s="1" t="s">
        <v>61</v>
      </c>
      <c r="I112" s="1" t="s">
        <v>755</v>
      </c>
      <c r="J112" s="1">
        <v>2021</v>
      </c>
      <c r="K112" s="1" t="s">
        <v>756</v>
      </c>
      <c r="L112" s="1" t="s">
        <v>757</v>
      </c>
      <c r="M112" s="1" t="s">
        <v>648</v>
      </c>
      <c r="P112" s="1" t="s">
        <v>649</v>
      </c>
      <c r="Q112" s="1" t="s">
        <v>264</v>
      </c>
      <c r="R112" s="1" t="s">
        <v>265</v>
      </c>
      <c r="S112" s="1" t="s">
        <v>379</v>
      </c>
      <c r="T112" s="1" t="s">
        <v>380</v>
      </c>
      <c r="U112" s="1">
        <v>2</v>
      </c>
      <c r="V112" s="1" t="s">
        <v>268</v>
      </c>
      <c r="W112" s="1" t="s">
        <v>758</v>
      </c>
      <c r="X112" s="1" t="s">
        <v>321</v>
      </c>
      <c r="Y112" s="10">
        <v>44557</v>
      </c>
      <c r="Z112" s="1">
        <v>2021</v>
      </c>
      <c r="AA112" s="2">
        <v>498296.71</v>
      </c>
      <c r="AB112" s="2"/>
      <c r="AC112" s="2">
        <v>45000</v>
      </c>
      <c r="AD112" s="1">
        <v>0</v>
      </c>
      <c r="AG112" s="1" t="s">
        <v>56</v>
      </c>
      <c r="AI112" s="2">
        <v>45000</v>
      </c>
    </row>
    <row r="113" spans="1:38" ht="14.45" customHeight="1" x14ac:dyDescent="0.2">
      <c r="A113" s="1" t="s">
        <v>57</v>
      </c>
      <c r="B113" s="9" t="s">
        <v>39</v>
      </c>
      <c r="C113" s="1" t="s">
        <v>58</v>
      </c>
      <c r="D113" s="1" t="s">
        <v>59</v>
      </c>
      <c r="E113" s="1" t="s">
        <v>42</v>
      </c>
      <c r="G113" s="1" t="s">
        <v>60</v>
      </c>
      <c r="H113" s="1" t="s">
        <v>61</v>
      </c>
      <c r="I113" s="1" t="s">
        <v>759</v>
      </c>
      <c r="J113" s="1" t="s">
        <v>82</v>
      </c>
      <c r="K113" s="1" t="s">
        <v>760</v>
      </c>
      <c r="P113" s="1" t="s">
        <v>761</v>
      </c>
      <c r="Q113" s="1" t="s">
        <v>50</v>
      </c>
      <c r="R113" s="1" t="s">
        <v>68</v>
      </c>
      <c r="S113" s="1" t="s">
        <v>762</v>
      </c>
      <c r="T113" s="1" t="s">
        <v>763</v>
      </c>
      <c r="U113" s="1">
        <v>2</v>
      </c>
      <c r="V113" s="1" t="s">
        <v>80</v>
      </c>
      <c r="W113" s="1" t="s">
        <v>760</v>
      </c>
      <c r="X113" s="1" t="s">
        <v>87</v>
      </c>
      <c r="Y113" s="10">
        <v>44827</v>
      </c>
      <c r="Z113" s="1">
        <v>2022</v>
      </c>
      <c r="AA113" s="2">
        <v>253732.74</v>
      </c>
      <c r="AB113" s="2"/>
      <c r="AC113" s="2">
        <v>38059.910000000003</v>
      </c>
      <c r="AD113" s="1">
        <v>4</v>
      </c>
      <c r="AG113" s="1" t="s">
        <v>432</v>
      </c>
      <c r="AH113" s="1" t="s">
        <v>433</v>
      </c>
      <c r="AI113" s="2">
        <v>0</v>
      </c>
      <c r="AK113" s="1" t="s">
        <v>440</v>
      </c>
      <c r="AL113" s="1" t="s">
        <v>764</v>
      </c>
    </row>
    <row r="114" spans="1:38" ht="14.45" customHeight="1" x14ac:dyDescent="0.2">
      <c r="A114" s="1" t="s">
        <v>57</v>
      </c>
      <c r="B114" s="9" t="s">
        <v>38</v>
      </c>
      <c r="C114" s="1" t="s">
        <v>58</v>
      </c>
      <c r="D114" s="1" t="s">
        <v>59</v>
      </c>
      <c r="E114" s="1" t="s">
        <v>42</v>
      </c>
      <c r="G114" s="1" t="s">
        <v>88</v>
      </c>
      <c r="H114" s="1" t="s">
        <v>61</v>
      </c>
      <c r="I114" s="1" t="s">
        <v>765</v>
      </c>
      <c r="J114" s="1">
        <v>2021</v>
      </c>
      <c r="K114" s="1" t="s">
        <v>766</v>
      </c>
      <c r="L114" s="1" t="s">
        <v>767</v>
      </c>
      <c r="P114" s="1" t="s">
        <v>768</v>
      </c>
      <c r="Q114" s="1" t="s">
        <v>264</v>
      </c>
      <c r="R114" s="1" t="s">
        <v>265</v>
      </c>
      <c r="S114" s="1" t="s">
        <v>533</v>
      </c>
      <c r="T114" s="1" t="s">
        <v>534</v>
      </c>
      <c r="U114" s="1">
        <v>1</v>
      </c>
      <c r="V114" s="1" t="s">
        <v>535</v>
      </c>
      <c r="W114" s="1" t="s">
        <v>769</v>
      </c>
      <c r="X114" s="1" t="s">
        <v>571</v>
      </c>
      <c r="Y114" s="10">
        <v>44557</v>
      </c>
      <c r="Z114" s="1">
        <v>2021</v>
      </c>
      <c r="AA114" s="2">
        <v>100295.83</v>
      </c>
      <c r="AB114" s="2"/>
      <c r="AC114" s="2">
        <v>30000</v>
      </c>
      <c r="AD114" s="1">
        <v>0</v>
      </c>
      <c r="AG114" s="1" t="s">
        <v>56</v>
      </c>
      <c r="AI114" s="2">
        <v>30000</v>
      </c>
    </row>
    <row r="115" spans="1:38" ht="14.45" customHeight="1" x14ac:dyDescent="0.2">
      <c r="A115" s="1" t="s">
        <v>57</v>
      </c>
      <c r="B115" s="9" t="s">
        <v>38</v>
      </c>
      <c r="C115" s="1" t="s">
        <v>58</v>
      </c>
      <c r="D115" s="1" t="s">
        <v>59</v>
      </c>
      <c r="E115" s="1" t="s">
        <v>42</v>
      </c>
      <c r="G115" s="1" t="s">
        <v>88</v>
      </c>
      <c r="H115" s="1" t="s">
        <v>61</v>
      </c>
      <c r="I115" s="1" t="s">
        <v>770</v>
      </c>
      <c r="J115" s="1">
        <v>2021</v>
      </c>
      <c r="K115" s="1" t="s">
        <v>771</v>
      </c>
      <c r="L115" s="1" t="s">
        <v>772</v>
      </c>
      <c r="P115" s="1" t="s">
        <v>773</v>
      </c>
      <c r="Q115" s="1" t="s">
        <v>264</v>
      </c>
      <c r="R115" s="1" t="s">
        <v>265</v>
      </c>
      <c r="S115" s="1" t="s">
        <v>350</v>
      </c>
      <c r="T115" s="1" t="s">
        <v>351</v>
      </c>
      <c r="U115" s="1">
        <v>1</v>
      </c>
      <c r="V115" s="1" t="s">
        <v>80</v>
      </c>
      <c r="W115" s="1" t="s">
        <v>772</v>
      </c>
      <c r="X115" s="1" t="s">
        <v>609</v>
      </c>
      <c r="Y115" s="10">
        <v>44557</v>
      </c>
      <c r="Z115" s="1">
        <v>2021</v>
      </c>
      <c r="AA115" s="2">
        <v>172445.3</v>
      </c>
      <c r="AB115" s="2"/>
      <c r="AC115" s="2">
        <v>51733.59</v>
      </c>
      <c r="AD115" s="1">
        <v>0</v>
      </c>
      <c r="AG115" s="1" t="s">
        <v>56</v>
      </c>
      <c r="AI115" s="2">
        <v>51733.59</v>
      </c>
    </row>
    <row r="116" spans="1:38" ht="14.45" customHeight="1" x14ac:dyDescent="0.2">
      <c r="A116" s="1" t="s">
        <v>57</v>
      </c>
      <c r="B116" s="9" t="s">
        <v>38</v>
      </c>
      <c r="C116" s="1" t="s">
        <v>58</v>
      </c>
      <c r="D116" s="1" t="s">
        <v>59</v>
      </c>
      <c r="E116" s="1" t="s">
        <v>42</v>
      </c>
      <c r="G116" s="1" t="s">
        <v>88</v>
      </c>
      <c r="H116" s="1" t="s">
        <v>61</v>
      </c>
      <c r="I116" s="1" t="s">
        <v>774</v>
      </c>
      <c r="J116" s="1">
        <v>2021</v>
      </c>
      <c r="K116" s="1" t="s">
        <v>775</v>
      </c>
      <c r="L116" s="1" t="s">
        <v>776</v>
      </c>
      <c r="P116" s="1" t="s">
        <v>777</v>
      </c>
      <c r="Q116" s="1" t="s">
        <v>264</v>
      </c>
      <c r="R116" s="1" t="s">
        <v>265</v>
      </c>
      <c r="S116" s="1" t="s">
        <v>778</v>
      </c>
      <c r="T116" s="1" t="s">
        <v>779</v>
      </c>
      <c r="U116" s="1">
        <v>2</v>
      </c>
      <c r="V116" s="1" t="s">
        <v>80</v>
      </c>
      <c r="W116" s="1" t="s">
        <v>776</v>
      </c>
      <c r="X116" s="1" t="s">
        <v>321</v>
      </c>
      <c r="Y116" s="10">
        <v>44557</v>
      </c>
      <c r="Z116" s="1">
        <v>2021</v>
      </c>
      <c r="AA116" s="2">
        <v>140935.26</v>
      </c>
      <c r="AB116" s="2"/>
      <c r="AC116" s="2">
        <v>21140.29</v>
      </c>
      <c r="AD116" s="1">
        <v>1.03</v>
      </c>
      <c r="AE116" s="1">
        <v>0.7</v>
      </c>
      <c r="AG116" s="1" t="s">
        <v>56</v>
      </c>
      <c r="AI116" s="2">
        <v>21140.29</v>
      </c>
    </row>
    <row r="117" spans="1:38" ht="14.45" customHeight="1" x14ac:dyDescent="0.2">
      <c r="A117" s="1" t="s">
        <v>57</v>
      </c>
      <c r="B117" s="9" t="s">
        <v>38</v>
      </c>
      <c r="C117" s="1" t="s">
        <v>58</v>
      </c>
      <c r="D117" s="1" t="s">
        <v>59</v>
      </c>
      <c r="E117" s="1" t="s">
        <v>42</v>
      </c>
      <c r="G117" s="1" t="s">
        <v>88</v>
      </c>
      <c r="H117" s="1" t="s">
        <v>61</v>
      </c>
      <c r="I117" s="1" t="s">
        <v>780</v>
      </c>
      <c r="J117" s="1">
        <v>2021</v>
      </c>
      <c r="K117" s="1" t="s">
        <v>781</v>
      </c>
      <c r="L117" s="1" t="s">
        <v>782</v>
      </c>
      <c r="P117" s="1" t="s">
        <v>783</v>
      </c>
      <c r="Q117" s="1" t="s">
        <v>264</v>
      </c>
      <c r="R117" s="1" t="s">
        <v>265</v>
      </c>
      <c r="S117" s="1" t="s">
        <v>784</v>
      </c>
      <c r="T117" s="1" t="s">
        <v>785</v>
      </c>
      <c r="U117" s="1">
        <v>2</v>
      </c>
      <c r="V117" s="1" t="s">
        <v>80</v>
      </c>
      <c r="W117" s="1" t="s">
        <v>782</v>
      </c>
      <c r="X117" s="1" t="s">
        <v>138</v>
      </c>
      <c r="Y117" s="10">
        <v>44557</v>
      </c>
      <c r="Z117" s="1">
        <v>2021</v>
      </c>
      <c r="AA117" s="2">
        <v>37598.239999999998</v>
      </c>
      <c r="AB117" s="2"/>
      <c r="AC117" s="2">
        <v>5639.74</v>
      </c>
      <c r="AD117" s="1">
        <v>1</v>
      </c>
      <c r="AG117" s="1" t="s">
        <v>56</v>
      </c>
      <c r="AI117" s="2">
        <v>5639.74</v>
      </c>
    </row>
    <row r="118" spans="1:38" ht="14.45" customHeight="1" x14ac:dyDescent="0.2">
      <c r="A118" s="1" t="s">
        <v>57</v>
      </c>
      <c r="B118" s="9" t="s">
        <v>38</v>
      </c>
      <c r="C118" s="1" t="s">
        <v>58</v>
      </c>
      <c r="D118" s="1" t="s">
        <v>59</v>
      </c>
      <c r="E118" s="1" t="s">
        <v>42</v>
      </c>
      <c r="G118" s="1" t="s">
        <v>60</v>
      </c>
      <c r="H118" s="1" t="s">
        <v>61</v>
      </c>
      <c r="I118" s="1" t="s">
        <v>786</v>
      </c>
      <c r="J118" s="1">
        <v>2021</v>
      </c>
      <c r="K118" s="1" t="s">
        <v>787</v>
      </c>
      <c r="L118" s="1" t="s">
        <v>788</v>
      </c>
      <c r="N118" s="1" t="s">
        <v>789</v>
      </c>
      <c r="P118" s="1" t="s">
        <v>790</v>
      </c>
      <c r="Q118" s="1" t="s">
        <v>101</v>
      </c>
      <c r="R118" s="1" t="s">
        <v>102</v>
      </c>
      <c r="S118" s="1" t="s">
        <v>387</v>
      </c>
      <c r="T118" s="1" t="s">
        <v>388</v>
      </c>
      <c r="U118" s="1">
        <v>2</v>
      </c>
      <c r="V118" s="1" t="s">
        <v>101</v>
      </c>
      <c r="W118" s="1" t="s">
        <v>791</v>
      </c>
      <c r="X118" s="1" t="s">
        <v>609</v>
      </c>
      <c r="Y118" s="10">
        <v>44557</v>
      </c>
      <c r="Z118" s="1">
        <v>2021</v>
      </c>
      <c r="AA118" s="2">
        <v>2611705</v>
      </c>
      <c r="AB118" s="2"/>
      <c r="AC118" s="2">
        <v>315000</v>
      </c>
      <c r="AD118" s="1">
        <v>13</v>
      </c>
      <c r="AE118" s="1">
        <v>2</v>
      </c>
      <c r="AG118" s="1" t="s">
        <v>56</v>
      </c>
      <c r="AI118" s="2">
        <v>315000</v>
      </c>
    </row>
    <row r="119" spans="1:38" ht="14.45" customHeight="1" x14ac:dyDescent="0.2">
      <c r="A119" s="1" t="s">
        <v>57</v>
      </c>
      <c r="B119" s="9" t="s">
        <v>38</v>
      </c>
      <c r="C119" s="1" t="s">
        <v>58</v>
      </c>
      <c r="D119" s="1" t="s">
        <v>59</v>
      </c>
      <c r="E119" s="1" t="s">
        <v>42</v>
      </c>
      <c r="G119" s="1" t="s">
        <v>60</v>
      </c>
      <c r="H119" s="1" t="s">
        <v>61</v>
      </c>
      <c r="I119" s="1" t="s">
        <v>792</v>
      </c>
      <c r="J119" s="1">
        <v>2021</v>
      </c>
      <c r="K119" s="1" t="s">
        <v>793</v>
      </c>
      <c r="L119" s="1" t="s">
        <v>794</v>
      </c>
      <c r="M119" s="1" t="s">
        <v>795</v>
      </c>
      <c r="N119" s="1" t="s">
        <v>796</v>
      </c>
      <c r="P119" s="1" t="s">
        <v>797</v>
      </c>
      <c r="Q119" s="1" t="s">
        <v>101</v>
      </c>
      <c r="R119" s="1" t="s">
        <v>102</v>
      </c>
      <c r="S119" s="1" t="s">
        <v>523</v>
      </c>
      <c r="T119" s="1" t="s">
        <v>524</v>
      </c>
      <c r="U119" s="1">
        <v>1</v>
      </c>
      <c r="V119" s="1" t="s">
        <v>101</v>
      </c>
      <c r="W119" s="1" t="s">
        <v>798</v>
      </c>
      <c r="X119" s="1" t="s">
        <v>609</v>
      </c>
      <c r="Y119" s="10">
        <v>44557</v>
      </c>
      <c r="Z119" s="1">
        <v>2021</v>
      </c>
      <c r="AA119" s="2">
        <v>2184676.44</v>
      </c>
      <c r="AB119" s="2"/>
      <c r="AC119" s="2">
        <v>110000</v>
      </c>
      <c r="AD119" s="1">
        <v>3</v>
      </c>
      <c r="AE119" s="1">
        <v>1</v>
      </c>
      <c r="AG119" s="1" t="s">
        <v>56</v>
      </c>
      <c r="AI119" s="2">
        <v>110000</v>
      </c>
    </row>
    <row r="120" spans="1:38" ht="14.45" customHeight="1" x14ac:dyDescent="0.2">
      <c r="A120" s="1" t="s">
        <v>57</v>
      </c>
      <c r="B120" s="9" t="s">
        <v>38</v>
      </c>
      <c r="C120" s="1" t="s">
        <v>58</v>
      </c>
      <c r="D120" s="1" t="s">
        <v>59</v>
      </c>
      <c r="E120" s="1" t="s">
        <v>42</v>
      </c>
      <c r="G120" s="1" t="s">
        <v>88</v>
      </c>
      <c r="H120" s="1" t="s">
        <v>61</v>
      </c>
      <c r="I120" s="1" t="s">
        <v>799</v>
      </c>
      <c r="J120" s="1">
        <v>2021</v>
      </c>
      <c r="K120" s="1" t="s">
        <v>800</v>
      </c>
      <c r="L120" s="1" t="s">
        <v>801</v>
      </c>
      <c r="P120" s="1" t="s">
        <v>802</v>
      </c>
      <c r="Q120" s="1" t="s">
        <v>264</v>
      </c>
      <c r="R120" s="1" t="s">
        <v>265</v>
      </c>
      <c r="S120" s="1" t="s">
        <v>275</v>
      </c>
      <c r="T120" s="1" t="s">
        <v>276</v>
      </c>
      <c r="U120" s="1">
        <v>2</v>
      </c>
      <c r="V120" s="1" t="s">
        <v>80</v>
      </c>
      <c r="W120" s="1" t="s">
        <v>801</v>
      </c>
      <c r="X120" s="1" t="s">
        <v>138</v>
      </c>
      <c r="Y120" s="10">
        <v>44557</v>
      </c>
      <c r="Z120" s="1">
        <v>2021</v>
      </c>
      <c r="AA120" s="2">
        <v>59900</v>
      </c>
      <c r="AB120" s="2"/>
      <c r="AC120" s="2">
        <v>8985</v>
      </c>
      <c r="AD120" s="1">
        <v>1</v>
      </c>
      <c r="AE120" s="1">
        <v>1</v>
      </c>
      <c r="AG120" s="1" t="s">
        <v>56</v>
      </c>
      <c r="AI120" s="2">
        <v>8985</v>
      </c>
    </row>
    <row r="121" spans="1:38" ht="14.45" customHeight="1" x14ac:dyDescent="0.2">
      <c r="A121" s="1" t="s">
        <v>57</v>
      </c>
      <c r="B121" s="9" t="s">
        <v>38</v>
      </c>
      <c r="C121" s="1" t="s">
        <v>58</v>
      </c>
      <c r="D121" s="1" t="s">
        <v>59</v>
      </c>
      <c r="E121" s="1" t="s">
        <v>42</v>
      </c>
      <c r="G121" s="1" t="s">
        <v>88</v>
      </c>
      <c r="H121" s="1" t="s">
        <v>61</v>
      </c>
      <c r="I121" s="1" t="s">
        <v>803</v>
      </c>
      <c r="J121" s="1">
        <v>2021</v>
      </c>
      <c r="K121" s="1" t="s">
        <v>804</v>
      </c>
      <c r="L121" s="1" t="s">
        <v>805</v>
      </c>
      <c r="M121" s="1" t="s">
        <v>806</v>
      </c>
      <c r="P121" s="1" t="s">
        <v>807</v>
      </c>
      <c r="Q121" s="1" t="s">
        <v>264</v>
      </c>
      <c r="R121" s="1" t="s">
        <v>265</v>
      </c>
      <c r="S121" s="1" t="s">
        <v>266</v>
      </c>
      <c r="T121" s="1" t="s">
        <v>267</v>
      </c>
      <c r="U121" s="1">
        <v>2</v>
      </c>
      <c r="V121" s="1" t="s">
        <v>268</v>
      </c>
      <c r="W121" s="1" t="s">
        <v>804</v>
      </c>
      <c r="X121" s="1" t="s">
        <v>138</v>
      </c>
      <c r="Y121" s="10">
        <v>44557</v>
      </c>
      <c r="Z121" s="1">
        <v>2021</v>
      </c>
      <c r="AA121" s="2">
        <v>38353.54</v>
      </c>
      <c r="AB121" s="2"/>
      <c r="AC121" s="2">
        <v>5753.03</v>
      </c>
      <c r="AD121" s="1">
        <v>0</v>
      </c>
      <c r="AG121" s="1" t="s">
        <v>56</v>
      </c>
      <c r="AI121" s="2">
        <v>5753.03</v>
      </c>
    </row>
    <row r="122" spans="1:38" ht="14.45" customHeight="1" x14ac:dyDescent="0.25">
      <c r="A122" s="1" t="s">
        <v>57</v>
      </c>
      <c r="B122" s="9" t="s">
        <v>38</v>
      </c>
      <c r="C122" s="1" t="s">
        <v>58</v>
      </c>
      <c r="D122" s="1" t="s">
        <v>59</v>
      </c>
      <c r="E122" s="1" t="s">
        <v>42</v>
      </c>
      <c r="G122" s="1" t="s">
        <v>60</v>
      </c>
      <c r="H122" s="1" t="s">
        <v>61</v>
      </c>
      <c r="I122" s="1" t="s">
        <v>808</v>
      </c>
      <c r="J122" s="1">
        <v>2021</v>
      </c>
      <c r="K122" s="1" t="s">
        <v>809</v>
      </c>
      <c r="L122" s="1" t="s">
        <v>810</v>
      </c>
      <c r="M122" s="1" t="s">
        <v>811</v>
      </c>
      <c r="N122" s="1" t="s">
        <v>812</v>
      </c>
      <c r="P122" s="1" t="s">
        <v>813</v>
      </c>
      <c r="Q122" s="1" t="s">
        <v>50</v>
      </c>
      <c r="R122" s="1" t="s">
        <v>68</v>
      </c>
      <c r="S122" s="16" t="s">
        <v>814</v>
      </c>
      <c r="T122" s="1" t="s">
        <v>815</v>
      </c>
      <c r="U122" s="1">
        <v>2</v>
      </c>
      <c r="V122" s="1" t="s">
        <v>71</v>
      </c>
      <c r="W122" s="1" t="s">
        <v>816</v>
      </c>
      <c r="X122" s="1" t="s">
        <v>138</v>
      </c>
      <c r="Y122" s="10">
        <v>44557</v>
      </c>
      <c r="Z122" s="1">
        <v>2021</v>
      </c>
      <c r="AA122" s="2">
        <v>4303486.62</v>
      </c>
      <c r="AB122" s="2"/>
      <c r="AC122" s="2">
        <v>645522.99300000013</v>
      </c>
      <c r="AD122" s="1">
        <v>30</v>
      </c>
      <c r="AE122" s="1">
        <v>30</v>
      </c>
      <c r="AG122" s="1" t="s">
        <v>56</v>
      </c>
      <c r="AI122" s="2">
        <v>227985</v>
      </c>
    </row>
    <row r="123" spans="1:38" ht="14.45" customHeight="1" x14ac:dyDescent="0.2">
      <c r="A123" s="1" t="s">
        <v>57</v>
      </c>
      <c r="B123" s="9" t="s">
        <v>38</v>
      </c>
      <c r="C123" s="1" t="s">
        <v>58</v>
      </c>
      <c r="D123" s="1" t="s">
        <v>59</v>
      </c>
      <c r="E123" s="1" t="s">
        <v>42</v>
      </c>
      <c r="G123" s="1" t="s">
        <v>88</v>
      </c>
      <c r="H123" s="1" t="s">
        <v>61</v>
      </c>
      <c r="I123" s="1" t="s">
        <v>817</v>
      </c>
      <c r="J123" s="1">
        <v>2021</v>
      </c>
      <c r="K123" s="1" t="s">
        <v>818</v>
      </c>
      <c r="L123" s="1" t="s">
        <v>819</v>
      </c>
      <c r="P123" s="1" t="s">
        <v>820</v>
      </c>
      <c r="Q123" s="1" t="s">
        <v>264</v>
      </c>
      <c r="R123" s="1" t="s">
        <v>265</v>
      </c>
      <c r="S123" s="1" t="s">
        <v>266</v>
      </c>
      <c r="T123" s="1" t="s">
        <v>267</v>
      </c>
      <c r="U123" s="1">
        <v>2</v>
      </c>
      <c r="V123" s="1" t="s">
        <v>268</v>
      </c>
      <c r="W123" s="1" t="s">
        <v>818</v>
      </c>
      <c r="X123" s="1" t="s">
        <v>138</v>
      </c>
      <c r="Y123" s="10">
        <v>44557</v>
      </c>
      <c r="Z123" s="1">
        <v>2021</v>
      </c>
      <c r="AA123" s="2">
        <v>66562</v>
      </c>
      <c r="AB123" s="2"/>
      <c r="AC123" s="2">
        <v>9984.2999999999993</v>
      </c>
      <c r="AD123" s="1">
        <v>1</v>
      </c>
      <c r="AG123" s="1" t="s">
        <v>56</v>
      </c>
      <c r="AI123" s="2">
        <v>9984.2999999999993</v>
      </c>
      <c r="AL123" s="18" t="s">
        <v>821</v>
      </c>
    </row>
    <row r="124" spans="1:38" ht="14.45" customHeight="1" x14ac:dyDescent="0.2">
      <c r="A124" s="1" t="s">
        <v>57</v>
      </c>
      <c r="B124" s="9" t="s">
        <v>38</v>
      </c>
      <c r="C124" s="1" t="s">
        <v>58</v>
      </c>
      <c r="D124" s="1" t="s">
        <v>59</v>
      </c>
      <c r="E124" s="1" t="s">
        <v>42</v>
      </c>
      <c r="G124" s="1" t="s">
        <v>88</v>
      </c>
      <c r="H124" s="1" t="s">
        <v>61</v>
      </c>
      <c r="I124" s="1" t="s">
        <v>822</v>
      </c>
      <c r="J124" s="1">
        <v>2021</v>
      </c>
      <c r="K124" s="1" t="s">
        <v>823</v>
      </c>
      <c r="L124" s="1" t="s">
        <v>824</v>
      </c>
      <c r="P124" s="1" t="s">
        <v>825</v>
      </c>
      <c r="Q124" s="1" t="s">
        <v>264</v>
      </c>
      <c r="R124" s="1" t="s">
        <v>265</v>
      </c>
      <c r="S124" s="1" t="s">
        <v>350</v>
      </c>
      <c r="T124" s="1" t="s">
        <v>351</v>
      </c>
      <c r="U124" s="1">
        <v>1</v>
      </c>
      <c r="V124" s="1" t="s">
        <v>80</v>
      </c>
      <c r="W124" s="1" t="s">
        <v>824</v>
      </c>
      <c r="X124" s="1" t="s">
        <v>609</v>
      </c>
      <c r="Y124" s="10">
        <v>44557</v>
      </c>
      <c r="Z124" s="1">
        <v>2021</v>
      </c>
      <c r="AA124" s="2">
        <v>128384</v>
      </c>
      <c r="AB124" s="2"/>
      <c r="AC124" s="2">
        <v>38515.199999999997</v>
      </c>
      <c r="AD124" s="1">
        <v>2</v>
      </c>
      <c r="AG124" s="1" t="s">
        <v>56</v>
      </c>
      <c r="AI124" s="2">
        <v>38515.199999999997</v>
      </c>
      <c r="AL124" s="17" t="s">
        <v>826</v>
      </c>
    </row>
    <row r="125" spans="1:38" ht="14.45" customHeight="1" x14ac:dyDescent="0.2">
      <c r="A125" s="1" t="s">
        <v>57</v>
      </c>
      <c r="B125" s="9" t="s">
        <v>38</v>
      </c>
      <c r="C125" s="1" t="s">
        <v>58</v>
      </c>
      <c r="D125" s="1" t="s">
        <v>59</v>
      </c>
      <c r="E125" s="1" t="s">
        <v>42</v>
      </c>
      <c r="G125" s="1" t="s">
        <v>60</v>
      </c>
      <c r="H125" s="1" t="s">
        <v>61</v>
      </c>
      <c r="I125" s="1" t="s">
        <v>827</v>
      </c>
      <c r="J125" s="1">
        <v>2021</v>
      </c>
      <c r="K125" s="1" t="s">
        <v>828</v>
      </c>
      <c r="L125" s="1" t="s">
        <v>829</v>
      </c>
      <c r="M125" s="1" t="s">
        <v>369</v>
      </c>
      <c r="N125" s="1" t="s">
        <v>830</v>
      </c>
      <c r="P125" s="1" t="s">
        <v>371</v>
      </c>
      <c r="Q125" s="1" t="s">
        <v>101</v>
      </c>
      <c r="R125" s="1" t="s">
        <v>102</v>
      </c>
      <c r="S125" s="1" t="s">
        <v>372</v>
      </c>
      <c r="T125" s="1" t="s">
        <v>373</v>
      </c>
      <c r="U125" s="1">
        <v>1</v>
      </c>
      <c r="V125" s="1" t="s">
        <v>101</v>
      </c>
      <c r="W125" s="1" t="s">
        <v>831</v>
      </c>
      <c r="X125" s="1" t="s">
        <v>609</v>
      </c>
      <c r="Y125" s="10">
        <v>44557</v>
      </c>
      <c r="Z125" s="1">
        <v>2021</v>
      </c>
      <c r="AA125" s="2">
        <v>1648874.67</v>
      </c>
      <c r="AB125" s="2"/>
      <c r="AC125" s="2">
        <v>150000</v>
      </c>
      <c r="AD125" s="1">
        <v>3</v>
      </c>
      <c r="AG125" s="1" t="s">
        <v>56</v>
      </c>
      <c r="AI125" s="2">
        <v>150000</v>
      </c>
    </row>
    <row r="126" spans="1:38" ht="14.45" customHeight="1" x14ac:dyDescent="0.2">
      <c r="A126" s="1" t="s">
        <v>57</v>
      </c>
      <c r="B126" s="9" t="s">
        <v>38</v>
      </c>
      <c r="C126" s="1" t="s">
        <v>58</v>
      </c>
      <c r="D126" s="1" t="s">
        <v>59</v>
      </c>
      <c r="E126" s="1" t="s">
        <v>42</v>
      </c>
      <c r="G126" s="1" t="s">
        <v>88</v>
      </c>
      <c r="H126" s="1" t="s">
        <v>61</v>
      </c>
      <c r="I126" s="1" t="s">
        <v>832</v>
      </c>
      <c r="J126" s="1">
        <v>2021</v>
      </c>
      <c r="K126" s="1" t="s">
        <v>833</v>
      </c>
      <c r="L126" s="1" t="s">
        <v>834</v>
      </c>
      <c r="P126" s="1" t="s">
        <v>835</v>
      </c>
      <c r="Q126" s="1" t="s">
        <v>264</v>
      </c>
      <c r="R126" s="1" t="s">
        <v>265</v>
      </c>
      <c r="S126" s="1" t="s">
        <v>533</v>
      </c>
      <c r="T126" s="1" t="s">
        <v>534</v>
      </c>
      <c r="U126" s="1">
        <v>1</v>
      </c>
      <c r="V126" s="1" t="s">
        <v>535</v>
      </c>
      <c r="W126" s="1" t="s">
        <v>836</v>
      </c>
      <c r="X126" s="1" t="s">
        <v>609</v>
      </c>
      <c r="Y126" s="10">
        <v>44557</v>
      </c>
      <c r="Z126" s="1">
        <v>2021</v>
      </c>
      <c r="AA126" s="2">
        <v>287619.31</v>
      </c>
      <c r="AB126" s="2"/>
      <c r="AC126" s="2">
        <v>86285.79</v>
      </c>
      <c r="AD126" s="1">
        <v>4</v>
      </c>
      <c r="AG126" s="1" t="s">
        <v>56</v>
      </c>
      <c r="AI126" s="2">
        <v>86285.79</v>
      </c>
    </row>
    <row r="127" spans="1:38" ht="14.45" customHeight="1" x14ac:dyDescent="0.2">
      <c r="A127" s="1" t="s">
        <v>57</v>
      </c>
      <c r="B127" s="9" t="s">
        <v>38</v>
      </c>
      <c r="C127" s="1" t="s">
        <v>58</v>
      </c>
      <c r="D127" s="1" t="s">
        <v>59</v>
      </c>
      <c r="E127" s="1" t="s">
        <v>42</v>
      </c>
      <c r="G127" s="1" t="s">
        <v>105</v>
      </c>
      <c r="H127" s="1" t="s">
        <v>61</v>
      </c>
      <c r="I127" s="1" t="s">
        <v>837</v>
      </c>
      <c r="J127" s="1">
        <v>2023</v>
      </c>
      <c r="K127" s="1" t="s">
        <v>838</v>
      </c>
      <c r="L127" s="1" t="s">
        <v>839</v>
      </c>
      <c r="M127" s="1" t="s">
        <v>840</v>
      </c>
      <c r="P127" s="1" t="s">
        <v>841</v>
      </c>
      <c r="Q127" s="1" t="s">
        <v>842</v>
      </c>
      <c r="R127" s="1" t="s">
        <v>843</v>
      </c>
      <c r="S127" s="1" t="s">
        <v>844</v>
      </c>
      <c r="T127" s="1" t="s">
        <v>845</v>
      </c>
      <c r="V127" s="1" t="s">
        <v>846</v>
      </c>
      <c r="W127" s="1" t="s">
        <v>838</v>
      </c>
      <c r="Y127" s="10">
        <v>45462</v>
      </c>
      <c r="Z127" s="1">
        <v>2024</v>
      </c>
      <c r="AA127" s="2">
        <v>444469.98</v>
      </c>
      <c r="AB127" s="2"/>
      <c r="AC127" s="2">
        <v>177787.99</v>
      </c>
      <c r="AD127" s="1">
        <v>11</v>
      </c>
      <c r="AE127" s="1">
        <v>3</v>
      </c>
      <c r="AG127" s="1" t="s">
        <v>56</v>
      </c>
      <c r="AI127" s="2">
        <v>177787.99</v>
      </c>
    </row>
    <row r="128" spans="1:38" ht="14.45" customHeight="1" x14ac:dyDescent="0.2">
      <c r="A128" s="1" t="s">
        <v>57</v>
      </c>
      <c r="B128" s="9" t="s">
        <v>38</v>
      </c>
      <c r="C128" s="1" t="s">
        <v>58</v>
      </c>
      <c r="D128" s="1" t="s">
        <v>59</v>
      </c>
      <c r="E128" s="1" t="s">
        <v>42</v>
      </c>
      <c r="G128" s="1" t="s">
        <v>88</v>
      </c>
      <c r="H128" s="1" t="s">
        <v>61</v>
      </c>
      <c r="I128" s="1" t="s">
        <v>847</v>
      </c>
      <c r="J128" s="1">
        <v>2021</v>
      </c>
      <c r="K128" s="1" t="s">
        <v>848</v>
      </c>
      <c r="L128" s="1" t="s">
        <v>849</v>
      </c>
      <c r="P128" s="1" t="s">
        <v>850</v>
      </c>
      <c r="Q128" s="1" t="s">
        <v>264</v>
      </c>
      <c r="R128" s="1" t="s">
        <v>265</v>
      </c>
      <c r="S128" s="1" t="s">
        <v>450</v>
      </c>
      <c r="T128" s="1" t="s">
        <v>451</v>
      </c>
      <c r="U128" s="1">
        <v>2</v>
      </c>
      <c r="V128" s="1" t="s">
        <v>80</v>
      </c>
      <c r="W128" s="1" t="s">
        <v>849</v>
      </c>
      <c r="X128" s="1" t="s">
        <v>609</v>
      </c>
      <c r="Y128" s="10">
        <v>44557</v>
      </c>
      <c r="Z128" s="1">
        <v>2021</v>
      </c>
      <c r="AA128" s="2">
        <v>64910</v>
      </c>
      <c r="AB128" s="2"/>
      <c r="AC128" s="2">
        <v>9736.5</v>
      </c>
      <c r="AD128" s="1">
        <v>1</v>
      </c>
      <c r="AG128" s="1" t="s">
        <v>56</v>
      </c>
      <c r="AI128" s="2">
        <v>9736.5</v>
      </c>
    </row>
    <row r="129" spans="1:38" ht="14.45" customHeight="1" x14ac:dyDescent="0.2">
      <c r="A129" s="1" t="s">
        <v>57</v>
      </c>
      <c r="B129" s="9" t="s">
        <v>38</v>
      </c>
      <c r="C129" s="1" t="s">
        <v>58</v>
      </c>
      <c r="D129" s="1" t="s">
        <v>59</v>
      </c>
      <c r="E129" s="1" t="s">
        <v>42</v>
      </c>
      <c r="G129" s="1" t="s">
        <v>88</v>
      </c>
      <c r="H129" s="1" t="s">
        <v>61</v>
      </c>
      <c r="I129" s="1" t="s">
        <v>851</v>
      </c>
      <c r="J129" s="1">
        <v>2021</v>
      </c>
      <c r="K129" s="1" t="s">
        <v>852</v>
      </c>
      <c r="L129" s="1" t="s">
        <v>853</v>
      </c>
      <c r="P129" s="1" t="s">
        <v>854</v>
      </c>
      <c r="Q129" s="1" t="s">
        <v>264</v>
      </c>
      <c r="R129" s="1" t="s">
        <v>265</v>
      </c>
      <c r="S129" s="1" t="s">
        <v>855</v>
      </c>
      <c r="T129" s="1" t="s">
        <v>856</v>
      </c>
      <c r="U129" s="1">
        <v>2</v>
      </c>
      <c r="V129" s="1" t="s">
        <v>308</v>
      </c>
      <c r="W129" s="1" t="s">
        <v>857</v>
      </c>
      <c r="X129" s="1" t="s">
        <v>145</v>
      </c>
      <c r="Y129" s="10">
        <v>44557</v>
      </c>
      <c r="Z129" s="1">
        <v>2021</v>
      </c>
      <c r="AA129" s="2">
        <v>109025.46</v>
      </c>
      <c r="AB129" s="2"/>
      <c r="AC129" s="2">
        <v>16353.82</v>
      </c>
      <c r="AD129" s="1">
        <v>1.5</v>
      </c>
      <c r="AE129" s="1">
        <v>0.5</v>
      </c>
      <c r="AG129" s="1" t="s">
        <v>56</v>
      </c>
      <c r="AI129" s="2">
        <v>16353.82</v>
      </c>
    </row>
    <row r="130" spans="1:38" ht="14.45" customHeight="1" x14ac:dyDescent="0.2">
      <c r="A130" s="1" t="s">
        <v>57</v>
      </c>
      <c r="B130" s="9" t="s">
        <v>38</v>
      </c>
      <c r="C130" s="1" t="s">
        <v>58</v>
      </c>
      <c r="D130" s="1" t="s">
        <v>59</v>
      </c>
      <c r="E130" s="1" t="s">
        <v>42</v>
      </c>
      <c r="G130" s="1" t="s">
        <v>88</v>
      </c>
      <c r="H130" s="1" t="s">
        <v>61</v>
      </c>
      <c r="I130" s="1" t="s">
        <v>858</v>
      </c>
      <c r="J130" s="1">
        <v>2021</v>
      </c>
      <c r="K130" s="1" t="s">
        <v>859</v>
      </c>
      <c r="L130" s="1" t="s">
        <v>860</v>
      </c>
      <c r="P130" s="1" t="s">
        <v>861</v>
      </c>
      <c r="Q130" s="1" t="s">
        <v>264</v>
      </c>
      <c r="R130" s="1" t="s">
        <v>265</v>
      </c>
      <c r="S130" s="1" t="s">
        <v>740</v>
      </c>
      <c r="T130" s="1" t="s">
        <v>741</v>
      </c>
      <c r="U130" s="1">
        <v>1</v>
      </c>
      <c r="V130" s="1" t="s">
        <v>535</v>
      </c>
      <c r="W130" s="1" t="s">
        <v>862</v>
      </c>
      <c r="X130" s="1" t="s">
        <v>138</v>
      </c>
      <c r="Y130" s="10">
        <v>44557</v>
      </c>
      <c r="Z130" s="1">
        <v>2021</v>
      </c>
      <c r="AA130" s="2">
        <v>229756.62</v>
      </c>
      <c r="AB130" s="2"/>
      <c r="AC130" s="2">
        <v>50000</v>
      </c>
      <c r="AD130" s="1">
        <v>1</v>
      </c>
      <c r="AE130" s="1">
        <v>1</v>
      </c>
      <c r="AG130" s="1" t="s">
        <v>56</v>
      </c>
      <c r="AI130" s="2">
        <v>50000</v>
      </c>
    </row>
    <row r="131" spans="1:38" ht="14.45" customHeight="1" x14ac:dyDescent="0.2">
      <c r="A131" s="1" t="s">
        <v>57</v>
      </c>
      <c r="B131" s="9" t="s">
        <v>38</v>
      </c>
      <c r="C131" s="1" t="s">
        <v>58</v>
      </c>
      <c r="D131" s="1" t="s">
        <v>59</v>
      </c>
      <c r="E131" s="1" t="s">
        <v>42</v>
      </c>
      <c r="G131" s="1" t="s">
        <v>60</v>
      </c>
      <c r="H131" s="1" t="s">
        <v>61</v>
      </c>
      <c r="I131" s="1" t="s">
        <v>863</v>
      </c>
      <c r="J131" s="1">
        <v>2021</v>
      </c>
      <c r="K131" s="1" t="s">
        <v>864</v>
      </c>
      <c r="L131" s="1" t="s">
        <v>865</v>
      </c>
      <c r="N131" s="1" t="s">
        <v>866</v>
      </c>
      <c r="P131" s="1" t="s">
        <v>867</v>
      </c>
      <c r="Q131" s="1" t="s">
        <v>101</v>
      </c>
      <c r="R131" s="1" t="s">
        <v>102</v>
      </c>
      <c r="S131" s="1" t="s">
        <v>103</v>
      </c>
      <c r="T131" s="1" t="s">
        <v>104</v>
      </c>
      <c r="U131" s="1">
        <v>1</v>
      </c>
      <c r="V131" s="1" t="s">
        <v>101</v>
      </c>
      <c r="W131" s="1" t="s">
        <v>868</v>
      </c>
      <c r="X131" s="1" t="s">
        <v>609</v>
      </c>
      <c r="Y131" s="10">
        <v>44557</v>
      </c>
      <c r="Z131" s="1">
        <v>2021</v>
      </c>
      <c r="AA131" s="2">
        <v>4821130</v>
      </c>
      <c r="AB131" s="2"/>
      <c r="AC131" s="2">
        <v>700000</v>
      </c>
      <c r="AD131" s="1">
        <v>14</v>
      </c>
      <c r="AE131" s="1">
        <v>5</v>
      </c>
      <c r="AG131" s="1" t="s">
        <v>56</v>
      </c>
      <c r="AI131" s="2">
        <v>700000</v>
      </c>
    </row>
    <row r="132" spans="1:38" ht="14.45" customHeight="1" x14ac:dyDescent="0.2">
      <c r="A132" s="1" t="s">
        <v>57</v>
      </c>
      <c r="B132" s="9" t="s">
        <v>38</v>
      </c>
      <c r="C132" s="1" t="s">
        <v>58</v>
      </c>
      <c r="D132" s="1" t="s">
        <v>59</v>
      </c>
      <c r="E132" s="1" t="s">
        <v>42</v>
      </c>
      <c r="G132" s="1" t="s">
        <v>88</v>
      </c>
      <c r="H132" s="1" t="s">
        <v>61</v>
      </c>
      <c r="I132" s="1" t="s">
        <v>869</v>
      </c>
      <c r="J132" s="1">
        <v>2021</v>
      </c>
      <c r="K132" s="1" t="s">
        <v>870</v>
      </c>
      <c r="L132" s="1" t="s">
        <v>871</v>
      </c>
      <c r="M132" s="1" t="s">
        <v>872</v>
      </c>
      <c r="P132" s="1" t="s">
        <v>873</v>
      </c>
      <c r="Q132" s="1" t="s">
        <v>264</v>
      </c>
      <c r="R132" s="1" t="s">
        <v>265</v>
      </c>
      <c r="S132" s="1" t="s">
        <v>740</v>
      </c>
      <c r="T132" s="1" t="s">
        <v>741</v>
      </c>
      <c r="U132" s="1">
        <v>1</v>
      </c>
      <c r="V132" s="1" t="s">
        <v>535</v>
      </c>
      <c r="W132" s="1" t="s">
        <v>874</v>
      </c>
      <c r="X132" s="1" t="s">
        <v>145</v>
      </c>
      <c r="Y132" s="10">
        <v>44557</v>
      </c>
      <c r="Z132" s="1">
        <v>2021</v>
      </c>
      <c r="AA132" s="2">
        <v>237264.08</v>
      </c>
      <c r="AB132" s="2"/>
      <c r="AC132" s="2">
        <v>71179.22</v>
      </c>
      <c r="AD132" s="1">
        <v>1.5</v>
      </c>
      <c r="AE132" s="1">
        <v>1.5</v>
      </c>
      <c r="AG132" s="1" t="s">
        <v>56</v>
      </c>
      <c r="AI132" s="2">
        <v>71179.22</v>
      </c>
    </row>
    <row r="133" spans="1:38" ht="14.45" customHeight="1" x14ac:dyDescent="0.2">
      <c r="A133" s="1" t="s">
        <v>57</v>
      </c>
      <c r="B133" s="9" t="s">
        <v>38</v>
      </c>
      <c r="C133" s="1" t="s">
        <v>58</v>
      </c>
      <c r="D133" s="1" t="s">
        <v>59</v>
      </c>
      <c r="E133" s="1" t="s">
        <v>42</v>
      </c>
      <c r="G133" s="1" t="s">
        <v>88</v>
      </c>
      <c r="H133" s="1" t="s">
        <v>61</v>
      </c>
      <c r="I133" s="1" t="s">
        <v>875</v>
      </c>
      <c r="J133" s="1">
        <v>2021</v>
      </c>
      <c r="K133" s="1" t="s">
        <v>876</v>
      </c>
      <c r="L133" s="1" t="s">
        <v>877</v>
      </c>
      <c r="P133" s="1" t="s">
        <v>878</v>
      </c>
      <c r="Q133" s="1" t="s">
        <v>264</v>
      </c>
      <c r="R133" s="1" t="s">
        <v>265</v>
      </c>
      <c r="S133" s="1" t="s">
        <v>784</v>
      </c>
      <c r="T133" s="1" t="s">
        <v>785</v>
      </c>
      <c r="U133" s="1">
        <v>2</v>
      </c>
      <c r="V133" s="1" t="s">
        <v>80</v>
      </c>
      <c r="W133" s="1" t="s">
        <v>877</v>
      </c>
      <c r="X133" s="1" t="s">
        <v>138</v>
      </c>
      <c r="Y133" s="10">
        <v>44557</v>
      </c>
      <c r="Z133" s="1">
        <v>2021</v>
      </c>
      <c r="AA133" s="2">
        <v>489875</v>
      </c>
      <c r="AB133" s="2"/>
      <c r="AC133" s="2">
        <v>73481.25</v>
      </c>
      <c r="AD133" s="1">
        <v>4</v>
      </c>
      <c r="AE133" s="1">
        <v>3</v>
      </c>
      <c r="AG133" s="1" t="s">
        <v>56</v>
      </c>
      <c r="AI133" s="2">
        <v>73481.25</v>
      </c>
    </row>
    <row r="134" spans="1:38" ht="14.45" customHeight="1" x14ac:dyDescent="0.2">
      <c r="A134" s="1" t="s">
        <v>57</v>
      </c>
      <c r="B134" s="9" t="s">
        <v>38</v>
      </c>
      <c r="C134" s="1" t="s">
        <v>58</v>
      </c>
      <c r="D134" s="1" t="s">
        <v>59</v>
      </c>
      <c r="E134" s="1" t="s">
        <v>42</v>
      </c>
      <c r="G134" s="1" t="s">
        <v>105</v>
      </c>
      <c r="H134" s="1" t="s">
        <v>61</v>
      </c>
      <c r="I134" s="1" t="s">
        <v>879</v>
      </c>
      <c r="J134" s="1">
        <v>2023</v>
      </c>
      <c r="K134" s="1" t="s">
        <v>880</v>
      </c>
      <c r="L134" s="1" t="s">
        <v>881</v>
      </c>
      <c r="M134" s="1" t="s">
        <v>882</v>
      </c>
      <c r="P134" s="1" t="s">
        <v>883</v>
      </c>
      <c r="Q134" s="1" t="s">
        <v>842</v>
      </c>
      <c r="R134" s="1" t="s">
        <v>884</v>
      </c>
      <c r="S134" s="1" t="s">
        <v>885</v>
      </c>
      <c r="T134" s="1" t="s">
        <v>886</v>
      </c>
      <c r="V134" s="1" t="s">
        <v>887</v>
      </c>
      <c r="W134" s="1" t="s">
        <v>880</v>
      </c>
      <c r="Y134" s="10">
        <v>45462</v>
      </c>
      <c r="Z134" s="1">
        <v>2024</v>
      </c>
      <c r="AA134" s="2">
        <v>3611000</v>
      </c>
      <c r="AB134" s="2"/>
      <c r="AC134" s="2">
        <v>1022200</v>
      </c>
      <c r="AD134" s="1">
        <v>20</v>
      </c>
      <c r="AG134" s="1" t="s">
        <v>56</v>
      </c>
      <c r="AI134" s="2">
        <v>1022200</v>
      </c>
    </row>
    <row r="135" spans="1:38" ht="14.45" customHeight="1" x14ac:dyDescent="0.2">
      <c r="A135" s="1" t="s">
        <v>57</v>
      </c>
      <c r="B135" s="9" t="s">
        <v>38</v>
      </c>
      <c r="C135" s="1" t="s">
        <v>58</v>
      </c>
      <c r="D135" s="1" t="s">
        <v>59</v>
      </c>
      <c r="E135" s="1" t="s">
        <v>42</v>
      </c>
      <c r="G135" s="1" t="s">
        <v>88</v>
      </c>
      <c r="H135" s="1" t="s">
        <v>61</v>
      </c>
      <c r="I135" s="1" t="s">
        <v>888</v>
      </c>
      <c r="J135" s="1">
        <v>2021</v>
      </c>
      <c r="K135" s="1" t="s">
        <v>889</v>
      </c>
      <c r="L135" s="1" t="s">
        <v>890</v>
      </c>
      <c r="M135" s="1" t="s">
        <v>891</v>
      </c>
      <c r="P135" s="1" t="s">
        <v>892</v>
      </c>
      <c r="Q135" s="1" t="s">
        <v>264</v>
      </c>
      <c r="R135" s="1" t="s">
        <v>265</v>
      </c>
      <c r="S135" s="1" t="s">
        <v>542</v>
      </c>
      <c r="T135" s="1" t="s">
        <v>543</v>
      </c>
      <c r="U135" s="1">
        <v>1</v>
      </c>
      <c r="V135" s="1" t="s">
        <v>268</v>
      </c>
      <c r="W135" s="1" t="s">
        <v>893</v>
      </c>
      <c r="X135" s="1" t="s">
        <v>609</v>
      </c>
      <c r="Y135" s="10">
        <v>44557</v>
      </c>
      <c r="Z135" s="1">
        <v>2021</v>
      </c>
      <c r="AA135" s="2">
        <v>81269</v>
      </c>
      <c r="AB135" s="2"/>
      <c r="AC135" s="2">
        <v>24380.7</v>
      </c>
      <c r="AD135" s="1">
        <v>2</v>
      </c>
      <c r="AG135" s="1" t="s">
        <v>56</v>
      </c>
      <c r="AI135" s="2">
        <v>24380.7</v>
      </c>
      <c r="AL135" s="18" t="s">
        <v>826</v>
      </c>
    </row>
    <row r="136" spans="1:38" ht="14.45" customHeight="1" x14ac:dyDescent="0.2">
      <c r="A136" s="1" t="s">
        <v>57</v>
      </c>
      <c r="B136" s="9" t="s">
        <v>38</v>
      </c>
      <c r="C136" s="1" t="s">
        <v>58</v>
      </c>
      <c r="D136" s="1" t="s">
        <v>59</v>
      </c>
      <c r="E136" s="1" t="s">
        <v>42</v>
      </c>
      <c r="G136" s="1" t="s">
        <v>88</v>
      </c>
      <c r="H136" s="1" t="s">
        <v>61</v>
      </c>
      <c r="I136" s="1" t="s">
        <v>894</v>
      </c>
      <c r="J136" s="1">
        <v>2021</v>
      </c>
      <c r="K136" s="1" t="s">
        <v>895</v>
      </c>
      <c r="L136" s="1" t="s">
        <v>895</v>
      </c>
      <c r="P136" s="1" t="s">
        <v>896</v>
      </c>
      <c r="Q136" s="1" t="s">
        <v>264</v>
      </c>
      <c r="R136" s="1" t="s">
        <v>265</v>
      </c>
      <c r="S136" s="1" t="s">
        <v>784</v>
      </c>
      <c r="T136" s="1" t="s">
        <v>785</v>
      </c>
      <c r="U136" s="1">
        <v>2</v>
      </c>
      <c r="V136" s="1" t="s">
        <v>80</v>
      </c>
      <c r="W136" s="1" t="s">
        <v>895</v>
      </c>
      <c r="X136" s="1" t="s">
        <v>138</v>
      </c>
      <c r="Y136" s="10">
        <v>44557</v>
      </c>
      <c r="Z136" s="1">
        <v>2021</v>
      </c>
      <c r="AA136" s="2">
        <v>97637.49</v>
      </c>
      <c r="AB136" s="2"/>
      <c r="AC136" s="2">
        <v>14645.62</v>
      </c>
      <c r="AD136" s="1">
        <v>1</v>
      </c>
      <c r="AE136" s="1">
        <v>1</v>
      </c>
      <c r="AG136" s="1" t="s">
        <v>56</v>
      </c>
      <c r="AI136" s="2">
        <v>14645.62</v>
      </c>
    </row>
    <row r="137" spans="1:38" ht="14.45" customHeight="1" x14ac:dyDescent="0.2">
      <c r="A137" s="1" t="s">
        <v>57</v>
      </c>
      <c r="B137" s="9" t="s">
        <v>38</v>
      </c>
      <c r="C137" s="1" t="s">
        <v>58</v>
      </c>
      <c r="D137" s="1" t="s">
        <v>59</v>
      </c>
      <c r="E137" s="1" t="s">
        <v>42</v>
      </c>
      <c r="G137" s="1" t="s">
        <v>88</v>
      </c>
      <c r="H137" s="1" t="s">
        <v>61</v>
      </c>
      <c r="I137" s="1" t="s">
        <v>897</v>
      </c>
      <c r="J137" s="1">
        <v>2021</v>
      </c>
      <c r="K137" s="1" t="s">
        <v>898</v>
      </c>
      <c r="L137" s="1" t="s">
        <v>899</v>
      </c>
      <c r="P137" s="1" t="s">
        <v>900</v>
      </c>
      <c r="Q137" s="1" t="s">
        <v>264</v>
      </c>
      <c r="R137" s="1" t="s">
        <v>265</v>
      </c>
      <c r="S137" s="1" t="s">
        <v>350</v>
      </c>
      <c r="T137" s="1" t="s">
        <v>351</v>
      </c>
      <c r="U137" s="1">
        <v>1</v>
      </c>
      <c r="V137" s="1" t="s">
        <v>80</v>
      </c>
      <c r="W137" s="1" t="s">
        <v>899</v>
      </c>
      <c r="X137" s="1" t="s">
        <v>145</v>
      </c>
      <c r="Y137" s="10">
        <v>44557</v>
      </c>
      <c r="Z137" s="1">
        <v>2021</v>
      </c>
      <c r="AA137" s="2">
        <v>483334</v>
      </c>
      <c r="AB137" s="2"/>
      <c r="AC137" s="2">
        <v>145000.20000000001</v>
      </c>
      <c r="AD137" s="1">
        <v>6</v>
      </c>
      <c r="AE137" s="1">
        <v>6</v>
      </c>
      <c r="AG137" s="1" t="s">
        <v>56</v>
      </c>
      <c r="AI137" s="2">
        <v>145000.20000000001</v>
      </c>
    </row>
    <row r="138" spans="1:38" ht="14.45" customHeight="1" x14ac:dyDescent="0.2">
      <c r="A138" s="1" t="s">
        <v>57</v>
      </c>
      <c r="B138" s="9" t="s">
        <v>38</v>
      </c>
      <c r="C138" s="1" t="s">
        <v>58</v>
      </c>
      <c r="D138" s="1" t="s">
        <v>59</v>
      </c>
      <c r="E138" s="1" t="s">
        <v>42</v>
      </c>
      <c r="G138" s="1" t="s">
        <v>88</v>
      </c>
      <c r="H138" s="1" t="s">
        <v>61</v>
      </c>
      <c r="I138" s="1" t="s">
        <v>901</v>
      </c>
      <c r="J138" s="1">
        <v>2021</v>
      </c>
      <c r="K138" s="1" t="s">
        <v>902</v>
      </c>
      <c r="L138" s="1" t="s">
        <v>903</v>
      </c>
      <c r="P138" s="1" t="s">
        <v>456</v>
      </c>
      <c r="Q138" s="1" t="s">
        <v>264</v>
      </c>
      <c r="R138" s="1" t="s">
        <v>265</v>
      </c>
      <c r="S138" s="1" t="s">
        <v>266</v>
      </c>
      <c r="T138" s="1" t="s">
        <v>267</v>
      </c>
      <c r="U138" s="1">
        <v>2</v>
      </c>
      <c r="V138" s="1" t="s">
        <v>268</v>
      </c>
      <c r="W138" s="1" t="s">
        <v>904</v>
      </c>
      <c r="X138" s="1" t="s">
        <v>138</v>
      </c>
      <c r="Y138" s="10">
        <v>44557</v>
      </c>
      <c r="Z138" s="1">
        <v>2021</v>
      </c>
      <c r="AA138" s="2">
        <v>445718.84</v>
      </c>
      <c r="AB138" s="2"/>
      <c r="AC138" s="2">
        <v>66857.83</v>
      </c>
      <c r="AD138" s="1">
        <v>3</v>
      </c>
      <c r="AE138" s="1">
        <v>3</v>
      </c>
      <c r="AG138" s="1" t="s">
        <v>56</v>
      </c>
      <c r="AI138" s="2">
        <v>66857.83</v>
      </c>
    </row>
    <row r="139" spans="1:38" ht="14.45" customHeight="1" x14ac:dyDescent="0.2">
      <c r="A139" s="1" t="s">
        <v>57</v>
      </c>
      <c r="B139" s="9" t="s">
        <v>38</v>
      </c>
      <c r="C139" s="1" t="s">
        <v>58</v>
      </c>
      <c r="D139" s="1" t="s">
        <v>59</v>
      </c>
      <c r="E139" s="1" t="s">
        <v>42</v>
      </c>
      <c r="G139" s="1" t="s">
        <v>88</v>
      </c>
      <c r="H139" s="1" t="s">
        <v>61</v>
      </c>
      <c r="I139" s="1" t="s">
        <v>905</v>
      </c>
      <c r="J139" s="1">
        <v>2021</v>
      </c>
      <c r="K139" s="1" t="s">
        <v>906</v>
      </c>
      <c r="L139" s="1" t="s">
        <v>907</v>
      </c>
      <c r="M139" s="1" t="s">
        <v>908</v>
      </c>
      <c r="P139" s="1" t="s">
        <v>909</v>
      </c>
      <c r="Q139" s="1" t="s">
        <v>264</v>
      </c>
      <c r="R139" s="1" t="s">
        <v>265</v>
      </c>
      <c r="S139" s="1" t="s">
        <v>266</v>
      </c>
      <c r="T139" s="1" t="s">
        <v>267</v>
      </c>
      <c r="U139" s="1">
        <v>2</v>
      </c>
      <c r="V139" s="1" t="s">
        <v>268</v>
      </c>
      <c r="W139" s="1" t="s">
        <v>910</v>
      </c>
      <c r="X139" s="1" t="s">
        <v>609</v>
      </c>
      <c r="Y139" s="10">
        <v>44557</v>
      </c>
      <c r="Z139" s="1">
        <v>2021</v>
      </c>
      <c r="AA139" s="2">
        <v>322663.69</v>
      </c>
      <c r="AB139" s="2"/>
      <c r="AC139" s="2">
        <v>32266.37</v>
      </c>
      <c r="AD139" s="1">
        <v>2</v>
      </c>
      <c r="AG139" s="1" t="s">
        <v>56</v>
      </c>
      <c r="AI139" s="2">
        <v>32266.37</v>
      </c>
    </row>
    <row r="140" spans="1:38" ht="14.45" customHeight="1" x14ac:dyDescent="0.2">
      <c r="A140" s="1" t="s">
        <v>57</v>
      </c>
      <c r="B140" s="9" t="s">
        <v>38</v>
      </c>
      <c r="C140" s="1" t="s">
        <v>58</v>
      </c>
      <c r="D140" s="1" t="s">
        <v>59</v>
      </c>
      <c r="E140" s="1" t="s">
        <v>42</v>
      </c>
      <c r="G140" s="1" t="s">
        <v>88</v>
      </c>
      <c r="H140" s="1" t="s">
        <v>61</v>
      </c>
      <c r="I140" s="1" t="s">
        <v>911</v>
      </c>
      <c r="J140" s="1">
        <v>2021</v>
      </c>
      <c r="K140" s="1" t="s">
        <v>912</v>
      </c>
      <c r="L140" s="1" t="s">
        <v>913</v>
      </c>
      <c r="M140" s="1" t="s">
        <v>914</v>
      </c>
      <c r="P140" s="1" t="s">
        <v>915</v>
      </c>
      <c r="Q140" s="1" t="s">
        <v>264</v>
      </c>
      <c r="R140" s="1" t="s">
        <v>265</v>
      </c>
      <c r="S140" s="1" t="s">
        <v>266</v>
      </c>
      <c r="T140" s="1" t="s">
        <v>267</v>
      </c>
      <c r="U140" s="1">
        <v>2</v>
      </c>
      <c r="V140" s="1" t="s">
        <v>268</v>
      </c>
      <c r="W140" s="1" t="s">
        <v>916</v>
      </c>
      <c r="X140" s="1" t="s">
        <v>917</v>
      </c>
      <c r="Y140" s="10">
        <v>44557</v>
      </c>
      <c r="Z140" s="1">
        <v>2021</v>
      </c>
      <c r="AA140" s="2">
        <v>86692.1</v>
      </c>
      <c r="AB140" s="2"/>
      <c r="AC140" s="2">
        <v>13003.82</v>
      </c>
      <c r="AD140" s="1">
        <v>1</v>
      </c>
      <c r="AE140" s="1">
        <v>1</v>
      </c>
      <c r="AG140" s="1" t="s">
        <v>56</v>
      </c>
      <c r="AI140" s="2">
        <v>13003.82</v>
      </c>
    </row>
    <row r="141" spans="1:38" ht="14.45" customHeight="1" x14ac:dyDescent="0.2">
      <c r="A141" s="1" t="s">
        <v>57</v>
      </c>
      <c r="B141" s="9" t="s">
        <v>38</v>
      </c>
      <c r="C141" s="1" t="s">
        <v>58</v>
      </c>
      <c r="D141" s="1" t="s">
        <v>59</v>
      </c>
      <c r="E141" s="1" t="s">
        <v>42</v>
      </c>
      <c r="G141" s="1" t="s">
        <v>88</v>
      </c>
      <c r="H141" s="1" t="s">
        <v>61</v>
      </c>
      <c r="I141" s="1" t="s">
        <v>918</v>
      </c>
      <c r="J141" s="1">
        <v>2021</v>
      </c>
      <c r="K141" s="1" t="s">
        <v>919</v>
      </c>
      <c r="L141" s="1" t="s">
        <v>920</v>
      </c>
      <c r="M141" s="1" t="s">
        <v>921</v>
      </c>
      <c r="P141" s="1" t="s">
        <v>922</v>
      </c>
      <c r="Q141" s="1" t="s">
        <v>264</v>
      </c>
      <c r="R141" s="1" t="s">
        <v>265</v>
      </c>
      <c r="S141" s="1" t="s">
        <v>923</v>
      </c>
      <c r="T141" s="1" t="s">
        <v>924</v>
      </c>
      <c r="U141" s="1">
        <v>1</v>
      </c>
      <c r="V141" s="1" t="s">
        <v>268</v>
      </c>
      <c r="W141" s="1" t="s">
        <v>925</v>
      </c>
      <c r="X141" s="1" t="s">
        <v>400</v>
      </c>
      <c r="Y141" s="10">
        <v>44557</v>
      </c>
      <c r="Z141" s="1">
        <v>2021</v>
      </c>
      <c r="AA141" s="2">
        <v>56797.49</v>
      </c>
      <c r="AB141" s="2"/>
      <c r="AC141" s="2">
        <v>17039.25</v>
      </c>
      <c r="AD141" s="1">
        <v>0</v>
      </c>
      <c r="AG141" s="1" t="s">
        <v>56</v>
      </c>
      <c r="AI141" s="2">
        <v>17039.25</v>
      </c>
    </row>
    <row r="142" spans="1:38" ht="14.45" customHeight="1" x14ac:dyDescent="0.2">
      <c r="A142" s="1" t="s">
        <v>57</v>
      </c>
      <c r="B142" s="9" t="s">
        <v>38</v>
      </c>
      <c r="C142" s="1" t="s">
        <v>58</v>
      </c>
      <c r="D142" s="1" t="s">
        <v>59</v>
      </c>
      <c r="E142" s="1" t="s">
        <v>42</v>
      </c>
      <c r="G142" s="1" t="s">
        <v>88</v>
      </c>
      <c r="H142" s="1" t="s">
        <v>61</v>
      </c>
      <c r="I142" s="1" t="s">
        <v>926</v>
      </c>
      <c r="J142" s="1">
        <v>2021</v>
      </c>
      <c r="K142" s="1" t="s">
        <v>927</v>
      </c>
      <c r="L142" s="1" t="s">
        <v>928</v>
      </c>
      <c r="P142" s="1" t="s">
        <v>929</v>
      </c>
      <c r="Q142" s="1" t="s">
        <v>264</v>
      </c>
      <c r="R142" s="1" t="s">
        <v>265</v>
      </c>
      <c r="S142" s="1" t="s">
        <v>275</v>
      </c>
      <c r="T142" s="1" t="s">
        <v>276</v>
      </c>
      <c r="U142" s="1">
        <v>2</v>
      </c>
      <c r="V142" s="1" t="s">
        <v>80</v>
      </c>
      <c r="W142" s="1" t="s">
        <v>928</v>
      </c>
      <c r="X142" s="1" t="s">
        <v>138</v>
      </c>
      <c r="Y142" s="10">
        <v>44557</v>
      </c>
      <c r="Z142" s="1">
        <v>2021</v>
      </c>
      <c r="AA142" s="2">
        <v>172472.12</v>
      </c>
      <c r="AB142" s="2"/>
      <c r="AC142" s="2">
        <v>25870.82</v>
      </c>
      <c r="AD142" s="1">
        <v>2</v>
      </c>
      <c r="AE142" s="1">
        <v>2</v>
      </c>
      <c r="AG142" s="1" t="s">
        <v>56</v>
      </c>
      <c r="AI142" s="2">
        <v>25870.82</v>
      </c>
    </row>
    <row r="143" spans="1:38" ht="14.45" customHeight="1" x14ac:dyDescent="0.2">
      <c r="A143" s="1" t="s">
        <v>57</v>
      </c>
      <c r="B143" s="9" t="s">
        <v>38</v>
      </c>
      <c r="C143" s="1" t="s">
        <v>58</v>
      </c>
      <c r="D143" s="1" t="s">
        <v>59</v>
      </c>
      <c r="E143" s="1" t="s">
        <v>42</v>
      </c>
      <c r="G143" s="1" t="s">
        <v>88</v>
      </c>
      <c r="H143" s="1" t="s">
        <v>61</v>
      </c>
      <c r="I143" s="1" t="s">
        <v>930</v>
      </c>
      <c r="J143" s="1">
        <v>2021</v>
      </c>
      <c r="K143" s="1" t="s">
        <v>931</v>
      </c>
      <c r="L143" s="1" t="s">
        <v>932</v>
      </c>
      <c r="M143" s="1" t="s">
        <v>933</v>
      </c>
      <c r="P143" s="1" t="s">
        <v>934</v>
      </c>
      <c r="Q143" s="1" t="s">
        <v>264</v>
      </c>
      <c r="R143" s="1" t="s">
        <v>265</v>
      </c>
      <c r="S143" s="1" t="s">
        <v>935</v>
      </c>
      <c r="T143" s="1" t="s">
        <v>936</v>
      </c>
      <c r="U143" s="1">
        <v>1</v>
      </c>
      <c r="V143" s="1" t="s">
        <v>308</v>
      </c>
      <c r="W143" s="1" t="s">
        <v>937</v>
      </c>
      <c r="X143" s="1" t="s">
        <v>609</v>
      </c>
      <c r="Y143" s="10">
        <v>44557</v>
      </c>
      <c r="Z143" s="1">
        <v>2021</v>
      </c>
      <c r="AA143" s="2">
        <v>263741.38</v>
      </c>
      <c r="AB143" s="2"/>
      <c r="AC143" s="2">
        <v>60000</v>
      </c>
      <c r="AD143" s="1">
        <v>0</v>
      </c>
      <c r="AG143" s="1" t="s">
        <v>56</v>
      </c>
      <c r="AI143" s="2">
        <v>60000</v>
      </c>
    </row>
    <row r="144" spans="1:38" ht="14.45" customHeight="1" x14ac:dyDescent="0.2">
      <c r="A144" s="1" t="s">
        <v>57</v>
      </c>
      <c r="B144" s="9" t="s">
        <v>38</v>
      </c>
      <c r="C144" s="1" t="s">
        <v>58</v>
      </c>
      <c r="D144" s="1" t="s">
        <v>59</v>
      </c>
      <c r="E144" s="1" t="s">
        <v>42</v>
      </c>
      <c r="G144" s="1" t="s">
        <v>88</v>
      </c>
      <c r="H144" s="1" t="s">
        <v>61</v>
      </c>
      <c r="I144" s="1" t="s">
        <v>938</v>
      </c>
      <c r="J144" s="1">
        <v>2021</v>
      </c>
      <c r="K144" s="1" t="s">
        <v>939</v>
      </c>
      <c r="L144" s="1" t="s">
        <v>940</v>
      </c>
      <c r="P144" s="1" t="s">
        <v>941</v>
      </c>
      <c r="Q144" s="1" t="s">
        <v>264</v>
      </c>
      <c r="R144" s="1" t="s">
        <v>265</v>
      </c>
      <c r="S144" s="1" t="s">
        <v>275</v>
      </c>
      <c r="T144" s="1" t="s">
        <v>276</v>
      </c>
      <c r="U144" s="1">
        <v>2</v>
      </c>
      <c r="V144" s="1" t="s">
        <v>80</v>
      </c>
      <c r="W144" s="1" t="s">
        <v>940</v>
      </c>
      <c r="X144" s="1" t="s">
        <v>138</v>
      </c>
      <c r="Y144" s="10">
        <v>44557</v>
      </c>
      <c r="Z144" s="1">
        <v>2021</v>
      </c>
      <c r="AA144" s="2">
        <v>203765.89</v>
      </c>
      <c r="AB144" s="2"/>
      <c r="AC144" s="2">
        <v>15000</v>
      </c>
      <c r="AD144" s="1">
        <v>0</v>
      </c>
      <c r="AG144" s="1" t="s">
        <v>56</v>
      </c>
      <c r="AI144" s="2">
        <v>15000</v>
      </c>
    </row>
    <row r="145" spans="1:38" ht="14.45" customHeight="1" x14ac:dyDescent="0.2">
      <c r="A145" s="1" t="s">
        <v>57</v>
      </c>
      <c r="B145" s="9" t="s">
        <v>38</v>
      </c>
      <c r="C145" s="1" t="s">
        <v>58</v>
      </c>
      <c r="D145" s="1" t="s">
        <v>59</v>
      </c>
      <c r="E145" s="1" t="s">
        <v>42</v>
      </c>
      <c r="G145" s="1" t="s">
        <v>88</v>
      </c>
      <c r="H145" s="1" t="s">
        <v>61</v>
      </c>
      <c r="I145" s="1" t="s">
        <v>942</v>
      </c>
      <c r="J145" s="1">
        <v>2021</v>
      </c>
      <c r="K145" s="1" t="s">
        <v>943</v>
      </c>
      <c r="L145" s="1" t="s">
        <v>944</v>
      </c>
      <c r="P145" s="1" t="s">
        <v>945</v>
      </c>
      <c r="Q145" s="1" t="s">
        <v>264</v>
      </c>
      <c r="R145" s="1" t="s">
        <v>265</v>
      </c>
      <c r="S145" s="1" t="s">
        <v>275</v>
      </c>
      <c r="T145" s="1" t="s">
        <v>276</v>
      </c>
      <c r="U145" s="1">
        <v>2</v>
      </c>
      <c r="V145" s="1" t="s">
        <v>80</v>
      </c>
      <c r="W145" s="1" t="s">
        <v>944</v>
      </c>
      <c r="X145" s="1" t="s">
        <v>138</v>
      </c>
      <c r="Y145" s="10">
        <v>44557</v>
      </c>
      <c r="Z145" s="1">
        <v>2021</v>
      </c>
      <c r="AA145" s="2">
        <v>101405.86</v>
      </c>
      <c r="AB145" s="2"/>
      <c r="AC145" s="2">
        <v>15000</v>
      </c>
      <c r="AD145" s="1">
        <v>1</v>
      </c>
      <c r="AG145" s="1" t="s">
        <v>56</v>
      </c>
      <c r="AI145" s="2">
        <v>15000</v>
      </c>
    </row>
    <row r="146" spans="1:38" ht="14.45" customHeight="1" x14ac:dyDescent="0.2">
      <c r="A146" s="1" t="s">
        <v>57</v>
      </c>
      <c r="B146" s="9" t="s">
        <v>38</v>
      </c>
      <c r="C146" s="1" t="s">
        <v>58</v>
      </c>
      <c r="D146" s="1" t="s">
        <v>59</v>
      </c>
      <c r="E146" s="1" t="s">
        <v>42</v>
      </c>
      <c r="G146" s="1" t="s">
        <v>88</v>
      </c>
      <c r="H146" s="1" t="s">
        <v>61</v>
      </c>
      <c r="I146" s="1" t="s">
        <v>946</v>
      </c>
      <c r="J146" s="1">
        <v>2021</v>
      </c>
      <c r="K146" s="1" t="s">
        <v>947</v>
      </c>
      <c r="L146" s="1" t="s">
        <v>948</v>
      </c>
      <c r="P146" s="1" t="s">
        <v>949</v>
      </c>
      <c r="Q146" s="1" t="s">
        <v>264</v>
      </c>
      <c r="R146" s="1" t="s">
        <v>265</v>
      </c>
      <c r="S146" s="1" t="s">
        <v>717</v>
      </c>
      <c r="T146" s="1" t="s">
        <v>718</v>
      </c>
      <c r="U146" s="1">
        <v>1</v>
      </c>
      <c r="V146" s="1" t="s">
        <v>535</v>
      </c>
      <c r="W146" s="1" t="s">
        <v>950</v>
      </c>
      <c r="X146" s="1" t="s">
        <v>138</v>
      </c>
      <c r="Y146" s="10">
        <v>44557</v>
      </c>
      <c r="Z146" s="1">
        <v>2021</v>
      </c>
      <c r="AA146" s="2">
        <v>207204.9</v>
      </c>
      <c r="AB146" s="2"/>
      <c r="AC146" s="2">
        <v>41440.980000000003</v>
      </c>
      <c r="AD146" s="1">
        <v>0</v>
      </c>
      <c r="AG146" s="1" t="s">
        <v>56</v>
      </c>
      <c r="AI146" s="2">
        <v>41440.980000000003</v>
      </c>
    </row>
    <row r="147" spans="1:38" ht="14.45" customHeight="1" x14ac:dyDescent="0.2">
      <c r="A147" s="1" t="s">
        <v>57</v>
      </c>
      <c r="B147" s="9" t="s">
        <v>38</v>
      </c>
      <c r="C147" s="1" t="s">
        <v>58</v>
      </c>
      <c r="D147" s="1" t="s">
        <v>59</v>
      </c>
      <c r="E147" s="1" t="s">
        <v>42</v>
      </c>
      <c r="G147" s="1" t="s">
        <v>88</v>
      </c>
      <c r="H147" s="1" t="s">
        <v>61</v>
      </c>
      <c r="I147" s="1" t="s">
        <v>951</v>
      </c>
      <c r="J147" s="1">
        <v>2021</v>
      </c>
      <c r="K147" s="1" t="s">
        <v>952</v>
      </c>
      <c r="L147" s="1" t="s">
        <v>953</v>
      </c>
      <c r="P147" s="1" t="s">
        <v>954</v>
      </c>
      <c r="Q147" s="1" t="s">
        <v>264</v>
      </c>
      <c r="R147" s="1" t="s">
        <v>265</v>
      </c>
      <c r="S147" s="1" t="s">
        <v>275</v>
      </c>
      <c r="T147" s="1" t="s">
        <v>276</v>
      </c>
      <c r="U147" s="1">
        <v>2</v>
      </c>
      <c r="V147" s="1" t="s">
        <v>80</v>
      </c>
      <c r="W147" s="1" t="s">
        <v>953</v>
      </c>
      <c r="X147" s="1" t="s">
        <v>138</v>
      </c>
      <c r="Y147" s="10">
        <v>44557</v>
      </c>
      <c r="Z147" s="1">
        <v>2021</v>
      </c>
      <c r="AA147" s="2">
        <v>305234.38</v>
      </c>
      <c r="AB147" s="2"/>
      <c r="AC147" s="2">
        <v>30523.439999999999</v>
      </c>
      <c r="AD147" s="1">
        <v>0</v>
      </c>
      <c r="AG147" s="1" t="s">
        <v>56</v>
      </c>
      <c r="AI147" s="2">
        <v>30523.439999999999</v>
      </c>
    </row>
    <row r="148" spans="1:38" ht="14.45" customHeight="1" x14ac:dyDescent="0.2">
      <c r="A148" s="1" t="s">
        <v>57</v>
      </c>
      <c r="B148" s="9" t="s">
        <v>38</v>
      </c>
      <c r="C148" s="1" t="s">
        <v>58</v>
      </c>
      <c r="D148" s="1" t="s">
        <v>59</v>
      </c>
      <c r="E148" s="1" t="s">
        <v>42</v>
      </c>
      <c r="G148" s="1" t="s">
        <v>88</v>
      </c>
      <c r="H148" s="1" t="s">
        <v>61</v>
      </c>
      <c r="I148" s="1" t="s">
        <v>955</v>
      </c>
      <c r="J148" s="1">
        <v>2021</v>
      </c>
      <c r="K148" s="1" t="s">
        <v>956</v>
      </c>
      <c r="L148" s="1" t="s">
        <v>956</v>
      </c>
      <c r="P148" s="1" t="s">
        <v>957</v>
      </c>
      <c r="Q148" s="1" t="s">
        <v>264</v>
      </c>
      <c r="R148" s="1" t="s">
        <v>265</v>
      </c>
      <c r="S148" s="1" t="s">
        <v>350</v>
      </c>
      <c r="T148" s="1" t="s">
        <v>351</v>
      </c>
      <c r="U148" s="1">
        <v>1</v>
      </c>
      <c r="V148" s="1" t="s">
        <v>80</v>
      </c>
      <c r="W148" s="1" t="s">
        <v>956</v>
      </c>
      <c r="X148" s="1" t="s">
        <v>138</v>
      </c>
      <c r="Y148" s="10">
        <v>44557</v>
      </c>
      <c r="Z148" s="1">
        <v>2021</v>
      </c>
      <c r="AA148" s="2">
        <v>84173.04</v>
      </c>
      <c r="AB148" s="2"/>
      <c r="AC148" s="2">
        <v>25251.91</v>
      </c>
      <c r="AD148" s="1">
        <v>2.5</v>
      </c>
      <c r="AE148" s="1">
        <v>1</v>
      </c>
      <c r="AG148" s="1" t="s">
        <v>56</v>
      </c>
      <c r="AI148" s="2">
        <v>25251.91</v>
      </c>
    </row>
    <row r="149" spans="1:38" ht="14.45" customHeight="1" x14ac:dyDescent="0.2">
      <c r="A149" s="1" t="s">
        <v>57</v>
      </c>
      <c r="B149" s="9" t="s">
        <v>38</v>
      </c>
      <c r="C149" s="1" t="s">
        <v>58</v>
      </c>
      <c r="D149" s="1" t="s">
        <v>59</v>
      </c>
      <c r="E149" s="1" t="s">
        <v>42</v>
      </c>
      <c r="G149" s="1" t="s">
        <v>88</v>
      </c>
      <c r="H149" s="1" t="s">
        <v>61</v>
      </c>
      <c r="I149" s="1" t="s">
        <v>958</v>
      </c>
      <c r="J149" s="1">
        <v>2021</v>
      </c>
      <c r="K149" s="1" t="s">
        <v>959</v>
      </c>
      <c r="L149" s="1" t="s">
        <v>960</v>
      </c>
      <c r="M149" s="1" t="s">
        <v>961</v>
      </c>
      <c r="P149" s="1" t="s">
        <v>962</v>
      </c>
      <c r="Q149" s="1" t="s">
        <v>264</v>
      </c>
      <c r="R149" s="1" t="s">
        <v>265</v>
      </c>
      <c r="S149" s="1" t="s">
        <v>266</v>
      </c>
      <c r="T149" s="1" t="s">
        <v>267</v>
      </c>
      <c r="U149" s="1">
        <v>2</v>
      </c>
      <c r="V149" s="1" t="s">
        <v>268</v>
      </c>
      <c r="W149" s="1" t="s">
        <v>963</v>
      </c>
      <c r="X149" s="1" t="s">
        <v>138</v>
      </c>
      <c r="Y149" s="10">
        <v>44557</v>
      </c>
      <c r="Z149" s="1">
        <v>2021</v>
      </c>
      <c r="AA149" s="2">
        <v>187019.46</v>
      </c>
      <c r="AB149" s="2"/>
      <c r="AC149" s="2">
        <v>25000</v>
      </c>
      <c r="AD149" s="1">
        <v>1</v>
      </c>
      <c r="AE149" s="1">
        <v>1</v>
      </c>
      <c r="AG149" s="1" t="s">
        <v>56</v>
      </c>
      <c r="AI149" s="2">
        <v>25000</v>
      </c>
    </row>
    <row r="150" spans="1:38" ht="14.45" customHeight="1" x14ac:dyDescent="0.2">
      <c r="A150" s="1" t="s">
        <v>57</v>
      </c>
      <c r="B150" s="9" t="s">
        <v>38</v>
      </c>
      <c r="C150" s="1" t="s">
        <v>58</v>
      </c>
      <c r="D150" s="1" t="s">
        <v>59</v>
      </c>
      <c r="E150" s="1" t="s">
        <v>42</v>
      </c>
      <c r="G150" s="1" t="s">
        <v>88</v>
      </c>
      <c r="H150" s="1" t="s">
        <v>61</v>
      </c>
      <c r="I150" s="1" t="s">
        <v>964</v>
      </c>
      <c r="J150" s="1">
        <v>2021</v>
      </c>
      <c r="K150" s="1" t="s">
        <v>965</v>
      </c>
      <c r="L150" s="1" t="s">
        <v>966</v>
      </c>
      <c r="P150" s="1" t="s">
        <v>967</v>
      </c>
      <c r="Q150" s="1" t="s">
        <v>264</v>
      </c>
      <c r="R150" s="1" t="s">
        <v>265</v>
      </c>
      <c r="S150" s="1" t="s">
        <v>350</v>
      </c>
      <c r="T150" s="1" t="s">
        <v>351</v>
      </c>
      <c r="U150" s="1">
        <v>1</v>
      </c>
      <c r="V150" s="1" t="s">
        <v>80</v>
      </c>
      <c r="W150" s="1" t="s">
        <v>966</v>
      </c>
      <c r="X150" s="1" t="s">
        <v>400</v>
      </c>
      <c r="Y150" s="10">
        <v>44557</v>
      </c>
      <c r="Z150" s="1">
        <v>2021</v>
      </c>
      <c r="AA150" s="2">
        <v>307340.23</v>
      </c>
      <c r="AB150" s="2"/>
      <c r="AC150" s="2">
        <v>60000</v>
      </c>
      <c r="AD150" s="1">
        <v>0</v>
      </c>
      <c r="AG150" s="1" t="s">
        <v>56</v>
      </c>
      <c r="AI150" s="2">
        <v>60000</v>
      </c>
    </row>
    <row r="151" spans="1:38" ht="14.45" customHeight="1" x14ac:dyDescent="0.2">
      <c r="A151" s="1" t="s">
        <v>57</v>
      </c>
      <c r="B151" s="9" t="s">
        <v>38</v>
      </c>
      <c r="C151" s="1" t="s">
        <v>58</v>
      </c>
      <c r="D151" s="1" t="s">
        <v>59</v>
      </c>
      <c r="E151" s="1" t="s">
        <v>42</v>
      </c>
      <c r="G151" s="1" t="s">
        <v>88</v>
      </c>
      <c r="H151" s="1" t="s">
        <v>61</v>
      </c>
      <c r="I151" s="1" t="s">
        <v>968</v>
      </c>
      <c r="J151" s="1">
        <v>2021</v>
      </c>
      <c r="K151" s="1" t="s">
        <v>969</v>
      </c>
      <c r="L151" s="1" t="s">
        <v>970</v>
      </c>
      <c r="P151" s="1" t="s">
        <v>971</v>
      </c>
      <c r="Q151" s="1" t="s">
        <v>264</v>
      </c>
      <c r="R151" s="1" t="s">
        <v>265</v>
      </c>
      <c r="S151" s="1" t="s">
        <v>784</v>
      </c>
      <c r="T151" s="1" t="s">
        <v>785</v>
      </c>
      <c r="U151" s="1">
        <v>2</v>
      </c>
      <c r="V151" s="1" t="s">
        <v>80</v>
      </c>
      <c r="W151" s="1" t="s">
        <v>970</v>
      </c>
      <c r="X151" s="1" t="s">
        <v>145</v>
      </c>
      <c r="Y151" s="10">
        <v>44557</v>
      </c>
      <c r="Z151" s="1">
        <v>2021</v>
      </c>
      <c r="AA151" s="2">
        <v>127494.62</v>
      </c>
      <c r="AB151" s="2"/>
      <c r="AC151" s="2">
        <v>15000</v>
      </c>
      <c r="AD151" s="1">
        <v>0</v>
      </c>
      <c r="AG151" s="1" t="s">
        <v>56</v>
      </c>
      <c r="AI151" s="2">
        <v>15000</v>
      </c>
    </row>
    <row r="152" spans="1:38" ht="14.45" customHeight="1" x14ac:dyDescent="0.2">
      <c r="A152" s="1" t="s">
        <v>57</v>
      </c>
      <c r="B152" s="9" t="s">
        <v>38</v>
      </c>
      <c r="C152" s="1" t="s">
        <v>58</v>
      </c>
      <c r="D152" s="1" t="s">
        <v>59</v>
      </c>
      <c r="E152" s="1" t="s">
        <v>42</v>
      </c>
      <c r="G152" s="1" t="s">
        <v>88</v>
      </c>
      <c r="H152" s="1" t="s">
        <v>61</v>
      </c>
      <c r="I152" s="1" t="s">
        <v>972</v>
      </c>
      <c r="J152" s="1">
        <v>2021</v>
      </c>
      <c r="K152" s="1" t="s">
        <v>973</v>
      </c>
      <c r="L152" s="1" t="s">
        <v>974</v>
      </c>
      <c r="P152" s="1" t="s">
        <v>975</v>
      </c>
      <c r="Q152" s="1" t="s">
        <v>264</v>
      </c>
      <c r="R152" s="1" t="s">
        <v>265</v>
      </c>
      <c r="S152" s="1" t="s">
        <v>717</v>
      </c>
      <c r="T152" s="1" t="s">
        <v>718</v>
      </c>
      <c r="U152" s="1">
        <v>1</v>
      </c>
      <c r="V152" s="1" t="s">
        <v>535</v>
      </c>
      <c r="W152" s="1" t="s">
        <v>976</v>
      </c>
      <c r="X152" s="1" t="s">
        <v>87</v>
      </c>
      <c r="Y152" s="10">
        <v>44557</v>
      </c>
      <c r="Z152" s="1">
        <v>2021</v>
      </c>
      <c r="AA152" s="2">
        <v>191036</v>
      </c>
      <c r="AB152" s="2"/>
      <c r="AC152" s="2">
        <v>50000</v>
      </c>
      <c r="AD152" s="1">
        <v>1</v>
      </c>
      <c r="AE152" s="1">
        <v>1</v>
      </c>
      <c r="AG152" s="1" t="s">
        <v>56</v>
      </c>
      <c r="AI152" s="2">
        <v>50000</v>
      </c>
    </row>
    <row r="153" spans="1:38" ht="14.45" customHeight="1" x14ac:dyDescent="0.2">
      <c r="A153" s="1" t="s">
        <v>57</v>
      </c>
      <c r="B153" s="9" t="s">
        <v>38</v>
      </c>
      <c r="C153" s="1" t="s">
        <v>58</v>
      </c>
      <c r="D153" s="1" t="s">
        <v>59</v>
      </c>
      <c r="E153" s="1" t="s">
        <v>42</v>
      </c>
      <c r="G153" s="1" t="s">
        <v>88</v>
      </c>
      <c r="H153" s="1" t="s">
        <v>61</v>
      </c>
      <c r="I153" s="1" t="s">
        <v>977</v>
      </c>
      <c r="J153" s="1">
        <v>2021</v>
      </c>
      <c r="K153" s="1" t="s">
        <v>978</v>
      </c>
      <c r="L153" s="1" t="s">
        <v>979</v>
      </c>
      <c r="P153" s="1" t="s">
        <v>980</v>
      </c>
      <c r="Q153" s="1" t="s">
        <v>264</v>
      </c>
      <c r="R153" s="1" t="s">
        <v>265</v>
      </c>
      <c r="S153" s="1" t="s">
        <v>266</v>
      </c>
      <c r="T153" s="1" t="s">
        <v>267</v>
      </c>
      <c r="U153" s="1">
        <v>2</v>
      </c>
      <c r="V153" s="1" t="s">
        <v>268</v>
      </c>
      <c r="W153" s="1" t="s">
        <v>981</v>
      </c>
      <c r="X153" s="1" t="s">
        <v>609</v>
      </c>
      <c r="Y153" s="10">
        <v>44557</v>
      </c>
      <c r="Z153" s="1">
        <v>2021</v>
      </c>
      <c r="AA153" s="2">
        <v>100500</v>
      </c>
      <c r="AB153" s="2"/>
      <c r="AC153" s="2">
        <v>15000</v>
      </c>
      <c r="AD153" s="1">
        <v>0</v>
      </c>
      <c r="AG153" s="1" t="s">
        <v>56</v>
      </c>
      <c r="AI153" s="2">
        <v>15000</v>
      </c>
    </row>
    <row r="154" spans="1:38" ht="14.45" customHeight="1" x14ac:dyDescent="0.25">
      <c r="A154" s="1" t="s">
        <v>57</v>
      </c>
      <c r="B154" s="9" t="s">
        <v>38</v>
      </c>
      <c r="C154" s="1" t="s">
        <v>58</v>
      </c>
      <c r="D154" s="1" t="s">
        <v>59</v>
      </c>
      <c r="E154" s="1" t="s">
        <v>42</v>
      </c>
      <c r="G154" s="1" t="s">
        <v>60</v>
      </c>
      <c r="H154" s="1" t="s">
        <v>61</v>
      </c>
      <c r="I154" s="1" t="s">
        <v>982</v>
      </c>
      <c r="J154" s="1">
        <v>2021</v>
      </c>
      <c r="K154" s="1" t="s">
        <v>983</v>
      </c>
      <c r="L154" s="1" t="s">
        <v>984</v>
      </c>
      <c r="P154" s="1" t="s">
        <v>985</v>
      </c>
      <c r="Q154" s="1" t="s">
        <v>101</v>
      </c>
      <c r="R154" s="1" t="s">
        <v>326</v>
      </c>
      <c r="S154" s="16" t="s">
        <v>361</v>
      </c>
      <c r="T154" s="1" t="s">
        <v>362</v>
      </c>
      <c r="U154" s="1">
        <v>2</v>
      </c>
      <c r="V154" s="1" t="s">
        <v>80</v>
      </c>
      <c r="W154" s="1" t="s">
        <v>984</v>
      </c>
      <c r="X154" s="1" t="s">
        <v>87</v>
      </c>
      <c r="Y154" s="10">
        <v>44557</v>
      </c>
      <c r="Z154" s="1">
        <v>2021</v>
      </c>
      <c r="AA154" s="2">
        <v>1984396.32</v>
      </c>
      <c r="AB154" s="2"/>
      <c r="AC154" s="2">
        <v>90000</v>
      </c>
      <c r="AD154" s="1">
        <v>4</v>
      </c>
      <c r="AE154" s="1">
        <v>3</v>
      </c>
      <c r="AG154" s="1" t="s">
        <v>56</v>
      </c>
      <c r="AI154" s="2">
        <v>90000</v>
      </c>
    </row>
    <row r="155" spans="1:38" ht="14.45" customHeight="1" x14ac:dyDescent="0.25">
      <c r="A155" s="1" t="s">
        <v>57</v>
      </c>
      <c r="B155" s="9" t="s">
        <v>38</v>
      </c>
      <c r="C155" s="1" t="s">
        <v>58</v>
      </c>
      <c r="D155" s="1" t="s">
        <v>59</v>
      </c>
      <c r="E155" s="1" t="s">
        <v>42</v>
      </c>
      <c r="G155" s="1" t="s">
        <v>60</v>
      </c>
      <c r="H155" s="1" t="s">
        <v>61</v>
      </c>
      <c r="I155" s="1" t="s">
        <v>986</v>
      </c>
      <c r="J155" s="1">
        <v>2021</v>
      </c>
      <c r="K155" s="1" t="s">
        <v>987</v>
      </c>
      <c r="L155" s="1" t="s">
        <v>988</v>
      </c>
      <c r="P155" s="1" t="s">
        <v>989</v>
      </c>
      <c r="Q155" s="1" t="s">
        <v>101</v>
      </c>
      <c r="R155" s="1" t="s">
        <v>326</v>
      </c>
      <c r="S155" s="16" t="s">
        <v>361</v>
      </c>
      <c r="T155" s="1" t="s">
        <v>362</v>
      </c>
      <c r="U155" s="1">
        <v>2</v>
      </c>
      <c r="V155" s="1" t="s">
        <v>80</v>
      </c>
      <c r="W155" s="1" t="s">
        <v>988</v>
      </c>
      <c r="X155" s="1" t="s">
        <v>571</v>
      </c>
      <c r="Y155" s="10">
        <v>44557</v>
      </c>
      <c r="Z155" s="1">
        <v>2021</v>
      </c>
      <c r="AA155" s="2">
        <v>6991147.0700000003</v>
      </c>
      <c r="AB155" s="2"/>
      <c r="AC155" s="2">
        <v>225000</v>
      </c>
      <c r="AD155" s="1">
        <v>11</v>
      </c>
      <c r="AE155" s="1">
        <v>1</v>
      </c>
      <c r="AG155" s="1" t="s">
        <v>56</v>
      </c>
      <c r="AI155" s="2">
        <v>87521.22</v>
      </c>
      <c r="AL155" s="18" t="s">
        <v>990</v>
      </c>
    </row>
    <row r="156" spans="1:38" ht="14.45" customHeight="1" x14ac:dyDescent="0.2">
      <c r="A156" s="1" t="s">
        <v>57</v>
      </c>
      <c r="B156" s="9" t="s">
        <v>39</v>
      </c>
      <c r="C156" s="1" t="s">
        <v>58</v>
      </c>
      <c r="D156" s="1" t="s">
        <v>59</v>
      </c>
      <c r="E156" s="1" t="s">
        <v>42</v>
      </c>
      <c r="G156" s="1" t="s">
        <v>60</v>
      </c>
      <c r="H156" s="1" t="s">
        <v>61</v>
      </c>
      <c r="I156" s="1" t="s">
        <v>991</v>
      </c>
      <c r="J156" s="1">
        <v>2021</v>
      </c>
      <c r="K156" s="1" t="s">
        <v>992</v>
      </c>
      <c r="L156" s="1" t="s">
        <v>993</v>
      </c>
      <c r="M156" s="1" t="s">
        <v>994</v>
      </c>
      <c r="N156" s="1" t="s">
        <v>995</v>
      </c>
      <c r="P156" s="1" t="s">
        <v>996</v>
      </c>
      <c r="Q156" s="1" t="s">
        <v>50</v>
      </c>
      <c r="R156" s="1" t="s">
        <v>77</v>
      </c>
      <c r="S156" s="1" t="s">
        <v>198</v>
      </c>
      <c r="T156" s="1" t="s">
        <v>199</v>
      </c>
      <c r="U156" s="1">
        <v>1</v>
      </c>
      <c r="V156" s="1" t="s">
        <v>186</v>
      </c>
      <c r="W156" s="1" t="s">
        <v>997</v>
      </c>
      <c r="X156" s="1" t="s">
        <v>609</v>
      </c>
      <c r="Y156" s="10">
        <v>44557</v>
      </c>
      <c r="Z156" s="1">
        <v>2021</v>
      </c>
      <c r="AA156" s="2">
        <v>27972268.079999998</v>
      </c>
      <c r="AB156" s="2"/>
      <c r="AC156" s="2">
        <v>2400000</v>
      </c>
      <c r="AD156" s="1">
        <v>44</v>
      </c>
      <c r="AE156" s="1">
        <v>7</v>
      </c>
      <c r="AG156" s="1" t="s">
        <v>56</v>
      </c>
      <c r="AI156" s="2">
        <v>2400000</v>
      </c>
    </row>
    <row r="157" spans="1:38" ht="14.45" customHeight="1" x14ac:dyDescent="0.2">
      <c r="A157" s="1" t="s">
        <v>57</v>
      </c>
      <c r="B157" s="9" t="s">
        <v>38</v>
      </c>
      <c r="C157" s="1" t="s">
        <v>58</v>
      </c>
      <c r="D157" s="1" t="s">
        <v>59</v>
      </c>
      <c r="E157" s="1" t="s">
        <v>42</v>
      </c>
      <c r="G157" s="1" t="s">
        <v>88</v>
      </c>
      <c r="H157" s="1" t="s">
        <v>61</v>
      </c>
      <c r="I157" s="1" t="s">
        <v>998</v>
      </c>
      <c r="J157" s="1">
        <v>2021</v>
      </c>
      <c r="K157" s="1" t="s">
        <v>999</v>
      </c>
      <c r="L157" s="1" t="s">
        <v>1000</v>
      </c>
      <c r="P157" s="1" t="s">
        <v>570</v>
      </c>
      <c r="Q157" s="1" t="s">
        <v>101</v>
      </c>
      <c r="R157" s="1" t="s">
        <v>326</v>
      </c>
      <c r="S157" s="1" t="s">
        <v>327</v>
      </c>
      <c r="T157" s="1" t="s">
        <v>328</v>
      </c>
      <c r="U157" s="1">
        <v>2</v>
      </c>
      <c r="V157" s="1" t="s">
        <v>80</v>
      </c>
      <c r="W157" s="1" t="s">
        <v>1000</v>
      </c>
      <c r="X157" s="1" t="s">
        <v>571</v>
      </c>
      <c r="Y157" s="10">
        <v>44557</v>
      </c>
      <c r="Z157" s="1">
        <v>2021</v>
      </c>
      <c r="AA157" s="2">
        <v>499800</v>
      </c>
      <c r="AB157" s="2"/>
      <c r="AC157" s="2">
        <v>49980</v>
      </c>
      <c r="AD157" s="1">
        <v>2</v>
      </c>
      <c r="AE157" s="1">
        <v>2</v>
      </c>
      <c r="AG157" s="1" t="s">
        <v>56</v>
      </c>
      <c r="AI157" s="2">
        <v>49980</v>
      </c>
    </row>
    <row r="158" spans="1:38" ht="14.45" customHeight="1" x14ac:dyDescent="0.2">
      <c r="A158" s="1" t="s">
        <v>57</v>
      </c>
      <c r="B158" s="9" t="s">
        <v>38</v>
      </c>
      <c r="C158" s="1" t="s">
        <v>58</v>
      </c>
      <c r="D158" s="1" t="s">
        <v>59</v>
      </c>
      <c r="E158" s="1" t="s">
        <v>42</v>
      </c>
      <c r="G158" s="1" t="s">
        <v>88</v>
      </c>
      <c r="H158" s="1" t="s">
        <v>61</v>
      </c>
      <c r="I158" s="1" t="s">
        <v>1001</v>
      </c>
      <c r="J158" s="1">
        <v>2021</v>
      </c>
      <c r="K158" s="1" t="s">
        <v>1002</v>
      </c>
      <c r="L158" s="1" t="s">
        <v>1003</v>
      </c>
      <c r="N158" s="1" t="s">
        <v>1004</v>
      </c>
      <c r="P158" s="1" t="s">
        <v>1005</v>
      </c>
      <c r="Q158" s="1" t="s">
        <v>101</v>
      </c>
      <c r="R158" s="1" t="s">
        <v>102</v>
      </c>
      <c r="S158" s="1" t="s">
        <v>562</v>
      </c>
      <c r="T158" s="1" t="s">
        <v>563</v>
      </c>
      <c r="U158" s="1">
        <v>1</v>
      </c>
      <c r="V158" s="1" t="s">
        <v>101</v>
      </c>
      <c r="W158" s="1" t="s">
        <v>1006</v>
      </c>
      <c r="X158" s="1" t="s">
        <v>145</v>
      </c>
      <c r="Y158" s="10">
        <v>44557</v>
      </c>
      <c r="Z158" s="1">
        <v>2021</v>
      </c>
      <c r="AA158" s="2">
        <v>173893.43</v>
      </c>
      <c r="AB158" s="2"/>
      <c r="AC158" s="2">
        <v>40000</v>
      </c>
      <c r="AD158" s="1">
        <v>1</v>
      </c>
      <c r="AG158" s="1" t="s">
        <v>56</v>
      </c>
      <c r="AI158" s="2">
        <v>40000</v>
      </c>
    </row>
    <row r="159" spans="1:38" ht="14.45" customHeight="1" x14ac:dyDescent="0.2">
      <c r="A159" s="1" t="s">
        <v>57</v>
      </c>
      <c r="B159" s="9" t="s">
        <v>38</v>
      </c>
      <c r="C159" s="1" t="s">
        <v>58</v>
      </c>
      <c r="D159" s="1" t="s">
        <v>59</v>
      </c>
      <c r="E159" s="1" t="s">
        <v>42</v>
      </c>
      <c r="G159" s="1" t="s">
        <v>122</v>
      </c>
      <c r="H159" s="1" t="s">
        <v>61</v>
      </c>
      <c r="I159" s="1" t="s">
        <v>1007</v>
      </c>
      <c r="J159" s="1">
        <v>2023</v>
      </c>
      <c r="K159" s="1" t="s">
        <v>1008</v>
      </c>
      <c r="L159" s="1" t="s">
        <v>1009</v>
      </c>
      <c r="P159" s="1" t="s">
        <v>1010</v>
      </c>
      <c r="Q159" s="1" t="s">
        <v>842</v>
      </c>
      <c r="R159" s="1" t="s">
        <v>884</v>
      </c>
      <c r="S159" s="1" t="s">
        <v>1011</v>
      </c>
      <c r="T159" s="1" t="s">
        <v>1012</v>
      </c>
      <c r="V159" s="1" t="s">
        <v>887</v>
      </c>
      <c r="W159" s="1" t="s">
        <v>1008</v>
      </c>
      <c r="Y159" s="10">
        <v>45478</v>
      </c>
      <c r="Z159" s="1">
        <v>2024</v>
      </c>
      <c r="AA159" s="2">
        <v>103899.35</v>
      </c>
      <c r="AB159" s="2"/>
      <c r="AC159" s="2">
        <v>51949.67</v>
      </c>
      <c r="AD159" s="1">
        <v>1</v>
      </c>
      <c r="AG159" s="1" t="s">
        <v>56</v>
      </c>
      <c r="AI159" s="2">
        <v>51949.67</v>
      </c>
    </row>
    <row r="160" spans="1:38" ht="14.45" customHeight="1" x14ac:dyDescent="0.2">
      <c r="A160" s="1" t="s">
        <v>57</v>
      </c>
      <c r="B160" s="9" t="s">
        <v>38</v>
      </c>
      <c r="C160" s="1" t="s">
        <v>58</v>
      </c>
      <c r="D160" s="1" t="s">
        <v>59</v>
      </c>
      <c r="E160" s="1" t="s">
        <v>42</v>
      </c>
      <c r="G160" s="1" t="s">
        <v>122</v>
      </c>
      <c r="H160" s="1" t="s">
        <v>61</v>
      </c>
      <c r="I160" s="1" t="s">
        <v>1013</v>
      </c>
      <c r="J160" s="1">
        <v>2023</v>
      </c>
      <c r="K160" s="1" t="s">
        <v>1014</v>
      </c>
      <c r="L160" s="1" t="s">
        <v>1015</v>
      </c>
      <c r="P160" s="1" t="s">
        <v>1016</v>
      </c>
      <c r="Q160" s="1" t="s">
        <v>842</v>
      </c>
      <c r="R160" s="1" t="s">
        <v>884</v>
      </c>
      <c r="S160" s="1" t="s">
        <v>1017</v>
      </c>
      <c r="T160" s="1" t="s">
        <v>1018</v>
      </c>
      <c r="V160" s="1" t="s">
        <v>887</v>
      </c>
      <c r="W160" s="1" t="s">
        <v>1014</v>
      </c>
      <c r="Y160" s="10">
        <v>45478</v>
      </c>
      <c r="Z160" s="1">
        <v>2024</v>
      </c>
      <c r="AA160" s="2">
        <v>113241.28</v>
      </c>
      <c r="AB160" s="2"/>
      <c r="AC160" s="2">
        <v>19447.27</v>
      </c>
      <c r="AD160" s="1">
        <v>0</v>
      </c>
      <c r="AG160" s="1" t="s">
        <v>56</v>
      </c>
      <c r="AI160" s="2">
        <v>19447.27</v>
      </c>
    </row>
    <row r="161" spans="1:35" ht="14.45" customHeight="1" x14ac:dyDescent="0.2">
      <c r="A161" s="1" t="s">
        <v>57</v>
      </c>
      <c r="B161" s="9" t="s">
        <v>38</v>
      </c>
      <c r="C161" s="1" t="s">
        <v>58</v>
      </c>
      <c r="D161" s="1" t="s">
        <v>59</v>
      </c>
      <c r="E161" s="1" t="s">
        <v>42</v>
      </c>
      <c r="G161" s="1" t="s">
        <v>122</v>
      </c>
      <c r="H161" s="1" t="s">
        <v>61</v>
      </c>
      <c r="I161" s="1" t="s">
        <v>1019</v>
      </c>
      <c r="J161" s="1">
        <v>2023</v>
      </c>
      <c r="K161" s="1" t="s">
        <v>1020</v>
      </c>
      <c r="L161" s="1" t="s">
        <v>1021</v>
      </c>
      <c r="P161" s="1" t="s">
        <v>1022</v>
      </c>
      <c r="Q161" s="1" t="s">
        <v>842</v>
      </c>
      <c r="R161" s="1" t="s">
        <v>884</v>
      </c>
      <c r="S161" s="1" t="s">
        <v>885</v>
      </c>
      <c r="T161" s="1" t="s">
        <v>886</v>
      </c>
      <c r="V161" s="1" t="s">
        <v>887</v>
      </c>
      <c r="W161" s="1" t="s">
        <v>1020</v>
      </c>
      <c r="Y161" s="10">
        <v>45478</v>
      </c>
      <c r="Z161" s="1">
        <v>2024</v>
      </c>
      <c r="AA161" s="2">
        <v>40800</v>
      </c>
      <c r="AB161" s="2"/>
      <c r="AC161" s="2">
        <v>20400</v>
      </c>
      <c r="AD161" s="1">
        <v>2</v>
      </c>
      <c r="AE161" s="1">
        <v>1</v>
      </c>
      <c r="AG161" s="1" t="s">
        <v>56</v>
      </c>
      <c r="AI161" s="2">
        <v>20400</v>
      </c>
    </row>
    <row r="162" spans="1:35" ht="14.45" customHeight="1" x14ac:dyDescent="0.2">
      <c r="A162" s="1" t="s">
        <v>57</v>
      </c>
      <c r="B162" s="9" t="s">
        <v>38</v>
      </c>
      <c r="C162" s="1" t="s">
        <v>58</v>
      </c>
      <c r="D162" s="1" t="s">
        <v>59</v>
      </c>
      <c r="E162" s="1" t="s">
        <v>42</v>
      </c>
      <c r="G162" s="1" t="s">
        <v>88</v>
      </c>
      <c r="H162" s="1" t="s">
        <v>61</v>
      </c>
      <c r="I162" s="1" t="s">
        <v>1023</v>
      </c>
      <c r="J162" s="1">
        <v>2021</v>
      </c>
      <c r="K162" s="1" t="s">
        <v>1024</v>
      </c>
      <c r="L162" s="1" t="s">
        <v>1025</v>
      </c>
      <c r="P162" s="1" t="s">
        <v>338</v>
      </c>
      <c r="Q162" s="1" t="s">
        <v>101</v>
      </c>
      <c r="R162" s="1" t="s">
        <v>339</v>
      </c>
      <c r="S162" s="1" t="s">
        <v>340</v>
      </c>
      <c r="T162" s="1" t="s">
        <v>341</v>
      </c>
      <c r="U162" s="1">
        <v>1</v>
      </c>
      <c r="V162" s="1" t="s">
        <v>80</v>
      </c>
      <c r="W162" s="1" t="s">
        <v>1025</v>
      </c>
      <c r="X162" s="1" t="s">
        <v>571</v>
      </c>
      <c r="Y162" s="10">
        <v>44557</v>
      </c>
      <c r="Z162" s="1">
        <v>2021</v>
      </c>
      <c r="AA162" s="2">
        <v>499647.61</v>
      </c>
      <c r="AB162" s="2"/>
      <c r="AC162" s="2">
        <v>50000</v>
      </c>
      <c r="AD162" s="1">
        <v>1</v>
      </c>
      <c r="AE162" s="1">
        <v>1</v>
      </c>
      <c r="AG162" s="1" t="s">
        <v>56</v>
      </c>
      <c r="AI162" s="2">
        <v>50000</v>
      </c>
    </row>
    <row r="163" spans="1:35" ht="14.45" customHeight="1" x14ac:dyDescent="0.2">
      <c r="A163" s="1" t="s">
        <v>57</v>
      </c>
      <c r="B163" s="9" t="s">
        <v>38</v>
      </c>
      <c r="C163" s="1" t="s">
        <v>58</v>
      </c>
      <c r="D163" s="1" t="s">
        <v>59</v>
      </c>
      <c r="E163" s="1" t="s">
        <v>42</v>
      </c>
      <c r="G163" s="1" t="s">
        <v>105</v>
      </c>
      <c r="H163" s="1" t="s">
        <v>61</v>
      </c>
      <c r="I163" s="1" t="s">
        <v>1026</v>
      </c>
      <c r="J163" s="1">
        <v>2023</v>
      </c>
      <c r="K163" s="1" t="s">
        <v>1027</v>
      </c>
      <c r="L163" s="1" t="s">
        <v>1028</v>
      </c>
      <c r="M163" s="1" t="s">
        <v>1029</v>
      </c>
      <c r="P163" s="1" t="s">
        <v>1030</v>
      </c>
      <c r="Q163" s="1" t="s">
        <v>264</v>
      </c>
      <c r="R163" s="1" t="s">
        <v>265</v>
      </c>
      <c r="S163" s="1" t="s">
        <v>533</v>
      </c>
      <c r="T163" s="1" t="s">
        <v>534</v>
      </c>
      <c r="U163" s="1">
        <v>1</v>
      </c>
      <c r="V163" s="1" t="s">
        <v>535</v>
      </c>
      <c r="W163" s="1" t="s">
        <v>1031</v>
      </c>
      <c r="Y163" s="10">
        <v>45462</v>
      </c>
      <c r="Z163" s="1">
        <v>2024</v>
      </c>
      <c r="AA163" s="2">
        <v>8229409.9900000002</v>
      </c>
      <c r="AB163" s="2"/>
      <c r="AC163" s="2">
        <v>1234411.5</v>
      </c>
      <c r="AD163" s="1">
        <v>60</v>
      </c>
      <c r="AE163" s="1">
        <v>35</v>
      </c>
      <c r="AG163" s="1" t="s">
        <v>56</v>
      </c>
      <c r="AI163" s="2">
        <v>1234411.5</v>
      </c>
    </row>
    <row r="164" spans="1:35" ht="14.45" customHeight="1" x14ac:dyDescent="0.2">
      <c r="A164" s="1" t="s">
        <v>57</v>
      </c>
      <c r="B164" s="9" t="s">
        <v>38</v>
      </c>
      <c r="C164" s="1" t="s">
        <v>58</v>
      </c>
      <c r="D164" s="1" t="s">
        <v>59</v>
      </c>
      <c r="E164" s="1" t="s">
        <v>42</v>
      </c>
      <c r="G164" s="1" t="s">
        <v>88</v>
      </c>
      <c r="H164" s="1" t="s">
        <v>61</v>
      </c>
      <c r="I164" s="1" t="s">
        <v>1032</v>
      </c>
      <c r="J164" s="1">
        <v>2021</v>
      </c>
      <c r="K164" s="1" t="s">
        <v>1033</v>
      </c>
      <c r="L164" s="1" t="s">
        <v>1034</v>
      </c>
      <c r="P164" s="1" t="s">
        <v>1035</v>
      </c>
      <c r="Q164" s="1" t="s">
        <v>101</v>
      </c>
      <c r="R164" s="1" t="s">
        <v>326</v>
      </c>
      <c r="S164" s="1" t="s">
        <v>327</v>
      </c>
      <c r="T164" s="1" t="s">
        <v>328</v>
      </c>
      <c r="U164" s="1">
        <v>2</v>
      </c>
      <c r="V164" s="1" t="s">
        <v>80</v>
      </c>
      <c r="W164" s="1" t="s">
        <v>1034</v>
      </c>
      <c r="X164" s="1" t="s">
        <v>609</v>
      </c>
      <c r="Y164" s="10">
        <v>44557</v>
      </c>
      <c r="Z164" s="1">
        <v>2021</v>
      </c>
      <c r="AA164" s="2">
        <v>366500</v>
      </c>
      <c r="AB164" s="2"/>
      <c r="AC164" s="2">
        <v>30000</v>
      </c>
      <c r="AD164" s="1">
        <v>2</v>
      </c>
      <c r="AG164" s="1" t="s">
        <v>56</v>
      </c>
      <c r="AI164" s="2">
        <v>30000</v>
      </c>
    </row>
    <row r="165" spans="1:35" ht="14.45" customHeight="1" x14ac:dyDescent="0.2">
      <c r="A165" s="1" t="s">
        <v>57</v>
      </c>
      <c r="B165" s="9" t="s">
        <v>38</v>
      </c>
      <c r="C165" s="1" t="s">
        <v>58</v>
      </c>
      <c r="D165" s="1" t="s">
        <v>59</v>
      </c>
      <c r="E165" s="1" t="s">
        <v>42</v>
      </c>
      <c r="G165" s="1" t="s">
        <v>105</v>
      </c>
      <c r="H165" s="1" t="s">
        <v>61</v>
      </c>
      <c r="I165" s="1" t="s">
        <v>1036</v>
      </c>
      <c r="J165" s="1">
        <v>2023</v>
      </c>
      <c r="K165" s="1" t="s">
        <v>1037</v>
      </c>
      <c r="L165" s="1" t="s">
        <v>1038</v>
      </c>
      <c r="M165" s="1" t="s">
        <v>1039</v>
      </c>
      <c r="P165" s="1" t="s">
        <v>1040</v>
      </c>
      <c r="Q165" s="1" t="s">
        <v>264</v>
      </c>
      <c r="R165" s="1" t="s">
        <v>265</v>
      </c>
      <c r="S165" s="1" t="s">
        <v>533</v>
      </c>
      <c r="T165" s="1" t="s">
        <v>534</v>
      </c>
      <c r="U165" s="1">
        <v>1</v>
      </c>
      <c r="V165" s="1" t="s">
        <v>535</v>
      </c>
      <c r="W165" s="1" t="s">
        <v>1041</v>
      </c>
      <c r="Y165" s="10">
        <v>45462</v>
      </c>
      <c r="Z165" s="1">
        <v>2024</v>
      </c>
      <c r="AA165" s="2">
        <v>2257531.29</v>
      </c>
      <c r="AB165" s="2"/>
      <c r="AC165" s="2">
        <v>455067.98</v>
      </c>
      <c r="AD165" s="1">
        <v>5</v>
      </c>
      <c r="AG165" s="1" t="s">
        <v>56</v>
      </c>
      <c r="AI165" s="2">
        <v>455067.98</v>
      </c>
    </row>
    <row r="166" spans="1:35" ht="14.45" customHeight="1" x14ac:dyDescent="0.2">
      <c r="A166" s="1" t="s">
        <v>57</v>
      </c>
      <c r="B166" s="9" t="s">
        <v>38</v>
      </c>
      <c r="C166" s="1" t="s">
        <v>58</v>
      </c>
      <c r="D166" s="1" t="s">
        <v>59</v>
      </c>
      <c r="E166" s="1" t="s">
        <v>42</v>
      </c>
      <c r="G166" s="1" t="s">
        <v>105</v>
      </c>
      <c r="H166" s="1" t="s">
        <v>61</v>
      </c>
      <c r="I166" s="1" t="s">
        <v>1042</v>
      </c>
      <c r="J166" s="1">
        <v>2023</v>
      </c>
      <c r="K166" s="1" t="s">
        <v>1043</v>
      </c>
      <c r="L166" s="1" t="s">
        <v>1044</v>
      </c>
      <c r="P166" s="1" t="s">
        <v>1045</v>
      </c>
      <c r="Q166" s="1" t="s">
        <v>264</v>
      </c>
      <c r="R166" s="1" t="s">
        <v>265</v>
      </c>
      <c r="S166" s="1" t="s">
        <v>1046</v>
      </c>
      <c r="T166" s="1" t="s">
        <v>1047</v>
      </c>
      <c r="U166" s="1">
        <v>1</v>
      </c>
      <c r="V166" s="1" t="s">
        <v>535</v>
      </c>
      <c r="W166" s="1" t="s">
        <v>1048</v>
      </c>
      <c r="Y166" s="10">
        <v>45462</v>
      </c>
      <c r="Z166" s="1">
        <v>2024</v>
      </c>
      <c r="AA166" s="2">
        <v>3540682.35</v>
      </c>
      <c r="AB166" s="2"/>
      <c r="AC166" s="2">
        <v>739619.41</v>
      </c>
      <c r="AD166" s="1">
        <v>8</v>
      </c>
      <c r="AG166" s="1" t="s">
        <v>56</v>
      </c>
      <c r="AI166" s="2">
        <v>739619.41</v>
      </c>
    </row>
    <row r="167" spans="1:35" ht="14.45" customHeight="1" x14ac:dyDescent="0.2">
      <c r="A167" s="1" t="s">
        <v>57</v>
      </c>
      <c r="B167" s="9" t="s">
        <v>38</v>
      </c>
      <c r="C167" s="1" t="s">
        <v>58</v>
      </c>
      <c r="D167" s="1" t="s">
        <v>59</v>
      </c>
      <c r="E167" s="1" t="s">
        <v>42</v>
      </c>
      <c r="G167" s="1" t="s">
        <v>88</v>
      </c>
      <c r="H167" s="1" t="s">
        <v>61</v>
      </c>
      <c r="I167" s="1" t="s">
        <v>1049</v>
      </c>
      <c r="J167" s="1">
        <v>2021</v>
      </c>
      <c r="K167" s="1" t="s">
        <v>1050</v>
      </c>
      <c r="L167" s="1" t="s">
        <v>1051</v>
      </c>
      <c r="M167" s="1" t="s">
        <v>689</v>
      </c>
      <c r="N167" s="1" t="s">
        <v>1052</v>
      </c>
      <c r="P167" s="1" t="s">
        <v>1053</v>
      </c>
      <c r="Q167" s="1" t="s">
        <v>50</v>
      </c>
      <c r="R167" s="1" t="s">
        <v>68</v>
      </c>
      <c r="S167" s="1" t="s">
        <v>692</v>
      </c>
      <c r="T167" s="1" t="s">
        <v>693</v>
      </c>
      <c r="U167" s="1">
        <v>2</v>
      </c>
      <c r="V167" s="1" t="s">
        <v>71</v>
      </c>
      <c r="W167" s="1" t="s">
        <v>1050</v>
      </c>
      <c r="X167" s="1" t="s">
        <v>321</v>
      </c>
      <c r="Y167" s="10">
        <v>44557</v>
      </c>
      <c r="Z167" s="1">
        <v>2021</v>
      </c>
      <c r="AA167" s="2">
        <v>76372.070000000007</v>
      </c>
      <c r="AB167" s="2"/>
      <c r="AC167" s="2">
        <v>11455.81</v>
      </c>
      <c r="AD167" s="1">
        <v>3</v>
      </c>
      <c r="AG167" s="1" t="s">
        <v>56</v>
      </c>
      <c r="AI167" s="2">
        <v>11455.81</v>
      </c>
    </row>
    <row r="168" spans="1:35" ht="14.45" customHeight="1" x14ac:dyDescent="0.2">
      <c r="A168" s="1" t="s">
        <v>57</v>
      </c>
      <c r="B168" s="9" t="s">
        <v>38</v>
      </c>
      <c r="C168" s="1" t="s">
        <v>58</v>
      </c>
      <c r="D168" s="1" t="s">
        <v>59</v>
      </c>
      <c r="E168" s="1" t="s">
        <v>42</v>
      </c>
      <c r="G168" s="1" t="s">
        <v>105</v>
      </c>
      <c r="H168" s="1" t="s">
        <v>61</v>
      </c>
      <c r="I168" s="1" t="s">
        <v>1054</v>
      </c>
      <c r="J168" s="1">
        <v>2023</v>
      </c>
      <c r="K168" s="1" t="s">
        <v>1055</v>
      </c>
      <c r="L168" s="1" t="s">
        <v>1056</v>
      </c>
      <c r="P168" s="1" t="s">
        <v>1057</v>
      </c>
      <c r="Q168" s="1" t="s">
        <v>264</v>
      </c>
      <c r="R168" s="1" t="s">
        <v>265</v>
      </c>
      <c r="S168" s="1" t="s">
        <v>533</v>
      </c>
      <c r="T168" s="1" t="s">
        <v>534</v>
      </c>
      <c r="U168" s="1">
        <v>1</v>
      </c>
      <c r="V168" s="1" t="s">
        <v>535</v>
      </c>
      <c r="W168" s="1" t="s">
        <v>1058</v>
      </c>
      <c r="Y168" s="10">
        <v>45462</v>
      </c>
      <c r="Z168" s="1">
        <v>2024</v>
      </c>
      <c r="AA168" s="2">
        <v>1439478.46</v>
      </c>
      <c r="AB168" s="2"/>
      <c r="AC168" s="2">
        <v>503817.46</v>
      </c>
      <c r="AD168" s="1">
        <v>19</v>
      </c>
      <c r="AE168" s="1">
        <v>17</v>
      </c>
      <c r="AG168" s="1" t="s">
        <v>56</v>
      </c>
      <c r="AI168" s="2">
        <v>503817.46</v>
      </c>
    </row>
    <row r="169" spans="1:35" ht="14.45" customHeight="1" x14ac:dyDescent="0.2">
      <c r="A169" s="1" t="s">
        <v>57</v>
      </c>
      <c r="B169" s="9" t="s">
        <v>38</v>
      </c>
      <c r="C169" s="1" t="s">
        <v>58</v>
      </c>
      <c r="D169" s="1" t="s">
        <v>59</v>
      </c>
      <c r="E169" s="1" t="s">
        <v>42</v>
      </c>
      <c r="G169" s="1" t="s">
        <v>105</v>
      </c>
      <c r="H169" s="1" t="s">
        <v>61</v>
      </c>
      <c r="I169" s="1" t="s">
        <v>1059</v>
      </c>
      <c r="J169" s="1">
        <v>2023</v>
      </c>
      <c r="K169" s="1" t="s">
        <v>1060</v>
      </c>
      <c r="L169" s="1" t="s">
        <v>1061</v>
      </c>
      <c r="P169" s="1" t="s">
        <v>1062</v>
      </c>
      <c r="Q169" s="1" t="s">
        <v>264</v>
      </c>
      <c r="R169" s="1" t="s">
        <v>265</v>
      </c>
      <c r="S169" s="1" t="s">
        <v>542</v>
      </c>
      <c r="T169" s="1" t="s">
        <v>543</v>
      </c>
      <c r="U169" s="1">
        <v>1</v>
      </c>
      <c r="V169" s="1" t="s">
        <v>268</v>
      </c>
      <c r="W169" s="1" t="s">
        <v>1063</v>
      </c>
      <c r="Y169" s="10">
        <v>45462</v>
      </c>
      <c r="Z169" s="1">
        <v>2024</v>
      </c>
      <c r="AA169" s="2">
        <v>1368297.47</v>
      </c>
      <c r="AB169" s="2"/>
      <c r="AC169" s="2">
        <v>389452.06</v>
      </c>
      <c r="AD169" s="1">
        <v>10</v>
      </c>
      <c r="AE169" s="1">
        <v>5</v>
      </c>
      <c r="AG169" s="1" t="s">
        <v>56</v>
      </c>
      <c r="AI169" s="2">
        <v>389452.06</v>
      </c>
    </row>
    <row r="170" spans="1:35" ht="14.45" customHeight="1" x14ac:dyDescent="0.2">
      <c r="A170" s="1" t="s">
        <v>57</v>
      </c>
      <c r="B170" s="9" t="s">
        <v>38</v>
      </c>
      <c r="C170" s="1" t="s">
        <v>58</v>
      </c>
      <c r="D170" s="1" t="s">
        <v>59</v>
      </c>
      <c r="E170" s="1" t="s">
        <v>42</v>
      </c>
      <c r="G170" s="1" t="s">
        <v>105</v>
      </c>
      <c r="H170" s="1" t="s">
        <v>61</v>
      </c>
      <c r="I170" s="1" t="s">
        <v>1064</v>
      </c>
      <c r="J170" s="1">
        <v>2023</v>
      </c>
      <c r="K170" s="1" t="s">
        <v>1065</v>
      </c>
      <c r="L170" s="1" t="s">
        <v>1066</v>
      </c>
      <c r="M170" s="1" t="s">
        <v>1067</v>
      </c>
      <c r="P170" s="1" t="s">
        <v>1068</v>
      </c>
      <c r="Q170" s="1" t="s">
        <v>264</v>
      </c>
      <c r="R170" s="1" t="s">
        <v>265</v>
      </c>
      <c r="S170" s="1" t="s">
        <v>855</v>
      </c>
      <c r="T170" s="1" t="s">
        <v>856</v>
      </c>
      <c r="U170" s="1">
        <v>2</v>
      </c>
      <c r="V170" s="1" t="s">
        <v>308</v>
      </c>
      <c r="W170" s="1" t="s">
        <v>1069</v>
      </c>
      <c r="Y170" s="10">
        <v>45462</v>
      </c>
      <c r="Z170" s="1">
        <v>2024</v>
      </c>
      <c r="AA170" s="2">
        <v>26809390</v>
      </c>
      <c r="AB170" s="2"/>
      <c r="AC170" s="2">
        <v>2993204.25</v>
      </c>
      <c r="AD170" s="1">
        <v>82</v>
      </c>
      <c r="AE170" s="1">
        <v>33</v>
      </c>
      <c r="AG170" s="1" t="s">
        <v>56</v>
      </c>
      <c r="AI170" s="2">
        <v>2993204.25</v>
      </c>
    </row>
    <row r="171" spans="1:35" ht="14.45" customHeight="1" x14ac:dyDescent="0.2">
      <c r="A171" s="1" t="s">
        <v>57</v>
      </c>
      <c r="B171" s="9" t="s">
        <v>38</v>
      </c>
      <c r="C171" s="1" t="s">
        <v>58</v>
      </c>
      <c r="D171" s="1" t="s">
        <v>59</v>
      </c>
      <c r="E171" s="1" t="s">
        <v>42</v>
      </c>
      <c r="G171" s="1" t="s">
        <v>122</v>
      </c>
      <c r="H171" s="1" t="s">
        <v>61</v>
      </c>
      <c r="I171" s="1" t="s">
        <v>1070</v>
      </c>
      <c r="J171" s="1">
        <v>2023</v>
      </c>
      <c r="K171" s="1" t="s">
        <v>1071</v>
      </c>
      <c r="L171" s="1" t="s">
        <v>1072</v>
      </c>
      <c r="P171" s="1" t="s">
        <v>1073</v>
      </c>
      <c r="Q171" s="1" t="s">
        <v>50</v>
      </c>
      <c r="R171" s="1" t="s">
        <v>51</v>
      </c>
      <c r="S171" s="1" t="s">
        <v>52</v>
      </c>
      <c r="T171" s="1" t="s">
        <v>53</v>
      </c>
      <c r="V171" s="1" t="s">
        <v>54</v>
      </c>
      <c r="W171" s="1" t="s">
        <v>1072</v>
      </c>
      <c r="Y171" s="10">
        <v>45478</v>
      </c>
      <c r="Z171" s="1">
        <v>2024</v>
      </c>
      <c r="AA171" s="2">
        <v>124377.84000000001</v>
      </c>
      <c r="AB171" s="2"/>
      <c r="AC171" s="2">
        <v>61094.46</v>
      </c>
      <c r="AD171" s="1">
        <v>1</v>
      </c>
      <c r="AE171" s="1">
        <v>1</v>
      </c>
      <c r="AG171" s="1" t="s">
        <v>56</v>
      </c>
      <c r="AI171" s="2">
        <v>61094.46</v>
      </c>
    </row>
    <row r="172" spans="1:35" ht="14.45" customHeight="1" x14ac:dyDescent="0.2">
      <c r="A172" s="1" t="s">
        <v>57</v>
      </c>
      <c r="B172" s="9" t="s">
        <v>38</v>
      </c>
      <c r="C172" s="1" t="s">
        <v>58</v>
      </c>
      <c r="D172" s="1" t="s">
        <v>59</v>
      </c>
      <c r="E172" s="1" t="s">
        <v>42</v>
      </c>
      <c r="G172" s="1" t="s">
        <v>122</v>
      </c>
      <c r="H172" s="1" t="s">
        <v>61</v>
      </c>
      <c r="I172" s="1" t="s">
        <v>1074</v>
      </c>
      <c r="J172" s="1">
        <v>2023</v>
      </c>
      <c r="K172" s="1" t="s">
        <v>1075</v>
      </c>
      <c r="L172" s="1" t="s">
        <v>1075</v>
      </c>
      <c r="P172" s="1" t="s">
        <v>1076</v>
      </c>
      <c r="Q172" s="1" t="s">
        <v>50</v>
      </c>
      <c r="R172" s="1" t="s">
        <v>51</v>
      </c>
      <c r="S172" s="1" t="s">
        <v>1077</v>
      </c>
      <c r="T172" s="1" t="s">
        <v>1078</v>
      </c>
      <c r="V172" s="1" t="s">
        <v>54</v>
      </c>
      <c r="W172" s="1" t="s">
        <v>1075</v>
      </c>
      <c r="Y172" s="10">
        <v>45478</v>
      </c>
      <c r="Z172" s="1">
        <v>2024</v>
      </c>
      <c r="AA172" s="2">
        <v>32348.31</v>
      </c>
      <c r="AB172" s="2"/>
      <c r="AC172" s="2">
        <v>8087.08</v>
      </c>
      <c r="AD172" s="1">
        <v>0</v>
      </c>
      <c r="AG172" s="1" t="s">
        <v>56</v>
      </c>
      <c r="AI172" s="2">
        <v>8087.08</v>
      </c>
    </row>
    <row r="173" spans="1:35" ht="14.45" customHeight="1" x14ac:dyDescent="0.2">
      <c r="A173" s="1" t="s">
        <v>57</v>
      </c>
      <c r="B173" s="9" t="s">
        <v>38</v>
      </c>
      <c r="C173" s="1" t="s">
        <v>58</v>
      </c>
      <c r="D173" s="1" t="s">
        <v>59</v>
      </c>
      <c r="E173" s="1" t="s">
        <v>42</v>
      </c>
      <c r="G173" s="1" t="s">
        <v>88</v>
      </c>
      <c r="H173" s="1" t="s">
        <v>61</v>
      </c>
      <c r="I173" s="1" t="s">
        <v>1079</v>
      </c>
      <c r="J173" s="1">
        <v>2021</v>
      </c>
      <c r="K173" s="1" t="s">
        <v>999</v>
      </c>
      <c r="L173" s="1" t="s">
        <v>1080</v>
      </c>
      <c r="P173" s="1" t="s">
        <v>1081</v>
      </c>
      <c r="Q173" s="1" t="s">
        <v>101</v>
      </c>
      <c r="R173" s="1" t="s">
        <v>326</v>
      </c>
      <c r="S173" s="1" t="s">
        <v>327</v>
      </c>
      <c r="T173" s="1" t="s">
        <v>328</v>
      </c>
      <c r="U173" s="1">
        <v>2</v>
      </c>
      <c r="V173" s="1" t="s">
        <v>80</v>
      </c>
      <c r="W173" s="1" t="s">
        <v>1080</v>
      </c>
      <c r="X173" s="1" t="s">
        <v>571</v>
      </c>
      <c r="Y173" s="10">
        <v>44557</v>
      </c>
      <c r="Z173" s="1">
        <v>2021</v>
      </c>
      <c r="AA173" s="2">
        <v>191462</v>
      </c>
      <c r="AB173" s="2"/>
      <c r="AC173" s="2">
        <v>25000</v>
      </c>
      <c r="AD173" s="1">
        <v>1</v>
      </c>
      <c r="AE173" s="1">
        <v>1</v>
      </c>
      <c r="AG173" s="1" t="s">
        <v>56</v>
      </c>
      <c r="AI173" s="2">
        <v>25000</v>
      </c>
    </row>
    <row r="174" spans="1:35" ht="12.6" customHeight="1" x14ac:dyDescent="0.2">
      <c r="A174" s="1" t="s">
        <v>57</v>
      </c>
      <c r="B174" s="9" t="s">
        <v>38</v>
      </c>
      <c r="C174" s="1" t="s">
        <v>58</v>
      </c>
      <c r="D174" s="1" t="s">
        <v>59</v>
      </c>
      <c r="E174" s="1" t="s">
        <v>42</v>
      </c>
      <c r="G174" s="1" t="s">
        <v>88</v>
      </c>
      <c r="H174" s="1" t="s">
        <v>61</v>
      </c>
      <c r="I174" s="1" t="s">
        <v>1082</v>
      </c>
      <c r="J174" s="1">
        <v>2021</v>
      </c>
      <c r="K174" s="1" t="s">
        <v>1083</v>
      </c>
      <c r="L174" s="1" t="s">
        <v>1084</v>
      </c>
      <c r="P174" s="1" t="s">
        <v>1085</v>
      </c>
      <c r="Q174" s="1" t="s">
        <v>101</v>
      </c>
      <c r="R174" s="1" t="s">
        <v>102</v>
      </c>
      <c r="S174" s="1" t="s">
        <v>562</v>
      </c>
      <c r="T174" s="1" t="s">
        <v>563</v>
      </c>
      <c r="U174" s="1">
        <v>1</v>
      </c>
      <c r="V174" s="1" t="s">
        <v>101</v>
      </c>
      <c r="W174" s="1" t="s">
        <v>1086</v>
      </c>
      <c r="X174" s="1" t="s">
        <v>609</v>
      </c>
      <c r="Y174" s="10">
        <v>44557</v>
      </c>
      <c r="Z174" s="1">
        <v>2021</v>
      </c>
      <c r="AA174" s="2">
        <v>46169.81</v>
      </c>
      <c r="AB174" s="2"/>
      <c r="AC174" s="2">
        <v>16159.43</v>
      </c>
      <c r="AD174" s="1">
        <v>0</v>
      </c>
      <c r="AG174" s="1" t="s">
        <v>56</v>
      </c>
      <c r="AI174" s="2">
        <v>16159.43</v>
      </c>
    </row>
    <row r="175" spans="1:35" ht="14.45" customHeight="1" x14ac:dyDescent="0.2">
      <c r="A175" s="1" t="s">
        <v>57</v>
      </c>
      <c r="B175" s="9" t="s">
        <v>38</v>
      </c>
      <c r="C175" s="1" t="s">
        <v>58</v>
      </c>
      <c r="D175" s="1" t="s">
        <v>59</v>
      </c>
      <c r="E175" s="1" t="s">
        <v>42</v>
      </c>
      <c r="G175" s="1" t="s">
        <v>88</v>
      </c>
      <c r="H175" s="1" t="s">
        <v>61</v>
      </c>
      <c r="I175" s="1" t="s">
        <v>1087</v>
      </c>
      <c r="J175" s="1">
        <v>2021</v>
      </c>
      <c r="K175" s="1" t="s">
        <v>1088</v>
      </c>
      <c r="L175" s="1" t="s">
        <v>1089</v>
      </c>
      <c r="P175" s="1" t="s">
        <v>1090</v>
      </c>
      <c r="Q175" s="1" t="s">
        <v>101</v>
      </c>
      <c r="R175" s="1" t="s">
        <v>339</v>
      </c>
      <c r="S175" s="1" t="s">
        <v>340</v>
      </c>
      <c r="T175" s="1" t="s">
        <v>341</v>
      </c>
      <c r="U175" s="1">
        <v>1</v>
      </c>
      <c r="V175" s="1" t="s">
        <v>80</v>
      </c>
      <c r="W175" s="1" t="s">
        <v>1089</v>
      </c>
      <c r="X175" s="1" t="s">
        <v>138</v>
      </c>
      <c r="Y175" s="10">
        <v>44557</v>
      </c>
      <c r="Z175" s="1">
        <v>2021</v>
      </c>
      <c r="AA175" s="2">
        <v>105443.89</v>
      </c>
      <c r="AB175" s="2"/>
      <c r="AC175" s="2">
        <v>31633.17</v>
      </c>
      <c r="AD175" s="1">
        <v>1</v>
      </c>
      <c r="AE175" s="1">
        <v>1</v>
      </c>
      <c r="AG175" s="1" t="s">
        <v>56</v>
      </c>
      <c r="AI175" s="2">
        <v>31633.17</v>
      </c>
    </row>
    <row r="176" spans="1:35" ht="14.45" customHeight="1" x14ac:dyDescent="0.2">
      <c r="A176" s="1" t="s">
        <v>57</v>
      </c>
      <c r="B176" s="9" t="s">
        <v>38</v>
      </c>
      <c r="C176" s="1" t="s">
        <v>58</v>
      </c>
      <c r="D176" s="1" t="s">
        <v>59</v>
      </c>
      <c r="E176" s="1" t="s">
        <v>42</v>
      </c>
      <c r="G176" s="1" t="s">
        <v>88</v>
      </c>
      <c r="H176" s="1" t="s">
        <v>61</v>
      </c>
      <c r="I176" s="1" t="s">
        <v>1091</v>
      </c>
      <c r="J176" s="1">
        <v>2021</v>
      </c>
      <c r="K176" s="1" t="s">
        <v>1092</v>
      </c>
      <c r="L176" s="1" t="s">
        <v>1093</v>
      </c>
      <c r="N176" s="1" t="s">
        <v>1094</v>
      </c>
      <c r="P176" s="1" t="s">
        <v>1095</v>
      </c>
      <c r="Q176" s="1" t="s">
        <v>50</v>
      </c>
      <c r="R176" s="1" t="s">
        <v>77</v>
      </c>
      <c r="S176" s="1" t="s">
        <v>1096</v>
      </c>
      <c r="T176" s="1" t="s">
        <v>1097</v>
      </c>
      <c r="U176" s="1">
        <v>1</v>
      </c>
      <c r="V176" s="1" t="s">
        <v>186</v>
      </c>
      <c r="W176" s="1" t="s">
        <v>1092</v>
      </c>
      <c r="X176" s="1" t="s">
        <v>571</v>
      </c>
      <c r="Y176" s="10">
        <v>44557</v>
      </c>
      <c r="Z176" s="1">
        <v>2021</v>
      </c>
      <c r="AA176" s="2">
        <v>32200</v>
      </c>
      <c r="AB176" s="2"/>
      <c r="AC176" s="2">
        <v>9660</v>
      </c>
      <c r="AD176" s="1">
        <v>0</v>
      </c>
      <c r="AG176" s="1" t="s">
        <v>56</v>
      </c>
      <c r="AI176" s="2">
        <v>9660</v>
      </c>
    </row>
    <row r="177" spans="1:38" ht="14.45" customHeight="1" x14ac:dyDescent="0.2">
      <c r="A177" s="1" t="s">
        <v>57</v>
      </c>
      <c r="B177" s="9" t="s">
        <v>38</v>
      </c>
      <c r="C177" s="1" t="s">
        <v>58</v>
      </c>
      <c r="D177" s="1" t="s">
        <v>59</v>
      </c>
      <c r="E177" s="1" t="s">
        <v>42</v>
      </c>
      <c r="G177" s="1" t="s">
        <v>122</v>
      </c>
      <c r="H177" s="1" t="s">
        <v>61</v>
      </c>
      <c r="I177" s="1" t="s">
        <v>1098</v>
      </c>
      <c r="J177" s="1">
        <v>2023</v>
      </c>
      <c r="K177" s="1" t="s">
        <v>1099</v>
      </c>
      <c r="L177" s="1" t="s">
        <v>1099</v>
      </c>
      <c r="P177" s="1" t="s">
        <v>1100</v>
      </c>
      <c r="Q177" s="1" t="s">
        <v>50</v>
      </c>
      <c r="R177" s="1" t="s">
        <v>51</v>
      </c>
      <c r="S177" s="1" t="s">
        <v>1077</v>
      </c>
      <c r="T177" s="1" t="s">
        <v>1078</v>
      </c>
      <c r="V177" s="1" t="s">
        <v>54</v>
      </c>
      <c r="W177" s="1" t="s">
        <v>1099</v>
      </c>
      <c r="Y177" s="10">
        <v>45478</v>
      </c>
      <c r="Z177" s="1">
        <v>2024</v>
      </c>
      <c r="AA177" s="2">
        <v>125631.08</v>
      </c>
      <c r="AB177" s="2"/>
      <c r="AC177" s="2">
        <v>31407.77</v>
      </c>
      <c r="AD177" s="1">
        <v>0</v>
      </c>
      <c r="AG177" s="1" t="s">
        <v>56</v>
      </c>
      <c r="AI177" s="2">
        <v>31407.77</v>
      </c>
    </row>
    <row r="178" spans="1:38" ht="14.45" customHeight="1" x14ac:dyDescent="0.2">
      <c r="A178" s="1" t="s">
        <v>57</v>
      </c>
      <c r="B178" s="9" t="s">
        <v>38</v>
      </c>
      <c r="C178" s="1" t="s">
        <v>58</v>
      </c>
      <c r="D178" s="1" t="s">
        <v>59</v>
      </c>
      <c r="E178" s="1" t="s">
        <v>42</v>
      </c>
      <c r="G178" s="1" t="s">
        <v>122</v>
      </c>
      <c r="H178" s="1" t="s">
        <v>61</v>
      </c>
      <c r="I178" s="1" t="s">
        <v>1101</v>
      </c>
      <c r="J178" s="1">
        <v>2023</v>
      </c>
      <c r="K178" s="1" t="s">
        <v>1102</v>
      </c>
      <c r="L178" s="1" t="s">
        <v>1103</v>
      </c>
      <c r="P178" s="1" t="s">
        <v>1104</v>
      </c>
      <c r="Q178" s="1" t="s">
        <v>842</v>
      </c>
      <c r="R178" s="1" t="s">
        <v>884</v>
      </c>
      <c r="S178" s="1" t="s">
        <v>1011</v>
      </c>
      <c r="T178" s="1" t="s">
        <v>1012</v>
      </c>
      <c r="V178" s="1" t="s">
        <v>887</v>
      </c>
      <c r="W178" s="1" t="s">
        <v>1102</v>
      </c>
      <c r="Y178" s="10">
        <v>45478</v>
      </c>
      <c r="Z178" s="1">
        <v>2024</v>
      </c>
      <c r="AA178" s="2">
        <v>92620.800000000003</v>
      </c>
      <c r="AB178" s="2"/>
      <c r="AC178" s="2">
        <v>38155.199999999997</v>
      </c>
      <c r="AD178" s="1">
        <v>0.5</v>
      </c>
      <c r="AE178" s="1">
        <v>0.5</v>
      </c>
      <c r="AG178" s="1" t="s">
        <v>56</v>
      </c>
      <c r="AI178" s="2">
        <v>38155.199999999997</v>
      </c>
    </row>
    <row r="179" spans="1:38" ht="14.45" customHeight="1" x14ac:dyDescent="0.2">
      <c r="A179" s="1" t="s">
        <v>57</v>
      </c>
      <c r="B179" s="9" t="s">
        <v>38</v>
      </c>
      <c r="C179" s="1" t="s">
        <v>58</v>
      </c>
      <c r="D179" s="1" t="s">
        <v>59</v>
      </c>
      <c r="E179" s="1" t="s">
        <v>42</v>
      </c>
      <c r="G179" s="1" t="s">
        <v>122</v>
      </c>
      <c r="H179" s="1" t="s">
        <v>61</v>
      </c>
      <c r="I179" s="1" t="s">
        <v>1105</v>
      </c>
      <c r="J179" s="1">
        <v>2023</v>
      </c>
      <c r="K179" s="1" t="s">
        <v>1106</v>
      </c>
      <c r="L179" s="1" t="s">
        <v>1107</v>
      </c>
      <c r="P179" s="1" t="s">
        <v>1108</v>
      </c>
      <c r="Q179" s="1" t="s">
        <v>1109</v>
      </c>
      <c r="R179" s="1" t="s">
        <v>1110</v>
      </c>
      <c r="S179" s="1" t="s">
        <v>1111</v>
      </c>
      <c r="T179" s="1" t="s">
        <v>1112</v>
      </c>
      <c r="V179" s="1" t="s">
        <v>54</v>
      </c>
      <c r="W179" s="1" t="s">
        <v>1106</v>
      </c>
      <c r="Y179" s="10">
        <v>45478</v>
      </c>
      <c r="Z179" s="1">
        <v>2024</v>
      </c>
      <c r="AA179" s="2">
        <v>99015.93</v>
      </c>
      <c r="AB179" s="2"/>
      <c r="AC179" s="2">
        <v>24753.98</v>
      </c>
      <c r="AD179" s="1">
        <v>0</v>
      </c>
      <c r="AG179" s="1" t="s">
        <v>56</v>
      </c>
      <c r="AI179" s="2">
        <v>24753.98</v>
      </c>
    </row>
    <row r="180" spans="1:38" ht="14.45" customHeight="1" x14ac:dyDescent="0.2">
      <c r="A180" s="1" t="s">
        <v>57</v>
      </c>
      <c r="B180" s="9" t="s">
        <v>38</v>
      </c>
      <c r="C180" s="1" t="s">
        <v>58</v>
      </c>
      <c r="D180" s="1" t="s">
        <v>59</v>
      </c>
      <c r="E180" s="1" t="s">
        <v>42</v>
      </c>
      <c r="G180" s="1" t="s">
        <v>88</v>
      </c>
      <c r="H180" s="1" t="s">
        <v>61</v>
      </c>
      <c r="I180" s="1" t="s">
        <v>1113</v>
      </c>
      <c r="J180" s="1">
        <v>2021</v>
      </c>
      <c r="K180" s="1" t="s">
        <v>1114</v>
      </c>
      <c r="L180" s="1" t="s">
        <v>1115</v>
      </c>
      <c r="P180" s="1" t="s">
        <v>679</v>
      </c>
      <c r="Q180" s="1" t="s">
        <v>101</v>
      </c>
      <c r="R180" s="1" t="s">
        <v>326</v>
      </c>
      <c r="S180" s="1" t="s">
        <v>327</v>
      </c>
      <c r="T180" s="1" t="s">
        <v>328</v>
      </c>
      <c r="U180" s="1">
        <v>2</v>
      </c>
      <c r="V180" s="1" t="s">
        <v>80</v>
      </c>
      <c r="W180" s="1" t="s">
        <v>1115</v>
      </c>
      <c r="X180" s="1" t="s">
        <v>609</v>
      </c>
      <c r="Y180" s="10">
        <v>44557</v>
      </c>
      <c r="Z180" s="1">
        <v>2021</v>
      </c>
      <c r="AA180" s="2">
        <v>486498.3</v>
      </c>
      <c r="AB180" s="2"/>
      <c r="AC180" s="2">
        <v>25000</v>
      </c>
      <c r="AD180" s="1">
        <v>1</v>
      </c>
      <c r="AG180" s="1" t="s">
        <v>56</v>
      </c>
      <c r="AI180" s="2">
        <v>25000</v>
      </c>
    </row>
    <row r="181" spans="1:38" ht="14.45" customHeight="1" x14ac:dyDescent="0.2">
      <c r="A181" s="1" t="s">
        <v>57</v>
      </c>
      <c r="B181" s="9" t="s">
        <v>38</v>
      </c>
      <c r="C181" s="1" t="s">
        <v>58</v>
      </c>
      <c r="D181" s="1" t="s">
        <v>59</v>
      </c>
      <c r="E181" s="1" t="s">
        <v>42</v>
      </c>
      <c r="G181" s="1" t="s">
        <v>88</v>
      </c>
      <c r="H181" s="1" t="s">
        <v>61</v>
      </c>
      <c r="I181" s="1" t="s">
        <v>1116</v>
      </c>
      <c r="J181" s="1">
        <v>2021</v>
      </c>
      <c r="K181" s="1" t="s">
        <v>1117</v>
      </c>
      <c r="L181" s="1" t="s">
        <v>1118</v>
      </c>
      <c r="N181" s="1" t="s">
        <v>1119</v>
      </c>
      <c r="P181" s="1" t="s">
        <v>1120</v>
      </c>
      <c r="Q181" s="1" t="s">
        <v>101</v>
      </c>
      <c r="R181" s="1" t="s">
        <v>102</v>
      </c>
      <c r="S181" s="1" t="s">
        <v>637</v>
      </c>
      <c r="T181" s="1" t="s">
        <v>638</v>
      </c>
      <c r="U181" s="1">
        <v>1</v>
      </c>
      <c r="V181" s="1" t="s">
        <v>101</v>
      </c>
      <c r="W181" s="1" t="s">
        <v>1121</v>
      </c>
      <c r="X181" s="1" t="s">
        <v>609</v>
      </c>
      <c r="Y181" s="10">
        <v>44557</v>
      </c>
      <c r="Z181" s="1">
        <v>2021</v>
      </c>
      <c r="AA181" s="2">
        <v>149961.10999999999</v>
      </c>
      <c r="AB181" s="2"/>
      <c r="AC181" s="2">
        <v>52486.39</v>
      </c>
      <c r="AD181" s="1">
        <v>3</v>
      </c>
      <c r="AE181" s="1">
        <v>2</v>
      </c>
      <c r="AG181" s="1" t="s">
        <v>56</v>
      </c>
      <c r="AI181" s="2">
        <v>52486.39</v>
      </c>
    </row>
    <row r="182" spans="1:38" ht="14.45" customHeight="1" x14ac:dyDescent="0.2">
      <c r="A182" s="1" t="s">
        <v>57</v>
      </c>
      <c r="B182" s="9" t="s">
        <v>38</v>
      </c>
      <c r="C182" s="1" t="s">
        <v>58</v>
      </c>
      <c r="D182" s="1" t="s">
        <v>59</v>
      </c>
      <c r="E182" s="1" t="s">
        <v>42</v>
      </c>
      <c r="G182" s="1" t="s">
        <v>122</v>
      </c>
      <c r="H182" s="1" t="s">
        <v>61</v>
      </c>
      <c r="I182" s="1" t="s">
        <v>1122</v>
      </c>
      <c r="J182" s="1">
        <v>2023</v>
      </c>
      <c r="K182" s="1" t="s">
        <v>1123</v>
      </c>
      <c r="L182" s="1" t="s">
        <v>1124</v>
      </c>
      <c r="M182" s="1" t="s">
        <v>1125</v>
      </c>
      <c r="P182" s="1" t="s">
        <v>1126</v>
      </c>
      <c r="Q182" s="1" t="s">
        <v>50</v>
      </c>
      <c r="R182" s="1" t="s">
        <v>51</v>
      </c>
      <c r="S182" s="1" t="s">
        <v>1127</v>
      </c>
      <c r="T182" s="1" t="s">
        <v>1128</v>
      </c>
      <c r="V182" s="1" t="s">
        <v>54</v>
      </c>
      <c r="W182" s="1" t="s">
        <v>1129</v>
      </c>
      <c r="Y182" s="10">
        <v>45478</v>
      </c>
      <c r="Z182" s="1">
        <v>2024</v>
      </c>
      <c r="AA182" s="2">
        <v>376201.08</v>
      </c>
      <c r="AB182" s="2"/>
      <c r="AC182" s="2">
        <v>124050.27</v>
      </c>
      <c r="AD182" s="1">
        <v>2</v>
      </c>
      <c r="AG182" s="1" t="s">
        <v>56</v>
      </c>
      <c r="AI182" s="2">
        <v>124050.27</v>
      </c>
    </row>
    <row r="183" spans="1:38" ht="14.45" customHeight="1" x14ac:dyDescent="0.2">
      <c r="A183" s="1" t="s">
        <v>57</v>
      </c>
      <c r="B183" s="9" t="s">
        <v>38</v>
      </c>
      <c r="C183" s="1" t="s">
        <v>58</v>
      </c>
      <c r="D183" s="1" t="s">
        <v>59</v>
      </c>
      <c r="E183" s="1" t="s">
        <v>42</v>
      </c>
      <c r="G183" s="1" t="s">
        <v>88</v>
      </c>
      <c r="H183" s="1" t="s">
        <v>61</v>
      </c>
      <c r="I183" s="1" t="s">
        <v>1130</v>
      </c>
      <c r="J183" s="1">
        <v>2021</v>
      </c>
      <c r="K183" s="1" t="s">
        <v>1131</v>
      </c>
      <c r="L183" s="1" t="s">
        <v>1132</v>
      </c>
      <c r="P183" s="1" t="s">
        <v>1133</v>
      </c>
      <c r="Q183" s="1" t="s">
        <v>101</v>
      </c>
      <c r="R183" s="1" t="s">
        <v>326</v>
      </c>
      <c r="S183" s="1" t="s">
        <v>327</v>
      </c>
      <c r="T183" s="1" t="s">
        <v>328</v>
      </c>
      <c r="U183" s="1">
        <v>2</v>
      </c>
      <c r="V183" s="1" t="s">
        <v>80</v>
      </c>
      <c r="W183" s="1" t="s">
        <v>1132</v>
      </c>
      <c r="X183" s="1" t="s">
        <v>87</v>
      </c>
      <c r="Y183" s="10">
        <v>44557</v>
      </c>
      <c r="Z183" s="1">
        <v>2021</v>
      </c>
      <c r="AA183" s="2">
        <v>499379</v>
      </c>
      <c r="AB183" s="2"/>
      <c r="AC183" s="2">
        <v>24968.95</v>
      </c>
      <c r="AD183" s="1">
        <v>2</v>
      </c>
      <c r="AE183" s="1">
        <v>1</v>
      </c>
      <c r="AG183" s="1" t="s">
        <v>56</v>
      </c>
      <c r="AI183" s="2">
        <v>24968.95</v>
      </c>
    </row>
    <row r="184" spans="1:38" ht="14.45" customHeight="1" x14ac:dyDescent="0.2">
      <c r="A184" s="1" t="s">
        <v>57</v>
      </c>
      <c r="B184" s="9" t="s">
        <v>38</v>
      </c>
      <c r="C184" s="1" t="s">
        <v>58</v>
      </c>
      <c r="D184" s="1" t="s">
        <v>59</v>
      </c>
      <c r="E184" s="1" t="s">
        <v>42</v>
      </c>
      <c r="G184" s="1" t="s">
        <v>88</v>
      </c>
      <c r="H184" s="1" t="s">
        <v>61</v>
      </c>
      <c r="I184" s="1" t="s">
        <v>1134</v>
      </c>
      <c r="J184" s="1">
        <v>2021</v>
      </c>
      <c r="K184" s="1" t="s">
        <v>1135</v>
      </c>
      <c r="L184" s="1" t="s">
        <v>1136</v>
      </c>
      <c r="P184" s="1" t="s">
        <v>1137</v>
      </c>
      <c r="Q184" s="1" t="s">
        <v>101</v>
      </c>
      <c r="R184" s="1" t="s">
        <v>339</v>
      </c>
      <c r="S184" s="1" t="s">
        <v>340</v>
      </c>
      <c r="T184" s="1" t="s">
        <v>341</v>
      </c>
      <c r="U184" s="1">
        <v>1</v>
      </c>
      <c r="V184" s="1" t="s">
        <v>80</v>
      </c>
      <c r="W184" s="1" t="s">
        <v>1136</v>
      </c>
      <c r="X184" s="1" t="s">
        <v>87</v>
      </c>
      <c r="Y184" s="10">
        <v>44557</v>
      </c>
      <c r="Z184" s="1">
        <v>2021</v>
      </c>
      <c r="AA184" s="2">
        <v>351118.93</v>
      </c>
      <c r="AB184" s="2"/>
      <c r="AC184" s="2">
        <v>105335.67999999999</v>
      </c>
      <c r="AD184" s="1">
        <v>4</v>
      </c>
      <c r="AE184" s="1">
        <v>3</v>
      </c>
      <c r="AG184" s="1" t="s">
        <v>56</v>
      </c>
      <c r="AI184" s="2">
        <v>105335.67999999999</v>
      </c>
    </row>
    <row r="185" spans="1:38" ht="14.45" customHeight="1" x14ac:dyDescent="0.2">
      <c r="A185" s="1" t="s">
        <v>57</v>
      </c>
      <c r="B185" s="9" t="s">
        <v>38</v>
      </c>
      <c r="C185" s="1" t="s">
        <v>58</v>
      </c>
      <c r="D185" s="1" t="s">
        <v>59</v>
      </c>
      <c r="E185" s="1" t="s">
        <v>42</v>
      </c>
      <c r="G185" s="1" t="s">
        <v>88</v>
      </c>
      <c r="H185" s="1" t="s">
        <v>61</v>
      </c>
      <c r="I185" s="1" t="s">
        <v>1138</v>
      </c>
      <c r="J185" s="1">
        <v>2021</v>
      </c>
      <c r="K185" s="1" t="s">
        <v>1139</v>
      </c>
      <c r="L185" s="1" t="s">
        <v>1140</v>
      </c>
      <c r="P185" s="1" t="s">
        <v>1141</v>
      </c>
      <c r="Q185" s="1" t="s">
        <v>101</v>
      </c>
      <c r="R185" s="1" t="s">
        <v>102</v>
      </c>
      <c r="S185" s="1" t="s">
        <v>1142</v>
      </c>
      <c r="T185" s="1" t="s">
        <v>1143</v>
      </c>
      <c r="U185" s="1">
        <v>2</v>
      </c>
      <c r="V185" s="1" t="s">
        <v>80</v>
      </c>
      <c r="W185" s="1" t="s">
        <v>1140</v>
      </c>
      <c r="X185" s="1" t="s">
        <v>87</v>
      </c>
      <c r="Y185" s="10">
        <v>44557</v>
      </c>
      <c r="Z185" s="1">
        <v>2021</v>
      </c>
      <c r="AA185" s="2">
        <v>135317.95000000001</v>
      </c>
      <c r="AB185" s="2"/>
      <c r="AC185" s="2">
        <v>23680.639999999999</v>
      </c>
      <c r="AD185" s="1">
        <v>2</v>
      </c>
      <c r="AE185" s="1">
        <v>2</v>
      </c>
      <c r="AG185" s="1" t="s">
        <v>56</v>
      </c>
      <c r="AI185" s="2">
        <v>23680.639999999999</v>
      </c>
    </row>
    <row r="186" spans="1:38" ht="12.6" customHeight="1" x14ac:dyDescent="0.2">
      <c r="A186" s="1" t="s">
        <v>57</v>
      </c>
      <c r="B186" s="9" t="s">
        <v>38</v>
      </c>
      <c r="C186" s="1" t="s">
        <v>58</v>
      </c>
      <c r="D186" s="1" t="s">
        <v>59</v>
      </c>
      <c r="E186" s="1" t="s">
        <v>42</v>
      </c>
      <c r="G186" s="1" t="s">
        <v>122</v>
      </c>
      <c r="H186" s="1" t="s">
        <v>61</v>
      </c>
      <c r="I186" s="1" t="s">
        <v>1144</v>
      </c>
      <c r="J186" s="1">
        <v>2023</v>
      </c>
      <c r="K186" s="1" t="s">
        <v>1145</v>
      </c>
      <c r="L186" s="1" t="s">
        <v>1146</v>
      </c>
      <c r="M186" s="19" t="s">
        <v>1147</v>
      </c>
      <c r="P186" s="1" t="s">
        <v>1148</v>
      </c>
      <c r="Q186" s="1" t="s">
        <v>1149</v>
      </c>
      <c r="R186" s="1" t="s">
        <v>1150</v>
      </c>
      <c r="S186" s="1" t="s">
        <v>1151</v>
      </c>
      <c r="T186" s="1" t="s">
        <v>1152</v>
      </c>
      <c r="V186" s="1" t="s">
        <v>1153</v>
      </c>
      <c r="W186" s="1" t="s">
        <v>1145</v>
      </c>
      <c r="Y186" s="10">
        <v>45478</v>
      </c>
      <c r="Z186" s="1">
        <v>2024</v>
      </c>
      <c r="AA186" s="2">
        <v>68000</v>
      </c>
      <c r="AB186" s="2"/>
      <c r="AC186" s="2">
        <v>34000</v>
      </c>
      <c r="AD186" s="1">
        <v>1</v>
      </c>
      <c r="AE186" s="1">
        <v>1</v>
      </c>
      <c r="AG186" s="1" t="s">
        <v>56</v>
      </c>
      <c r="AI186" s="2">
        <v>34000</v>
      </c>
    </row>
    <row r="187" spans="1:38" ht="14.45" customHeight="1" x14ac:dyDescent="0.2">
      <c r="A187" s="1" t="s">
        <v>57</v>
      </c>
      <c r="B187" s="9" t="s">
        <v>38</v>
      </c>
      <c r="C187" s="1" t="s">
        <v>58</v>
      </c>
      <c r="D187" s="1" t="s">
        <v>59</v>
      </c>
      <c r="E187" s="1" t="s">
        <v>42</v>
      </c>
      <c r="G187" s="1" t="s">
        <v>88</v>
      </c>
      <c r="H187" s="1" t="s">
        <v>61</v>
      </c>
      <c r="I187" s="1" t="s">
        <v>1154</v>
      </c>
      <c r="J187" s="1">
        <v>2021</v>
      </c>
      <c r="K187" s="1" t="s">
        <v>1155</v>
      </c>
      <c r="L187" s="1" t="s">
        <v>1156</v>
      </c>
      <c r="M187" s="1" t="s">
        <v>1157</v>
      </c>
      <c r="N187" s="1" t="s">
        <v>1158</v>
      </c>
      <c r="P187" s="1" t="s">
        <v>1159</v>
      </c>
      <c r="Q187" s="1" t="s">
        <v>50</v>
      </c>
      <c r="R187" s="1" t="s">
        <v>68</v>
      </c>
      <c r="S187" s="1" t="s">
        <v>692</v>
      </c>
      <c r="T187" s="1" t="s">
        <v>693</v>
      </c>
      <c r="U187" s="1">
        <v>2</v>
      </c>
      <c r="V187" s="1" t="s">
        <v>71</v>
      </c>
      <c r="W187" s="1" t="s">
        <v>1160</v>
      </c>
      <c r="X187" s="1" t="s">
        <v>138</v>
      </c>
      <c r="Y187" s="10">
        <v>44557</v>
      </c>
      <c r="Z187" s="1">
        <v>2021</v>
      </c>
      <c r="AA187" s="2">
        <v>98193.75</v>
      </c>
      <c r="AB187" s="2"/>
      <c r="AC187" s="2">
        <v>14729.06</v>
      </c>
      <c r="AD187" s="1">
        <v>2</v>
      </c>
      <c r="AE187" s="1">
        <v>2</v>
      </c>
      <c r="AG187" s="1" t="s">
        <v>56</v>
      </c>
      <c r="AI187" s="2">
        <v>14729.06</v>
      </c>
    </row>
    <row r="188" spans="1:38" ht="14.45" customHeight="1" x14ac:dyDescent="0.2">
      <c r="A188" s="1" t="s">
        <v>57</v>
      </c>
      <c r="B188" s="9" t="s">
        <v>38</v>
      </c>
      <c r="C188" s="1" t="s">
        <v>58</v>
      </c>
      <c r="D188" s="1" t="s">
        <v>59</v>
      </c>
      <c r="E188" s="1" t="s">
        <v>42</v>
      </c>
      <c r="G188" s="1" t="s">
        <v>88</v>
      </c>
      <c r="H188" s="1" t="s">
        <v>61</v>
      </c>
      <c r="I188" s="1" t="s">
        <v>1161</v>
      </c>
      <c r="J188" s="1">
        <v>2021</v>
      </c>
      <c r="K188" s="1" t="s">
        <v>1162</v>
      </c>
      <c r="L188" s="1" t="s">
        <v>1163</v>
      </c>
      <c r="P188" s="1" t="s">
        <v>1164</v>
      </c>
      <c r="Q188" s="1" t="s">
        <v>101</v>
      </c>
      <c r="R188" s="1" t="s">
        <v>102</v>
      </c>
      <c r="S188" s="1" t="s">
        <v>637</v>
      </c>
      <c r="T188" s="1" t="s">
        <v>638</v>
      </c>
      <c r="U188" s="1">
        <v>1</v>
      </c>
      <c r="V188" s="1" t="s">
        <v>101</v>
      </c>
      <c r="W188" s="1" t="s">
        <v>1165</v>
      </c>
      <c r="X188" s="1" t="s">
        <v>609</v>
      </c>
      <c r="Y188" s="10">
        <v>44557</v>
      </c>
      <c r="Z188" s="1">
        <v>2021</v>
      </c>
      <c r="AA188" s="2">
        <v>272755.20000000001</v>
      </c>
      <c r="AB188" s="2"/>
      <c r="AC188" s="2">
        <v>30000</v>
      </c>
      <c r="AD188" s="1">
        <v>1</v>
      </c>
      <c r="AE188" s="1">
        <v>1</v>
      </c>
      <c r="AG188" s="1" t="s">
        <v>56</v>
      </c>
      <c r="AI188" s="2">
        <v>30000</v>
      </c>
    </row>
    <row r="189" spans="1:38" ht="14.45" customHeight="1" x14ac:dyDescent="0.2">
      <c r="A189" s="1" t="s">
        <v>57</v>
      </c>
      <c r="B189" s="9" t="s">
        <v>38</v>
      </c>
      <c r="C189" s="1" t="s">
        <v>58</v>
      </c>
      <c r="D189" s="1" t="s">
        <v>59</v>
      </c>
      <c r="E189" s="1" t="s">
        <v>42</v>
      </c>
      <c r="G189" s="1" t="s">
        <v>122</v>
      </c>
      <c r="H189" s="1" t="s">
        <v>61</v>
      </c>
      <c r="I189" s="1" t="s">
        <v>1166</v>
      </c>
      <c r="J189" s="1">
        <v>2023</v>
      </c>
      <c r="K189" s="1" t="s">
        <v>1167</v>
      </c>
      <c r="L189" s="1" t="s">
        <v>1167</v>
      </c>
      <c r="M189" s="1" t="s">
        <v>1168</v>
      </c>
      <c r="P189" s="1" t="s">
        <v>1169</v>
      </c>
      <c r="Q189" s="1" t="s">
        <v>50</v>
      </c>
      <c r="R189" s="1" t="s">
        <v>51</v>
      </c>
      <c r="S189" s="1" t="s">
        <v>1170</v>
      </c>
      <c r="T189" s="1" t="s">
        <v>1171</v>
      </c>
      <c r="V189" s="1" t="s">
        <v>54</v>
      </c>
      <c r="W189" s="1" t="s">
        <v>1167</v>
      </c>
      <c r="Y189" s="10">
        <v>45478</v>
      </c>
      <c r="Z189" s="1">
        <v>2024</v>
      </c>
      <c r="AA189" s="2">
        <v>447000</v>
      </c>
      <c r="AB189" s="2"/>
      <c r="AC189" s="2">
        <v>100000</v>
      </c>
      <c r="AD189" s="1">
        <v>0</v>
      </c>
      <c r="AG189" s="1" t="s">
        <v>56</v>
      </c>
      <c r="AI189" s="2">
        <v>100000</v>
      </c>
    </row>
    <row r="190" spans="1:38" ht="14.45" customHeight="1" x14ac:dyDescent="0.25">
      <c r="A190" s="1" t="s">
        <v>57</v>
      </c>
      <c r="B190" s="9" t="s">
        <v>38</v>
      </c>
      <c r="C190" s="1" t="s">
        <v>58</v>
      </c>
      <c r="D190" s="1" t="s">
        <v>146</v>
      </c>
      <c r="E190" s="1" t="s">
        <v>42</v>
      </c>
      <c r="G190" s="1" t="s">
        <v>1172</v>
      </c>
      <c r="H190" s="1" t="s">
        <v>61</v>
      </c>
      <c r="I190" s="1" t="s">
        <v>1173</v>
      </c>
      <c r="J190" s="1">
        <v>2020</v>
      </c>
      <c r="K190" s="1" t="s">
        <v>1174</v>
      </c>
      <c r="L190" s="1" t="s">
        <v>1175</v>
      </c>
      <c r="P190" s="1" t="s">
        <v>1176</v>
      </c>
      <c r="Q190" s="1" t="s">
        <v>842</v>
      </c>
      <c r="R190" s="1" t="s">
        <v>1177</v>
      </c>
      <c r="S190" s="16" t="s">
        <v>1178</v>
      </c>
      <c r="T190" s="1" t="s">
        <v>1179</v>
      </c>
      <c r="V190" s="1" t="s">
        <v>1178</v>
      </c>
      <c r="W190" s="1" t="s">
        <v>1174</v>
      </c>
      <c r="X190" s="1" t="s">
        <v>153</v>
      </c>
      <c r="Y190" s="10">
        <v>44337</v>
      </c>
      <c r="Z190" s="1">
        <v>2021</v>
      </c>
      <c r="AA190" s="2">
        <v>721000</v>
      </c>
      <c r="AB190" s="2"/>
      <c r="AC190" s="2">
        <v>360500</v>
      </c>
      <c r="AE190" s="1">
        <v>6</v>
      </c>
      <c r="AF190" s="1">
        <v>12</v>
      </c>
      <c r="AG190" s="1" t="s">
        <v>56</v>
      </c>
      <c r="AH190" s="1" t="s">
        <v>154</v>
      </c>
      <c r="AI190" s="2">
        <v>360499.3</v>
      </c>
      <c r="AK190" s="1">
        <v>12</v>
      </c>
      <c r="AL190" s="1" t="s">
        <v>1180</v>
      </c>
    </row>
    <row r="191" spans="1:38" ht="14.45" customHeight="1" x14ac:dyDescent="0.2">
      <c r="A191" s="1" t="s">
        <v>57</v>
      </c>
      <c r="B191" s="9" t="s">
        <v>38</v>
      </c>
      <c r="C191" s="1" t="s">
        <v>58</v>
      </c>
      <c r="D191" s="1" t="s">
        <v>59</v>
      </c>
      <c r="E191" s="1" t="s">
        <v>42</v>
      </c>
      <c r="G191" s="1" t="s">
        <v>88</v>
      </c>
      <c r="H191" s="1" t="s">
        <v>61</v>
      </c>
      <c r="I191" s="1" t="s">
        <v>1181</v>
      </c>
      <c r="J191" s="1">
        <v>2021</v>
      </c>
      <c r="K191" s="1" t="s">
        <v>1182</v>
      </c>
      <c r="L191" s="1" t="s">
        <v>1183</v>
      </c>
      <c r="N191" s="1" t="s">
        <v>1184</v>
      </c>
      <c r="P191" s="1" t="s">
        <v>1185</v>
      </c>
      <c r="Q191" s="1" t="s">
        <v>101</v>
      </c>
      <c r="R191" s="1" t="s">
        <v>102</v>
      </c>
      <c r="S191" s="1" t="s">
        <v>523</v>
      </c>
      <c r="T191" s="1" t="s">
        <v>524</v>
      </c>
      <c r="U191" s="1">
        <v>1</v>
      </c>
      <c r="V191" s="1" t="s">
        <v>101</v>
      </c>
      <c r="W191" s="1" t="s">
        <v>1186</v>
      </c>
      <c r="X191" s="1" t="s">
        <v>153</v>
      </c>
      <c r="Y191" s="10">
        <v>44557</v>
      </c>
      <c r="Z191" s="1">
        <v>2021</v>
      </c>
      <c r="AA191" s="2">
        <v>129200</v>
      </c>
      <c r="AB191" s="2"/>
      <c r="AC191" s="2">
        <v>45220</v>
      </c>
      <c r="AD191" s="1">
        <v>2.5</v>
      </c>
      <c r="AE191" s="1">
        <v>0.5</v>
      </c>
      <c r="AG191" s="1" t="s">
        <v>56</v>
      </c>
      <c r="AI191" s="2">
        <v>45220</v>
      </c>
    </row>
    <row r="192" spans="1:38" ht="14.45" customHeight="1" x14ac:dyDescent="0.2">
      <c r="A192" s="1" t="s">
        <v>57</v>
      </c>
      <c r="B192" s="9" t="s">
        <v>38</v>
      </c>
      <c r="C192" s="1" t="s">
        <v>58</v>
      </c>
      <c r="D192" s="1" t="s">
        <v>59</v>
      </c>
      <c r="E192" s="1" t="s">
        <v>42</v>
      </c>
      <c r="G192" s="1" t="s">
        <v>88</v>
      </c>
      <c r="H192" s="1" t="s">
        <v>61</v>
      </c>
      <c r="I192" s="1" t="s">
        <v>1187</v>
      </c>
      <c r="J192" s="1">
        <v>2021</v>
      </c>
      <c r="K192" s="1" t="s">
        <v>1188</v>
      </c>
      <c r="L192" s="1" t="s">
        <v>1189</v>
      </c>
      <c r="N192" s="1" t="s">
        <v>1190</v>
      </c>
      <c r="P192" s="1" t="s">
        <v>1191</v>
      </c>
      <c r="Q192" s="1" t="s">
        <v>50</v>
      </c>
      <c r="R192" s="1" t="s">
        <v>68</v>
      </c>
      <c r="S192" s="1" t="s">
        <v>692</v>
      </c>
      <c r="T192" s="1" t="s">
        <v>693</v>
      </c>
      <c r="U192" s="1">
        <v>2</v>
      </c>
      <c r="V192" s="1" t="s">
        <v>71</v>
      </c>
      <c r="W192" s="1" t="s">
        <v>1188</v>
      </c>
      <c r="X192" s="1" t="s">
        <v>609</v>
      </c>
      <c r="Y192" s="10">
        <v>44557</v>
      </c>
      <c r="Z192" s="1">
        <v>2021</v>
      </c>
      <c r="AA192" s="2">
        <v>377232.84</v>
      </c>
      <c r="AB192" s="2"/>
      <c r="AC192" s="2">
        <v>37723.279999999999</v>
      </c>
      <c r="AD192" s="1">
        <v>5</v>
      </c>
      <c r="AE192" s="1">
        <v>3</v>
      </c>
      <c r="AG192" s="1" t="s">
        <v>56</v>
      </c>
      <c r="AI192" s="2">
        <v>37723.279999999999</v>
      </c>
    </row>
    <row r="193" spans="1:38" ht="14.45" customHeight="1" x14ac:dyDescent="0.2">
      <c r="A193" s="1" t="s">
        <v>57</v>
      </c>
      <c r="B193" s="9" t="s">
        <v>38</v>
      </c>
      <c r="C193" s="1" t="s">
        <v>58</v>
      </c>
      <c r="D193" s="1" t="s">
        <v>59</v>
      </c>
      <c r="E193" s="1" t="s">
        <v>42</v>
      </c>
      <c r="G193" s="1" t="s">
        <v>122</v>
      </c>
      <c r="H193" s="1" t="s">
        <v>61</v>
      </c>
      <c r="I193" s="1" t="s">
        <v>1192</v>
      </c>
      <c r="J193" s="1">
        <v>2023</v>
      </c>
      <c r="K193" s="1" t="s">
        <v>1193</v>
      </c>
      <c r="L193" s="1" t="s">
        <v>1194</v>
      </c>
      <c r="M193" s="1" t="s">
        <v>1195</v>
      </c>
      <c r="P193" s="1" t="s">
        <v>1196</v>
      </c>
      <c r="Q193" s="1" t="s">
        <v>50</v>
      </c>
      <c r="R193" s="1" t="s">
        <v>51</v>
      </c>
      <c r="S193" s="1" t="s">
        <v>1077</v>
      </c>
      <c r="T193" s="1" t="s">
        <v>1078</v>
      </c>
      <c r="V193" s="1" t="s">
        <v>54</v>
      </c>
      <c r="W193" s="1" t="s">
        <v>1193</v>
      </c>
      <c r="Y193" s="10">
        <v>45478</v>
      </c>
      <c r="Z193" s="1">
        <v>2024</v>
      </c>
      <c r="AA193" s="2">
        <v>319206</v>
      </c>
      <c r="AB193" s="2"/>
      <c r="AC193" s="2">
        <v>63841.2</v>
      </c>
      <c r="AD193" s="1">
        <v>0</v>
      </c>
      <c r="AG193" s="1" t="s">
        <v>56</v>
      </c>
      <c r="AI193" s="2">
        <v>63841.2</v>
      </c>
    </row>
    <row r="194" spans="1:38" ht="12.6" customHeight="1" x14ac:dyDescent="0.2">
      <c r="A194" s="1" t="s">
        <v>57</v>
      </c>
      <c r="B194" s="9" t="s">
        <v>38</v>
      </c>
      <c r="C194" s="1" t="s">
        <v>58</v>
      </c>
      <c r="D194" s="1" t="s">
        <v>59</v>
      </c>
      <c r="E194" s="1" t="s">
        <v>42</v>
      </c>
      <c r="G194" s="1" t="s">
        <v>88</v>
      </c>
      <c r="H194" s="1" t="s">
        <v>61</v>
      </c>
      <c r="I194" s="1" t="s">
        <v>1197</v>
      </c>
      <c r="J194" s="1">
        <v>2021</v>
      </c>
      <c r="K194" s="1" t="s">
        <v>1198</v>
      </c>
      <c r="L194" s="1" t="s">
        <v>1199</v>
      </c>
      <c r="M194" s="1" t="s">
        <v>1200</v>
      </c>
      <c r="N194" s="1" t="s">
        <v>1201</v>
      </c>
      <c r="P194" s="1" t="s">
        <v>1202</v>
      </c>
      <c r="Q194" s="1" t="s">
        <v>50</v>
      </c>
      <c r="R194" s="1" t="s">
        <v>68</v>
      </c>
      <c r="S194" s="1" t="s">
        <v>1203</v>
      </c>
      <c r="T194" s="1" t="s">
        <v>1204</v>
      </c>
      <c r="U194" s="1">
        <v>1</v>
      </c>
      <c r="V194" s="1" t="s">
        <v>195</v>
      </c>
      <c r="W194" s="1" t="s">
        <v>1205</v>
      </c>
      <c r="X194" s="1" t="s">
        <v>145</v>
      </c>
      <c r="Y194" s="10">
        <v>44557</v>
      </c>
      <c r="Z194" s="1">
        <v>2021</v>
      </c>
      <c r="AA194" s="2">
        <v>176559.75</v>
      </c>
      <c r="AB194" s="2"/>
      <c r="AC194" s="2">
        <v>52967.93</v>
      </c>
      <c r="AD194" s="1">
        <v>1.5</v>
      </c>
      <c r="AE194" s="1">
        <v>1</v>
      </c>
      <c r="AG194" s="1" t="s">
        <v>56</v>
      </c>
      <c r="AI194" s="2">
        <v>48547.28</v>
      </c>
      <c r="AL194" s="18" t="s">
        <v>1206</v>
      </c>
    </row>
    <row r="195" spans="1:38" ht="12.6" customHeight="1" x14ac:dyDescent="0.2">
      <c r="A195" s="1" t="s">
        <v>57</v>
      </c>
      <c r="B195" s="9" t="s">
        <v>38</v>
      </c>
      <c r="C195" s="1" t="s">
        <v>58</v>
      </c>
      <c r="D195" s="1" t="s">
        <v>59</v>
      </c>
      <c r="E195" s="1" t="s">
        <v>42</v>
      </c>
      <c r="G195" s="1" t="s">
        <v>88</v>
      </c>
      <c r="H195" s="1" t="s">
        <v>61</v>
      </c>
      <c r="I195" s="1" t="s">
        <v>1207</v>
      </c>
      <c r="J195" s="1">
        <v>2021</v>
      </c>
      <c r="K195" s="1" t="s">
        <v>1208</v>
      </c>
      <c r="L195" s="1" t="s">
        <v>1209</v>
      </c>
      <c r="N195" s="1" t="s">
        <v>1210</v>
      </c>
      <c r="P195" s="1" t="s">
        <v>1211</v>
      </c>
      <c r="Q195" s="1" t="s">
        <v>50</v>
      </c>
      <c r="R195" s="1" t="s">
        <v>77</v>
      </c>
      <c r="S195" s="1" t="s">
        <v>1212</v>
      </c>
      <c r="T195" s="1" t="s">
        <v>1213</v>
      </c>
      <c r="U195" s="1">
        <v>1</v>
      </c>
      <c r="V195" s="1" t="s">
        <v>186</v>
      </c>
      <c r="W195" s="1" t="s">
        <v>1208</v>
      </c>
      <c r="X195" s="1" t="s">
        <v>571</v>
      </c>
      <c r="Y195" s="10">
        <v>44557</v>
      </c>
      <c r="Z195" s="1">
        <v>2021</v>
      </c>
      <c r="AA195" s="2">
        <v>130000</v>
      </c>
      <c r="AB195" s="2"/>
      <c r="AC195" s="2">
        <v>26000</v>
      </c>
      <c r="AD195" s="1">
        <v>0</v>
      </c>
      <c r="AG195" s="1" t="s">
        <v>56</v>
      </c>
      <c r="AI195" s="2">
        <v>26000</v>
      </c>
    </row>
    <row r="196" spans="1:38" ht="14.45" customHeight="1" x14ac:dyDescent="0.2">
      <c r="A196" s="1" t="s">
        <v>57</v>
      </c>
      <c r="B196" s="9" t="s">
        <v>38</v>
      </c>
      <c r="C196" s="1" t="s">
        <v>58</v>
      </c>
      <c r="D196" s="1" t="s">
        <v>59</v>
      </c>
      <c r="E196" s="1" t="s">
        <v>42</v>
      </c>
      <c r="G196" s="1" t="s">
        <v>122</v>
      </c>
      <c r="H196" s="1" t="s">
        <v>61</v>
      </c>
      <c r="I196" s="1" t="s">
        <v>1214</v>
      </c>
      <c r="J196" s="1">
        <v>2023</v>
      </c>
      <c r="K196" s="1" t="s">
        <v>1215</v>
      </c>
      <c r="L196" s="1" t="s">
        <v>1216</v>
      </c>
      <c r="P196" s="1" t="s">
        <v>1217</v>
      </c>
      <c r="Q196" s="1" t="s">
        <v>1149</v>
      </c>
      <c r="R196" s="1" t="s">
        <v>1150</v>
      </c>
      <c r="S196" s="1" t="s">
        <v>1218</v>
      </c>
      <c r="T196" s="1" t="s">
        <v>1219</v>
      </c>
      <c r="V196" s="1" t="s">
        <v>1153</v>
      </c>
      <c r="W196" s="1" t="s">
        <v>1215</v>
      </c>
      <c r="Y196" s="10">
        <v>45478</v>
      </c>
      <c r="Z196" s="1">
        <v>2024</v>
      </c>
      <c r="AA196" s="2">
        <v>209189.26</v>
      </c>
      <c r="AB196" s="2"/>
      <c r="AC196" s="2">
        <v>97297.32</v>
      </c>
      <c r="AD196" s="1">
        <v>3</v>
      </c>
      <c r="AG196" s="1" t="s">
        <v>56</v>
      </c>
      <c r="AI196" s="2">
        <v>97297.32</v>
      </c>
    </row>
    <row r="197" spans="1:38" ht="14.45" customHeight="1" x14ac:dyDescent="0.2">
      <c r="A197" s="1" t="s">
        <v>57</v>
      </c>
      <c r="B197" s="9" t="s">
        <v>38</v>
      </c>
      <c r="C197" s="1" t="s">
        <v>58</v>
      </c>
      <c r="D197" s="1" t="s">
        <v>59</v>
      </c>
      <c r="E197" s="1" t="s">
        <v>42</v>
      </c>
      <c r="G197" s="1" t="s">
        <v>122</v>
      </c>
      <c r="H197" s="1" t="s">
        <v>61</v>
      </c>
      <c r="I197" s="1" t="s">
        <v>1220</v>
      </c>
      <c r="J197" s="1">
        <v>2023</v>
      </c>
      <c r="K197" s="1" t="s">
        <v>1221</v>
      </c>
      <c r="L197" s="1" t="s">
        <v>1222</v>
      </c>
      <c r="P197" s="1" t="s">
        <v>1223</v>
      </c>
      <c r="Q197" s="1" t="s">
        <v>110</v>
      </c>
      <c r="R197" s="1" t="s">
        <v>111</v>
      </c>
      <c r="S197" s="1" t="s">
        <v>1224</v>
      </c>
      <c r="T197" s="1" t="s">
        <v>1225</v>
      </c>
      <c r="V197" s="1" t="s">
        <v>114</v>
      </c>
      <c r="W197" s="1" t="s">
        <v>1221</v>
      </c>
      <c r="Y197" s="10">
        <v>45478</v>
      </c>
      <c r="Z197" s="1">
        <v>2024</v>
      </c>
      <c r="AA197" s="2">
        <v>395874.15</v>
      </c>
      <c r="AB197" s="2"/>
      <c r="AC197" s="2">
        <v>128968.54</v>
      </c>
      <c r="AD197" s="1">
        <v>1</v>
      </c>
      <c r="AG197" s="1" t="s">
        <v>56</v>
      </c>
      <c r="AI197" s="2">
        <v>128968.54</v>
      </c>
    </row>
    <row r="198" spans="1:38" ht="14.45" customHeight="1" x14ac:dyDescent="0.2">
      <c r="A198" s="1" t="s">
        <v>57</v>
      </c>
      <c r="B198" s="9" t="s">
        <v>38</v>
      </c>
      <c r="C198" s="1" t="s">
        <v>58</v>
      </c>
      <c r="D198" s="1" t="s">
        <v>59</v>
      </c>
      <c r="E198" s="1" t="s">
        <v>42</v>
      </c>
      <c r="G198" s="1" t="s">
        <v>122</v>
      </c>
      <c r="H198" s="1" t="s">
        <v>61</v>
      </c>
      <c r="I198" s="1" t="s">
        <v>1226</v>
      </c>
      <c r="J198" s="1">
        <v>2023</v>
      </c>
      <c r="K198" s="1" t="s">
        <v>1227</v>
      </c>
      <c r="L198" s="1" t="s">
        <v>1228</v>
      </c>
      <c r="P198" s="1" t="s">
        <v>1229</v>
      </c>
      <c r="Q198" s="1" t="s">
        <v>264</v>
      </c>
      <c r="R198" s="1" t="s">
        <v>265</v>
      </c>
      <c r="S198" s="1" t="s">
        <v>290</v>
      </c>
      <c r="T198" s="1" t="s">
        <v>291</v>
      </c>
      <c r="U198" s="1">
        <v>1</v>
      </c>
      <c r="V198" s="1" t="s">
        <v>268</v>
      </c>
      <c r="W198" s="1" t="s">
        <v>1230</v>
      </c>
      <c r="Y198" s="10">
        <v>45478</v>
      </c>
      <c r="Z198" s="1">
        <v>2024</v>
      </c>
      <c r="AA198" s="2">
        <v>99608.53</v>
      </c>
      <c r="AB198" s="2"/>
      <c r="AC198" s="2">
        <v>49804.27</v>
      </c>
      <c r="AD198" s="1">
        <v>1</v>
      </c>
      <c r="AG198" s="1" t="s">
        <v>56</v>
      </c>
      <c r="AI198" s="2">
        <v>49804.27</v>
      </c>
    </row>
    <row r="199" spans="1:38" ht="14.45" customHeight="1" x14ac:dyDescent="0.2">
      <c r="A199" s="1" t="s">
        <v>57</v>
      </c>
      <c r="B199" s="9" t="s">
        <v>38</v>
      </c>
      <c r="C199" s="1" t="s">
        <v>58</v>
      </c>
      <c r="D199" s="1" t="s">
        <v>59</v>
      </c>
      <c r="E199" s="1" t="s">
        <v>42</v>
      </c>
      <c r="G199" s="1" t="s">
        <v>122</v>
      </c>
      <c r="H199" s="1" t="s">
        <v>61</v>
      </c>
      <c r="I199" s="1" t="s">
        <v>1231</v>
      </c>
      <c r="J199" s="1">
        <v>2023</v>
      </c>
      <c r="K199" s="1" t="s">
        <v>1232</v>
      </c>
      <c r="L199" s="1" t="s">
        <v>1233</v>
      </c>
      <c r="P199" s="1" t="s">
        <v>1234</v>
      </c>
      <c r="Q199" s="1" t="s">
        <v>264</v>
      </c>
      <c r="R199" s="1" t="s">
        <v>265</v>
      </c>
      <c r="S199" s="1" t="s">
        <v>266</v>
      </c>
      <c r="T199" s="1" t="s">
        <v>267</v>
      </c>
      <c r="U199" s="1">
        <v>2</v>
      </c>
      <c r="V199" s="1" t="s">
        <v>268</v>
      </c>
      <c r="W199" s="1" t="s">
        <v>1235</v>
      </c>
      <c r="Y199" s="10">
        <v>45478</v>
      </c>
      <c r="Z199" s="1">
        <v>2024</v>
      </c>
      <c r="AA199" s="2">
        <v>150576</v>
      </c>
      <c r="AB199" s="2"/>
      <c r="AC199" s="2">
        <v>75288</v>
      </c>
      <c r="AD199" s="1">
        <v>4</v>
      </c>
      <c r="AE199" s="1">
        <v>4</v>
      </c>
      <c r="AG199" s="1" t="s">
        <v>56</v>
      </c>
      <c r="AI199" s="2">
        <v>75288</v>
      </c>
    </row>
    <row r="200" spans="1:38" ht="14.45" customHeight="1" x14ac:dyDescent="0.25">
      <c r="A200" s="1" t="s">
        <v>57</v>
      </c>
      <c r="B200" s="20" t="s">
        <v>38</v>
      </c>
      <c r="C200" s="3" t="s">
        <v>58</v>
      </c>
      <c r="D200" s="1" t="s">
        <v>146</v>
      </c>
      <c r="E200" s="1" t="s">
        <v>42</v>
      </c>
      <c r="F200" s="1" t="s">
        <v>1236</v>
      </c>
      <c r="G200" s="1" t="s">
        <v>155</v>
      </c>
      <c r="H200" s="1" t="s">
        <v>156</v>
      </c>
      <c r="I200" s="3" t="s">
        <v>1237</v>
      </c>
      <c r="J200" s="1">
        <v>2022</v>
      </c>
      <c r="K200" s="1" t="s">
        <v>1238</v>
      </c>
      <c r="L200" s="1" t="s">
        <v>1239</v>
      </c>
      <c r="M200" s="1" t="s">
        <v>1240</v>
      </c>
      <c r="P200" s="1" t="s">
        <v>1241</v>
      </c>
      <c r="Q200" s="1" t="s">
        <v>264</v>
      </c>
      <c r="R200" s="1" t="s">
        <v>265</v>
      </c>
      <c r="S200" s="11" t="s">
        <v>673</v>
      </c>
      <c r="T200" s="3" t="s">
        <v>674</v>
      </c>
      <c r="U200" s="1">
        <v>2</v>
      </c>
      <c r="V200" s="3" t="s">
        <v>268</v>
      </c>
      <c r="W200" s="3" t="s">
        <v>1239</v>
      </c>
      <c r="X200" s="3"/>
      <c r="Y200" s="21"/>
      <c r="Z200" s="3">
        <v>2025</v>
      </c>
      <c r="AA200" s="22">
        <v>375710.43</v>
      </c>
      <c r="AB200" s="22"/>
      <c r="AC200" s="22">
        <v>375710.43</v>
      </c>
      <c r="AD200" s="2"/>
      <c r="AG200" s="1" t="s">
        <v>56</v>
      </c>
      <c r="AI200" s="22">
        <v>375710.43</v>
      </c>
    </row>
    <row r="201" spans="1:38" ht="14.45" customHeight="1" x14ac:dyDescent="0.2">
      <c r="A201" s="1" t="s">
        <v>57</v>
      </c>
      <c r="B201" s="9" t="s">
        <v>38</v>
      </c>
      <c r="C201" s="1" t="s">
        <v>58</v>
      </c>
      <c r="D201" s="1" t="s">
        <v>59</v>
      </c>
      <c r="E201" s="1" t="s">
        <v>42</v>
      </c>
      <c r="G201" s="1" t="s">
        <v>122</v>
      </c>
      <c r="H201" s="1" t="s">
        <v>61</v>
      </c>
      <c r="I201" s="1" t="s">
        <v>1242</v>
      </c>
      <c r="J201" s="1">
        <v>2023</v>
      </c>
      <c r="K201" s="1" t="s">
        <v>1243</v>
      </c>
      <c r="L201" s="1" t="s">
        <v>1244</v>
      </c>
      <c r="P201" s="1" t="s">
        <v>1245</v>
      </c>
      <c r="Q201" s="1" t="s">
        <v>264</v>
      </c>
      <c r="R201" s="1" t="s">
        <v>265</v>
      </c>
      <c r="S201" s="1" t="s">
        <v>290</v>
      </c>
      <c r="T201" s="1" t="s">
        <v>291</v>
      </c>
      <c r="U201" s="1">
        <v>1</v>
      </c>
      <c r="V201" s="1" t="s">
        <v>268</v>
      </c>
      <c r="W201" s="1" t="s">
        <v>1246</v>
      </c>
      <c r="Y201" s="10">
        <v>45478</v>
      </c>
      <c r="Z201" s="1">
        <v>2024</v>
      </c>
      <c r="AA201" s="2">
        <v>444865.7</v>
      </c>
      <c r="AB201" s="2"/>
      <c r="AC201" s="2">
        <v>133459.71</v>
      </c>
      <c r="AD201" s="1">
        <v>30</v>
      </c>
      <c r="AG201" s="1" t="s">
        <v>56</v>
      </c>
      <c r="AI201" s="2">
        <v>133459.71</v>
      </c>
    </row>
    <row r="202" spans="1:38" ht="14.45" customHeight="1" x14ac:dyDescent="0.2">
      <c r="A202" s="1" t="s">
        <v>57</v>
      </c>
      <c r="B202" s="9" t="s">
        <v>38</v>
      </c>
      <c r="C202" s="1" t="s">
        <v>58</v>
      </c>
      <c r="D202" s="1" t="s">
        <v>146</v>
      </c>
      <c r="E202" s="1" t="s">
        <v>42</v>
      </c>
      <c r="G202" s="1" t="s">
        <v>155</v>
      </c>
      <c r="H202" s="1" t="s">
        <v>156</v>
      </c>
      <c r="I202" s="1" t="s">
        <v>1247</v>
      </c>
      <c r="J202" s="1">
        <v>2022</v>
      </c>
      <c r="K202" s="1" t="s">
        <v>1248</v>
      </c>
      <c r="L202" s="1" t="s">
        <v>1249</v>
      </c>
      <c r="P202" s="1" t="s">
        <v>1250</v>
      </c>
      <c r="Q202" s="1" t="s">
        <v>264</v>
      </c>
      <c r="R202" s="1" t="s">
        <v>265</v>
      </c>
      <c r="S202" s="1" t="s">
        <v>1251</v>
      </c>
      <c r="T202" s="1" t="s">
        <v>1252</v>
      </c>
      <c r="U202" s="1">
        <v>2</v>
      </c>
      <c r="V202" s="1" t="s">
        <v>268</v>
      </c>
      <c r="W202" s="1" t="s">
        <v>1253</v>
      </c>
      <c r="Y202" s="10">
        <v>45112</v>
      </c>
      <c r="Z202" s="1">
        <v>2023</v>
      </c>
      <c r="AA202" s="2">
        <v>262335.38</v>
      </c>
      <c r="AB202" s="2"/>
      <c r="AC202" s="2">
        <v>262335.38</v>
      </c>
      <c r="AG202" s="1" t="s">
        <v>56</v>
      </c>
      <c r="AI202" s="2">
        <v>262335.38</v>
      </c>
    </row>
    <row r="203" spans="1:38" ht="14.45" customHeight="1" x14ac:dyDescent="0.2">
      <c r="A203" s="1" t="s">
        <v>57</v>
      </c>
      <c r="B203" s="9" t="s">
        <v>38</v>
      </c>
      <c r="C203" s="1" t="s">
        <v>58</v>
      </c>
      <c r="D203" s="1" t="s">
        <v>59</v>
      </c>
      <c r="E203" s="1" t="s">
        <v>42</v>
      </c>
      <c r="G203" s="1" t="s">
        <v>122</v>
      </c>
      <c r="H203" s="1" t="s">
        <v>61</v>
      </c>
      <c r="I203" s="1" t="s">
        <v>1254</v>
      </c>
      <c r="J203" s="1">
        <v>2023</v>
      </c>
      <c r="K203" s="1" t="s">
        <v>1255</v>
      </c>
      <c r="L203" s="1" t="s">
        <v>1256</v>
      </c>
      <c r="P203" s="1" t="s">
        <v>1257</v>
      </c>
      <c r="Q203" s="1" t="s">
        <v>264</v>
      </c>
      <c r="R203" s="1" t="s">
        <v>265</v>
      </c>
      <c r="S203" s="1" t="s">
        <v>935</v>
      </c>
      <c r="T203" s="1" t="s">
        <v>936</v>
      </c>
      <c r="U203" s="1">
        <v>1</v>
      </c>
      <c r="V203" s="1" t="s">
        <v>308</v>
      </c>
      <c r="W203" s="1" t="s">
        <v>1258</v>
      </c>
      <c r="Y203" s="10">
        <v>45478</v>
      </c>
      <c r="Z203" s="1">
        <v>2024</v>
      </c>
      <c r="AA203" s="2">
        <v>498500</v>
      </c>
      <c r="AB203" s="2"/>
      <c r="AC203" s="2">
        <v>104775</v>
      </c>
      <c r="AD203" s="1">
        <v>2</v>
      </c>
      <c r="AG203" s="1" t="s">
        <v>56</v>
      </c>
      <c r="AI203" s="2">
        <v>104775</v>
      </c>
    </row>
    <row r="204" spans="1:38" ht="14.45" customHeight="1" x14ac:dyDescent="0.2">
      <c r="A204" s="1" t="s">
        <v>57</v>
      </c>
      <c r="B204" s="9" t="s">
        <v>38</v>
      </c>
      <c r="C204" s="1" t="s">
        <v>58</v>
      </c>
      <c r="D204" s="1" t="s">
        <v>59</v>
      </c>
      <c r="E204" s="1" t="s">
        <v>42</v>
      </c>
      <c r="G204" s="1" t="s">
        <v>122</v>
      </c>
      <c r="H204" s="1" t="s">
        <v>61</v>
      </c>
      <c r="I204" s="1" t="s">
        <v>1259</v>
      </c>
      <c r="J204" s="1">
        <v>2023</v>
      </c>
      <c r="K204" s="1" t="s">
        <v>1260</v>
      </c>
      <c r="L204" s="1" t="s">
        <v>1261</v>
      </c>
      <c r="P204" s="1" t="s">
        <v>1262</v>
      </c>
      <c r="Q204" s="1" t="s">
        <v>264</v>
      </c>
      <c r="R204" s="1" t="s">
        <v>265</v>
      </c>
      <c r="S204" s="1" t="s">
        <v>935</v>
      </c>
      <c r="T204" s="1" t="s">
        <v>936</v>
      </c>
      <c r="U204" s="1">
        <v>1</v>
      </c>
      <c r="V204" s="1" t="s">
        <v>308</v>
      </c>
      <c r="W204" s="1" t="s">
        <v>1263</v>
      </c>
      <c r="Y204" s="10">
        <v>45478</v>
      </c>
      <c r="Z204" s="1">
        <v>2024</v>
      </c>
      <c r="AA204" s="2">
        <v>498600</v>
      </c>
      <c r="AB204" s="2"/>
      <c r="AC204" s="2">
        <v>104790</v>
      </c>
      <c r="AD204" s="1">
        <v>2</v>
      </c>
      <c r="AG204" s="1" t="s">
        <v>56</v>
      </c>
      <c r="AI204" s="2">
        <v>104790</v>
      </c>
    </row>
    <row r="205" spans="1:38" ht="14.45" customHeight="1" x14ac:dyDescent="0.2">
      <c r="A205" s="1" t="s">
        <v>57</v>
      </c>
      <c r="B205" s="9" t="s">
        <v>38</v>
      </c>
      <c r="C205" s="1" t="s">
        <v>58</v>
      </c>
      <c r="D205" s="1" t="s">
        <v>59</v>
      </c>
      <c r="E205" s="1" t="s">
        <v>42</v>
      </c>
      <c r="G205" s="1" t="s">
        <v>122</v>
      </c>
      <c r="H205" s="1" t="s">
        <v>61</v>
      </c>
      <c r="I205" s="1" t="s">
        <v>1264</v>
      </c>
      <c r="J205" s="1">
        <v>2023</v>
      </c>
      <c r="K205" s="1" t="s">
        <v>1075</v>
      </c>
      <c r="L205" s="1" t="s">
        <v>1265</v>
      </c>
      <c r="P205" s="1" t="s">
        <v>1266</v>
      </c>
      <c r="Q205" s="1" t="s">
        <v>264</v>
      </c>
      <c r="R205" s="1" t="s">
        <v>265</v>
      </c>
      <c r="S205" s="1" t="s">
        <v>266</v>
      </c>
      <c r="T205" s="1" t="s">
        <v>267</v>
      </c>
      <c r="U205" s="1">
        <v>2</v>
      </c>
      <c r="V205" s="1" t="s">
        <v>268</v>
      </c>
      <c r="W205" s="1" t="s">
        <v>1267</v>
      </c>
      <c r="Y205" s="10">
        <v>45478</v>
      </c>
      <c r="Z205" s="1">
        <v>2024</v>
      </c>
      <c r="AA205" s="2">
        <v>336649</v>
      </c>
      <c r="AB205" s="2"/>
      <c r="AC205" s="2">
        <v>77779.62</v>
      </c>
      <c r="AD205" s="1">
        <v>0</v>
      </c>
      <c r="AG205" s="1" t="s">
        <v>56</v>
      </c>
      <c r="AI205" s="2">
        <v>77779.62</v>
      </c>
    </row>
    <row r="206" spans="1:38" ht="14.45" customHeight="1" x14ac:dyDescent="0.2">
      <c r="A206" s="1" t="s">
        <v>57</v>
      </c>
      <c r="B206" s="9" t="s">
        <v>38</v>
      </c>
      <c r="C206" s="1" t="s">
        <v>58</v>
      </c>
      <c r="D206" s="1" t="s">
        <v>59</v>
      </c>
      <c r="E206" s="1" t="s">
        <v>42</v>
      </c>
      <c r="G206" s="1" t="s">
        <v>105</v>
      </c>
      <c r="H206" s="1" t="s">
        <v>61</v>
      </c>
      <c r="I206" s="1" t="s">
        <v>1268</v>
      </c>
      <c r="J206" s="1">
        <v>2023</v>
      </c>
      <c r="K206" s="1" t="s">
        <v>1269</v>
      </c>
      <c r="L206" s="1" t="s">
        <v>1270</v>
      </c>
      <c r="P206" s="1" t="s">
        <v>1271</v>
      </c>
      <c r="Q206" s="1" t="s">
        <v>101</v>
      </c>
      <c r="R206" s="1" t="s">
        <v>102</v>
      </c>
      <c r="S206" s="1" t="s">
        <v>1272</v>
      </c>
      <c r="T206" s="1" t="s">
        <v>1273</v>
      </c>
      <c r="U206" s="1">
        <v>2</v>
      </c>
      <c r="V206" s="1" t="s">
        <v>101</v>
      </c>
      <c r="W206" s="1" t="s">
        <v>1269</v>
      </c>
      <c r="Y206" s="10">
        <v>45462</v>
      </c>
      <c r="Z206" s="1">
        <v>2024</v>
      </c>
      <c r="AA206" s="2">
        <v>2073154.79</v>
      </c>
      <c r="AB206" s="2"/>
      <c r="AC206" s="2">
        <v>387315.48</v>
      </c>
      <c r="AD206" s="1">
        <v>15</v>
      </c>
      <c r="AE206" s="1">
        <v>4</v>
      </c>
      <c r="AG206" s="1" t="s">
        <v>56</v>
      </c>
      <c r="AI206" s="2">
        <v>387315.48</v>
      </c>
    </row>
    <row r="207" spans="1:38" ht="14.45" customHeight="1" x14ac:dyDescent="0.2">
      <c r="A207" s="1" t="s">
        <v>57</v>
      </c>
      <c r="B207" s="9" t="s">
        <v>38</v>
      </c>
      <c r="C207" s="1" t="s">
        <v>58</v>
      </c>
      <c r="D207" s="1" t="s">
        <v>146</v>
      </c>
      <c r="E207" s="1" t="s">
        <v>42</v>
      </c>
      <c r="G207" s="1" t="s">
        <v>155</v>
      </c>
      <c r="H207" s="1" t="s">
        <v>156</v>
      </c>
      <c r="I207" s="1" t="s">
        <v>1274</v>
      </c>
      <c r="J207" s="1">
        <v>2022</v>
      </c>
      <c r="K207" s="1" t="s">
        <v>1275</v>
      </c>
      <c r="L207" s="1" t="s">
        <v>1276</v>
      </c>
      <c r="N207" s="1" t="s">
        <v>1277</v>
      </c>
      <c r="P207" s="1" t="s">
        <v>1278</v>
      </c>
      <c r="Q207" s="1" t="s">
        <v>50</v>
      </c>
      <c r="R207" s="1" t="s">
        <v>51</v>
      </c>
      <c r="S207" s="1" t="s">
        <v>1279</v>
      </c>
      <c r="T207" s="1" t="s">
        <v>1280</v>
      </c>
      <c r="V207" s="1" t="s">
        <v>54</v>
      </c>
      <c r="W207" s="1" t="s">
        <v>1281</v>
      </c>
      <c r="Y207" s="10">
        <v>45112</v>
      </c>
      <c r="Z207" s="1">
        <v>2023</v>
      </c>
      <c r="AA207" s="2">
        <v>127682.71</v>
      </c>
      <c r="AB207" s="2"/>
      <c r="AC207" s="2">
        <v>127682.71</v>
      </c>
      <c r="AG207" s="1" t="s">
        <v>56</v>
      </c>
      <c r="AI207" s="2">
        <v>127682.71</v>
      </c>
    </row>
    <row r="208" spans="1:38" ht="14.45" customHeight="1" x14ac:dyDescent="0.2">
      <c r="A208" s="1" t="s">
        <v>57</v>
      </c>
      <c r="B208" s="9" t="s">
        <v>38</v>
      </c>
      <c r="C208" s="1" t="s">
        <v>58</v>
      </c>
      <c r="D208" s="1" t="s">
        <v>146</v>
      </c>
      <c r="E208" s="1" t="s">
        <v>42</v>
      </c>
      <c r="G208" s="1" t="s">
        <v>155</v>
      </c>
      <c r="H208" s="1" t="s">
        <v>156</v>
      </c>
      <c r="I208" s="1" t="s">
        <v>1282</v>
      </c>
      <c r="J208" s="1">
        <v>2022</v>
      </c>
      <c r="K208" s="1" t="s">
        <v>1283</v>
      </c>
      <c r="L208" s="1" t="s">
        <v>1284</v>
      </c>
      <c r="N208" s="1" t="s">
        <v>1285</v>
      </c>
      <c r="P208" s="1" t="s">
        <v>1286</v>
      </c>
      <c r="Q208" s="1" t="s">
        <v>110</v>
      </c>
      <c r="R208" s="1" t="s">
        <v>111</v>
      </c>
      <c r="S208" s="1" t="s">
        <v>1287</v>
      </c>
      <c r="T208" s="1" t="s">
        <v>1288</v>
      </c>
      <c r="V208" s="1" t="s">
        <v>114</v>
      </c>
      <c r="W208" s="1" t="s">
        <v>1289</v>
      </c>
      <c r="Y208" s="10">
        <v>45112</v>
      </c>
      <c r="Z208" s="1">
        <v>2023</v>
      </c>
      <c r="AA208" s="2">
        <v>1023580</v>
      </c>
      <c r="AB208" s="2"/>
      <c r="AC208" s="2">
        <v>1023580</v>
      </c>
      <c r="AG208" s="1" t="s">
        <v>56</v>
      </c>
      <c r="AI208" s="2">
        <v>1023580</v>
      </c>
    </row>
    <row r="209" spans="1:38" ht="14.45" customHeight="1" x14ac:dyDescent="0.2">
      <c r="A209" s="1" t="s">
        <v>57</v>
      </c>
      <c r="B209" s="9" t="s">
        <v>39</v>
      </c>
      <c r="C209" s="1" t="s">
        <v>58</v>
      </c>
      <c r="D209" s="1" t="s">
        <v>59</v>
      </c>
      <c r="E209" s="1" t="s">
        <v>42</v>
      </c>
      <c r="G209" s="1" t="s">
        <v>60</v>
      </c>
      <c r="H209" s="1" t="s">
        <v>61</v>
      </c>
      <c r="I209" s="1" t="s">
        <v>1290</v>
      </c>
      <c r="J209" s="1" t="s">
        <v>82</v>
      </c>
      <c r="K209" s="1" t="s">
        <v>1291</v>
      </c>
      <c r="P209" s="1" t="s">
        <v>1292</v>
      </c>
      <c r="Q209" s="1" t="s">
        <v>50</v>
      </c>
      <c r="R209" s="1" t="s">
        <v>68</v>
      </c>
      <c r="S209" s="1" t="s">
        <v>692</v>
      </c>
      <c r="T209" s="1" t="s">
        <v>693</v>
      </c>
      <c r="U209" s="1">
        <v>2</v>
      </c>
      <c r="V209" s="1" t="s">
        <v>71</v>
      </c>
      <c r="W209" s="1" t="s">
        <v>1291</v>
      </c>
      <c r="X209" s="1" t="s">
        <v>87</v>
      </c>
      <c r="Y209" s="10">
        <v>45007</v>
      </c>
      <c r="Z209" s="1">
        <v>2023</v>
      </c>
      <c r="AA209" s="2">
        <v>6244101.1600000001</v>
      </c>
      <c r="AB209" s="2"/>
      <c r="AC209" s="2">
        <v>624410.12</v>
      </c>
      <c r="AD209" s="1">
        <v>90</v>
      </c>
      <c r="AE209" s="1">
        <v>4</v>
      </c>
      <c r="AG209" s="1" t="s">
        <v>432</v>
      </c>
      <c r="AH209" s="1" t="s">
        <v>492</v>
      </c>
      <c r="AI209" s="2">
        <v>0</v>
      </c>
    </row>
    <row r="210" spans="1:38" ht="12.6" customHeight="1" x14ac:dyDescent="0.2">
      <c r="A210" s="1" t="s">
        <v>57</v>
      </c>
      <c r="B210" s="9" t="s">
        <v>38</v>
      </c>
      <c r="C210" s="1" t="s">
        <v>58</v>
      </c>
      <c r="D210" s="1" t="s">
        <v>59</v>
      </c>
      <c r="E210" s="1" t="s">
        <v>42</v>
      </c>
      <c r="G210" s="1" t="s">
        <v>88</v>
      </c>
      <c r="H210" s="1" t="s">
        <v>61</v>
      </c>
      <c r="I210" s="1" t="s">
        <v>1293</v>
      </c>
      <c r="J210" s="1">
        <v>2021</v>
      </c>
      <c r="K210" s="1" t="s">
        <v>1294</v>
      </c>
      <c r="L210" s="1" t="s">
        <v>1295</v>
      </c>
      <c r="P210" s="1" t="s">
        <v>1296</v>
      </c>
      <c r="Q210" s="1" t="s">
        <v>110</v>
      </c>
      <c r="R210" s="1" t="s">
        <v>605</v>
      </c>
      <c r="S210" s="1" t="s">
        <v>606</v>
      </c>
      <c r="T210" s="1" t="s">
        <v>607</v>
      </c>
      <c r="U210" s="1">
        <v>1</v>
      </c>
      <c r="V210" s="1" t="s">
        <v>80</v>
      </c>
      <c r="W210" s="1" t="s">
        <v>1294</v>
      </c>
      <c r="X210" s="1" t="s">
        <v>609</v>
      </c>
      <c r="Y210" s="10">
        <v>44557</v>
      </c>
      <c r="Z210" s="1">
        <v>2021</v>
      </c>
      <c r="AA210" s="2">
        <v>84346.48</v>
      </c>
      <c r="AB210" s="2"/>
      <c r="AC210" s="2">
        <v>37955.919999999998</v>
      </c>
      <c r="AD210" s="1">
        <v>1</v>
      </c>
      <c r="AE210" s="1">
        <v>1</v>
      </c>
      <c r="AG210" s="1" t="s">
        <v>56</v>
      </c>
      <c r="AI210" s="2">
        <v>37955.919999999998</v>
      </c>
    </row>
    <row r="211" spans="1:38" ht="14.45" customHeight="1" x14ac:dyDescent="0.2">
      <c r="A211" s="1" t="s">
        <v>57</v>
      </c>
      <c r="B211" s="9" t="s">
        <v>38</v>
      </c>
      <c r="C211" s="1" t="s">
        <v>58</v>
      </c>
      <c r="D211" s="1" t="s">
        <v>146</v>
      </c>
      <c r="E211" s="1" t="s">
        <v>42</v>
      </c>
      <c r="G211" s="1" t="s">
        <v>155</v>
      </c>
      <c r="H211" s="1" t="s">
        <v>156</v>
      </c>
      <c r="I211" s="1" t="s">
        <v>1297</v>
      </c>
      <c r="J211" s="1">
        <v>2022</v>
      </c>
      <c r="K211" s="1" t="s">
        <v>1298</v>
      </c>
      <c r="L211" s="1" t="s">
        <v>1299</v>
      </c>
      <c r="N211" s="1" t="s">
        <v>1300</v>
      </c>
      <c r="P211" s="1" t="s">
        <v>1301</v>
      </c>
      <c r="Q211" s="1" t="s">
        <v>101</v>
      </c>
      <c r="R211" s="1" t="s">
        <v>102</v>
      </c>
      <c r="S211" s="1" t="s">
        <v>1302</v>
      </c>
      <c r="T211" s="1" t="s">
        <v>1303</v>
      </c>
      <c r="U211" s="1">
        <v>1</v>
      </c>
      <c r="V211" s="1" t="s">
        <v>101</v>
      </c>
      <c r="W211" s="1" t="s">
        <v>1304</v>
      </c>
      <c r="Y211" s="10">
        <v>45112</v>
      </c>
      <c r="Z211" s="1">
        <v>2023</v>
      </c>
      <c r="AA211" s="2">
        <v>101519.39</v>
      </c>
      <c r="AB211" s="2"/>
      <c r="AC211" s="2">
        <v>101519.39</v>
      </c>
      <c r="AG211" s="1" t="s">
        <v>56</v>
      </c>
      <c r="AI211" s="2">
        <v>101519.39</v>
      </c>
    </row>
    <row r="212" spans="1:38" ht="14.45" customHeight="1" x14ac:dyDescent="0.25">
      <c r="A212" s="1" t="s">
        <v>57</v>
      </c>
      <c r="B212" s="9" t="s">
        <v>38</v>
      </c>
      <c r="C212" s="1" t="s">
        <v>58</v>
      </c>
      <c r="D212" s="1" t="s">
        <v>146</v>
      </c>
      <c r="E212" s="1" t="s">
        <v>42</v>
      </c>
      <c r="G212" s="1" t="s">
        <v>155</v>
      </c>
      <c r="H212" s="1" t="s">
        <v>156</v>
      </c>
      <c r="I212" s="1" t="s">
        <v>1305</v>
      </c>
      <c r="J212" s="1">
        <v>2022</v>
      </c>
      <c r="K212" s="1" t="s">
        <v>1306</v>
      </c>
      <c r="L212" s="1" t="s">
        <v>1307</v>
      </c>
      <c r="M212" s="1" t="s">
        <v>1308</v>
      </c>
      <c r="N212" s="1" t="s">
        <v>1309</v>
      </c>
      <c r="P212" s="1" t="s">
        <v>1310</v>
      </c>
      <c r="Q212" s="1" t="s">
        <v>50</v>
      </c>
      <c r="R212" s="1" t="s">
        <v>51</v>
      </c>
      <c r="S212" s="16" t="s">
        <v>1311</v>
      </c>
      <c r="T212" s="1" t="s">
        <v>1312</v>
      </c>
      <c r="V212" s="1" t="s">
        <v>54</v>
      </c>
      <c r="W212" s="1" t="s">
        <v>1313</v>
      </c>
      <c r="Y212" s="10">
        <v>45112</v>
      </c>
      <c r="Z212" s="1">
        <v>2023</v>
      </c>
      <c r="AA212" s="2">
        <v>64177.78</v>
      </c>
      <c r="AB212" s="2"/>
      <c r="AC212" s="2">
        <v>64177.78</v>
      </c>
      <c r="AG212" s="1" t="s">
        <v>56</v>
      </c>
      <c r="AI212" s="2">
        <v>64177.78</v>
      </c>
    </row>
    <row r="213" spans="1:38" ht="14.45" customHeight="1" x14ac:dyDescent="0.2">
      <c r="A213" s="1" t="s">
        <v>57</v>
      </c>
      <c r="B213" s="9" t="s">
        <v>38</v>
      </c>
      <c r="C213" s="1" t="s">
        <v>58</v>
      </c>
      <c r="D213" s="1" t="s">
        <v>59</v>
      </c>
      <c r="E213" s="1" t="s">
        <v>42</v>
      </c>
      <c r="G213" s="1" t="s">
        <v>88</v>
      </c>
      <c r="H213" s="1" t="s">
        <v>61</v>
      </c>
      <c r="I213" s="1" t="s">
        <v>1314</v>
      </c>
      <c r="J213" s="1">
        <v>2021</v>
      </c>
      <c r="K213" s="1" t="s">
        <v>1315</v>
      </c>
      <c r="L213" s="1" t="s">
        <v>1316</v>
      </c>
      <c r="P213" s="1" t="s">
        <v>1317</v>
      </c>
      <c r="Q213" s="1" t="s">
        <v>50</v>
      </c>
      <c r="R213" s="1" t="s">
        <v>68</v>
      </c>
      <c r="S213" s="1" t="s">
        <v>189</v>
      </c>
      <c r="T213" s="1" t="s">
        <v>190</v>
      </c>
      <c r="U213" s="1">
        <v>1</v>
      </c>
      <c r="V213" s="1" t="s">
        <v>71</v>
      </c>
      <c r="W213" s="1" t="s">
        <v>1315</v>
      </c>
      <c r="X213" s="1" t="s">
        <v>609</v>
      </c>
      <c r="Y213" s="10">
        <v>44557</v>
      </c>
      <c r="Z213" s="1">
        <v>2021</v>
      </c>
      <c r="AA213" s="2">
        <v>267475.23</v>
      </c>
      <c r="AB213" s="2"/>
      <c r="AC213" s="2">
        <v>80242.570000000007</v>
      </c>
      <c r="AD213" s="1">
        <v>2</v>
      </c>
      <c r="AE213" s="1">
        <v>2</v>
      </c>
      <c r="AG213" s="1" t="s">
        <v>56</v>
      </c>
      <c r="AI213" s="2">
        <v>80242.570000000007</v>
      </c>
    </row>
    <row r="214" spans="1:38" ht="14.45" customHeight="1" x14ac:dyDescent="0.2">
      <c r="A214" s="1" t="s">
        <v>57</v>
      </c>
      <c r="B214" s="9" t="s">
        <v>38</v>
      </c>
      <c r="C214" s="1" t="s">
        <v>58</v>
      </c>
      <c r="D214" s="1" t="s">
        <v>59</v>
      </c>
      <c r="E214" s="1" t="s">
        <v>42</v>
      </c>
      <c r="G214" s="1" t="s">
        <v>88</v>
      </c>
      <c r="H214" s="1" t="s">
        <v>61</v>
      </c>
      <c r="I214" s="1" t="s">
        <v>1318</v>
      </c>
      <c r="J214" s="1">
        <v>2021</v>
      </c>
      <c r="K214" s="1" t="s">
        <v>1319</v>
      </c>
      <c r="L214" s="1" t="s">
        <v>1319</v>
      </c>
      <c r="P214" s="1" t="s">
        <v>1320</v>
      </c>
      <c r="Q214" s="1" t="s">
        <v>110</v>
      </c>
      <c r="R214" s="1" t="s">
        <v>605</v>
      </c>
      <c r="S214" s="1" t="s">
        <v>606</v>
      </c>
      <c r="T214" s="1" t="s">
        <v>607</v>
      </c>
      <c r="U214" s="1">
        <v>1</v>
      </c>
      <c r="V214" s="1" t="s">
        <v>80</v>
      </c>
      <c r="W214" s="1" t="s">
        <v>1319</v>
      </c>
      <c r="X214" s="1" t="s">
        <v>400</v>
      </c>
      <c r="Y214" s="10">
        <v>44557</v>
      </c>
      <c r="Z214" s="1">
        <v>2021</v>
      </c>
      <c r="AA214" s="2">
        <v>83262</v>
      </c>
      <c r="AB214" s="2"/>
      <c r="AC214" s="2">
        <v>37467.9</v>
      </c>
      <c r="AD214" s="1">
        <v>1</v>
      </c>
      <c r="AE214" s="1">
        <v>1</v>
      </c>
      <c r="AG214" s="1" t="s">
        <v>56</v>
      </c>
      <c r="AI214" s="2">
        <v>37467.9</v>
      </c>
    </row>
    <row r="215" spans="1:38" ht="14.45" customHeight="1" x14ac:dyDescent="0.2">
      <c r="A215" s="1" t="s">
        <v>57</v>
      </c>
      <c r="B215" s="9" t="s">
        <v>38</v>
      </c>
      <c r="C215" s="1" t="s">
        <v>58</v>
      </c>
      <c r="D215" s="1" t="s">
        <v>59</v>
      </c>
      <c r="E215" s="1" t="s">
        <v>42</v>
      </c>
      <c r="G215" s="1" t="s">
        <v>88</v>
      </c>
      <c r="H215" s="1" t="s">
        <v>61</v>
      </c>
      <c r="I215" s="1" t="s">
        <v>1321</v>
      </c>
      <c r="J215" s="1" t="s">
        <v>82</v>
      </c>
      <c r="K215" s="1" t="s">
        <v>1322</v>
      </c>
      <c r="L215" s="1" t="s">
        <v>1323</v>
      </c>
      <c r="P215" s="1" t="s">
        <v>1324</v>
      </c>
      <c r="Q215" s="1" t="s">
        <v>110</v>
      </c>
      <c r="R215" s="1" t="s">
        <v>605</v>
      </c>
      <c r="S215" s="1" t="s">
        <v>606</v>
      </c>
      <c r="T215" s="1" t="s">
        <v>607</v>
      </c>
      <c r="U215" s="1">
        <v>1</v>
      </c>
      <c r="V215" s="1" t="s">
        <v>80</v>
      </c>
      <c r="W215" s="1" t="s">
        <v>1325</v>
      </c>
      <c r="X215" s="1" t="s">
        <v>153</v>
      </c>
      <c r="Y215" s="10">
        <v>43825</v>
      </c>
      <c r="Z215" s="1">
        <v>2019</v>
      </c>
      <c r="AA215" s="2">
        <v>156221.6</v>
      </c>
      <c r="AB215" s="2"/>
      <c r="AC215" s="2">
        <v>70299.72</v>
      </c>
      <c r="AD215" s="1">
        <v>0</v>
      </c>
      <c r="AG215" s="1" t="s">
        <v>56</v>
      </c>
      <c r="AI215" s="2">
        <v>70299.72</v>
      </c>
      <c r="AL215" s="1" t="s">
        <v>1326</v>
      </c>
    </row>
    <row r="216" spans="1:38" ht="14.45" customHeight="1" x14ac:dyDescent="0.2">
      <c r="A216" s="1" t="s">
        <v>57</v>
      </c>
      <c r="B216" s="9" t="s">
        <v>38</v>
      </c>
      <c r="C216" s="1" t="s">
        <v>58</v>
      </c>
      <c r="D216" s="1" t="s">
        <v>59</v>
      </c>
      <c r="E216" s="1" t="s">
        <v>42</v>
      </c>
      <c r="G216" s="1" t="s">
        <v>88</v>
      </c>
      <c r="H216" s="1" t="s">
        <v>61</v>
      </c>
      <c r="I216" s="1" t="s">
        <v>1327</v>
      </c>
      <c r="J216" s="1">
        <v>2021</v>
      </c>
      <c r="K216" s="1" t="s">
        <v>754</v>
      </c>
      <c r="L216" s="1" t="s">
        <v>1328</v>
      </c>
      <c r="P216" s="1" t="s">
        <v>1329</v>
      </c>
      <c r="Q216" s="1" t="s">
        <v>50</v>
      </c>
      <c r="R216" s="1" t="s">
        <v>68</v>
      </c>
      <c r="S216" s="1" t="s">
        <v>1203</v>
      </c>
      <c r="T216" s="1" t="s">
        <v>1204</v>
      </c>
      <c r="U216" s="1">
        <v>1</v>
      </c>
      <c r="V216" s="1" t="s">
        <v>195</v>
      </c>
      <c r="W216" s="1" t="s">
        <v>754</v>
      </c>
      <c r="X216" s="1" t="s">
        <v>138</v>
      </c>
      <c r="Y216" s="10">
        <v>44557</v>
      </c>
      <c r="Z216" s="1">
        <v>2021</v>
      </c>
      <c r="AA216" s="2">
        <v>71359.81</v>
      </c>
      <c r="AB216" s="2"/>
      <c r="AC216" s="2">
        <v>21407.94</v>
      </c>
      <c r="AD216" s="1">
        <v>2</v>
      </c>
      <c r="AG216" s="1" t="s">
        <v>56</v>
      </c>
      <c r="AI216" s="2">
        <v>21407.94</v>
      </c>
    </row>
    <row r="217" spans="1:38" ht="14.45" customHeight="1" x14ac:dyDescent="0.2">
      <c r="A217" s="1" t="s">
        <v>57</v>
      </c>
      <c r="B217" s="9" t="s">
        <v>38</v>
      </c>
      <c r="C217" s="1" t="s">
        <v>58</v>
      </c>
      <c r="D217" s="1" t="s">
        <v>146</v>
      </c>
      <c r="E217" s="1" t="s">
        <v>42</v>
      </c>
      <c r="G217" s="1" t="s">
        <v>1172</v>
      </c>
      <c r="H217" s="1" t="s">
        <v>61</v>
      </c>
      <c r="I217" s="1" t="s">
        <v>1330</v>
      </c>
      <c r="J217" s="1">
        <v>2020</v>
      </c>
      <c r="K217" s="1" t="s">
        <v>1331</v>
      </c>
      <c r="L217" s="1" t="s">
        <v>1332</v>
      </c>
      <c r="P217" s="1" t="s">
        <v>1333</v>
      </c>
      <c r="Q217" s="1" t="s">
        <v>264</v>
      </c>
      <c r="R217" s="1" t="s">
        <v>265</v>
      </c>
      <c r="S217" s="1" t="s">
        <v>1334</v>
      </c>
      <c r="T217" s="1" t="s">
        <v>1335</v>
      </c>
      <c r="U217" s="1">
        <v>1</v>
      </c>
      <c r="V217" s="1" t="s">
        <v>268</v>
      </c>
      <c r="W217" s="1" t="s">
        <v>1331</v>
      </c>
      <c r="X217" s="1" t="s">
        <v>321</v>
      </c>
      <c r="Y217" s="10">
        <v>44337</v>
      </c>
      <c r="Z217" s="1">
        <v>2021</v>
      </c>
      <c r="AA217" s="2">
        <v>999960.13</v>
      </c>
      <c r="AB217" s="2"/>
      <c r="AC217" s="2">
        <v>499980.07</v>
      </c>
      <c r="AD217" s="1">
        <v>1</v>
      </c>
      <c r="AE217" s="1">
        <v>1</v>
      </c>
      <c r="AG217" s="1" t="s">
        <v>56</v>
      </c>
      <c r="AH217" s="1" t="s">
        <v>154</v>
      </c>
      <c r="AI217" s="2">
        <v>478352.81</v>
      </c>
      <c r="AK217" s="1">
        <v>1</v>
      </c>
      <c r="AL217" s="1" t="s">
        <v>1336</v>
      </c>
    </row>
    <row r="218" spans="1:38" ht="14.45" customHeight="1" x14ac:dyDescent="0.2">
      <c r="A218" s="1" t="s">
        <v>57</v>
      </c>
      <c r="B218" s="9" t="s">
        <v>38</v>
      </c>
      <c r="C218" s="1" t="s">
        <v>58</v>
      </c>
      <c r="D218" s="1" t="s">
        <v>59</v>
      </c>
      <c r="E218" s="1" t="s">
        <v>42</v>
      </c>
      <c r="G218" s="1" t="s">
        <v>88</v>
      </c>
      <c r="H218" s="1" t="s">
        <v>61</v>
      </c>
      <c r="I218" s="1" t="s">
        <v>1337</v>
      </c>
      <c r="J218" s="1">
        <v>2021</v>
      </c>
      <c r="K218" s="1" t="s">
        <v>1338</v>
      </c>
      <c r="L218" s="1" t="s">
        <v>1339</v>
      </c>
      <c r="P218" s="1" t="s">
        <v>1340</v>
      </c>
      <c r="Q218" s="1" t="s">
        <v>50</v>
      </c>
      <c r="R218" s="1" t="s">
        <v>68</v>
      </c>
      <c r="S218" s="1" t="s">
        <v>425</v>
      </c>
      <c r="T218" s="1" t="s">
        <v>426</v>
      </c>
      <c r="U218" s="1">
        <v>1</v>
      </c>
      <c r="V218" s="1" t="s">
        <v>195</v>
      </c>
      <c r="W218" s="1" t="s">
        <v>1338</v>
      </c>
      <c r="X218" s="1" t="s">
        <v>138</v>
      </c>
      <c r="Y218" s="10">
        <v>44557</v>
      </c>
      <c r="Z218" s="1">
        <v>2021</v>
      </c>
      <c r="AA218" s="2">
        <v>238330.18</v>
      </c>
      <c r="AB218" s="2"/>
      <c r="AC218" s="2">
        <v>71499.05</v>
      </c>
      <c r="AD218" s="1">
        <v>6</v>
      </c>
      <c r="AE218" s="1">
        <v>2</v>
      </c>
      <c r="AG218" s="1" t="s">
        <v>56</v>
      </c>
      <c r="AI218" s="2">
        <v>71499.05</v>
      </c>
    </row>
    <row r="219" spans="1:38" ht="14.45" customHeight="1" x14ac:dyDescent="0.2">
      <c r="A219" s="1" t="s">
        <v>57</v>
      </c>
      <c r="B219" s="9" t="s">
        <v>38</v>
      </c>
      <c r="C219" s="1" t="s">
        <v>58</v>
      </c>
      <c r="D219" s="1" t="s">
        <v>146</v>
      </c>
      <c r="E219" s="1" t="s">
        <v>42</v>
      </c>
      <c r="G219" s="1" t="s">
        <v>155</v>
      </c>
      <c r="H219" s="1" t="s">
        <v>156</v>
      </c>
      <c r="I219" s="1" t="s">
        <v>1341</v>
      </c>
      <c r="J219" s="1">
        <v>2022</v>
      </c>
      <c r="K219" s="1" t="s">
        <v>1342</v>
      </c>
      <c r="L219" s="1" t="s">
        <v>1343</v>
      </c>
      <c r="M219" s="1" t="s">
        <v>1344</v>
      </c>
      <c r="P219" s="1" t="s">
        <v>1345</v>
      </c>
      <c r="Q219" s="1" t="s">
        <v>264</v>
      </c>
      <c r="R219" s="1" t="s">
        <v>265</v>
      </c>
      <c r="S219" s="1" t="s">
        <v>290</v>
      </c>
      <c r="T219" s="1" t="s">
        <v>291</v>
      </c>
      <c r="U219" s="1">
        <v>1</v>
      </c>
      <c r="V219" s="1" t="s">
        <v>268</v>
      </c>
      <c r="W219" s="1" t="s">
        <v>1346</v>
      </c>
      <c r="Y219" s="10">
        <v>45112</v>
      </c>
      <c r="Z219" s="1">
        <v>2023</v>
      </c>
      <c r="AA219" s="2">
        <v>1499832.96</v>
      </c>
      <c r="AB219" s="2"/>
      <c r="AC219" s="2">
        <v>1499832.96</v>
      </c>
      <c r="AG219" s="1" t="s">
        <v>56</v>
      </c>
      <c r="AI219" s="2">
        <v>1499832.96</v>
      </c>
    </row>
    <row r="220" spans="1:38" ht="14.45" customHeight="1" x14ac:dyDescent="0.2">
      <c r="A220" s="1" t="s">
        <v>57</v>
      </c>
      <c r="B220" s="9" t="s">
        <v>38</v>
      </c>
      <c r="C220" s="1" t="s">
        <v>58</v>
      </c>
      <c r="D220" s="1" t="s">
        <v>146</v>
      </c>
      <c r="E220" s="1" t="s">
        <v>42</v>
      </c>
      <c r="G220" s="1" t="s">
        <v>155</v>
      </c>
      <c r="H220" s="1" t="s">
        <v>156</v>
      </c>
      <c r="I220" s="1" t="s">
        <v>1347</v>
      </c>
      <c r="J220" s="1">
        <v>2022</v>
      </c>
      <c r="K220" s="1" t="s">
        <v>1348</v>
      </c>
      <c r="L220" s="1" t="s">
        <v>1349</v>
      </c>
      <c r="N220" s="1" t="s">
        <v>1350</v>
      </c>
      <c r="P220" s="1" t="s">
        <v>1351</v>
      </c>
      <c r="Q220" s="1" t="s">
        <v>110</v>
      </c>
      <c r="R220" s="1" t="s">
        <v>111</v>
      </c>
      <c r="S220" s="1" t="s">
        <v>1352</v>
      </c>
      <c r="T220" s="1" t="s">
        <v>1353</v>
      </c>
      <c r="V220" s="1" t="s">
        <v>114</v>
      </c>
      <c r="W220" s="1" t="s">
        <v>1354</v>
      </c>
      <c r="Y220" s="10">
        <v>45112</v>
      </c>
      <c r="Z220" s="1">
        <v>2023</v>
      </c>
      <c r="AA220" s="2">
        <v>273022.71000000002</v>
      </c>
      <c r="AB220" s="2"/>
      <c r="AC220" s="2">
        <v>273022.71000000002</v>
      </c>
      <c r="AG220" s="1" t="s">
        <v>56</v>
      </c>
      <c r="AI220" s="2">
        <v>273022.71000000002</v>
      </c>
    </row>
    <row r="221" spans="1:38" ht="14.45" customHeight="1" x14ac:dyDescent="0.2">
      <c r="A221" s="1" t="s">
        <v>57</v>
      </c>
      <c r="B221" s="9" t="s">
        <v>38</v>
      </c>
      <c r="C221" s="1" t="s">
        <v>58</v>
      </c>
      <c r="D221" s="1" t="s">
        <v>146</v>
      </c>
      <c r="E221" s="1" t="s">
        <v>42</v>
      </c>
      <c r="G221" s="1" t="s">
        <v>155</v>
      </c>
      <c r="H221" s="1" t="s">
        <v>156</v>
      </c>
      <c r="I221" s="1" t="s">
        <v>1355</v>
      </c>
      <c r="J221" s="1">
        <v>2022</v>
      </c>
      <c r="K221" s="1" t="s">
        <v>1356</v>
      </c>
      <c r="L221" s="1" t="s">
        <v>1357</v>
      </c>
      <c r="M221" s="1" t="s">
        <v>1358</v>
      </c>
      <c r="P221" s="1" t="s">
        <v>1359</v>
      </c>
      <c r="Q221" s="1" t="s">
        <v>50</v>
      </c>
      <c r="R221" s="1" t="s">
        <v>68</v>
      </c>
      <c r="S221" s="1" t="s">
        <v>1360</v>
      </c>
      <c r="T221" s="1" t="s">
        <v>1361</v>
      </c>
      <c r="U221" s="1">
        <v>1</v>
      </c>
      <c r="V221" s="1" t="s">
        <v>71</v>
      </c>
      <c r="W221" s="1" t="s">
        <v>1362</v>
      </c>
      <c r="Y221" s="10">
        <v>45112</v>
      </c>
      <c r="Z221" s="1">
        <v>2023</v>
      </c>
      <c r="AA221" s="2">
        <v>1496396.21</v>
      </c>
      <c r="AB221" s="2"/>
      <c r="AC221" s="2">
        <v>1496396.21</v>
      </c>
      <c r="AG221" s="1" t="s">
        <v>56</v>
      </c>
      <c r="AI221" s="2">
        <v>1496396.21</v>
      </c>
    </row>
    <row r="222" spans="1:38" ht="14.45" customHeight="1" x14ac:dyDescent="0.2">
      <c r="A222" s="1" t="s">
        <v>57</v>
      </c>
      <c r="B222" s="9" t="s">
        <v>38</v>
      </c>
      <c r="C222" s="1" t="s">
        <v>58</v>
      </c>
      <c r="D222" s="1" t="s">
        <v>59</v>
      </c>
      <c r="E222" s="1" t="s">
        <v>42</v>
      </c>
      <c r="G222" s="1" t="s">
        <v>88</v>
      </c>
      <c r="H222" s="1" t="s">
        <v>61</v>
      </c>
      <c r="I222" s="1" t="s">
        <v>1363</v>
      </c>
      <c r="J222" s="1">
        <v>2021</v>
      </c>
      <c r="K222" s="1" t="s">
        <v>1364</v>
      </c>
      <c r="L222" s="1" t="s">
        <v>1365</v>
      </c>
      <c r="M222" s="1" t="s">
        <v>1366</v>
      </c>
      <c r="P222" s="1" t="s">
        <v>1367</v>
      </c>
      <c r="Q222" s="1" t="s">
        <v>50</v>
      </c>
      <c r="R222" s="1" t="s">
        <v>68</v>
      </c>
      <c r="S222" s="1" t="s">
        <v>1368</v>
      </c>
      <c r="T222" s="1" t="s">
        <v>1369</v>
      </c>
      <c r="U222" s="1">
        <v>1</v>
      </c>
      <c r="V222" s="1" t="s">
        <v>195</v>
      </c>
      <c r="W222" s="1" t="s">
        <v>1370</v>
      </c>
      <c r="X222" s="1" t="s">
        <v>609</v>
      </c>
      <c r="Y222" s="10">
        <v>44557</v>
      </c>
      <c r="Z222" s="1">
        <v>2021</v>
      </c>
      <c r="AA222" s="2">
        <v>289827.71999999997</v>
      </c>
      <c r="AB222" s="2"/>
      <c r="AC222" s="2">
        <v>86948.32</v>
      </c>
      <c r="AD222" s="1">
        <v>2.5</v>
      </c>
      <c r="AE222" s="1">
        <v>1.5</v>
      </c>
      <c r="AG222" s="1" t="s">
        <v>56</v>
      </c>
      <c r="AI222" s="2">
        <v>86948.32</v>
      </c>
    </row>
    <row r="223" spans="1:38" ht="14.45" customHeight="1" x14ac:dyDescent="0.2">
      <c r="A223" s="1" t="s">
        <v>57</v>
      </c>
      <c r="B223" s="9" t="s">
        <v>38</v>
      </c>
      <c r="C223" s="1" t="s">
        <v>58</v>
      </c>
      <c r="D223" s="1" t="s">
        <v>146</v>
      </c>
      <c r="E223" s="1" t="s">
        <v>42</v>
      </c>
      <c r="G223" s="1" t="s">
        <v>155</v>
      </c>
      <c r="H223" s="1" t="s">
        <v>156</v>
      </c>
      <c r="I223" s="1" t="s">
        <v>1371</v>
      </c>
      <c r="J223" s="1">
        <v>2022</v>
      </c>
      <c r="K223" s="1" t="s">
        <v>1372</v>
      </c>
      <c r="L223" s="1" t="s">
        <v>1373</v>
      </c>
      <c r="N223" s="1" t="s">
        <v>1374</v>
      </c>
      <c r="P223" s="1" t="s">
        <v>1375</v>
      </c>
      <c r="Q223" s="1" t="s">
        <v>110</v>
      </c>
      <c r="R223" s="1" t="s">
        <v>111</v>
      </c>
      <c r="S223" s="1" t="s">
        <v>120</v>
      </c>
      <c r="T223" s="1" t="s">
        <v>121</v>
      </c>
      <c r="V223" s="1" t="s">
        <v>114</v>
      </c>
      <c r="W223" s="1" t="s">
        <v>1376</v>
      </c>
      <c r="Y223" s="10">
        <v>45112</v>
      </c>
      <c r="Z223" s="1">
        <v>2023</v>
      </c>
      <c r="AA223" s="2">
        <v>500662.77</v>
      </c>
      <c r="AB223" s="2"/>
      <c r="AC223" s="2">
        <v>500662.77</v>
      </c>
      <c r="AG223" s="1" t="s">
        <v>56</v>
      </c>
      <c r="AI223" s="2">
        <v>500662.77</v>
      </c>
    </row>
    <row r="224" spans="1:38" ht="14.45" customHeight="1" x14ac:dyDescent="0.2">
      <c r="A224" s="1" t="s">
        <v>57</v>
      </c>
      <c r="B224" s="9" t="s">
        <v>38</v>
      </c>
      <c r="C224" s="1" t="s">
        <v>58</v>
      </c>
      <c r="D224" s="1" t="s">
        <v>146</v>
      </c>
      <c r="E224" s="1" t="s">
        <v>42</v>
      </c>
      <c r="G224" s="1" t="s">
        <v>155</v>
      </c>
      <c r="H224" s="1" t="s">
        <v>156</v>
      </c>
      <c r="I224" s="1" t="s">
        <v>1377</v>
      </c>
      <c r="J224" s="1">
        <v>2022</v>
      </c>
      <c r="K224" s="1" t="s">
        <v>1378</v>
      </c>
      <c r="L224" s="1" t="s">
        <v>1379</v>
      </c>
      <c r="P224" s="1" t="s">
        <v>1345</v>
      </c>
      <c r="Q224" s="1" t="s">
        <v>264</v>
      </c>
      <c r="R224" s="1" t="s">
        <v>265</v>
      </c>
      <c r="S224" s="1" t="s">
        <v>290</v>
      </c>
      <c r="T224" s="1" t="s">
        <v>291</v>
      </c>
      <c r="U224" s="1">
        <v>1</v>
      </c>
      <c r="V224" s="1" t="s">
        <v>268</v>
      </c>
      <c r="W224" s="1" t="s">
        <v>1380</v>
      </c>
      <c r="Y224" s="10">
        <v>45112</v>
      </c>
      <c r="Z224" s="1">
        <v>2023</v>
      </c>
      <c r="AA224" s="2">
        <v>499990.16</v>
      </c>
      <c r="AB224" s="2"/>
      <c r="AC224" s="2">
        <v>499990.16</v>
      </c>
      <c r="AG224" s="1" t="s">
        <v>56</v>
      </c>
      <c r="AI224" s="2">
        <v>499990.16</v>
      </c>
    </row>
    <row r="225" spans="1:38" ht="14.45" customHeight="1" x14ac:dyDescent="0.2">
      <c r="A225" s="1" t="s">
        <v>57</v>
      </c>
      <c r="B225" s="9" t="s">
        <v>38</v>
      </c>
      <c r="C225" s="1" t="s">
        <v>58</v>
      </c>
      <c r="D225" s="1" t="s">
        <v>146</v>
      </c>
      <c r="E225" s="1" t="s">
        <v>42</v>
      </c>
      <c r="G225" s="1" t="s">
        <v>155</v>
      </c>
      <c r="H225" s="1" t="s">
        <v>156</v>
      </c>
      <c r="I225" s="1" t="s">
        <v>1381</v>
      </c>
      <c r="J225" s="1">
        <v>2022</v>
      </c>
      <c r="K225" s="1" t="s">
        <v>1382</v>
      </c>
      <c r="L225" s="1" t="s">
        <v>1383</v>
      </c>
      <c r="M225" s="1" t="s">
        <v>1384</v>
      </c>
      <c r="N225" s="1" t="s">
        <v>1385</v>
      </c>
      <c r="P225" s="1" t="s">
        <v>1386</v>
      </c>
      <c r="Q225" s="1" t="s">
        <v>50</v>
      </c>
      <c r="R225" s="1" t="s">
        <v>51</v>
      </c>
      <c r="S225" s="1" t="s">
        <v>1387</v>
      </c>
      <c r="T225" s="1" t="s">
        <v>1388</v>
      </c>
      <c r="V225" s="1" t="s">
        <v>54</v>
      </c>
      <c r="W225" s="1" t="s">
        <v>1389</v>
      </c>
      <c r="Y225" s="10">
        <v>45112</v>
      </c>
      <c r="Z225" s="1">
        <v>2023</v>
      </c>
      <c r="AA225" s="2">
        <v>98875.23</v>
      </c>
      <c r="AB225" s="2"/>
      <c r="AC225" s="2">
        <v>98875.23</v>
      </c>
      <c r="AG225" s="1" t="s">
        <v>56</v>
      </c>
      <c r="AI225" s="2">
        <v>98875.23</v>
      </c>
    </row>
    <row r="226" spans="1:38" ht="14.45" customHeight="1" x14ac:dyDescent="0.25">
      <c r="A226" s="1" t="s">
        <v>57</v>
      </c>
      <c r="B226" s="20" t="s">
        <v>38</v>
      </c>
      <c r="C226" s="3" t="s">
        <v>58</v>
      </c>
      <c r="D226" s="1" t="s">
        <v>146</v>
      </c>
      <c r="E226" s="1" t="s">
        <v>42</v>
      </c>
      <c r="F226" s="1" t="s">
        <v>1236</v>
      </c>
      <c r="G226" s="1" t="s">
        <v>155</v>
      </c>
      <c r="H226" s="1" t="s">
        <v>156</v>
      </c>
      <c r="I226" s="3" t="s">
        <v>1390</v>
      </c>
      <c r="J226" s="3">
        <v>2024</v>
      </c>
      <c r="K226" s="23" t="s">
        <v>1391</v>
      </c>
      <c r="L226" s="23" t="s">
        <v>1392</v>
      </c>
      <c r="M226" s="3" t="s">
        <v>1240</v>
      </c>
      <c r="N226" s="3" t="s">
        <v>1393</v>
      </c>
      <c r="O226" s="3"/>
      <c r="P226" s="1" t="s">
        <v>1394</v>
      </c>
      <c r="Q226" s="1" t="s">
        <v>50</v>
      </c>
      <c r="R226" s="1" t="s">
        <v>51</v>
      </c>
      <c r="S226" s="3" t="s">
        <v>1127</v>
      </c>
      <c r="T226" s="3" t="s">
        <v>1128</v>
      </c>
      <c r="U226" s="24"/>
      <c r="V226" s="3" t="s">
        <v>54</v>
      </c>
      <c r="W226" s="3" t="s">
        <v>1395</v>
      </c>
      <c r="X226" s="3" t="s">
        <v>1396</v>
      </c>
      <c r="Y226" s="21"/>
      <c r="Z226" s="3">
        <v>2025</v>
      </c>
      <c r="AA226" s="2">
        <v>259392.44</v>
      </c>
      <c r="AB226" s="2"/>
      <c r="AC226" s="2">
        <v>259392.44</v>
      </c>
      <c r="AG226" s="1" t="s">
        <v>56</v>
      </c>
      <c r="AI226" s="2">
        <v>259392.44</v>
      </c>
    </row>
    <row r="227" spans="1:38" ht="14.45" customHeight="1" x14ac:dyDescent="0.2">
      <c r="A227" s="1" t="s">
        <v>57</v>
      </c>
      <c r="B227" s="9" t="s">
        <v>38</v>
      </c>
      <c r="C227" s="1" t="s">
        <v>58</v>
      </c>
      <c r="D227" s="1" t="s">
        <v>146</v>
      </c>
      <c r="E227" s="1" t="s">
        <v>42</v>
      </c>
      <c r="G227" s="1" t="s">
        <v>155</v>
      </c>
      <c r="H227" s="1" t="s">
        <v>156</v>
      </c>
      <c r="I227" s="1" t="s">
        <v>1397</v>
      </c>
      <c r="J227" s="1">
        <v>2022</v>
      </c>
      <c r="K227" s="1" t="s">
        <v>1398</v>
      </c>
      <c r="L227" s="1" t="s">
        <v>1399</v>
      </c>
      <c r="M227" s="1" t="s">
        <v>1400</v>
      </c>
      <c r="N227" s="1" t="s">
        <v>1401</v>
      </c>
      <c r="P227" s="1" t="s">
        <v>1402</v>
      </c>
      <c r="Q227" s="1" t="s">
        <v>50</v>
      </c>
      <c r="R227" s="1" t="s">
        <v>68</v>
      </c>
      <c r="S227" s="1" t="s">
        <v>189</v>
      </c>
      <c r="T227" s="1" t="s">
        <v>190</v>
      </c>
      <c r="U227" s="1">
        <v>1</v>
      </c>
      <c r="V227" s="1" t="s">
        <v>71</v>
      </c>
      <c r="W227" s="1" t="s">
        <v>1403</v>
      </c>
      <c r="Y227" s="10">
        <v>45112</v>
      </c>
      <c r="Z227" s="1">
        <v>2023</v>
      </c>
      <c r="AA227" s="2">
        <v>3999189.06</v>
      </c>
      <c r="AB227" s="2"/>
      <c r="AC227" s="2">
        <v>3999189.06</v>
      </c>
      <c r="AG227" s="1" t="s">
        <v>56</v>
      </c>
      <c r="AI227" s="2">
        <v>3999189.06</v>
      </c>
    </row>
    <row r="228" spans="1:38" ht="14.45" customHeight="1" x14ac:dyDescent="0.2">
      <c r="A228" s="1" t="s">
        <v>57</v>
      </c>
      <c r="B228" s="9" t="s">
        <v>38</v>
      </c>
      <c r="C228" s="1" t="s">
        <v>58</v>
      </c>
      <c r="D228" s="1" t="s">
        <v>59</v>
      </c>
      <c r="E228" s="1" t="s">
        <v>42</v>
      </c>
      <c r="G228" s="1" t="s">
        <v>122</v>
      </c>
      <c r="H228" s="1" t="s">
        <v>61</v>
      </c>
      <c r="I228" s="1" t="s">
        <v>1404</v>
      </c>
      <c r="J228" s="1">
        <v>2023</v>
      </c>
      <c r="K228" s="1" t="s">
        <v>1405</v>
      </c>
      <c r="L228" s="1" t="s">
        <v>1406</v>
      </c>
      <c r="P228" s="1" t="s">
        <v>1407</v>
      </c>
      <c r="Q228" s="1" t="s">
        <v>101</v>
      </c>
      <c r="R228" s="1" t="s">
        <v>102</v>
      </c>
      <c r="S228" s="1" t="s">
        <v>562</v>
      </c>
      <c r="T228" s="1" t="s">
        <v>563</v>
      </c>
      <c r="U228" s="1">
        <v>1</v>
      </c>
      <c r="V228" s="1" t="s">
        <v>101</v>
      </c>
      <c r="W228" s="1" t="s">
        <v>1408</v>
      </c>
      <c r="Y228" s="10">
        <v>45478</v>
      </c>
      <c r="Z228" s="1">
        <v>2024</v>
      </c>
      <c r="AA228" s="2">
        <v>70429.679999999993</v>
      </c>
      <c r="AB228" s="2"/>
      <c r="AC228" s="2">
        <v>35214.839999999997</v>
      </c>
      <c r="AD228" s="1">
        <v>1</v>
      </c>
      <c r="AG228" s="1" t="s">
        <v>56</v>
      </c>
      <c r="AI228" s="2">
        <v>35214.839999999997</v>
      </c>
    </row>
    <row r="229" spans="1:38" ht="14.45" customHeight="1" x14ac:dyDescent="0.2">
      <c r="A229" s="1" t="s">
        <v>57</v>
      </c>
      <c r="B229" s="9" t="s">
        <v>38</v>
      </c>
      <c r="C229" s="1" t="s">
        <v>58</v>
      </c>
      <c r="D229" s="1" t="s">
        <v>1409</v>
      </c>
      <c r="E229" s="1" t="s">
        <v>42</v>
      </c>
      <c r="G229" s="1" t="s">
        <v>1410</v>
      </c>
      <c r="H229" s="1" t="s">
        <v>61</v>
      </c>
      <c r="I229" s="1" t="s">
        <v>1411</v>
      </c>
      <c r="J229" s="1">
        <v>2019</v>
      </c>
      <c r="K229" s="1" t="s">
        <v>1412</v>
      </c>
      <c r="L229" s="1" t="s">
        <v>1413</v>
      </c>
      <c r="P229" s="1" t="s">
        <v>1414</v>
      </c>
      <c r="Q229" s="1" t="s">
        <v>101</v>
      </c>
      <c r="R229" s="1" t="s">
        <v>102</v>
      </c>
      <c r="S229" s="1" t="s">
        <v>1415</v>
      </c>
      <c r="T229" s="1" t="s">
        <v>1416</v>
      </c>
      <c r="U229" s="1">
        <v>1</v>
      </c>
      <c r="V229" s="1" t="s">
        <v>101</v>
      </c>
      <c r="W229" s="1" t="s">
        <v>1417</v>
      </c>
      <c r="X229" s="1" t="s">
        <v>153</v>
      </c>
      <c r="Y229" s="10">
        <v>44035</v>
      </c>
      <c r="Z229" s="1">
        <v>2020</v>
      </c>
      <c r="AA229" s="2">
        <v>26758975</v>
      </c>
      <c r="AB229" s="2"/>
      <c r="AC229" s="2">
        <v>15924254.631199902</v>
      </c>
      <c r="AF229" s="1">
        <v>119</v>
      </c>
      <c r="AG229" s="1" t="s">
        <v>56</v>
      </c>
      <c r="AI229" s="2">
        <v>15924254.631199902</v>
      </c>
      <c r="AJ229" s="1">
        <v>826.48</v>
      </c>
    </row>
    <row r="230" spans="1:38" ht="14.45" customHeight="1" x14ac:dyDescent="0.2">
      <c r="A230" s="1" t="s">
        <v>57</v>
      </c>
      <c r="B230" s="9" t="s">
        <v>38</v>
      </c>
      <c r="C230" s="1" t="s">
        <v>58</v>
      </c>
      <c r="D230" s="1" t="s">
        <v>1409</v>
      </c>
      <c r="E230" s="1" t="s">
        <v>42</v>
      </c>
      <c r="G230" s="1" t="s">
        <v>1410</v>
      </c>
      <c r="H230" s="1" t="s">
        <v>61</v>
      </c>
      <c r="I230" s="1" t="s">
        <v>1418</v>
      </c>
      <c r="J230" s="1">
        <v>2020</v>
      </c>
      <c r="K230" s="1" t="s">
        <v>1419</v>
      </c>
      <c r="L230" s="1" t="s">
        <v>1420</v>
      </c>
      <c r="P230" s="1" t="s">
        <v>1421</v>
      </c>
      <c r="Q230" s="1" t="s">
        <v>101</v>
      </c>
      <c r="R230" s="1" t="s">
        <v>102</v>
      </c>
      <c r="S230" s="1" t="s">
        <v>1422</v>
      </c>
      <c r="T230" s="1" t="s">
        <v>1423</v>
      </c>
      <c r="U230" s="1">
        <v>1</v>
      </c>
      <c r="V230" s="1" t="s">
        <v>101</v>
      </c>
      <c r="W230" s="1" t="s">
        <v>1424</v>
      </c>
      <c r="X230" s="1" t="s">
        <v>153</v>
      </c>
      <c r="Y230" s="10">
        <v>44333</v>
      </c>
      <c r="Z230" s="1">
        <v>2021</v>
      </c>
      <c r="AA230" s="2">
        <v>3975283.23</v>
      </c>
      <c r="AB230" s="2"/>
      <c r="AC230" s="2">
        <v>3929933.33</v>
      </c>
      <c r="AF230" s="1">
        <v>16</v>
      </c>
      <c r="AG230" s="1" t="s">
        <v>56</v>
      </c>
      <c r="AI230" s="2">
        <v>3929933.33</v>
      </c>
      <c r="AJ230" s="1">
        <v>173.54</v>
      </c>
      <c r="AL230" s="15" t="s">
        <v>1425</v>
      </c>
    </row>
    <row r="231" spans="1:38" ht="14.45" customHeight="1" x14ac:dyDescent="0.2">
      <c r="A231" s="1" t="s">
        <v>57</v>
      </c>
      <c r="B231" s="9" t="s">
        <v>38</v>
      </c>
      <c r="C231" s="1" t="s">
        <v>58</v>
      </c>
      <c r="D231" s="1" t="s">
        <v>146</v>
      </c>
      <c r="E231" s="1" t="s">
        <v>42</v>
      </c>
      <c r="G231" s="1" t="s">
        <v>155</v>
      </c>
      <c r="H231" s="1" t="s">
        <v>156</v>
      </c>
      <c r="I231" s="1" t="s">
        <v>1426</v>
      </c>
      <c r="J231" s="1">
        <v>2022</v>
      </c>
      <c r="K231" s="1" t="s">
        <v>1427</v>
      </c>
      <c r="L231" s="1" t="s">
        <v>1428</v>
      </c>
      <c r="M231" s="1" t="s">
        <v>1429</v>
      </c>
      <c r="N231" s="1" t="s">
        <v>1430</v>
      </c>
      <c r="P231" s="1" t="s">
        <v>1431</v>
      </c>
      <c r="Q231" s="1" t="s">
        <v>50</v>
      </c>
      <c r="R231" s="1" t="s">
        <v>51</v>
      </c>
      <c r="S231" s="1" t="s">
        <v>1432</v>
      </c>
      <c r="T231" s="1" t="s">
        <v>1433</v>
      </c>
      <c r="V231" s="1" t="s">
        <v>54</v>
      </c>
      <c r="W231" s="1" t="s">
        <v>1434</v>
      </c>
      <c r="Y231" s="10">
        <v>45112</v>
      </c>
      <c r="Z231" s="1">
        <v>2023</v>
      </c>
      <c r="AA231" s="2">
        <v>950000</v>
      </c>
      <c r="AB231" s="2"/>
      <c r="AC231" s="2">
        <v>950000</v>
      </c>
      <c r="AG231" s="1" t="s">
        <v>56</v>
      </c>
      <c r="AI231" s="2">
        <v>950000</v>
      </c>
    </row>
    <row r="232" spans="1:38" ht="14.45" customHeight="1" x14ac:dyDescent="0.2">
      <c r="A232" s="1" t="s">
        <v>57</v>
      </c>
      <c r="B232" s="9" t="s">
        <v>38</v>
      </c>
      <c r="C232" s="1" t="s">
        <v>58</v>
      </c>
      <c r="D232" s="1" t="s">
        <v>146</v>
      </c>
      <c r="E232" s="1" t="s">
        <v>42</v>
      </c>
      <c r="G232" s="1" t="s">
        <v>155</v>
      </c>
      <c r="H232" s="1" t="s">
        <v>156</v>
      </c>
      <c r="I232" s="1" t="s">
        <v>1435</v>
      </c>
      <c r="J232" s="1">
        <v>2022</v>
      </c>
      <c r="K232" s="1" t="s">
        <v>1436</v>
      </c>
      <c r="L232" s="1" t="s">
        <v>1437</v>
      </c>
      <c r="N232" s="1" t="s">
        <v>1438</v>
      </c>
      <c r="P232" s="1" t="s">
        <v>1439</v>
      </c>
      <c r="Q232" s="1" t="s">
        <v>50</v>
      </c>
      <c r="R232" s="1" t="s">
        <v>68</v>
      </c>
      <c r="S232" s="1" t="s">
        <v>1440</v>
      </c>
      <c r="T232" s="1" t="s">
        <v>1441</v>
      </c>
      <c r="U232" s="1">
        <v>1</v>
      </c>
      <c r="V232" s="1" t="s">
        <v>71</v>
      </c>
      <c r="W232" s="1" t="s">
        <v>1442</v>
      </c>
      <c r="Y232" s="10">
        <v>45112</v>
      </c>
      <c r="Z232" s="1">
        <v>2023</v>
      </c>
      <c r="AA232" s="2">
        <v>439040.99</v>
      </c>
      <c r="AB232" s="2"/>
      <c r="AC232" s="2">
        <v>439040.99</v>
      </c>
      <c r="AG232" s="1" t="s">
        <v>56</v>
      </c>
      <c r="AI232" s="2">
        <v>439040.99</v>
      </c>
    </row>
    <row r="233" spans="1:38" ht="14.45" customHeight="1" x14ac:dyDescent="0.2">
      <c r="A233" s="1" t="s">
        <v>57</v>
      </c>
      <c r="B233" s="9" t="s">
        <v>38</v>
      </c>
      <c r="C233" s="1" t="s">
        <v>58</v>
      </c>
      <c r="D233" s="1" t="s">
        <v>146</v>
      </c>
      <c r="E233" s="1" t="s">
        <v>42</v>
      </c>
      <c r="G233" s="1" t="s">
        <v>155</v>
      </c>
      <c r="H233" s="1" t="s">
        <v>156</v>
      </c>
      <c r="I233" s="1" t="s">
        <v>1443</v>
      </c>
      <c r="J233" s="1">
        <v>2022</v>
      </c>
      <c r="K233" s="1" t="s">
        <v>1444</v>
      </c>
      <c r="L233" s="1" t="s">
        <v>1445</v>
      </c>
      <c r="M233" s="1" t="s">
        <v>1446</v>
      </c>
      <c r="N233" s="1" t="s">
        <v>1447</v>
      </c>
      <c r="P233" s="1" t="s">
        <v>1448</v>
      </c>
      <c r="Q233" s="1" t="s">
        <v>1149</v>
      </c>
      <c r="R233" s="1" t="s">
        <v>1449</v>
      </c>
      <c r="S233" s="1" t="s">
        <v>1450</v>
      </c>
      <c r="T233" s="1" t="s">
        <v>1451</v>
      </c>
      <c r="V233" s="1" t="s">
        <v>1153</v>
      </c>
      <c r="W233" s="1" t="s">
        <v>1452</v>
      </c>
      <c r="Y233" s="10">
        <v>45112</v>
      </c>
      <c r="Z233" s="1">
        <v>2023</v>
      </c>
      <c r="AA233" s="2">
        <v>403000</v>
      </c>
      <c r="AB233" s="2"/>
      <c r="AC233" s="2">
        <v>403000</v>
      </c>
      <c r="AG233" s="1" t="s">
        <v>56</v>
      </c>
      <c r="AI233" s="2">
        <v>403000</v>
      </c>
    </row>
    <row r="234" spans="1:38" ht="12.6" customHeight="1" x14ac:dyDescent="0.2">
      <c r="A234" s="1" t="s">
        <v>57</v>
      </c>
      <c r="B234" s="9" t="s">
        <v>38</v>
      </c>
      <c r="C234" s="1" t="s">
        <v>58</v>
      </c>
      <c r="D234" s="1" t="s">
        <v>146</v>
      </c>
      <c r="E234" s="1" t="s">
        <v>42</v>
      </c>
      <c r="G234" s="1" t="s">
        <v>147</v>
      </c>
      <c r="H234" s="1" t="s">
        <v>148</v>
      </c>
      <c r="I234" s="1" t="s">
        <v>1453</v>
      </c>
      <c r="J234" s="1">
        <v>2020</v>
      </c>
      <c r="K234" s="1" t="s">
        <v>1454</v>
      </c>
      <c r="L234" s="1" t="s">
        <v>1455</v>
      </c>
      <c r="P234" s="1" t="s">
        <v>1456</v>
      </c>
      <c r="Q234" s="1" t="s">
        <v>110</v>
      </c>
      <c r="R234" s="1" t="s">
        <v>605</v>
      </c>
      <c r="S234" s="1" t="s">
        <v>606</v>
      </c>
      <c r="T234" s="1" t="s">
        <v>607</v>
      </c>
      <c r="U234" s="1">
        <v>1</v>
      </c>
      <c r="V234" s="1" t="s">
        <v>80</v>
      </c>
      <c r="W234" s="1" t="s">
        <v>1457</v>
      </c>
      <c r="X234" s="1" t="s">
        <v>153</v>
      </c>
      <c r="Y234" s="10">
        <v>44127</v>
      </c>
      <c r="Z234" s="1">
        <v>2020</v>
      </c>
      <c r="AA234" s="2">
        <v>2734477.11</v>
      </c>
      <c r="AB234" s="2"/>
      <c r="AC234" s="2">
        <v>2050857.82</v>
      </c>
      <c r="AD234" s="1">
        <v>0</v>
      </c>
      <c r="AG234" s="1" t="s">
        <v>56</v>
      </c>
      <c r="AH234" s="1" t="s">
        <v>1458</v>
      </c>
      <c r="AI234" s="2">
        <v>2050857.8325</v>
      </c>
      <c r="AL234" s="1" t="s">
        <v>1459</v>
      </c>
    </row>
    <row r="235" spans="1:38" ht="14.45" customHeight="1" x14ac:dyDescent="0.2">
      <c r="A235" s="1" t="s">
        <v>57</v>
      </c>
      <c r="B235" s="9" t="s">
        <v>38</v>
      </c>
      <c r="C235" s="1" t="s">
        <v>58</v>
      </c>
      <c r="D235" s="1" t="s">
        <v>146</v>
      </c>
      <c r="E235" s="1" t="s">
        <v>42</v>
      </c>
      <c r="G235" s="1" t="s">
        <v>147</v>
      </c>
      <c r="H235" s="1" t="s">
        <v>148</v>
      </c>
      <c r="I235" s="1" t="s">
        <v>1460</v>
      </c>
      <c r="J235" s="1">
        <v>2020</v>
      </c>
      <c r="K235" s="1" t="s">
        <v>1461</v>
      </c>
      <c r="L235" s="1" t="s">
        <v>1461</v>
      </c>
      <c r="P235" s="1" t="s">
        <v>1456</v>
      </c>
      <c r="Q235" s="1" t="s">
        <v>110</v>
      </c>
      <c r="R235" s="1" t="s">
        <v>605</v>
      </c>
      <c r="S235" s="1" t="s">
        <v>606</v>
      </c>
      <c r="T235" s="1" t="s">
        <v>607</v>
      </c>
      <c r="U235" s="1">
        <v>1</v>
      </c>
      <c r="V235" s="1" t="s">
        <v>80</v>
      </c>
      <c r="W235" s="1" t="s">
        <v>1461</v>
      </c>
      <c r="X235" s="1" t="s">
        <v>153</v>
      </c>
      <c r="Y235" s="10">
        <v>44127</v>
      </c>
      <c r="Z235" s="1">
        <v>2020</v>
      </c>
      <c r="AA235" s="2">
        <v>1250000</v>
      </c>
      <c r="AB235" s="2"/>
      <c r="AC235" s="2">
        <v>937500</v>
      </c>
      <c r="AD235" s="1">
        <v>0</v>
      </c>
      <c r="AG235" s="1" t="s">
        <v>56</v>
      </c>
      <c r="AH235" s="1" t="s">
        <v>154</v>
      </c>
      <c r="AI235" s="2">
        <v>633385.51</v>
      </c>
      <c r="AL235" s="1" t="s">
        <v>1462</v>
      </c>
    </row>
    <row r="236" spans="1:38" ht="14.45" customHeight="1" x14ac:dyDescent="0.2">
      <c r="A236" s="1" t="s">
        <v>57</v>
      </c>
      <c r="B236" s="9" t="s">
        <v>38</v>
      </c>
      <c r="C236" s="1" t="s">
        <v>58</v>
      </c>
      <c r="D236" s="1" t="s">
        <v>146</v>
      </c>
      <c r="E236" s="1" t="s">
        <v>42</v>
      </c>
      <c r="G236" s="1" t="s">
        <v>147</v>
      </c>
      <c r="H236" s="1" t="s">
        <v>148</v>
      </c>
      <c r="I236" s="1" t="s">
        <v>1463</v>
      </c>
      <c r="J236" s="1">
        <v>2020</v>
      </c>
      <c r="K236" s="1" t="s">
        <v>1464</v>
      </c>
      <c r="L236" s="1" t="s">
        <v>1464</v>
      </c>
      <c r="P236" s="1" t="s">
        <v>1456</v>
      </c>
      <c r="Q236" s="1" t="s">
        <v>110</v>
      </c>
      <c r="R236" s="1" t="s">
        <v>605</v>
      </c>
      <c r="S236" s="1" t="s">
        <v>606</v>
      </c>
      <c r="T236" s="1" t="s">
        <v>607</v>
      </c>
      <c r="U236" s="1">
        <v>1</v>
      </c>
      <c r="V236" s="1" t="s">
        <v>80</v>
      </c>
      <c r="W236" s="1" t="s">
        <v>1464</v>
      </c>
      <c r="X236" s="1" t="s">
        <v>153</v>
      </c>
      <c r="Y236" s="10">
        <v>44127</v>
      </c>
      <c r="Z236" s="1">
        <v>2020</v>
      </c>
      <c r="AA236" s="2">
        <v>340000</v>
      </c>
      <c r="AB236" s="2"/>
      <c r="AC236" s="2">
        <v>255000</v>
      </c>
      <c r="AD236" s="1">
        <v>0</v>
      </c>
      <c r="AG236" s="1" t="s">
        <v>56</v>
      </c>
      <c r="AH236" s="1" t="s">
        <v>154</v>
      </c>
      <c r="AI236" s="2">
        <v>229045.76000000001</v>
      </c>
    </row>
    <row r="237" spans="1:38" ht="14.45" customHeight="1" x14ac:dyDescent="0.2">
      <c r="A237" s="1" t="s">
        <v>57</v>
      </c>
      <c r="B237" s="9" t="s">
        <v>38</v>
      </c>
      <c r="C237" s="1" t="s">
        <v>58</v>
      </c>
      <c r="D237" s="1" t="s">
        <v>146</v>
      </c>
      <c r="E237" s="1" t="s">
        <v>42</v>
      </c>
      <c r="G237" s="1" t="s">
        <v>155</v>
      </c>
      <c r="H237" s="1" t="s">
        <v>156</v>
      </c>
      <c r="I237" s="1" t="s">
        <v>1465</v>
      </c>
      <c r="J237" s="1">
        <v>2022</v>
      </c>
      <c r="K237" s="1" t="s">
        <v>1466</v>
      </c>
      <c r="L237" s="1" t="s">
        <v>1467</v>
      </c>
      <c r="M237" s="1" t="s">
        <v>1468</v>
      </c>
      <c r="N237" s="1" t="s">
        <v>1469</v>
      </c>
      <c r="P237" s="1" t="s">
        <v>1470</v>
      </c>
      <c r="Q237" s="1" t="s">
        <v>1149</v>
      </c>
      <c r="R237" s="1" t="s">
        <v>1150</v>
      </c>
      <c r="S237" s="1" t="s">
        <v>1471</v>
      </c>
      <c r="T237" s="1" t="s">
        <v>1472</v>
      </c>
      <c r="V237" s="1" t="s">
        <v>1153</v>
      </c>
      <c r="W237" s="1" t="s">
        <v>1473</v>
      </c>
      <c r="Y237" s="10">
        <v>45112</v>
      </c>
      <c r="Z237" s="1">
        <v>2023</v>
      </c>
      <c r="AA237" s="2">
        <v>498872.22</v>
      </c>
      <c r="AB237" s="2"/>
      <c r="AC237" s="2">
        <v>498872.22</v>
      </c>
      <c r="AG237" s="1" t="s">
        <v>56</v>
      </c>
      <c r="AI237" s="2">
        <v>498872.22</v>
      </c>
    </row>
    <row r="238" spans="1:38" ht="12.6" customHeight="1" x14ac:dyDescent="0.2">
      <c r="A238" s="1" t="s">
        <v>57</v>
      </c>
      <c r="B238" s="9" t="s">
        <v>38</v>
      </c>
      <c r="C238" s="1" t="s">
        <v>58</v>
      </c>
      <c r="D238" s="1" t="s">
        <v>146</v>
      </c>
      <c r="E238" s="1" t="s">
        <v>42</v>
      </c>
      <c r="G238" s="1" t="s">
        <v>155</v>
      </c>
      <c r="H238" s="1" t="s">
        <v>156</v>
      </c>
      <c r="I238" s="1" t="s">
        <v>1474</v>
      </c>
      <c r="J238" s="1">
        <v>2022</v>
      </c>
      <c r="K238" s="1" t="s">
        <v>1475</v>
      </c>
      <c r="L238" s="1" t="s">
        <v>1476</v>
      </c>
      <c r="M238" s="1" t="s">
        <v>1477</v>
      </c>
      <c r="P238" s="1" t="s">
        <v>1478</v>
      </c>
      <c r="Q238" s="1" t="s">
        <v>50</v>
      </c>
      <c r="R238" s="1" t="s">
        <v>68</v>
      </c>
      <c r="S238" s="1" t="s">
        <v>1479</v>
      </c>
      <c r="T238" s="1" t="s">
        <v>1480</v>
      </c>
      <c r="U238" s="1">
        <v>1</v>
      </c>
      <c r="V238" s="1" t="s">
        <v>71</v>
      </c>
      <c r="W238" s="1" t="s">
        <v>1481</v>
      </c>
      <c r="Y238" s="10">
        <v>45112</v>
      </c>
      <c r="Z238" s="1">
        <v>2023</v>
      </c>
      <c r="AA238" s="2">
        <v>274534.84000000003</v>
      </c>
      <c r="AB238" s="2"/>
      <c r="AC238" s="2">
        <v>274534.84000000003</v>
      </c>
      <c r="AG238" s="1" t="s">
        <v>56</v>
      </c>
      <c r="AI238" s="2">
        <v>274534.84000000003</v>
      </c>
    </row>
    <row r="239" spans="1:38" ht="14.45" customHeight="1" x14ac:dyDescent="0.2">
      <c r="A239" s="1" t="s">
        <v>57</v>
      </c>
      <c r="B239" s="9" t="s">
        <v>38</v>
      </c>
      <c r="C239" s="1" t="s">
        <v>58</v>
      </c>
      <c r="D239" s="1" t="s">
        <v>146</v>
      </c>
      <c r="E239" s="1" t="s">
        <v>42</v>
      </c>
      <c r="G239" s="1" t="s">
        <v>155</v>
      </c>
      <c r="H239" s="1" t="s">
        <v>156</v>
      </c>
      <c r="I239" s="1" t="s">
        <v>1482</v>
      </c>
      <c r="J239" s="1">
        <v>2022</v>
      </c>
      <c r="K239" s="1" t="s">
        <v>1483</v>
      </c>
      <c r="L239" s="1" t="s">
        <v>1484</v>
      </c>
      <c r="P239" s="1" t="s">
        <v>1485</v>
      </c>
      <c r="Q239" s="1" t="s">
        <v>101</v>
      </c>
      <c r="R239" s="1" t="s">
        <v>102</v>
      </c>
      <c r="S239" s="1" t="s">
        <v>1486</v>
      </c>
      <c r="T239" s="1" t="s">
        <v>1487</v>
      </c>
      <c r="U239" s="1">
        <v>1</v>
      </c>
      <c r="V239" s="1" t="s">
        <v>101</v>
      </c>
      <c r="W239" s="1" t="s">
        <v>1488</v>
      </c>
      <c r="Y239" s="10">
        <v>45112</v>
      </c>
      <c r="Z239" s="1">
        <v>2023</v>
      </c>
      <c r="AA239" s="2">
        <v>300275.52</v>
      </c>
      <c r="AB239" s="2"/>
      <c r="AC239" s="2">
        <v>300275.52</v>
      </c>
      <c r="AG239" s="1" t="s">
        <v>56</v>
      </c>
      <c r="AI239" s="2">
        <v>300275.52</v>
      </c>
    </row>
    <row r="240" spans="1:38" ht="14.45" customHeight="1" x14ac:dyDescent="0.2">
      <c r="A240" s="1" t="s">
        <v>57</v>
      </c>
      <c r="B240" s="9" t="s">
        <v>38</v>
      </c>
      <c r="C240" s="1" t="s">
        <v>58</v>
      </c>
      <c r="D240" s="1" t="s">
        <v>146</v>
      </c>
      <c r="E240" s="1" t="s">
        <v>42</v>
      </c>
      <c r="G240" s="1" t="s">
        <v>155</v>
      </c>
      <c r="H240" s="1" t="s">
        <v>156</v>
      </c>
      <c r="I240" s="1" t="s">
        <v>1489</v>
      </c>
      <c r="J240" s="1">
        <v>2022</v>
      </c>
      <c r="K240" s="1" t="s">
        <v>1490</v>
      </c>
      <c r="L240" s="1" t="s">
        <v>1491</v>
      </c>
      <c r="M240" s="1" t="s">
        <v>1492</v>
      </c>
      <c r="N240" s="1" t="s">
        <v>1493</v>
      </c>
      <c r="P240" s="1" t="s">
        <v>1494</v>
      </c>
      <c r="Q240" s="1" t="s">
        <v>1149</v>
      </c>
      <c r="R240" s="1" t="s">
        <v>1150</v>
      </c>
      <c r="S240" s="1" t="s">
        <v>1151</v>
      </c>
      <c r="T240" s="1" t="s">
        <v>1152</v>
      </c>
      <c r="V240" s="1" t="s">
        <v>1153</v>
      </c>
      <c r="W240" s="1" t="s">
        <v>1495</v>
      </c>
      <c r="Y240" s="10">
        <v>45112</v>
      </c>
      <c r="Z240" s="1">
        <v>2023</v>
      </c>
      <c r="AA240" s="2">
        <v>957943.34</v>
      </c>
      <c r="AB240" s="2"/>
      <c r="AC240" s="2">
        <v>957943.34</v>
      </c>
      <c r="AG240" s="1" t="s">
        <v>56</v>
      </c>
      <c r="AI240" s="2">
        <v>957943.34</v>
      </c>
    </row>
    <row r="241" spans="1:35" ht="14.45" customHeight="1" x14ac:dyDescent="0.2">
      <c r="A241" s="1" t="s">
        <v>57</v>
      </c>
      <c r="B241" s="9" t="s">
        <v>38</v>
      </c>
      <c r="C241" s="1" t="s">
        <v>58</v>
      </c>
      <c r="D241" s="1" t="s">
        <v>146</v>
      </c>
      <c r="E241" s="1" t="s">
        <v>42</v>
      </c>
      <c r="G241" s="1" t="s">
        <v>155</v>
      </c>
      <c r="H241" s="1" t="s">
        <v>156</v>
      </c>
      <c r="I241" s="1" t="s">
        <v>1496</v>
      </c>
      <c r="J241" s="1">
        <v>2022</v>
      </c>
      <c r="K241" s="1" t="s">
        <v>1497</v>
      </c>
      <c r="L241" s="1" t="s">
        <v>1498</v>
      </c>
      <c r="P241" s="1" t="s">
        <v>1499</v>
      </c>
      <c r="Q241" s="1" t="s">
        <v>101</v>
      </c>
      <c r="R241" s="1" t="s">
        <v>102</v>
      </c>
      <c r="S241" s="1" t="s">
        <v>637</v>
      </c>
      <c r="T241" s="1" t="s">
        <v>638</v>
      </c>
      <c r="U241" s="1">
        <v>1</v>
      </c>
      <c r="V241" s="1" t="s">
        <v>101</v>
      </c>
      <c r="W241" s="1" t="s">
        <v>1500</v>
      </c>
      <c r="Y241" s="10">
        <v>45112</v>
      </c>
      <c r="Z241" s="1">
        <v>2023</v>
      </c>
      <c r="AA241" s="2">
        <v>2759762.58</v>
      </c>
      <c r="AB241" s="2"/>
      <c r="AC241" s="2">
        <v>2759762.58</v>
      </c>
      <c r="AG241" s="1" t="s">
        <v>56</v>
      </c>
      <c r="AI241" s="2">
        <v>2759762.58</v>
      </c>
    </row>
    <row r="242" spans="1:35" ht="14.45" customHeight="1" x14ac:dyDescent="0.2">
      <c r="A242" s="1" t="s">
        <v>57</v>
      </c>
      <c r="B242" s="9" t="s">
        <v>38</v>
      </c>
      <c r="C242" s="1" t="s">
        <v>58</v>
      </c>
      <c r="D242" s="1" t="s">
        <v>146</v>
      </c>
      <c r="E242" s="1" t="s">
        <v>42</v>
      </c>
      <c r="G242" s="1" t="s">
        <v>155</v>
      </c>
      <c r="H242" s="1" t="s">
        <v>156</v>
      </c>
      <c r="I242" s="1" t="s">
        <v>1501</v>
      </c>
      <c r="J242" s="1">
        <v>2022</v>
      </c>
      <c r="K242" s="1" t="s">
        <v>1502</v>
      </c>
      <c r="L242" s="1" t="s">
        <v>1503</v>
      </c>
      <c r="M242" s="1" t="s">
        <v>1504</v>
      </c>
      <c r="P242" s="1" t="s">
        <v>1478</v>
      </c>
      <c r="Q242" s="1" t="s">
        <v>50</v>
      </c>
      <c r="R242" s="1" t="s">
        <v>68</v>
      </c>
      <c r="S242" s="1" t="s">
        <v>1479</v>
      </c>
      <c r="T242" s="1" t="s">
        <v>1480</v>
      </c>
      <c r="U242" s="1">
        <v>1</v>
      </c>
      <c r="V242" s="1" t="s">
        <v>71</v>
      </c>
      <c r="W242" s="1" t="s">
        <v>1505</v>
      </c>
      <c r="Y242" s="10">
        <v>45112</v>
      </c>
      <c r="Z242" s="1">
        <v>2023</v>
      </c>
      <c r="AA242" s="2">
        <v>1497865.16</v>
      </c>
      <c r="AB242" s="2"/>
      <c r="AC242" s="2">
        <v>1497865.16</v>
      </c>
      <c r="AG242" s="1" t="s">
        <v>56</v>
      </c>
      <c r="AI242" s="2">
        <v>1497865.16</v>
      </c>
    </row>
    <row r="243" spans="1:35" ht="14.45" customHeight="1" x14ac:dyDescent="0.2">
      <c r="A243" s="1" t="s">
        <v>57</v>
      </c>
      <c r="B243" s="9" t="s">
        <v>38</v>
      </c>
      <c r="C243" s="1" t="s">
        <v>58</v>
      </c>
      <c r="D243" s="1" t="s">
        <v>146</v>
      </c>
      <c r="E243" s="1" t="s">
        <v>42</v>
      </c>
      <c r="G243" s="1" t="s">
        <v>155</v>
      </c>
      <c r="H243" s="1" t="s">
        <v>156</v>
      </c>
      <c r="I243" s="1" t="s">
        <v>1506</v>
      </c>
      <c r="J243" s="1">
        <v>2022</v>
      </c>
      <c r="K243" s="1" t="s">
        <v>1507</v>
      </c>
      <c r="L243" s="1" t="s">
        <v>1508</v>
      </c>
      <c r="N243" s="1" t="s">
        <v>1509</v>
      </c>
      <c r="P243" s="1" t="s">
        <v>1510</v>
      </c>
      <c r="Q243" s="1" t="s">
        <v>110</v>
      </c>
      <c r="R243" s="1" t="s">
        <v>111</v>
      </c>
      <c r="S243" s="1" t="s">
        <v>1511</v>
      </c>
      <c r="T243" s="1" t="s">
        <v>1512</v>
      </c>
      <c r="V243" s="1" t="s">
        <v>114</v>
      </c>
      <c r="W243" s="1" t="s">
        <v>1513</v>
      </c>
      <c r="Y243" s="10">
        <v>45112</v>
      </c>
      <c r="Z243" s="1">
        <v>2023</v>
      </c>
      <c r="AA243" s="2">
        <v>499982.97</v>
      </c>
      <c r="AB243" s="2"/>
      <c r="AC243" s="2">
        <v>499982.97</v>
      </c>
      <c r="AG243" s="1" t="s">
        <v>56</v>
      </c>
      <c r="AI243" s="2">
        <v>499982.97</v>
      </c>
    </row>
    <row r="244" spans="1:35" ht="14.45" customHeight="1" x14ac:dyDescent="0.2">
      <c r="A244" s="1" t="s">
        <v>57</v>
      </c>
      <c r="B244" s="9" t="s">
        <v>38</v>
      </c>
      <c r="C244" s="1" t="s">
        <v>58</v>
      </c>
      <c r="D244" s="1" t="s">
        <v>146</v>
      </c>
      <c r="E244" s="1" t="s">
        <v>42</v>
      </c>
      <c r="G244" s="1" t="s">
        <v>155</v>
      </c>
      <c r="H244" s="1" t="s">
        <v>156</v>
      </c>
      <c r="I244" s="1" t="s">
        <v>1514</v>
      </c>
      <c r="J244" s="1">
        <v>2022</v>
      </c>
      <c r="K244" s="1" t="s">
        <v>1515</v>
      </c>
      <c r="L244" s="1" t="s">
        <v>1516</v>
      </c>
      <c r="P244" s="1" t="s">
        <v>1499</v>
      </c>
      <c r="Q244" s="1" t="s">
        <v>101</v>
      </c>
      <c r="R244" s="1" t="s">
        <v>102</v>
      </c>
      <c r="S244" s="1" t="s">
        <v>637</v>
      </c>
      <c r="T244" s="1" t="s">
        <v>638</v>
      </c>
      <c r="U244" s="1">
        <v>1</v>
      </c>
      <c r="V244" s="1" t="s">
        <v>101</v>
      </c>
      <c r="W244" s="1" t="s">
        <v>1517</v>
      </c>
      <c r="Y244" s="10">
        <v>45112</v>
      </c>
      <c r="Z244" s="1">
        <v>2023</v>
      </c>
      <c r="AA244" s="2">
        <v>500000</v>
      </c>
      <c r="AB244" s="2"/>
      <c r="AC244" s="2">
        <v>500000</v>
      </c>
      <c r="AG244" s="1" t="s">
        <v>56</v>
      </c>
      <c r="AI244" s="2">
        <v>500000</v>
      </c>
    </row>
    <row r="245" spans="1:35" ht="14.45" customHeight="1" x14ac:dyDescent="0.25">
      <c r="A245" s="1" t="s">
        <v>57</v>
      </c>
      <c r="B245" s="20" t="s">
        <v>38</v>
      </c>
      <c r="C245" s="3" t="s">
        <v>58</v>
      </c>
      <c r="D245" s="1" t="s">
        <v>146</v>
      </c>
      <c r="E245" s="1" t="s">
        <v>42</v>
      </c>
      <c r="F245" s="1" t="s">
        <v>1236</v>
      </c>
      <c r="G245" s="1" t="s">
        <v>155</v>
      </c>
      <c r="H245" s="1" t="s">
        <v>156</v>
      </c>
      <c r="I245" s="3" t="s">
        <v>1518</v>
      </c>
      <c r="J245" s="1">
        <v>2022</v>
      </c>
      <c r="K245" s="1" t="s">
        <v>1519</v>
      </c>
      <c r="L245" s="23" t="s">
        <v>1520</v>
      </c>
      <c r="M245" s="1" t="s">
        <v>1240</v>
      </c>
      <c r="P245" s="1" t="s">
        <v>1521</v>
      </c>
      <c r="Q245" s="1" t="s">
        <v>101</v>
      </c>
      <c r="R245" s="1" t="s">
        <v>102</v>
      </c>
      <c r="S245" s="3" t="s">
        <v>1522</v>
      </c>
      <c r="T245" s="3" t="s">
        <v>1523</v>
      </c>
      <c r="U245" s="1">
        <v>2</v>
      </c>
      <c r="V245" s="3" t="s">
        <v>101</v>
      </c>
      <c r="W245" s="3" t="s">
        <v>1520</v>
      </c>
      <c r="X245" s="3"/>
      <c r="Y245" s="21"/>
      <c r="Z245" s="3">
        <v>2025</v>
      </c>
      <c r="AA245" s="22">
        <v>125528.74</v>
      </c>
      <c r="AB245" s="22"/>
      <c r="AC245" s="22">
        <v>125528.74</v>
      </c>
      <c r="AD245" s="2"/>
      <c r="AG245" s="1" t="s">
        <v>56</v>
      </c>
      <c r="AI245" s="22">
        <v>125528.74</v>
      </c>
    </row>
    <row r="246" spans="1:35" ht="14.45" customHeight="1" x14ac:dyDescent="0.2">
      <c r="A246" s="1" t="s">
        <v>57</v>
      </c>
      <c r="B246" s="9" t="s">
        <v>38</v>
      </c>
      <c r="C246" s="1" t="s">
        <v>58</v>
      </c>
      <c r="D246" s="1" t="s">
        <v>146</v>
      </c>
      <c r="E246" s="1" t="s">
        <v>42</v>
      </c>
      <c r="G246" s="1" t="s">
        <v>155</v>
      </c>
      <c r="H246" s="1" t="s">
        <v>156</v>
      </c>
      <c r="I246" s="1" t="s">
        <v>1524</v>
      </c>
      <c r="J246" s="1">
        <v>2022</v>
      </c>
      <c r="K246" s="1" t="s">
        <v>1525</v>
      </c>
      <c r="L246" s="1" t="s">
        <v>1526</v>
      </c>
      <c r="M246" s="1" t="s">
        <v>1527</v>
      </c>
      <c r="P246" s="1" t="s">
        <v>1528</v>
      </c>
      <c r="Q246" s="1" t="s">
        <v>842</v>
      </c>
      <c r="R246" s="1" t="s">
        <v>884</v>
      </c>
      <c r="S246" s="1" t="s">
        <v>1011</v>
      </c>
      <c r="T246" s="1" t="s">
        <v>1012</v>
      </c>
      <c r="V246" s="1" t="s">
        <v>887</v>
      </c>
      <c r="W246" s="1" t="s">
        <v>1529</v>
      </c>
      <c r="Y246" s="10">
        <v>45112</v>
      </c>
      <c r="Z246" s="1">
        <v>2023</v>
      </c>
      <c r="AA246" s="2">
        <v>1499994.28</v>
      </c>
      <c r="AB246" s="2"/>
      <c r="AC246" s="2">
        <v>1325981.1607692305</v>
      </c>
      <c r="AG246" s="1" t="s">
        <v>56</v>
      </c>
      <c r="AI246" s="2">
        <v>1325981.1607692305</v>
      </c>
    </row>
    <row r="247" spans="1:35" ht="12.6" customHeight="1" x14ac:dyDescent="0.2">
      <c r="A247" s="1" t="s">
        <v>57</v>
      </c>
      <c r="B247" s="9" t="s">
        <v>38</v>
      </c>
      <c r="C247" s="1" t="s">
        <v>58</v>
      </c>
      <c r="D247" s="1" t="s">
        <v>146</v>
      </c>
      <c r="E247" s="1" t="s">
        <v>42</v>
      </c>
      <c r="G247" s="1" t="s">
        <v>155</v>
      </c>
      <c r="H247" s="1" t="s">
        <v>156</v>
      </c>
      <c r="I247" s="1" t="s">
        <v>1530</v>
      </c>
      <c r="J247" s="1">
        <v>2022</v>
      </c>
      <c r="K247" s="1" t="s">
        <v>1531</v>
      </c>
      <c r="L247" s="1" t="s">
        <v>1532</v>
      </c>
      <c r="N247" s="1" t="s">
        <v>1533</v>
      </c>
      <c r="P247" s="1" t="s">
        <v>1534</v>
      </c>
      <c r="Q247" s="1" t="s">
        <v>1149</v>
      </c>
      <c r="R247" s="1" t="s">
        <v>1150</v>
      </c>
      <c r="S247" s="1" t="s">
        <v>1535</v>
      </c>
      <c r="T247" s="1" t="s">
        <v>1536</v>
      </c>
      <c r="V247" s="1" t="s">
        <v>1537</v>
      </c>
      <c r="W247" s="1" t="s">
        <v>1538</v>
      </c>
      <c r="Y247" s="10">
        <v>45112</v>
      </c>
      <c r="Z247" s="1">
        <v>2023</v>
      </c>
      <c r="AA247" s="2">
        <v>1215125.45</v>
      </c>
      <c r="AB247" s="2"/>
      <c r="AC247" s="2">
        <v>1215125.45</v>
      </c>
      <c r="AG247" s="1" t="s">
        <v>56</v>
      </c>
      <c r="AI247" s="2">
        <v>1215125.45</v>
      </c>
    </row>
    <row r="248" spans="1:35" ht="12.6" customHeight="1" x14ac:dyDescent="0.2">
      <c r="A248" s="1" t="s">
        <v>57</v>
      </c>
      <c r="B248" s="9" t="s">
        <v>38</v>
      </c>
      <c r="C248" s="1" t="s">
        <v>58</v>
      </c>
      <c r="D248" s="1" t="s">
        <v>146</v>
      </c>
      <c r="E248" s="1" t="s">
        <v>42</v>
      </c>
      <c r="G248" s="1" t="s">
        <v>155</v>
      </c>
      <c r="H248" s="1" t="s">
        <v>156</v>
      </c>
      <c r="I248" s="1" t="s">
        <v>1539</v>
      </c>
      <c r="J248" s="1">
        <v>2022</v>
      </c>
      <c r="K248" s="1" t="s">
        <v>1540</v>
      </c>
      <c r="L248" s="1" t="s">
        <v>1541</v>
      </c>
      <c r="P248" s="1" t="s">
        <v>1542</v>
      </c>
      <c r="Q248" s="1" t="s">
        <v>264</v>
      </c>
      <c r="R248" s="1" t="s">
        <v>265</v>
      </c>
      <c r="S248" s="1" t="s">
        <v>855</v>
      </c>
      <c r="T248" s="1" t="s">
        <v>856</v>
      </c>
      <c r="U248" s="1">
        <v>2</v>
      </c>
      <c r="V248" s="1" t="s">
        <v>308</v>
      </c>
      <c r="W248" s="1" t="s">
        <v>1543</v>
      </c>
      <c r="Y248" s="10">
        <v>45112</v>
      </c>
      <c r="Z248" s="1">
        <v>2023</v>
      </c>
      <c r="AA248" s="2">
        <v>477825.36</v>
      </c>
      <c r="AB248" s="2"/>
      <c r="AC248" s="2">
        <v>477825.36</v>
      </c>
      <c r="AG248" s="1" t="s">
        <v>56</v>
      </c>
      <c r="AI248" s="2">
        <v>477825.36</v>
      </c>
    </row>
    <row r="249" spans="1:35" ht="14.45" customHeight="1" x14ac:dyDescent="0.2">
      <c r="A249" s="1" t="s">
        <v>57</v>
      </c>
      <c r="B249" s="9" t="s">
        <v>38</v>
      </c>
      <c r="C249" s="1" t="s">
        <v>58</v>
      </c>
      <c r="D249" s="1" t="s">
        <v>146</v>
      </c>
      <c r="E249" s="1" t="s">
        <v>42</v>
      </c>
      <c r="G249" s="1" t="s">
        <v>155</v>
      </c>
      <c r="H249" s="1" t="s">
        <v>156</v>
      </c>
      <c r="I249" s="1" t="s">
        <v>1544</v>
      </c>
      <c r="J249" s="1">
        <v>2022</v>
      </c>
      <c r="K249" s="1" t="s">
        <v>1545</v>
      </c>
      <c r="L249" s="1" t="s">
        <v>1546</v>
      </c>
      <c r="M249" s="1" t="s">
        <v>1547</v>
      </c>
      <c r="N249" s="1" t="s">
        <v>1548</v>
      </c>
      <c r="P249" s="1" t="s">
        <v>1549</v>
      </c>
      <c r="Q249" s="1" t="s">
        <v>50</v>
      </c>
      <c r="R249" s="1" t="s">
        <v>51</v>
      </c>
      <c r="S249" s="1" t="s">
        <v>1550</v>
      </c>
      <c r="T249" s="1" t="s">
        <v>1551</v>
      </c>
      <c r="V249" s="1" t="s">
        <v>54</v>
      </c>
      <c r="W249" s="1" t="s">
        <v>1552</v>
      </c>
      <c r="Y249" s="10">
        <v>45112</v>
      </c>
      <c r="Z249" s="1">
        <v>2023</v>
      </c>
      <c r="AA249" s="2">
        <v>525881.56999999995</v>
      </c>
      <c r="AB249" s="2"/>
      <c r="AC249" s="2">
        <v>525881.56999999995</v>
      </c>
      <c r="AG249" s="1" t="s">
        <v>56</v>
      </c>
      <c r="AI249" s="2">
        <v>525881.56999999995</v>
      </c>
    </row>
    <row r="250" spans="1:35" ht="14.45" customHeight="1" x14ac:dyDescent="0.2">
      <c r="A250" s="1" t="s">
        <v>57</v>
      </c>
      <c r="B250" s="9" t="s">
        <v>38</v>
      </c>
      <c r="C250" s="1" t="s">
        <v>58</v>
      </c>
      <c r="D250" s="1" t="s">
        <v>146</v>
      </c>
      <c r="E250" s="1" t="s">
        <v>42</v>
      </c>
      <c r="G250" s="1" t="s">
        <v>155</v>
      </c>
      <c r="H250" s="1" t="s">
        <v>156</v>
      </c>
      <c r="I250" s="1" t="s">
        <v>1553</v>
      </c>
      <c r="J250" s="1">
        <v>2022</v>
      </c>
      <c r="K250" s="1" t="s">
        <v>1554</v>
      </c>
      <c r="L250" s="1" t="s">
        <v>1555</v>
      </c>
      <c r="P250" s="1" t="s">
        <v>1556</v>
      </c>
      <c r="Q250" s="1" t="s">
        <v>264</v>
      </c>
      <c r="R250" s="1" t="s">
        <v>265</v>
      </c>
      <c r="S250" s="1" t="s">
        <v>1557</v>
      </c>
      <c r="T250" s="1" t="s">
        <v>1558</v>
      </c>
      <c r="U250" s="1">
        <v>1</v>
      </c>
      <c r="V250" s="1" t="s">
        <v>268</v>
      </c>
      <c r="W250" s="1" t="s">
        <v>1559</v>
      </c>
      <c r="Y250" s="10">
        <v>45112</v>
      </c>
      <c r="Z250" s="1">
        <v>2023</v>
      </c>
      <c r="AA250" s="2">
        <v>492744.63</v>
      </c>
      <c r="AB250" s="2"/>
      <c r="AC250" s="2">
        <v>492744.63</v>
      </c>
      <c r="AG250" s="1" t="s">
        <v>56</v>
      </c>
      <c r="AI250" s="2">
        <v>492744.63</v>
      </c>
    </row>
    <row r="251" spans="1:35" ht="12.6" customHeight="1" x14ac:dyDescent="0.2">
      <c r="A251" s="1" t="s">
        <v>57</v>
      </c>
      <c r="B251" s="9" t="s">
        <v>38</v>
      </c>
      <c r="C251" s="1" t="s">
        <v>58</v>
      </c>
      <c r="D251" s="1" t="s">
        <v>59</v>
      </c>
      <c r="E251" s="1" t="s">
        <v>42</v>
      </c>
      <c r="F251" s="1" t="s">
        <v>165</v>
      </c>
      <c r="G251" s="1" t="s">
        <v>88</v>
      </c>
      <c r="H251" s="1" t="s">
        <v>166</v>
      </c>
      <c r="I251" s="1" t="s">
        <v>1560</v>
      </c>
      <c r="J251" s="1">
        <v>2023</v>
      </c>
      <c r="K251" s="1" t="s">
        <v>1561</v>
      </c>
      <c r="L251" s="1" t="s">
        <v>1562</v>
      </c>
      <c r="M251" s="1" t="s">
        <v>170</v>
      </c>
      <c r="P251" s="1" t="s">
        <v>1563</v>
      </c>
      <c r="Q251" s="1" t="s">
        <v>50</v>
      </c>
      <c r="R251" s="1" t="s">
        <v>68</v>
      </c>
      <c r="S251" s="1" t="s">
        <v>69</v>
      </c>
      <c r="T251" s="2" t="s">
        <v>70</v>
      </c>
      <c r="U251" s="1">
        <v>1</v>
      </c>
      <c r="V251" s="1" t="str">
        <f>VLOOKUP(Tabla35[[#This Row],[Municipio]],[1]CON_INE_2024!$H$5:$K$353,3,FALSE)</f>
        <v>Bierzo-Laciana</v>
      </c>
      <c r="W251" s="1" t="s">
        <v>1564</v>
      </c>
      <c r="Y251" s="10">
        <v>45802</v>
      </c>
      <c r="Z251" s="1">
        <v>2025</v>
      </c>
      <c r="AA251" s="12">
        <v>438800</v>
      </c>
      <c r="AB251" s="2"/>
      <c r="AC251" s="12">
        <v>153580</v>
      </c>
      <c r="AD251" s="1">
        <v>2</v>
      </c>
      <c r="AE251" s="1">
        <v>1.5</v>
      </c>
      <c r="AG251" s="1" t="s">
        <v>56</v>
      </c>
      <c r="AI251" s="13">
        <v>153580</v>
      </c>
    </row>
    <row r="252" spans="1:35" x14ac:dyDescent="0.2">
      <c r="A252" s="1" t="s">
        <v>57</v>
      </c>
      <c r="B252" s="9" t="s">
        <v>38</v>
      </c>
      <c r="C252" s="1" t="s">
        <v>58</v>
      </c>
      <c r="D252" s="1" t="s">
        <v>146</v>
      </c>
      <c r="E252" s="1" t="s">
        <v>42</v>
      </c>
      <c r="G252" s="1" t="s">
        <v>155</v>
      </c>
      <c r="H252" s="1" t="s">
        <v>156</v>
      </c>
      <c r="I252" s="1" t="s">
        <v>1565</v>
      </c>
      <c r="J252" s="1">
        <v>2022</v>
      </c>
      <c r="K252" s="1" t="s">
        <v>1566</v>
      </c>
      <c r="L252" s="1" t="s">
        <v>1567</v>
      </c>
      <c r="M252" s="1" t="s">
        <v>1568</v>
      </c>
      <c r="P252" s="1" t="s">
        <v>188</v>
      </c>
      <c r="Q252" s="1" t="s">
        <v>50</v>
      </c>
      <c r="R252" s="1" t="s">
        <v>68</v>
      </c>
      <c r="S252" s="1" t="s">
        <v>189</v>
      </c>
      <c r="T252" s="1" t="s">
        <v>190</v>
      </c>
      <c r="U252" s="1">
        <v>1</v>
      </c>
      <c r="V252" s="1" t="s">
        <v>71</v>
      </c>
      <c r="W252" s="1" t="s">
        <v>1569</v>
      </c>
      <c r="Y252" s="10">
        <v>45112</v>
      </c>
      <c r="Z252" s="1">
        <v>2023</v>
      </c>
      <c r="AA252" s="2">
        <v>1451133.34</v>
      </c>
      <c r="AB252" s="2"/>
      <c r="AC252" s="2">
        <v>1451133.34</v>
      </c>
      <c r="AG252" s="1" t="s">
        <v>56</v>
      </c>
      <c r="AI252" s="2">
        <v>1451133.34</v>
      </c>
    </row>
    <row r="253" spans="1:35" ht="14.45" customHeight="1" x14ac:dyDescent="0.2">
      <c r="A253" s="1" t="s">
        <v>57</v>
      </c>
      <c r="B253" s="9" t="s">
        <v>38</v>
      </c>
      <c r="C253" s="1" t="s">
        <v>58</v>
      </c>
      <c r="D253" s="1" t="s">
        <v>59</v>
      </c>
      <c r="E253" s="1" t="s">
        <v>42</v>
      </c>
      <c r="F253" s="1" t="s">
        <v>165</v>
      </c>
      <c r="G253" s="1" t="s">
        <v>88</v>
      </c>
      <c r="H253" s="1" t="s">
        <v>166</v>
      </c>
      <c r="I253" s="1" t="s">
        <v>1570</v>
      </c>
      <c r="J253" s="1">
        <v>2023</v>
      </c>
      <c r="K253" s="1" t="s">
        <v>1571</v>
      </c>
      <c r="L253" s="1" t="s">
        <v>1572</v>
      </c>
      <c r="M253" s="1" t="s">
        <v>170</v>
      </c>
      <c r="P253" s="1" t="s">
        <v>1573</v>
      </c>
      <c r="Q253" s="1" t="s">
        <v>50</v>
      </c>
      <c r="R253" s="1" t="s">
        <v>68</v>
      </c>
      <c r="S253" s="1" t="s">
        <v>189</v>
      </c>
      <c r="T253" s="2" t="s">
        <v>190</v>
      </c>
      <c r="U253" s="1">
        <v>1</v>
      </c>
      <c r="V253" s="1" t="str">
        <f>VLOOKUP(Tabla35[[#This Row],[Municipio]],[1]CON_INE_2024!$H$5:$K$353,3,FALSE)</f>
        <v>Bierzo-Laciana</v>
      </c>
      <c r="W253" s="1" t="s">
        <v>1574</v>
      </c>
      <c r="Y253" s="10">
        <v>45802</v>
      </c>
      <c r="Z253" s="1">
        <v>2025</v>
      </c>
      <c r="AA253" s="12">
        <v>392796</v>
      </c>
      <c r="AB253" s="2"/>
      <c r="AC253" s="12">
        <v>137478.6</v>
      </c>
      <c r="AD253" s="1">
        <v>3.5</v>
      </c>
      <c r="AE253" s="1">
        <v>1</v>
      </c>
      <c r="AG253" s="1" t="s">
        <v>56</v>
      </c>
      <c r="AI253" s="13">
        <v>137478.6</v>
      </c>
    </row>
    <row r="254" spans="1:35" ht="12.6" customHeight="1" x14ac:dyDescent="0.2">
      <c r="A254" s="1" t="s">
        <v>57</v>
      </c>
      <c r="B254" s="9" t="s">
        <v>38</v>
      </c>
      <c r="C254" s="1" t="s">
        <v>58</v>
      </c>
      <c r="D254" s="1" t="s">
        <v>59</v>
      </c>
      <c r="E254" s="1" t="s">
        <v>42</v>
      </c>
      <c r="F254" s="1" t="s">
        <v>165</v>
      </c>
      <c r="G254" s="1" t="s">
        <v>88</v>
      </c>
      <c r="H254" s="1" t="s">
        <v>166</v>
      </c>
      <c r="I254" s="1" t="s">
        <v>1575</v>
      </c>
      <c r="J254" s="1">
        <v>2023</v>
      </c>
      <c r="K254" s="1" t="s">
        <v>1576</v>
      </c>
      <c r="L254" s="1" t="s">
        <v>1577</v>
      </c>
      <c r="M254" s="1" t="s">
        <v>170</v>
      </c>
      <c r="P254" s="1" t="s">
        <v>1578</v>
      </c>
      <c r="Q254" s="1" t="s">
        <v>50</v>
      </c>
      <c r="R254" s="1" t="s">
        <v>68</v>
      </c>
      <c r="S254" s="1" t="s">
        <v>814</v>
      </c>
      <c r="T254" s="2" t="s">
        <v>815</v>
      </c>
      <c r="U254" s="1">
        <v>2</v>
      </c>
      <c r="V254" s="1" t="str">
        <f>VLOOKUP(Tabla35[[#This Row],[Municipio]],[1]CON_INE_2024!$H$5:$K$353,3,FALSE)</f>
        <v>Bierzo-Laciana</v>
      </c>
      <c r="W254" s="1" t="s">
        <v>1579</v>
      </c>
      <c r="Y254" s="10">
        <v>45802</v>
      </c>
      <c r="Z254" s="1">
        <v>2025</v>
      </c>
      <c r="AA254" s="12">
        <v>179381.74</v>
      </c>
      <c r="AB254" s="2"/>
      <c r="AC254" s="12">
        <v>31391.8</v>
      </c>
      <c r="AD254" s="1">
        <v>1</v>
      </c>
      <c r="AE254" s="1">
        <v>0.5</v>
      </c>
      <c r="AG254" s="1" t="s">
        <v>56</v>
      </c>
      <c r="AI254" s="13">
        <v>31391.8</v>
      </c>
    </row>
    <row r="255" spans="1:35" ht="14.45" customHeight="1" x14ac:dyDescent="0.2">
      <c r="A255" s="1" t="s">
        <v>57</v>
      </c>
      <c r="B255" s="9" t="s">
        <v>38</v>
      </c>
      <c r="C255" s="1" t="s">
        <v>58</v>
      </c>
      <c r="D255" s="1" t="s">
        <v>59</v>
      </c>
      <c r="E255" s="1" t="s">
        <v>42</v>
      </c>
      <c r="F255" s="1" t="s">
        <v>165</v>
      </c>
      <c r="G255" s="1" t="s">
        <v>88</v>
      </c>
      <c r="H255" s="1" t="s">
        <v>166</v>
      </c>
      <c r="I255" s="1" t="s">
        <v>1580</v>
      </c>
      <c r="J255" s="1">
        <v>2023</v>
      </c>
      <c r="K255" s="1" t="s">
        <v>1581</v>
      </c>
      <c r="L255" s="1" t="s">
        <v>1582</v>
      </c>
      <c r="M255" s="1" t="s">
        <v>170</v>
      </c>
      <c r="P255" s="1" t="s">
        <v>1583</v>
      </c>
      <c r="Q255" s="1" t="s">
        <v>50</v>
      </c>
      <c r="R255" s="1" t="s">
        <v>68</v>
      </c>
      <c r="S255" s="1" t="s">
        <v>1360</v>
      </c>
      <c r="T255" s="2" t="s">
        <v>1361</v>
      </c>
      <c r="U255" s="1">
        <v>1</v>
      </c>
      <c r="V255" s="1" t="str">
        <f>VLOOKUP(Tabla35[[#This Row],[Municipio]],[1]CON_INE_2024!$H$5:$K$353,3,FALSE)</f>
        <v>Bierzo-Laciana</v>
      </c>
      <c r="W255" s="1" t="s">
        <v>1584</v>
      </c>
      <c r="Y255" s="10">
        <v>45802</v>
      </c>
      <c r="Z255" s="1">
        <v>2025</v>
      </c>
      <c r="AA255" s="12">
        <v>43643.66</v>
      </c>
      <c r="AB255" s="2"/>
      <c r="AC255" s="12">
        <v>15275.28</v>
      </c>
      <c r="AD255" s="1">
        <v>1</v>
      </c>
      <c r="AE255" s="1">
        <v>0</v>
      </c>
      <c r="AG255" s="1" t="s">
        <v>56</v>
      </c>
      <c r="AI255" s="13">
        <v>15275.28</v>
      </c>
    </row>
    <row r="256" spans="1:35" ht="12.6" customHeight="1" x14ac:dyDescent="0.2">
      <c r="A256" s="1" t="s">
        <v>57</v>
      </c>
      <c r="B256" s="9" t="s">
        <v>38</v>
      </c>
      <c r="C256" s="1" t="s">
        <v>58</v>
      </c>
      <c r="D256" s="1" t="s">
        <v>59</v>
      </c>
      <c r="E256" s="1" t="s">
        <v>42</v>
      </c>
      <c r="F256" s="1" t="s">
        <v>165</v>
      </c>
      <c r="G256" s="1" t="s">
        <v>88</v>
      </c>
      <c r="H256" s="1" t="s">
        <v>166</v>
      </c>
      <c r="I256" s="1" t="s">
        <v>1585</v>
      </c>
      <c r="J256" s="1">
        <v>2023</v>
      </c>
      <c r="K256" s="1" t="s">
        <v>1586</v>
      </c>
      <c r="L256" s="1" t="s">
        <v>1587</v>
      </c>
      <c r="M256" s="1" t="s">
        <v>1588</v>
      </c>
      <c r="P256" s="1" t="s">
        <v>1589</v>
      </c>
      <c r="Q256" s="1" t="s">
        <v>50</v>
      </c>
      <c r="R256" s="1" t="s">
        <v>68</v>
      </c>
      <c r="S256" s="1" t="s">
        <v>692</v>
      </c>
      <c r="T256" s="2" t="s">
        <v>693</v>
      </c>
      <c r="U256" s="1">
        <v>2</v>
      </c>
      <c r="V256" s="1" t="str">
        <f>VLOOKUP(Tabla35[[#This Row],[Municipio]],[1]CON_INE_2024!$H$5:$K$353,3,FALSE)</f>
        <v>Bierzo-Laciana</v>
      </c>
      <c r="W256" s="1" t="s">
        <v>1590</v>
      </c>
      <c r="Y256" s="10">
        <v>45802</v>
      </c>
      <c r="Z256" s="1">
        <v>2025</v>
      </c>
      <c r="AA256" s="12">
        <v>81608.2</v>
      </c>
      <c r="AB256" s="2"/>
      <c r="AC256" s="12">
        <v>14281.44</v>
      </c>
      <c r="AD256" s="1">
        <v>1</v>
      </c>
      <c r="AE256" s="1">
        <v>1</v>
      </c>
      <c r="AG256" s="1" t="s">
        <v>56</v>
      </c>
      <c r="AI256" s="13">
        <v>14281.44</v>
      </c>
    </row>
    <row r="257" spans="1:35" ht="12.6" customHeight="1" x14ac:dyDescent="0.2">
      <c r="A257" s="1" t="s">
        <v>57</v>
      </c>
      <c r="B257" s="9" t="s">
        <v>38</v>
      </c>
      <c r="C257" s="1" t="s">
        <v>58</v>
      </c>
      <c r="D257" s="1" t="s">
        <v>59</v>
      </c>
      <c r="E257" s="1" t="s">
        <v>42</v>
      </c>
      <c r="F257" s="1" t="s">
        <v>165</v>
      </c>
      <c r="G257" s="1" t="s">
        <v>88</v>
      </c>
      <c r="H257" s="1" t="s">
        <v>166</v>
      </c>
      <c r="I257" s="1" t="s">
        <v>1591</v>
      </c>
      <c r="J257" s="1">
        <v>2023</v>
      </c>
      <c r="K257" s="1" t="s">
        <v>1592</v>
      </c>
      <c r="L257" s="1" t="s">
        <v>1593</v>
      </c>
      <c r="M257" s="1" t="s">
        <v>1594</v>
      </c>
      <c r="P257" s="1" t="s">
        <v>1595</v>
      </c>
      <c r="Q257" s="1" t="s">
        <v>50</v>
      </c>
      <c r="R257" s="1" t="s">
        <v>68</v>
      </c>
      <c r="S257" s="1" t="s">
        <v>1596</v>
      </c>
      <c r="T257" s="2" t="s">
        <v>1597</v>
      </c>
      <c r="U257" s="1">
        <v>1</v>
      </c>
      <c r="V257" s="1" t="str">
        <f>VLOOKUP(Tabla35[[#This Row],[Municipio]],[1]CON_INE_2024!$H$5:$K$353,3,FALSE)</f>
        <v>Bierzo-Laciana</v>
      </c>
      <c r="W257" s="1" t="s">
        <v>1598</v>
      </c>
      <c r="Y257" s="10">
        <v>45802</v>
      </c>
      <c r="Z257" s="1">
        <v>2025</v>
      </c>
      <c r="AA257" s="12">
        <v>52996.44</v>
      </c>
      <c r="AB257" s="2"/>
      <c r="AC257" s="12">
        <v>18548.75</v>
      </c>
      <c r="AD257" s="1">
        <v>1</v>
      </c>
      <c r="AE257" s="1">
        <v>1</v>
      </c>
      <c r="AG257" s="1" t="s">
        <v>56</v>
      </c>
      <c r="AI257" s="13">
        <v>18548.75</v>
      </c>
    </row>
    <row r="258" spans="1:35" ht="12.6" customHeight="1" x14ac:dyDescent="0.2">
      <c r="A258" s="1" t="s">
        <v>57</v>
      </c>
      <c r="B258" s="9" t="s">
        <v>38</v>
      </c>
      <c r="C258" s="1" t="s">
        <v>58</v>
      </c>
      <c r="D258" s="1" t="s">
        <v>59</v>
      </c>
      <c r="E258" s="1" t="s">
        <v>42</v>
      </c>
      <c r="F258" s="1" t="s">
        <v>165</v>
      </c>
      <c r="G258" s="1" t="s">
        <v>88</v>
      </c>
      <c r="H258" s="1" t="s">
        <v>166</v>
      </c>
      <c r="I258" s="1" t="s">
        <v>1599</v>
      </c>
      <c r="J258" s="1">
        <v>2023</v>
      </c>
      <c r="K258" s="1" t="s">
        <v>1600</v>
      </c>
      <c r="L258" s="1" t="s">
        <v>1601</v>
      </c>
      <c r="M258" s="1" t="s">
        <v>170</v>
      </c>
      <c r="P258" s="1" t="s">
        <v>1602</v>
      </c>
      <c r="Q258" s="1" t="s">
        <v>50</v>
      </c>
      <c r="R258" s="1" t="s">
        <v>68</v>
      </c>
      <c r="S258" s="1" t="s">
        <v>1360</v>
      </c>
      <c r="T258" s="2" t="s">
        <v>1361</v>
      </c>
      <c r="U258" s="1">
        <v>1</v>
      </c>
      <c r="V258" s="1" t="str">
        <f>VLOOKUP(Tabla35[[#This Row],[Municipio]],[1]CON_INE_2024!$H$5:$K$353,3,FALSE)</f>
        <v>Bierzo-Laciana</v>
      </c>
      <c r="W258" s="1" t="s">
        <v>1603</v>
      </c>
      <c r="Y258" s="10">
        <v>45802</v>
      </c>
      <c r="Z258" s="1">
        <v>2025</v>
      </c>
      <c r="AA258" s="12">
        <v>64243.73</v>
      </c>
      <c r="AB258" s="2"/>
      <c r="AC258" s="12">
        <v>22485.31</v>
      </c>
      <c r="AD258" s="1">
        <v>1</v>
      </c>
      <c r="AE258" s="1">
        <v>0</v>
      </c>
      <c r="AG258" s="1" t="s">
        <v>56</v>
      </c>
      <c r="AI258" s="13">
        <v>22485.31</v>
      </c>
    </row>
    <row r="259" spans="1:35" ht="12.6" customHeight="1" x14ac:dyDescent="0.2">
      <c r="A259" s="1" t="s">
        <v>57</v>
      </c>
      <c r="B259" s="9" t="s">
        <v>38</v>
      </c>
      <c r="C259" s="1" t="s">
        <v>58</v>
      </c>
      <c r="D259" s="1" t="s">
        <v>146</v>
      </c>
      <c r="E259" s="1" t="s">
        <v>42</v>
      </c>
      <c r="G259" s="1" t="s">
        <v>155</v>
      </c>
      <c r="H259" s="1" t="s">
        <v>156</v>
      </c>
      <c r="I259" s="1" t="s">
        <v>1604</v>
      </c>
      <c r="J259" s="1">
        <v>2022</v>
      </c>
      <c r="K259" s="1" t="s">
        <v>1605</v>
      </c>
      <c r="L259" s="1" t="s">
        <v>1606</v>
      </c>
      <c r="M259" s="1" t="s">
        <v>1607</v>
      </c>
      <c r="N259" s="1" t="s">
        <v>1608</v>
      </c>
      <c r="P259" s="1" t="s">
        <v>1609</v>
      </c>
      <c r="Q259" s="1" t="s">
        <v>50</v>
      </c>
      <c r="R259" s="1" t="s">
        <v>68</v>
      </c>
      <c r="S259" s="1" t="s">
        <v>425</v>
      </c>
      <c r="T259" s="1" t="s">
        <v>426</v>
      </c>
      <c r="U259" s="1">
        <v>1</v>
      </c>
      <c r="V259" s="1" t="s">
        <v>195</v>
      </c>
      <c r="W259" s="1" t="s">
        <v>1610</v>
      </c>
      <c r="Y259" s="10">
        <v>45112</v>
      </c>
      <c r="Z259" s="1">
        <v>2023</v>
      </c>
      <c r="AA259" s="2">
        <v>425598.66</v>
      </c>
      <c r="AB259" s="2"/>
      <c r="AC259" s="2">
        <v>425598.66</v>
      </c>
      <c r="AG259" s="1" t="s">
        <v>56</v>
      </c>
      <c r="AI259" s="2">
        <v>425598.66</v>
      </c>
    </row>
    <row r="260" spans="1:35" ht="12.6" customHeight="1" x14ac:dyDescent="0.2">
      <c r="A260" s="1" t="s">
        <v>57</v>
      </c>
      <c r="B260" s="9" t="s">
        <v>38</v>
      </c>
      <c r="C260" s="1" t="s">
        <v>58</v>
      </c>
      <c r="D260" s="1" t="s">
        <v>146</v>
      </c>
      <c r="E260" s="1" t="s">
        <v>42</v>
      </c>
      <c r="G260" s="1" t="s">
        <v>155</v>
      </c>
      <c r="H260" s="1" t="s">
        <v>156</v>
      </c>
      <c r="I260" s="1" t="s">
        <v>1611</v>
      </c>
      <c r="J260" s="1">
        <v>2022</v>
      </c>
      <c r="K260" s="1" t="s">
        <v>1612</v>
      </c>
      <c r="L260" s="1" t="s">
        <v>1613</v>
      </c>
      <c r="M260" s="1" t="s">
        <v>1614</v>
      </c>
      <c r="P260" s="1" t="s">
        <v>1615</v>
      </c>
      <c r="Q260" s="1" t="s">
        <v>101</v>
      </c>
      <c r="R260" s="1" t="s">
        <v>102</v>
      </c>
      <c r="S260" s="1" t="s">
        <v>1616</v>
      </c>
      <c r="T260" s="1" t="s">
        <v>1617</v>
      </c>
      <c r="V260" s="1" t="s">
        <v>101</v>
      </c>
      <c r="W260" s="1" t="s">
        <v>1618</v>
      </c>
      <c r="Y260" s="10">
        <v>45112</v>
      </c>
      <c r="Z260" s="1">
        <v>2023</v>
      </c>
      <c r="AA260" s="2">
        <v>95089.65</v>
      </c>
      <c r="AB260" s="2"/>
      <c r="AC260" s="2">
        <v>95089.65</v>
      </c>
      <c r="AG260" s="1" t="s">
        <v>56</v>
      </c>
      <c r="AI260" s="2">
        <v>95089.65</v>
      </c>
    </row>
    <row r="261" spans="1:35" ht="12.6" customHeight="1" x14ac:dyDescent="0.2">
      <c r="A261" s="1" t="s">
        <v>57</v>
      </c>
      <c r="B261" s="9" t="s">
        <v>38</v>
      </c>
      <c r="C261" s="1" t="s">
        <v>58</v>
      </c>
      <c r="D261" s="1" t="s">
        <v>146</v>
      </c>
      <c r="E261" s="1" t="s">
        <v>42</v>
      </c>
      <c r="G261" s="1" t="s">
        <v>155</v>
      </c>
      <c r="H261" s="1" t="s">
        <v>156</v>
      </c>
      <c r="I261" s="1" t="s">
        <v>1619</v>
      </c>
      <c r="J261" s="1">
        <v>2022</v>
      </c>
      <c r="K261" s="1" t="s">
        <v>1620</v>
      </c>
      <c r="L261" s="1" t="s">
        <v>1621</v>
      </c>
      <c r="P261" s="1" t="s">
        <v>1470</v>
      </c>
      <c r="Q261" s="1" t="s">
        <v>1149</v>
      </c>
      <c r="R261" s="1" t="s">
        <v>1150</v>
      </c>
      <c r="S261" s="1" t="s">
        <v>1471</v>
      </c>
      <c r="T261" s="1" t="s">
        <v>1472</v>
      </c>
      <c r="V261" s="1" t="s">
        <v>1153</v>
      </c>
      <c r="W261" s="1" t="s">
        <v>1622</v>
      </c>
      <c r="Y261" s="10">
        <v>45112</v>
      </c>
      <c r="Z261" s="1">
        <v>2023</v>
      </c>
      <c r="AA261" s="2">
        <v>706989.45</v>
      </c>
      <c r="AB261" s="2"/>
      <c r="AC261" s="2">
        <v>706989.45</v>
      </c>
      <c r="AG261" s="1" t="s">
        <v>56</v>
      </c>
      <c r="AI261" s="2">
        <v>706989.45</v>
      </c>
    </row>
    <row r="262" spans="1:35" ht="12.6" customHeight="1" x14ac:dyDescent="0.2">
      <c r="A262" s="1" t="s">
        <v>57</v>
      </c>
      <c r="B262" s="9" t="s">
        <v>38</v>
      </c>
      <c r="C262" s="1" t="s">
        <v>58</v>
      </c>
      <c r="D262" s="1" t="s">
        <v>146</v>
      </c>
      <c r="E262" s="1" t="s">
        <v>42</v>
      </c>
      <c r="G262" s="1" t="s">
        <v>155</v>
      </c>
      <c r="H262" s="1" t="s">
        <v>156</v>
      </c>
      <c r="I262" s="1" t="s">
        <v>1623</v>
      </c>
      <c r="J262" s="1">
        <v>2022</v>
      </c>
      <c r="K262" s="1" t="s">
        <v>1624</v>
      </c>
      <c r="L262" s="1" t="s">
        <v>1625</v>
      </c>
      <c r="M262" s="1" t="s">
        <v>1626</v>
      </c>
      <c r="N262" s="1" t="s">
        <v>1627</v>
      </c>
      <c r="P262" s="1" t="s">
        <v>1609</v>
      </c>
      <c r="Q262" s="1" t="s">
        <v>50</v>
      </c>
      <c r="R262" s="1" t="s">
        <v>68</v>
      </c>
      <c r="S262" s="1" t="s">
        <v>425</v>
      </c>
      <c r="T262" s="1" t="s">
        <v>426</v>
      </c>
      <c r="U262" s="1">
        <v>1</v>
      </c>
      <c r="V262" s="1" t="s">
        <v>195</v>
      </c>
      <c r="W262" s="1" t="s">
        <v>1628</v>
      </c>
      <c r="Y262" s="10">
        <v>45112</v>
      </c>
      <c r="Z262" s="1">
        <v>2023</v>
      </c>
      <c r="AA262" s="2">
        <v>1812163.34</v>
      </c>
      <c r="AB262" s="2"/>
      <c r="AC262" s="2">
        <v>1812163.34</v>
      </c>
      <c r="AG262" s="1" t="s">
        <v>56</v>
      </c>
      <c r="AI262" s="2">
        <v>1812163.34</v>
      </c>
    </row>
    <row r="263" spans="1:35" ht="12.6" customHeight="1" x14ac:dyDescent="0.2">
      <c r="A263" s="1" t="s">
        <v>57</v>
      </c>
      <c r="B263" s="9" t="s">
        <v>38</v>
      </c>
      <c r="C263" s="1" t="s">
        <v>58</v>
      </c>
      <c r="D263" s="1" t="s">
        <v>146</v>
      </c>
      <c r="E263" s="1" t="s">
        <v>42</v>
      </c>
      <c r="G263" s="1" t="s">
        <v>155</v>
      </c>
      <c r="H263" s="1" t="s">
        <v>156</v>
      </c>
      <c r="I263" s="1" t="s">
        <v>1629</v>
      </c>
      <c r="J263" s="1">
        <v>2022</v>
      </c>
      <c r="K263" s="1" t="s">
        <v>1630</v>
      </c>
      <c r="L263" s="1" t="s">
        <v>1631</v>
      </c>
      <c r="M263" s="1" t="s">
        <v>1632</v>
      </c>
      <c r="N263" s="1" t="s">
        <v>1633</v>
      </c>
      <c r="P263" s="1" t="s">
        <v>1634</v>
      </c>
      <c r="Q263" s="1" t="s">
        <v>1149</v>
      </c>
      <c r="R263" s="1" t="s">
        <v>1150</v>
      </c>
      <c r="S263" s="1" t="s">
        <v>1635</v>
      </c>
      <c r="T263" s="1" t="s">
        <v>1636</v>
      </c>
      <c r="V263" s="1" t="s">
        <v>1153</v>
      </c>
      <c r="W263" s="1" t="s">
        <v>1637</v>
      </c>
      <c r="Y263" s="10">
        <v>45112</v>
      </c>
      <c r="Z263" s="1">
        <v>2023</v>
      </c>
      <c r="AA263" s="2">
        <v>304046.31</v>
      </c>
      <c r="AB263" s="2"/>
      <c r="AC263" s="2">
        <v>304046.31</v>
      </c>
      <c r="AG263" s="1" t="s">
        <v>56</v>
      </c>
      <c r="AI263" s="2">
        <v>304046.31</v>
      </c>
    </row>
    <row r="264" spans="1:35" ht="12.6" customHeight="1" x14ac:dyDescent="0.2">
      <c r="A264" s="1" t="s">
        <v>57</v>
      </c>
      <c r="B264" s="9" t="s">
        <v>38</v>
      </c>
      <c r="C264" s="1" t="s">
        <v>58</v>
      </c>
      <c r="D264" s="1" t="s">
        <v>146</v>
      </c>
      <c r="E264" s="1" t="s">
        <v>42</v>
      </c>
      <c r="G264" s="1" t="s">
        <v>155</v>
      </c>
      <c r="H264" s="1" t="s">
        <v>156</v>
      </c>
      <c r="I264" s="1" t="s">
        <v>1638</v>
      </c>
      <c r="J264" s="1">
        <v>2022</v>
      </c>
      <c r="K264" s="1" t="s">
        <v>1639</v>
      </c>
      <c r="L264" s="1" t="s">
        <v>1640</v>
      </c>
      <c r="N264" s="1" t="s">
        <v>1641</v>
      </c>
      <c r="P264" s="1" t="s">
        <v>1642</v>
      </c>
      <c r="Q264" s="1" t="s">
        <v>50</v>
      </c>
      <c r="R264" s="1" t="s">
        <v>51</v>
      </c>
      <c r="S264" s="1" t="s">
        <v>1643</v>
      </c>
      <c r="T264" s="1" t="s">
        <v>1644</v>
      </c>
      <c r="V264" s="1" t="s">
        <v>54</v>
      </c>
      <c r="W264" s="1" t="s">
        <v>1645</v>
      </c>
      <c r="Y264" s="10">
        <v>45112</v>
      </c>
      <c r="Z264" s="1">
        <v>2023</v>
      </c>
      <c r="AA264" s="2">
        <v>223846.43</v>
      </c>
      <c r="AB264" s="2"/>
      <c r="AC264" s="2">
        <v>223846.43</v>
      </c>
      <c r="AG264" s="1" t="s">
        <v>56</v>
      </c>
      <c r="AI264" s="2">
        <v>223846.43</v>
      </c>
    </row>
    <row r="265" spans="1:35" ht="37.9" customHeight="1" x14ac:dyDescent="0.2">
      <c r="A265" s="1" t="s">
        <v>57</v>
      </c>
      <c r="B265" s="9" t="s">
        <v>38</v>
      </c>
      <c r="C265" s="1" t="s">
        <v>58</v>
      </c>
      <c r="D265" s="1" t="s">
        <v>146</v>
      </c>
      <c r="E265" s="1" t="s">
        <v>42</v>
      </c>
      <c r="G265" s="1" t="s">
        <v>155</v>
      </c>
      <c r="H265" s="1" t="s">
        <v>156</v>
      </c>
      <c r="I265" s="1" t="s">
        <v>1646</v>
      </c>
      <c r="J265" s="1">
        <v>2022</v>
      </c>
      <c r="K265" s="1" t="s">
        <v>1647</v>
      </c>
      <c r="L265" s="1" t="s">
        <v>1648</v>
      </c>
      <c r="P265" s="1" t="s">
        <v>1649</v>
      </c>
      <c r="Q265" s="1" t="s">
        <v>110</v>
      </c>
      <c r="R265" s="1" t="s">
        <v>111</v>
      </c>
      <c r="S265" s="1" t="s">
        <v>1650</v>
      </c>
      <c r="T265" s="1" t="s">
        <v>1651</v>
      </c>
      <c r="V265" s="1" t="s">
        <v>114</v>
      </c>
      <c r="W265" s="1" t="s">
        <v>1652</v>
      </c>
      <c r="Y265" s="10">
        <v>45112</v>
      </c>
      <c r="Z265" s="1">
        <v>2023</v>
      </c>
      <c r="AA265" s="2">
        <v>208160.82</v>
      </c>
      <c r="AB265" s="2"/>
      <c r="AC265" s="2">
        <v>208160.82</v>
      </c>
      <c r="AG265" s="1" t="s">
        <v>56</v>
      </c>
      <c r="AI265" s="2">
        <v>208160.82</v>
      </c>
    </row>
    <row r="266" spans="1:35" ht="12.6" customHeight="1" x14ac:dyDescent="0.2">
      <c r="A266" s="1" t="s">
        <v>57</v>
      </c>
      <c r="B266" s="9" t="s">
        <v>38</v>
      </c>
      <c r="C266" s="1" t="s">
        <v>58</v>
      </c>
      <c r="D266" s="1" t="s">
        <v>146</v>
      </c>
      <c r="E266" s="1" t="s">
        <v>42</v>
      </c>
      <c r="G266" s="1" t="s">
        <v>155</v>
      </c>
      <c r="H266" s="1" t="s">
        <v>156</v>
      </c>
      <c r="I266" s="1" t="s">
        <v>1653</v>
      </c>
      <c r="J266" s="1">
        <v>2022</v>
      </c>
      <c r="K266" s="1" t="s">
        <v>1654</v>
      </c>
      <c r="L266" s="1" t="s">
        <v>1655</v>
      </c>
      <c r="P266" s="1" t="s">
        <v>1499</v>
      </c>
      <c r="Q266" s="1" t="s">
        <v>101</v>
      </c>
      <c r="R266" s="1" t="s">
        <v>102</v>
      </c>
      <c r="S266" s="1" t="s">
        <v>637</v>
      </c>
      <c r="T266" s="1" t="s">
        <v>638</v>
      </c>
      <c r="U266" s="1">
        <v>1</v>
      </c>
      <c r="V266" s="1" t="s">
        <v>101</v>
      </c>
      <c r="W266" s="1" t="s">
        <v>1656</v>
      </c>
      <c r="Y266" s="10">
        <v>45112</v>
      </c>
      <c r="Z266" s="1">
        <v>2023</v>
      </c>
      <c r="AA266" s="2">
        <v>1498770.94</v>
      </c>
      <c r="AB266" s="2"/>
      <c r="AC266" s="2">
        <v>1498770.94</v>
      </c>
      <c r="AG266" s="1" t="s">
        <v>56</v>
      </c>
      <c r="AI266" s="2">
        <v>1498770.94</v>
      </c>
    </row>
    <row r="267" spans="1:35" ht="14.45" customHeight="1" x14ac:dyDescent="0.2">
      <c r="A267" s="1" t="s">
        <v>57</v>
      </c>
      <c r="B267" s="9" t="s">
        <v>38</v>
      </c>
      <c r="C267" s="1" t="s">
        <v>58</v>
      </c>
      <c r="D267" s="1" t="s">
        <v>146</v>
      </c>
      <c r="E267" s="1" t="s">
        <v>42</v>
      </c>
      <c r="G267" s="1" t="s">
        <v>155</v>
      </c>
      <c r="H267" s="1" t="s">
        <v>156</v>
      </c>
      <c r="I267" s="1" t="s">
        <v>1657</v>
      </c>
      <c r="J267" s="1">
        <v>2022</v>
      </c>
      <c r="K267" s="1" t="s">
        <v>1658</v>
      </c>
      <c r="L267" s="1" t="s">
        <v>1659</v>
      </c>
      <c r="M267" s="1" t="s">
        <v>1660</v>
      </c>
      <c r="P267" s="1" t="s">
        <v>1661</v>
      </c>
      <c r="Q267" s="1" t="s">
        <v>842</v>
      </c>
      <c r="R267" s="1" t="s">
        <v>884</v>
      </c>
      <c r="S267" s="1" t="s">
        <v>1662</v>
      </c>
      <c r="T267" s="1" t="s">
        <v>1663</v>
      </c>
      <c r="V267" s="1" t="s">
        <v>887</v>
      </c>
      <c r="W267" s="1" t="s">
        <v>1664</v>
      </c>
      <c r="Y267" s="10">
        <v>45112</v>
      </c>
      <c r="Z267" s="1">
        <v>2023</v>
      </c>
      <c r="AA267" s="2">
        <v>499302.08</v>
      </c>
      <c r="AB267" s="2"/>
      <c r="AC267" s="2">
        <v>499302.08</v>
      </c>
      <c r="AG267" s="1" t="s">
        <v>56</v>
      </c>
      <c r="AI267" s="2">
        <v>499302.08</v>
      </c>
    </row>
    <row r="268" spans="1:35" ht="12.6" customHeight="1" x14ac:dyDescent="0.2">
      <c r="A268" s="1" t="s">
        <v>57</v>
      </c>
      <c r="B268" s="9" t="s">
        <v>38</v>
      </c>
      <c r="C268" s="1" t="s">
        <v>58</v>
      </c>
      <c r="D268" s="1" t="s">
        <v>146</v>
      </c>
      <c r="E268" s="1" t="s">
        <v>42</v>
      </c>
      <c r="G268" s="1" t="s">
        <v>155</v>
      </c>
      <c r="H268" s="1" t="s">
        <v>156</v>
      </c>
      <c r="I268" s="1" t="s">
        <v>1665</v>
      </c>
      <c r="J268" s="1">
        <v>2022</v>
      </c>
      <c r="K268" s="1" t="s">
        <v>1666</v>
      </c>
      <c r="L268" s="1" t="s">
        <v>1667</v>
      </c>
      <c r="M268" s="1" t="s">
        <v>1668</v>
      </c>
      <c r="P268" s="1" t="s">
        <v>1669</v>
      </c>
      <c r="Q268" s="1" t="s">
        <v>50</v>
      </c>
      <c r="R268" s="1" t="s">
        <v>68</v>
      </c>
      <c r="S268" s="1" t="s">
        <v>1670</v>
      </c>
      <c r="T268" s="1" t="s">
        <v>1671</v>
      </c>
      <c r="U268" s="1">
        <v>1</v>
      </c>
      <c r="V268" s="1" t="s">
        <v>71</v>
      </c>
      <c r="W268" s="1" t="s">
        <v>1672</v>
      </c>
      <c r="Y268" s="10">
        <v>45112</v>
      </c>
      <c r="Z268" s="1">
        <v>2023</v>
      </c>
      <c r="AA268" s="2">
        <v>533925.14</v>
      </c>
      <c r="AB268" s="2"/>
      <c r="AC268" s="2">
        <v>533925.14</v>
      </c>
      <c r="AG268" s="1" t="s">
        <v>56</v>
      </c>
      <c r="AI268" s="2">
        <v>533925.14</v>
      </c>
    </row>
    <row r="269" spans="1:35" ht="12.6" customHeight="1" x14ac:dyDescent="0.25">
      <c r="A269" s="1" t="s">
        <v>57</v>
      </c>
      <c r="B269" s="20" t="s">
        <v>38</v>
      </c>
      <c r="C269" s="3" t="s">
        <v>58</v>
      </c>
      <c r="D269" s="1" t="s">
        <v>146</v>
      </c>
      <c r="E269" s="1" t="s">
        <v>42</v>
      </c>
      <c r="G269" s="1" t="s">
        <v>1673</v>
      </c>
      <c r="H269" s="1" t="s">
        <v>156</v>
      </c>
      <c r="I269" s="3" t="s">
        <v>1674</v>
      </c>
      <c r="J269" s="1">
        <v>2023</v>
      </c>
      <c r="K269" s="1" t="s">
        <v>1675</v>
      </c>
      <c r="L269" s="1" t="s">
        <v>1676</v>
      </c>
      <c r="M269" s="1" t="s">
        <v>1677</v>
      </c>
      <c r="P269" s="1" t="s">
        <v>1678</v>
      </c>
      <c r="Q269" s="1" t="s">
        <v>50</v>
      </c>
      <c r="R269" s="1" t="s">
        <v>68</v>
      </c>
      <c r="S269" s="3" t="s">
        <v>69</v>
      </c>
      <c r="T269" s="3" t="s">
        <v>70</v>
      </c>
      <c r="U269" s="24">
        <v>1</v>
      </c>
      <c r="V269" s="3" t="s">
        <v>71</v>
      </c>
      <c r="W269" s="3" t="s">
        <v>1676</v>
      </c>
      <c r="X269" s="3" t="s">
        <v>87</v>
      </c>
      <c r="Y269" s="21">
        <v>45799</v>
      </c>
      <c r="Z269" s="3">
        <v>2025</v>
      </c>
      <c r="AA269" s="22">
        <v>3654731.64</v>
      </c>
      <c r="AB269" s="22"/>
      <c r="AC269" s="22">
        <v>3654731.64</v>
      </c>
      <c r="AD269" s="2"/>
      <c r="AG269" s="1" t="s">
        <v>56</v>
      </c>
      <c r="AI269" s="22">
        <v>3654731.64</v>
      </c>
    </row>
    <row r="270" spans="1:35" ht="12.6" customHeight="1" x14ac:dyDescent="0.2">
      <c r="A270" s="1" t="s">
        <v>57</v>
      </c>
      <c r="B270" s="9" t="s">
        <v>38</v>
      </c>
      <c r="C270" s="1" t="s">
        <v>58</v>
      </c>
      <c r="D270" s="1" t="s">
        <v>59</v>
      </c>
      <c r="E270" s="1" t="s">
        <v>42</v>
      </c>
      <c r="G270" s="1" t="s">
        <v>105</v>
      </c>
      <c r="H270" s="1" t="s">
        <v>61</v>
      </c>
      <c r="I270" s="1" t="s">
        <v>1679</v>
      </c>
      <c r="J270" s="1">
        <v>2023</v>
      </c>
      <c r="K270" s="1" t="s">
        <v>1680</v>
      </c>
      <c r="L270" s="1" t="s">
        <v>1681</v>
      </c>
      <c r="M270" s="1" t="s">
        <v>1682</v>
      </c>
      <c r="P270" s="1" t="s">
        <v>1683</v>
      </c>
      <c r="Q270" s="1" t="s">
        <v>50</v>
      </c>
      <c r="R270" s="1" t="s">
        <v>68</v>
      </c>
      <c r="S270" s="1" t="s">
        <v>692</v>
      </c>
      <c r="T270" s="1" t="s">
        <v>693</v>
      </c>
      <c r="U270" s="1">
        <v>2</v>
      </c>
      <c r="V270" s="1" t="s">
        <v>71</v>
      </c>
      <c r="W270" s="1" t="s">
        <v>1680</v>
      </c>
      <c r="Y270" s="10">
        <v>45462</v>
      </c>
      <c r="Z270" s="1">
        <v>2024</v>
      </c>
      <c r="AA270" s="2">
        <v>13081353</v>
      </c>
      <c r="AB270" s="2"/>
      <c r="AC270" s="2">
        <v>1176101.48</v>
      </c>
      <c r="AD270" s="1">
        <v>15</v>
      </c>
      <c r="AE270" s="1">
        <v>3</v>
      </c>
      <c r="AG270" s="1" t="s">
        <v>56</v>
      </c>
      <c r="AI270" s="2">
        <v>1176101.48</v>
      </c>
    </row>
    <row r="271" spans="1:35" ht="12.6" customHeight="1" x14ac:dyDescent="0.2">
      <c r="A271" s="1" t="s">
        <v>57</v>
      </c>
      <c r="B271" s="9" t="s">
        <v>38</v>
      </c>
      <c r="C271" s="1" t="s">
        <v>58</v>
      </c>
      <c r="D271" s="1" t="s">
        <v>146</v>
      </c>
      <c r="E271" s="1" t="s">
        <v>42</v>
      </c>
      <c r="G271" s="1" t="s">
        <v>155</v>
      </c>
      <c r="H271" s="1" t="s">
        <v>156</v>
      </c>
      <c r="I271" s="1" t="s">
        <v>1684</v>
      </c>
      <c r="J271" s="1">
        <v>2022</v>
      </c>
      <c r="K271" s="1" t="s">
        <v>1685</v>
      </c>
      <c r="L271" s="1" t="s">
        <v>1686</v>
      </c>
      <c r="M271" s="1" t="s">
        <v>1687</v>
      </c>
      <c r="P271" s="1" t="s">
        <v>1688</v>
      </c>
      <c r="Q271" s="1" t="s">
        <v>50</v>
      </c>
      <c r="R271" s="1" t="s">
        <v>68</v>
      </c>
      <c r="S271" s="1" t="s">
        <v>1203</v>
      </c>
      <c r="T271" s="1" t="s">
        <v>1204</v>
      </c>
      <c r="U271" s="1">
        <v>1</v>
      </c>
      <c r="V271" s="1" t="s">
        <v>195</v>
      </c>
      <c r="W271" s="1" t="s">
        <v>1689</v>
      </c>
      <c r="Y271" s="10">
        <v>45112</v>
      </c>
      <c r="Z271" s="1">
        <v>2023</v>
      </c>
      <c r="AA271" s="2">
        <v>500000</v>
      </c>
      <c r="AB271" s="2"/>
      <c r="AC271" s="2">
        <v>500000</v>
      </c>
      <c r="AG271" s="1" t="s">
        <v>56</v>
      </c>
      <c r="AI271" s="2">
        <v>500000</v>
      </c>
    </row>
    <row r="272" spans="1:35" ht="12.6" customHeight="1" x14ac:dyDescent="0.2">
      <c r="A272" s="1" t="s">
        <v>57</v>
      </c>
      <c r="B272" s="9" t="s">
        <v>38</v>
      </c>
      <c r="C272" s="1" t="s">
        <v>58</v>
      </c>
      <c r="D272" s="1" t="s">
        <v>146</v>
      </c>
      <c r="E272" s="1" t="s">
        <v>42</v>
      </c>
      <c r="G272" s="1" t="s">
        <v>155</v>
      </c>
      <c r="H272" s="1" t="s">
        <v>156</v>
      </c>
      <c r="I272" s="1" t="s">
        <v>1690</v>
      </c>
      <c r="J272" s="1">
        <v>2022</v>
      </c>
      <c r="K272" s="1" t="s">
        <v>1691</v>
      </c>
      <c r="L272" s="1" t="s">
        <v>1692</v>
      </c>
      <c r="M272" s="1" t="s">
        <v>1693</v>
      </c>
      <c r="N272" s="1" t="s">
        <v>1694</v>
      </c>
      <c r="P272" s="1" t="s">
        <v>183</v>
      </c>
      <c r="Q272" s="1" t="s">
        <v>50</v>
      </c>
      <c r="R272" s="1" t="s">
        <v>77</v>
      </c>
      <c r="S272" s="1" t="s">
        <v>184</v>
      </c>
      <c r="T272" s="1" t="s">
        <v>185</v>
      </c>
      <c r="U272" s="1">
        <v>1</v>
      </c>
      <c r="V272" s="1" t="s">
        <v>186</v>
      </c>
      <c r="W272" s="1" t="s">
        <v>1695</v>
      </c>
      <c r="Y272" s="10">
        <v>45112</v>
      </c>
      <c r="Z272" s="1">
        <v>2023</v>
      </c>
      <c r="AA272" s="2">
        <v>1889687.27</v>
      </c>
      <c r="AB272" s="2"/>
      <c r="AC272" s="2">
        <v>1889687.27</v>
      </c>
      <c r="AG272" s="1" t="s">
        <v>56</v>
      </c>
      <c r="AI272" s="2">
        <v>1889687.27</v>
      </c>
    </row>
    <row r="273" spans="1:38" ht="12.6" customHeight="1" x14ac:dyDescent="0.2">
      <c r="A273" s="1" t="s">
        <v>57</v>
      </c>
      <c r="B273" s="9" t="s">
        <v>38</v>
      </c>
      <c r="C273" s="1" t="s">
        <v>58</v>
      </c>
      <c r="D273" s="1" t="s">
        <v>1409</v>
      </c>
      <c r="E273" s="1" t="s">
        <v>42</v>
      </c>
      <c r="G273" s="1" t="s">
        <v>1410</v>
      </c>
      <c r="H273" s="1" t="s">
        <v>61</v>
      </c>
      <c r="I273" s="1" t="s">
        <v>1696</v>
      </c>
      <c r="J273" s="1">
        <v>2020</v>
      </c>
      <c r="K273" s="1" t="s">
        <v>1697</v>
      </c>
      <c r="L273" s="1" t="s">
        <v>1698</v>
      </c>
      <c r="P273" s="1" t="s">
        <v>1699</v>
      </c>
      <c r="Q273" s="1" t="s">
        <v>50</v>
      </c>
      <c r="R273" s="1" t="s">
        <v>68</v>
      </c>
      <c r="S273" s="1" t="s">
        <v>189</v>
      </c>
      <c r="T273" s="1" t="s">
        <v>190</v>
      </c>
      <c r="U273" s="1">
        <v>1</v>
      </c>
      <c r="V273" s="1" t="s">
        <v>71</v>
      </c>
      <c r="W273" s="1" t="s">
        <v>1698</v>
      </c>
      <c r="X273" s="1" t="s">
        <v>153</v>
      </c>
      <c r="Y273" s="10">
        <v>44333</v>
      </c>
      <c r="Z273" s="1">
        <v>2021</v>
      </c>
      <c r="AA273" s="2">
        <v>2089935.68</v>
      </c>
      <c r="AB273" s="2"/>
      <c r="AC273" s="2">
        <v>2070066.67</v>
      </c>
      <c r="AF273" s="1">
        <v>18</v>
      </c>
      <c r="AG273" s="1" t="s">
        <v>56</v>
      </c>
      <c r="AI273" s="2">
        <v>2070066.67</v>
      </c>
      <c r="AJ273" s="1">
        <v>7.54</v>
      </c>
      <c r="AL273" s="15" t="s">
        <v>1425</v>
      </c>
    </row>
    <row r="274" spans="1:38" ht="12.6" customHeight="1" x14ac:dyDescent="0.25">
      <c r="A274" s="1" t="s">
        <v>57</v>
      </c>
      <c r="B274" s="9" t="s">
        <v>38</v>
      </c>
      <c r="C274" s="1" t="s">
        <v>58</v>
      </c>
      <c r="D274" s="1" t="s">
        <v>146</v>
      </c>
      <c r="E274" s="1" t="s">
        <v>42</v>
      </c>
      <c r="G274" s="1" t="s">
        <v>155</v>
      </c>
      <c r="H274" s="1" t="s">
        <v>156</v>
      </c>
      <c r="I274" s="1" t="s">
        <v>1700</v>
      </c>
      <c r="J274" s="1">
        <v>2022</v>
      </c>
      <c r="K274" s="1" t="s">
        <v>1701</v>
      </c>
      <c r="L274" s="1" t="s">
        <v>1702</v>
      </c>
      <c r="N274" s="1" t="s">
        <v>1703</v>
      </c>
      <c r="P274" s="25" t="s">
        <v>1704</v>
      </c>
      <c r="Q274" s="1" t="s">
        <v>1109</v>
      </c>
      <c r="R274" s="1" t="s">
        <v>1110</v>
      </c>
      <c r="S274" s="1" t="s">
        <v>1705</v>
      </c>
      <c r="T274" s="1" t="s">
        <v>1706</v>
      </c>
      <c r="V274" s="1" t="s">
        <v>54</v>
      </c>
      <c r="W274" s="1" t="s">
        <v>1707</v>
      </c>
      <c r="Y274" s="10">
        <v>45112</v>
      </c>
      <c r="Z274" s="1">
        <v>2023</v>
      </c>
      <c r="AA274" s="2">
        <v>499906.41</v>
      </c>
      <c r="AB274" s="2"/>
      <c r="AC274" s="2">
        <v>499906.41</v>
      </c>
      <c r="AG274" s="1" t="s">
        <v>56</v>
      </c>
      <c r="AI274" s="2">
        <v>499906.41</v>
      </c>
    </row>
    <row r="275" spans="1:38" ht="12.6" hidden="1" customHeight="1" x14ac:dyDescent="0.2">
      <c r="A275" s="1" t="s">
        <v>57</v>
      </c>
      <c r="B275" s="9" t="s">
        <v>38</v>
      </c>
      <c r="C275" s="1" t="s">
        <v>58</v>
      </c>
      <c r="D275" s="1" t="s">
        <v>146</v>
      </c>
      <c r="E275" s="1" t="s">
        <v>42</v>
      </c>
      <c r="G275" s="1" t="s">
        <v>147</v>
      </c>
      <c r="H275" s="1" t="s">
        <v>148</v>
      </c>
      <c r="I275" s="1" t="s">
        <v>1708</v>
      </c>
      <c r="J275" s="1">
        <v>2020</v>
      </c>
      <c r="K275" s="1" t="s">
        <v>1709</v>
      </c>
      <c r="L275" s="8" t="s">
        <v>1710</v>
      </c>
      <c r="P275" s="1" t="s">
        <v>1711</v>
      </c>
      <c r="Q275" s="1" t="s">
        <v>264</v>
      </c>
      <c r="R275" s="1" t="s">
        <v>265</v>
      </c>
      <c r="S275" s="1" t="s">
        <v>315</v>
      </c>
      <c r="T275" s="1" t="s">
        <v>316</v>
      </c>
      <c r="U275" s="1">
        <v>1</v>
      </c>
      <c r="V275" s="1" t="s">
        <v>268</v>
      </c>
      <c r="W275" s="1" t="s">
        <v>1712</v>
      </c>
      <c r="X275" s="1" t="s">
        <v>153</v>
      </c>
      <c r="Y275" s="10">
        <v>44127</v>
      </c>
      <c r="Z275" s="1">
        <v>2020</v>
      </c>
      <c r="AA275" s="2">
        <v>213099.85</v>
      </c>
      <c r="AB275" s="2"/>
      <c r="AC275" s="2">
        <v>159824.89000000001</v>
      </c>
      <c r="AD275" s="1">
        <v>0</v>
      </c>
      <c r="AF275" s="1">
        <v>3</v>
      </c>
      <c r="AG275" s="1" t="s">
        <v>56</v>
      </c>
      <c r="AH275" s="1" t="s">
        <v>1458</v>
      </c>
      <c r="AI275" s="2">
        <v>159824.89000000001</v>
      </c>
      <c r="AL275" s="8" t="s">
        <v>1713</v>
      </c>
    </row>
    <row r="276" spans="1:38" ht="28.9" hidden="1" customHeight="1" x14ac:dyDescent="0.2">
      <c r="A276" s="9" t="s">
        <v>38</v>
      </c>
      <c r="B276" s="9" t="s">
        <v>38</v>
      </c>
      <c r="C276" s="1" t="s">
        <v>58</v>
      </c>
      <c r="D276" s="1" t="s">
        <v>146</v>
      </c>
      <c r="E276" s="1" t="s">
        <v>42</v>
      </c>
      <c r="G276" s="1" t="s">
        <v>147</v>
      </c>
      <c r="H276" s="1" t="s">
        <v>148</v>
      </c>
      <c r="I276" s="1" t="s">
        <v>1708</v>
      </c>
      <c r="J276" s="1">
        <v>2020</v>
      </c>
      <c r="K276" s="1" t="s">
        <v>1709</v>
      </c>
      <c r="L276" s="8" t="s">
        <v>1714</v>
      </c>
      <c r="P276" s="1" t="s">
        <v>1715</v>
      </c>
      <c r="Q276" s="1" t="s">
        <v>264</v>
      </c>
      <c r="R276" s="1" t="s">
        <v>265</v>
      </c>
      <c r="S276" s="1" t="s">
        <v>542</v>
      </c>
      <c r="T276" s="1" t="s">
        <v>543</v>
      </c>
      <c r="U276" s="1">
        <v>1</v>
      </c>
      <c r="V276" s="1" t="s">
        <v>268</v>
      </c>
      <c r="W276" s="8" t="s">
        <v>1716</v>
      </c>
      <c r="Y276" s="10">
        <v>44127</v>
      </c>
      <c r="Z276" s="1">
        <v>2020</v>
      </c>
      <c r="AA276" s="2">
        <v>1160489.07</v>
      </c>
      <c r="AB276" s="2"/>
      <c r="AC276" s="2">
        <v>870366.8</v>
      </c>
      <c r="AD276" s="1">
        <v>0</v>
      </c>
      <c r="AG276" s="1" t="s">
        <v>56</v>
      </c>
      <c r="AH276" s="1" t="s">
        <v>1458</v>
      </c>
      <c r="AI276" s="2">
        <v>870366.8</v>
      </c>
      <c r="AL276" s="8" t="s">
        <v>1713</v>
      </c>
    </row>
    <row r="277" spans="1:38" ht="28.9" hidden="1" customHeight="1" x14ac:dyDescent="0.2">
      <c r="A277" s="9" t="s">
        <v>38</v>
      </c>
      <c r="B277" s="9" t="s">
        <v>38</v>
      </c>
      <c r="C277" s="1" t="s">
        <v>58</v>
      </c>
      <c r="D277" s="1" t="s">
        <v>146</v>
      </c>
      <c r="E277" s="1" t="s">
        <v>42</v>
      </c>
      <c r="G277" s="1" t="s">
        <v>147</v>
      </c>
      <c r="H277" s="1" t="s">
        <v>148</v>
      </c>
      <c r="I277" s="1" t="s">
        <v>1708</v>
      </c>
      <c r="J277" s="1">
        <v>2020</v>
      </c>
      <c r="K277" s="1" t="s">
        <v>1709</v>
      </c>
      <c r="L277" s="8" t="s">
        <v>1717</v>
      </c>
      <c r="P277" s="1" t="s">
        <v>1718</v>
      </c>
      <c r="Q277" s="1" t="s">
        <v>264</v>
      </c>
      <c r="R277" s="1" t="s">
        <v>265</v>
      </c>
      <c r="S277" s="1" t="s">
        <v>717</v>
      </c>
      <c r="T277" s="1" t="s">
        <v>718</v>
      </c>
      <c r="U277" s="1">
        <v>1</v>
      </c>
      <c r="V277" s="1" t="s">
        <v>535</v>
      </c>
      <c r="W277" s="8" t="s">
        <v>1719</v>
      </c>
      <c r="Y277" s="10">
        <v>44127</v>
      </c>
      <c r="Z277" s="1">
        <v>2020</v>
      </c>
      <c r="AA277" s="2">
        <v>764193.85</v>
      </c>
      <c r="AB277" s="2"/>
      <c r="AC277" s="2">
        <v>573145.39</v>
      </c>
      <c r="AD277" s="1">
        <v>0</v>
      </c>
      <c r="AG277" s="1" t="s">
        <v>56</v>
      </c>
      <c r="AH277" s="1" t="s">
        <v>1458</v>
      </c>
      <c r="AI277" s="2">
        <v>573145.39</v>
      </c>
      <c r="AL277" s="8" t="s">
        <v>1713</v>
      </c>
    </row>
    <row r="278" spans="1:38" ht="15.6" hidden="1" customHeight="1" x14ac:dyDescent="0.2">
      <c r="A278" s="9" t="s">
        <v>38</v>
      </c>
      <c r="B278" s="9" t="s">
        <v>38</v>
      </c>
      <c r="C278" s="1" t="s">
        <v>58</v>
      </c>
      <c r="D278" s="1" t="s">
        <v>146</v>
      </c>
      <c r="E278" s="1" t="s">
        <v>42</v>
      </c>
      <c r="G278" s="1" t="s">
        <v>147</v>
      </c>
      <c r="H278" s="1" t="s">
        <v>148</v>
      </c>
      <c r="I278" s="1" t="s">
        <v>1708</v>
      </c>
      <c r="J278" s="1">
        <v>2020</v>
      </c>
      <c r="K278" s="1" t="s">
        <v>1709</v>
      </c>
      <c r="L278" s="8" t="s">
        <v>1720</v>
      </c>
      <c r="P278" s="1" t="s">
        <v>1721</v>
      </c>
      <c r="Q278" s="1" t="s">
        <v>264</v>
      </c>
      <c r="R278" s="1" t="s">
        <v>265</v>
      </c>
      <c r="S278" s="1" t="s">
        <v>533</v>
      </c>
      <c r="T278" s="1" t="s">
        <v>534</v>
      </c>
      <c r="U278" s="1">
        <v>1</v>
      </c>
      <c r="V278" s="1" t="s">
        <v>535</v>
      </c>
      <c r="W278" s="1" t="s">
        <v>5234</v>
      </c>
      <c r="Y278" s="10">
        <v>44127</v>
      </c>
      <c r="Z278" s="1">
        <v>2020</v>
      </c>
      <c r="AA278" s="2">
        <v>756402.97</v>
      </c>
      <c r="AB278" s="2"/>
      <c r="AC278" s="2">
        <v>567302.23</v>
      </c>
      <c r="AD278" s="1">
        <v>0</v>
      </c>
      <c r="AG278" s="1" t="s">
        <v>56</v>
      </c>
      <c r="AH278" s="1" t="s">
        <v>1458</v>
      </c>
      <c r="AI278" s="2">
        <v>567302.23</v>
      </c>
      <c r="AL278" s="8" t="s">
        <v>1713</v>
      </c>
    </row>
    <row r="279" spans="1:38" ht="14.45" customHeight="1" x14ac:dyDescent="0.2">
      <c r="A279" s="1" t="s">
        <v>57</v>
      </c>
      <c r="B279" s="9" t="s">
        <v>38</v>
      </c>
      <c r="C279" s="1" t="s">
        <v>58</v>
      </c>
      <c r="D279" s="1" t="s">
        <v>146</v>
      </c>
      <c r="E279" s="1" t="s">
        <v>42</v>
      </c>
      <c r="G279" s="1" t="s">
        <v>155</v>
      </c>
      <c r="H279" s="1" t="s">
        <v>156</v>
      </c>
      <c r="I279" s="1" t="s">
        <v>1722</v>
      </c>
      <c r="J279" s="1">
        <v>2022</v>
      </c>
      <c r="K279" s="1" t="s">
        <v>1723</v>
      </c>
      <c r="L279" s="1" t="s">
        <v>1724</v>
      </c>
      <c r="N279" s="1" t="s">
        <v>1725</v>
      </c>
      <c r="P279" s="1" t="s">
        <v>1726</v>
      </c>
      <c r="Q279" s="1" t="s">
        <v>110</v>
      </c>
      <c r="R279" s="1" t="s">
        <v>111</v>
      </c>
      <c r="S279" s="1" t="s">
        <v>112</v>
      </c>
      <c r="T279" s="1" t="s">
        <v>113</v>
      </c>
      <c r="V279" s="1" t="s">
        <v>114</v>
      </c>
      <c r="W279" s="1" t="s">
        <v>1727</v>
      </c>
      <c r="Y279" s="10">
        <v>45112</v>
      </c>
      <c r="Z279" s="1">
        <v>2023</v>
      </c>
      <c r="AA279" s="2">
        <v>499894.57</v>
      </c>
      <c r="AB279" s="2"/>
      <c r="AC279" s="2">
        <v>499894.57</v>
      </c>
      <c r="AG279" s="1" t="s">
        <v>56</v>
      </c>
      <c r="AI279" s="2">
        <v>499894.57</v>
      </c>
    </row>
    <row r="280" spans="1:38" ht="12.6" customHeight="1" x14ac:dyDescent="0.2">
      <c r="A280" s="1" t="s">
        <v>57</v>
      </c>
      <c r="B280" s="9" t="s">
        <v>38</v>
      </c>
      <c r="C280" s="1" t="s">
        <v>58</v>
      </c>
      <c r="D280" s="1" t="s">
        <v>146</v>
      </c>
      <c r="E280" s="1" t="s">
        <v>42</v>
      </c>
      <c r="G280" s="1" t="s">
        <v>155</v>
      </c>
      <c r="H280" s="1" t="s">
        <v>156</v>
      </c>
      <c r="I280" s="1" t="s">
        <v>1728</v>
      </c>
      <c r="J280" s="1">
        <v>2022</v>
      </c>
      <c r="K280" s="1" t="s">
        <v>1729</v>
      </c>
      <c r="L280" s="1" t="s">
        <v>1730</v>
      </c>
      <c r="M280" s="1" t="s">
        <v>1731</v>
      </c>
      <c r="N280" s="1" t="s">
        <v>1732</v>
      </c>
      <c r="P280" s="1" t="s">
        <v>1733</v>
      </c>
      <c r="Q280" s="1" t="s">
        <v>1149</v>
      </c>
      <c r="R280" s="1" t="s">
        <v>1150</v>
      </c>
      <c r="S280" s="1" t="s">
        <v>1734</v>
      </c>
      <c r="T280" s="1" t="s">
        <v>1735</v>
      </c>
      <c r="V280" s="1" t="s">
        <v>1153</v>
      </c>
      <c r="W280" s="1" t="s">
        <v>1736</v>
      </c>
      <c r="Y280" s="10">
        <v>45112</v>
      </c>
      <c r="Z280" s="1">
        <v>2023</v>
      </c>
      <c r="AA280" s="2">
        <v>1123556.43</v>
      </c>
      <c r="AB280" s="2"/>
      <c r="AC280" s="2">
        <v>1123556.43</v>
      </c>
      <c r="AG280" s="1" t="s">
        <v>56</v>
      </c>
      <c r="AI280" s="2">
        <v>1123556.43</v>
      </c>
    </row>
    <row r="281" spans="1:38" ht="12.6" customHeight="1" x14ac:dyDescent="0.2">
      <c r="A281" s="1" t="s">
        <v>57</v>
      </c>
      <c r="B281" s="9" t="s">
        <v>38</v>
      </c>
      <c r="C281" s="1" t="s">
        <v>58</v>
      </c>
      <c r="D281" s="1" t="s">
        <v>146</v>
      </c>
      <c r="E281" s="1" t="s">
        <v>42</v>
      </c>
      <c r="G281" s="1" t="s">
        <v>147</v>
      </c>
      <c r="H281" s="1" t="s">
        <v>148</v>
      </c>
      <c r="I281" s="1" t="s">
        <v>1737</v>
      </c>
      <c r="J281" s="1">
        <v>2020</v>
      </c>
      <c r="K281" s="1" t="s">
        <v>1738</v>
      </c>
      <c r="L281" s="1" t="s">
        <v>1739</v>
      </c>
      <c r="P281" s="1" t="s">
        <v>1740</v>
      </c>
      <c r="Q281" s="1" t="s">
        <v>264</v>
      </c>
      <c r="R281" s="1" t="s">
        <v>265</v>
      </c>
      <c r="S281" s="1" t="s">
        <v>350</v>
      </c>
      <c r="T281" s="1" t="s">
        <v>351</v>
      </c>
      <c r="U281" s="1">
        <v>1</v>
      </c>
      <c r="V281" s="1" t="s">
        <v>80</v>
      </c>
      <c r="W281" s="1" t="s">
        <v>1739</v>
      </c>
      <c r="X281" s="1" t="s">
        <v>599</v>
      </c>
      <c r="Y281" s="10">
        <v>44127</v>
      </c>
      <c r="Z281" s="1">
        <v>2020</v>
      </c>
      <c r="AA281" s="2">
        <v>2800000</v>
      </c>
      <c r="AB281" s="2"/>
      <c r="AC281" s="2">
        <v>2100000</v>
      </c>
      <c r="AD281" s="1">
        <v>0</v>
      </c>
      <c r="AF281" s="1">
        <v>0</v>
      </c>
      <c r="AG281" s="1" t="s">
        <v>56</v>
      </c>
      <c r="AH281" s="1" t="s">
        <v>154</v>
      </c>
      <c r="AI281" s="2">
        <v>1581064.11</v>
      </c>
      <c r="AL281" s="1" t="s">
        <v>1462</v>
      </c>
    </row>
    <row r="282" spans="1:38" ht="14.45" customHeight="1" x14ac:dyDescent="0.2">
      <c r="A282" s="1" t="s">
        <v>57</v>
      </c>
      <c r="B282" s="9" t="s">
        <v>38</v>
      </c>
      <c r="C282" s="1" t="s">
        <v>58</v>
      </c>
      <c r="D282" s="1" t="s">
        <v>146</v>
      </c>
      <c r="E282" s="1" t="s">
        <v>42</v>
      </c>
      <c r="G282" s="1" t="s">
        <v>147</v>
      </c>
      <c r="H282" s="1" t="s">
        <v>148</v>
      </c>
      <c r="I282" s="1" t="s">
        <v>1741</v>
      </c>
      <c r="J282" s="1">
        <v>2020</v>
      </c>
      <c r="K282" s="1" t="s">
        <v>1742</v>
      </c>
      <c r="L282" s="1" t="s">
        <v>1743</v>
      </c>
      <c r="P282" s="1" t="s">
        <v>1740</v>
      </c>
      <c r="Q282" s="1" t="s">
        <v>264</v>
      </c>
      <c r="R282" s="1" t="s">
        <v>265</v>
      </c>
      <c r="S282" s="1" t="s">
        <v>350</v>
      </c>
      <c r="T282" s="1" t="s">
        <v>351</v>
      </c>
      <c r="U282" s="1">
        <v>1</v>
      </c>
      <c r="V282" s="1" t="s">
        <v>80</v>
      </c>
      <c r="W282" s="1" t="s">
        <v>1743</v>
      </c>
      <c r="X282" s="1" t="s">
        <v>599</v>
      </c>
      <c r="Y282" s="10">
        <v>44127</v>
      </c>
      <c r="Z282" s="1">
        <v>2020</v>
      </c>
      <c r="AA282" s="2">
        <v>2500000</v>
      </c>
      <c r="AB282" s="2"/>
      <c r="AC282" s="2">
        <v>1875000</v>
      </c>
      <c r="AD282" s="1">
        <v>0</v>
      </c>
      <c r="AF282" s="1">
        <v>0</v>
      </c>
      <c r="AG282" s="1" t="s">
        <v>56</v>
      </c>
      <c r="AH282" s="1" t="s">
        <v>154</v>
      </c>
      <c r="AI282" s="2">
        <f>VLOOKUP(Tabla35[[#This Row],[Ref. Proyecto]],[4]revITJ!$B$2:$BG$67,2,FALSE)</f>
        <v>1561060.5699999998</v>
      </c>
      <c r="AL282" s="1" t="s">
        <v>1744</v>
      </c>
    </row>
    <row r="283" spans="1:38" ht="12.6" customHeight="1" x14ac:dyDescent="0.2">
      <c r="A283" s="1" t="s">
        <v>57</v>
      </c>
      <c r="B283" s="9" t="s">
        <v>38</v>
      </c>
      <c r="C283" s="1" t="s">
        <v>58</v>
      </c>
      <c r="D283" s="1" t="s">
        <v>146</v>
      </c>
      <c r="E283" s="1" t="s">
        <v>42</v>
      </c>
      <c r="G283" s="1" t="s">
        <v>155</v>
      </c>
      <c r="H283" s="1" t="s">
        <v>156</v>
      </c>
      <c r="I283" s="1" t="s">
        <v>1745</v>
      </c>
      <c r="J283" s="1">
        <v>2022</v>
      </c>
      <c r="K283" s="1" t="s">
        <v>1746</v>
      </c>
      <c r="L283" s="1" t="s">
        <v>1747</v>
      </c>
      <c r="N283" s="1" t="s">
        <v>1748</v>
      </c>
      <c r="P283" s="1" t="s">
        <v>1549</v>
      </c>
      <c r="Q283" s="1" t="s">
        <v>50</v>
      </c>
      <c r="R283" s="1" t="s">
        <v>51</v>
      </c>
      <c r="S283" s="1" t="s">
        <v>1550</v>
      </c>
      <c r="T283" s="1" t="s">
        <v>1551</v>
      </c>
      <c r="V283" s="1" t="s">
        <v>54</v>
      </c>
      <c r="W283" s="1" t="s">
        <v>1749</v>
      </c>
      <c r="Y283" s="10">
        <v>45112</v>
      </c>
      <c r="Z283" s="1">
        <v>2023</v>
      </c>
      <c r="AA283" s="2">
        <v>297384.78000000003</v>
      </c>
      <c r="AB283" s="2"/>
      <c r="AC283" s="2">
        <v>297384.78000000003</v>
      </c>
      <c r="AG283" s="1" t="s">
        <v>56</v>
      </c>
      <c r="AI283" s="2">
        <v>297384.78000000003</v>
      </c>
    </row>
    <row r="284" spans="1:38" ht="12.6" customHeight="1" x14ac:dyDescent="0.2">
      <c r="A284" s="1" t="s">
        <v>57</v>
      </c>
      <c r="B284" s="9" t="s">
        <v>38</v>
      </c>
      <c r="C284" s="1" t="s">
        <v>58</v>
      </c>
      <c r="D284" s="1" t="s">
        <v>146</v>
      </c>
      <c r="E284" s="1" t="s">
        <v>42</v>
      </c>
      <c r="G284" s="1" t="s">
        <v>147</v>
      </c>
      <c r="H284" s="1" t="s">
        <v>148</v>
      </c>
      <c r="I284" s="1" t="s">
        <v>1750</v>
      </c>
      <c r="J284" s="1">
        <v>2020</v>
      </c>
      <c r="K284" s="1" t="s">
        <v>1751</v>
      </c>
      <c r="L284" s="1" t="s">
        <v>1752</v>
      </c>
      <c r="M284" s="1" t="s">
        <v>1753</v>
      </c>
      <c r="P284" s="1" t="s">
        <v>1715</v>
      </c>
      <c r="Q284" s="1" t="s">
        <v>264</v>
      </c>
      <c r="R284" s="1" t="s">
        <v>265</v>
      </c>
      <c r="S284" s="1" t="s">
        <v>542</v>
      </c>
      <c r="T284" s="1" t="s">
        <v>543</v>
      </c>
      <c r="U284" s="1">
        <v>1</v>
      </c>
      <c r="V284" s="1" t="s">
        <v>268</v>
      </c>
      <c r="W284" s="1" t="s">
        <v>1751</v>
      </c>
      <c r="X284" s="1" t="s">
        <v>153</v>
      </c>
      <c r="Y284" s="10">
        <v>44127</v>
      </c>
      <c r="Z284" s="1">
        <v>2020</v>
      </c>
      <c r="AA284" s="2">
        <v>971000</v>
      </c>
      <c r="AB284" s="2"/>
      <c r="AC284" s="2">
        <v>728250</v>
      </c>
      <c r="AD284" s="1">
        <v>0</v>
      </c>
      <c r="AF284" s="1">
        <v>0</v>
      </c>
      <c r="AG284" s="1" t="s">
        <v>56</v>
      </c>
      <c r="AH284" s="1" t="s">
        <v>154</v>
      </c>
      <c r="AI284" s="2">
        <v>570646.43000000005</v>
      </c>
    </row>
    <row r="285" spans="1:38" ht="12.6" customHeight="1" x14ac:dyDescent="0.2">
      <c r="A285" s="1" t="s">
        <v>57</v>
      </c>
      <c r="B285" s="9" t="s">
        <v>38</v>
      </c>
      <c r="C285" s="1" t="s">
        <v>58</v>
      </c>
      <c r="D285" s="1" t="s">
        <v>146</v>
      </c>
      <c r="E285" s="1" t="s">
        <v>42</v>
      </c>
      <c r="G285" s="1" t="s">
        <v>147</v>
      </c>
      <c r="H285" s="1" t="s">
        <v>148</v>
      </c>
      <c r="I285" s="1" t="s">
        <v>1754</v>
      </c>
      <c r="J285" s="1">
        <v>2020</v>
      </c>
      <c r="K285" s="1" t="s">
        <v>1755</v>
      </c>
      <c r="L285" s="1" t="s">
        <v>1756</v>
      </c>
      <c r="M285" s="1" t="s">
        <v>1757</v>
      </c>
      <c r="P285" s="1" t="s">
        <v>1758</v>
      </c>
      <c r="Q285" s="1" t="s">
        <v>264</v>
      </c>
      <c r="R285" s="1" t="s">
        <v>265</v>
      </c>
      <c r="S285" s="1" t="s">
        <v>1759</v>
      </c>
      <c r="T285" s="1" t="s">
        <v>1760</v>
      </c>
      <c r="U285" s="1">
        <v>1</v>
      </c>
      <c r="V285" s="1" t="s">
        <v>268</v>
      </c>
      <c r="W285" s="1" t="s">
        <v>1761</v>
      </c>
      <c r="X285" s="1" t="s">
        <v>599</v>
      </c>
      <c r="Y285" s="10">
        <v>44127</v>
      </c>
      <c r="Z285" s="1">
        <v>2020</v>
      </c>
      <c r="AA285" s="2">
        <v>1023378.88</v>
      </c>
      <c r="AB285" s="2"/>
      <c r="AC285" s="2">
        <v>767534.16</v>
      </c>
      <c r="AD285" s="1">
        <v>0</v>
      </c>
      <c r="AF285" s="1">
        <v>0</v>
      </c>
      <c r="AG285" s="1" t="s">
        <v>56</v>
      </c>
      <c r="AH285" s="1" t="s">
        <v>154</v>
      </c>
      <c r="AI285" s="2">
        <v>767534.16</v>
      </c>
      <c r="AL285" s="1" t="s">
        <v>1762</v>
      </c>
    </row>
    <row r="286" spans="1:38" ht="12.6" customHeight="1" x14ac:dyDescent="0.2">
      <c r="A286" s="1" t="s">
        <v>57</v>
      </c>
      <c r="B286" s="9" t="s">
        <v>38</v>
      </c>
      <c r="C286" s="1" t="s">
        <v>58</v>
      </c>
      <c r="D286" s="1" t="s">
        <v>146</v>
      </c>
      <c r="E286" s="1" t="s">
        <v>42</v>
      </c>
      <c r="G286" s="1" t="s">
        <v>147</v>
      </c>
      <c r="H286" s="1" t="s">
        <v>148</v>
      </c>
      <c r="I286" s="1" t="s">
        <v>1763</v>
      </c>
      <c r="J286" s="1">
        <v>2020</v>
      </c>
      <c r="K286" s="1" t="s">
        <v>1764</v>
      </c>
      <c r="L286" s="1" t="s">
        <v>1765</v>
      </c>
      <c r="M286" s="1" t="s">
        <v>1766</v>
      </c>
      <c r="P286" s="1" t="s">
        <v>1556</v>
      </c>
      <c r="Q286" s="1" t="s">
        <v>264</v>
      </c>
      <c r="R286" s="1" t="s">
        <v>265</v>
      </c>
      <c r="S286" s="1" t="s">
        <v>1557</v>
      </c>
      <c r="T286" s="1" t="s">
        <v>1558</v>
      </c>
      <c r="U286" s="1">
        <v>1</v>
      </c>
      <c r="V286" s="1" t="s">
        <v>268</v>
      </c>
      <c r="W286" s="1" t="s">
        <v>1767</v>
      </c>
      <c r="X286" s="1" t="s">
        <v>599</v>
      </c>
      <c r="Y286" s="10">
        <v>44127</v>
      </c>
      <c r="Z286" s="1">
        <v>2020</v>
      </c>
      <c r="AA286" s="2">
        <v>877000</v>
      </c>
      <c r="AB286" s="2"/>
      <c r="AC286" s="2">
        <v>657750</v>
      </c>
      <c r="AD286" s="1">
        <v>1</v>
      </c>
      <c r="AF286" s="1" t="s">
        <v>1768</v>
      </c>
      <c r="AG286" s="1" t="s">
        <v>56</v>
      </c>
      <c r="AH286" s="1" t="s">
        <v>154</v>
      </c>
      <c r="AI286" s="2">
        <v>650552.13</v>
      </c>
      <c r="AL286" s="1" t="s">
        <v>1769</v>
      </c>
    </row>
    <row r="287" spans="1:38" ht="12.6" customHeight="1" x14ac:dyDescent="0.2">
      <c r="A287" s="1" t="s">
        <v>57</v>
      </c>
      <c r="B287" s="9" t="s">
        <v>38</v>
      </c>
      <c r="C287" s="1" t="s">
        <v>58</v>
      </c>
      <c r="D287" s="1" t="s">
        <v>146</v>
      </c>
      <c r="E287" s="1" t="s">
        <v>42</v>
      </c>
      <c r="G287" s="1" t="s">
        <v>155</v>
      </c>
      <c r="H287" s="1" t="s">
        <v>156</v>
      </c>
      <c r="I287" s="1" t="s">
        <v>1770</v>
      </c>
      <c r="J287" s="1">
        <v>2022</v>
      </c>
      <c r="K287" s="1" t="s">
        <v>1771</v>
      </c>
      <c r="L287" s="1" t="s">
        <v>1772</v>
      </c>
      <c r="N287" s="1" t="s">
        <v>1773</v>
      </c>
      <c r="P287" s="1" t="s">
        <v>1774</v>
      </c>
      <c r="Q287" s="1" t="s">
        <v>50</v>
      </c>
      <c r="R287" s="1" t="s">
        <v>77</v>
      </c>
      <c r="S287" s="1" t="s">
        <v>1775</v>
      </c>
      <c r="T287" s="1" t="s">
        <v>1776</v>
      </c>
      <c r="U287" s="1">
        <v>1</v>
      </c>
      <c r="V287" s="1" t="s">
        <v>186</v>
      </c>
      <c r="W287" s="1" t="s">
        <v>1777</v>
      </c>
      <c r="Y287" s="10">
        <v>45112</v>
      </c>
      <c r="Z287" s="1">
        <v>2023</v>
      </c>
      <c r="AA287" s="2">
        <v>269898.15000000002</v>
      </c>
      <c r="AB287" s="2"/>
      <c r="AC287" s="2">
        <v>269898.15000000002</v>
      </c>
      <c r="AG287" s="1" t="s">
        <v>56</v>
      </c>
      <c r="AI287" s="2">
        <v>269898.15000000002</v>
      </c>
    </row>
    <row r="288" spans="1:38" ht="14.45" customHeight="1" x14ac:dyDescent="0.2">
      <c r="A288" s="1" t="s">
        <v>57</v>
      </c>
      <c r="B288" s="9" t="s">
        <v>38</v>
      </c>
      <c r="C288" s="1" t="s">
        <v>58</v>
      </c>
      <c r="D288" s="1" t="s">
        <v>146</v>
      </c>
      <c r="E288" s="1" t="s">
        <v>42</v>
      </c>
      <c r="G288" s="1" t="s">
        <v>147</v>
      </c>
      <c r="H288" s="1" t="s">
        <v>148</v>
      </c>
      <c r="I288" s="1" t="s">
        <v>1778</v>
      </c>
      <c r="J288" s="1">
        <v>2020</v>
      </c>
      <c r="K288" s="1" t="s">
        <v>1779</v>
      </c>
      <c r="L288" s="1" t="s">
        <v>1780</v>
      </c>
      <c r="M288" s="1" t="s">
        <v>1781</v>
      </c>
      <c r="P288" s="1" t="s">
        <v>1782</v>
      </c>
      <c r="Q288" s="1" t="s">
        <v>264</v>
      </c>
      <c r="R288" s="1" t="s">
        <v>265</v>
      </c>
      <c r="S288" s="1" t="s">
        <v>1783</v>
      </c>
      <c r="T288" s="1" t="s">
        <v>1784</v>
      </c>
      <c r="U288" s="1">
        <v>1</v>
      </c>
      <c r="V288" s="1" t="s">
        <v>535</v>
      </c>
      <c r="W288" s="1" t="s">
        <v>1785</v>
      </c>
      <c r="X288" s="1" t="s">
        <v>321</v>
      </c>
      <c r="Y288" s="10">
        <v>44127</v>
      </c>
      <c r="Z288" s="1">
        <v>2020</v>
      </c>
      <c r="AA288" s="2">
        <v>1000000</v>
      </c>
      <c r="AB288" s="2"/>
      <c r="AC288" s="2">
        <v>750000</v>
      </c>
      <c r="AD288" s="1">
        <v>0</v>
      </c>
      <c r="AF288" s="1">
        <v>0</v>
      </c>
      <c r="AG288" s="1" t="s">
        <v>56</v>
      </c>
      <c r="AH288" s="1" t="s">
        <v>154</v>
      </c>
      <c r="AI288" s="2">
        <v>701581.36</v>
      </c>
      <c r="AL288" s="1" t="s">
        <v>1786</v>
      </c>
    </row>
    <row r="289" spans="1:38" ht="12.6" customHeight="1" x14ac:dyDescent="0.2">
      <c r="A289" s="1" t="s">
        <v>57</v>
      </c>
      <c r="B289" s="9" t="s">
        <v>38</v>
      </c>
      <c r="C289" s="1" t="s">
        <v>58</v>
      </c>
      <c r="D289" s="1" t="s">
        <v>146</v>
      </c>
      <c r="E289" s="1" t="s">
        <v>42</v>
      </c>
      <c r="G289" s="1" t="s">
        <v>155</v>
      </c>
      <c r="H289" s="1" t="s">
        <v>156</v>
      </c>
      <c r="I289" s="1" t="s">
        <v>1787</v>
      </c>
      <c r="J289" s="1">
        <v>2022</v>
      </c>
      <c r="K289" s="1" t="s">
        <v>1788</v>
      </c>
      <c r="L289" s="1" t="s">
        <v>1789</v>
      </c>
      <c r="M289" s="1" t="s">
        <v>1790</v>
      </c>
      <c r="N289" s="1" t="s">
        <v>1791</v>
      </c>
      <c r="P289" s="1" t="s">
        <v>1792</v>
      </c>
      <c r="Q289" s="1" t="s">
        <v>842</v>
      </c>
      <c r="R289" s="1" t="s">
        <v>884</v>
      </c>
      <c r="S289" s="1" t="s">
        <v>1793</v>
      </c>
      <c r="T289" s="1" t="s">
        <v>1794</v>
      </c>
      <c r="V289" s="1" t="s">
        <v>887</v>
      </c>
      <c r="W289" s="1" t="s">
        <v>1795</v>
      </c>
      <c r="Y289" s="10">
        <v>45112</v>
      </c>
      <c r="Z289" s="1">
        <v>2023</v>
      </c>
      <c r="AA289" s="2">
        <v>1499033.65</v>
      </c>
      <c r="AB289" s="2"/>
      <c r="AC289" s="2">
        <v>1499033.65</v>
      </c>
      <c r="AG289" s="1" t="s">
        <v>56</v>
      </c>
      <c r="AI289" s="2">
        <v>1499033.65</v>
      </c>
    </row>
    <row r="290" spans="1:38" ht="14.45" customHeight="1" x14ac:dyDescent="0.2">
      <c r="A290" s="1" t="s">
        <v>57</v>
      </c>
      <c r="B290" s="9" t="s">
        <v>38</v>
      </c>
      <c r="C290" s="1" t="s">
        <v>58</v>
      </c>
      <c r="D290" s="1" t="s">
        <v>146</v>
      </c>
      <c r="E290" s="1" t="s">
        <v>42</v>
      </c>
      <c r="G290" s="1" t="s">
        <v>155</v>
      </c>
      <c r="H290" s="1" t="s">
        <v>156</v>
      </c>
      <c r="I290" s="1" t="s">
        <v>1796</v>
      </c>
      <c r="J290" s="1">
        <v>2022</v>
      </c>
      <c r="K290" s="1" t="s">
        <v>1797</v>
      </c>
      <c r="L290" s="1" t="s">
        <v>1798</v>
      </c>
      <c r="N290" s="1" t="s">
        <v>1799</v>
      </c>
      <c r="P290" s="1" t="s">
        <v>1800</v>
      </c>
      <c r="Q290" s="1" t="s">
        <v>101</v>
      </c>
      <c r="R290" s="1" t="s">
        <v>339</v>
      </c>
      <c r="S290" s="1" t="s">
        <v>1801</v>
      </c>
      <c r="T290" s="1" t="s">
        <v>1802</v>
      </c>
      <c r="V290" s="1" t="s">
        <v>101</v>
      </c>
      <c r="W290" s="1" t="s">
        <v>1803</v>
      </c>
      <c r="Y290" s="10">
        <v>45112</v>
      </c>
      <c r="Z290" s="1">
        <v>2023</v>
      </c>
      <c r="AA290" s="2">
        <v>1048841.69</v>
      </c>
      <c r="AB290" s="2"/>
      <c r="AC290" s="2">
        <v>1048841.69</v>
      </c>
      <c r="AG290" s="1" t="s">
        <v>56</v>
      </c>
      <c r="AI290" s="2">
        <v>1048841.69</v>
      </c>
    </row>
    <row r="291" spans="1:38" ht="14.45" customHeight="1" x14ac:dyDescent="0.2">
      <c r="A291" s="1" t="s">
        <v>57</v>
      </c>
      <c r="B291" s="9" t="s">
        <v>38</v>
      </c>
      <c r="C291" s="1" t="s">
        <v>58</v>
      </c>
      <c r="D291" s="1" t="s">
        <v>146</v>
      </c>
      <c r="E291" s="1" t="s">
        <v>42</v>
      </c>
      <c r="G291" s="1" t="s">
        <v>147</v>
      </c>
      <c r="H291" s="1" t="s">
        <v>148</v>
      </c>
      <c r="I291" s="1" t="s">
        <v>1804</v>
      </c>
      <c r="J291" s="1">
        <v>2020</v>
      </c>
      <c r="K291" s="1" t="s">
        <v>1805</v>
      </c>
      <c r="L291" s="1" t="s">
        <v>1806</v>
      </c>
      <c r="P291" s="1" t="s">
        <v>1740</v>
      </c>
      <c r="Q291" s="1" t="s">
        <v>264</v>
      </c>
      <c r="R291" s="1" t="s">
        <v>265</v>
      </c>
      <c r="S291" s="1" t="s">
        <v>350</v>
      </c>
      <c r="T291" s="1" t="s">
        <v>351</v>
      </c>
      <c r="U291" s="1">
        <v>1</v>
      </c>
      <c r="V291" s="1" t="s">
        <v>80</v>
      </c>
      <c r="W291" s="1" t="s">
        <v>1806</v>
      </c>
      <c r="X291" s="1" t="s">
        <v>153</v>
      </c>
      <c r="Y291" s="10">
        <v>44127</v>
      </c>
      <c r="Z291" s="1">
        <v>2020</v>
      </c>
      <c r="AA291" s="2">
        <v>750000</v>
      </c>
      <c r="AB291" s="2"/>
      <c r="AC291" s="2">
        <v>562500</v>
      </c>
      <c r="AD291" s="1">
        <v>0</v>
      </c>
      <c r="AF291" s="1">
        <v>0</v>
      </c>
      <c r="AG291" s="1" t="s">
        <v>56</v>
      </c>
      <c r="AH291" s="1" t="s">
        <v>154</v>
      </c>
      <c r="AI291" s="2">
        <v>562500</v>
      </c>
      <c r="AL291" s="1" t="s">
        <v>1807</v>
      </c>
    </row>
    <row r="292" spans="1:38" ht="14.45" customHeight="1" x14ac:dyDescent="0.2">
      <c r="A292" s="1" t="s">
        <v>57</v>
      </c>
      <c r="B292" s="9" t="s">
        <v>38</v>
      </c>
      <c r="C292" s="1" t="s">
        <v>58</v>
      </c>
      <c r="D292" s="1" t="s">
        <v>146</v>
      </c>
      <c r="E292" s="1" t="s">
        <v>42</v>
      </c>
      <c r="G292" s="1" t="s">
        <v>155</v>
      </c>
      <c r="H292" s="1" t="s">
        <v>156</v>
      </c>
      <c r="I292" s="1" t="s">
        <v>1808</v>
      </c>
      <c r="J292" s="1">
        <v>2022</v>
      </c>
      <c r="K292" s="1" t="s">
        <v>1809</v>
      </c>
      <c r="L292" s="1" t="s">
        <v>1810</v>
      </c>
      <c r="N292" s="1" t="s">
        <v>1811</v>
      </c>
      <c r="P292" s="1" t="s">
        <v>1812</v>
      </c>
      <c r="Q292" s="1" t="s">
        <v>101</v>
      </c>
      <c r="R292" s="1" t="s">
        <v>102</v>
      </c>
      <c r="S292" s="1" t="s">
        <v>523</v>
      </c>
      <c r="T292" s="1" t="s">
        <v>524</v>
      </c>
      <c r="U292" s="1">
        <v>1</v>
      </c>
      <c r="V292" s="1" t="s">
        <v>101</v>
      </c>
      <c r="W292" s="1" t="s">
        <v>1813</v>
      </c>
      <c r="Y292" s="10">
        <v>45112</v>
      </c>
      <c r="Z292" s="1">
        <v>2023</v>
      </c>
      <c r="AA292" s="2">
        <v>450905.15</v>
      </c>
      <c r="AB292" s="2"/>
      <c r="AC292" s="2">
        <v>450905.15</v>
      </c>
      <c r="AG292" s="1" t="s">
        <v>56</v>
      </c>
      <c r="AI292" s="2">
        <v>450905.15</v>
      </c>
    </row>
    <row r="293" spans="1:38" ht="14.45" customHeight="1" x14ac:dyDescent="0.2">
      <c r="A293" s="1" t="s">
        <v>57</v>
      </c>
      <c r="B293" s="9" t="s">
        <v>38</v>
      </c>
      <c r="C293" s="1" t="s">
        <v>58</v>
      </c>
      <c r="D293" s="1" t="s">
        <v>146</v>
      </c>
      <c r="E293" s="1" t="s">
        <v>42</v>
      </c>
      <c r="G293" s="1" t="s">
        <v>147</v>
      </c>
      <c r="H293" s="1" t="s">
        <v>148</v>
      </c>
      <c r="I293" s="1" t="s">
        <v>1814</v>
      </c>
      <c r="J293" s="1">
        <v>2020</v>
      </c>
      <c r="K293" s="1" t="s">
        <v>1815</v>
      </c>
      <c r="L293" s="1" t="s">
        <v>1816</v>
      </c>
      <c r="M293" s="1" t="s">
        <v>1817</v>
      </c>
      <c r="P293" s="1" t="s">
        <v>1721</v>
      </c>
      <c r="Q293" s="1" t="s">
        <v>264</v>
      </c>
      <c r="R293" s="1" t="s">
        <v>265</v>
      </c>
      <c r="S293" s="1" t="s">
        <v>533</v>
      </c>
      <c r="T293" s="1" t="s">
        <v>534</v>
      </c>
      <c r="U293" s="1">
        <v>1</v>
      </c>
      <c r="V293" s="1" t="s">
        <v>535</v>
      </c>
      <c r="W293" s="1" t="s">
        <v>1818</v>
      </c>
      <c r="X293" s="1" t="s">
        <v>153</v>
      </c>
      <c r="Y293" s="10">
        <v>44127</v>
      </c>
      <c r="Z293" s="1">
        <v>2020</v>
      </c>
      <c r="AA293" s="2">
        <v>162000</v>
      </c>
      <c r="AB293" s="2"/>
      <c r="AC293" s="2">
        <v>121500</v>
      </c>
      <c r="AD293" s="1">
        <v>0</v>
      </c>
      <c r="AF293" s="1">
        <v>15</v>
      </c>
      <c r="AG293" s="1" t="s">
        <v>56</v>
      </c>
      <c r="AH293" s="1" t="s">
        <v>154</v>
      </c>
      <c r="AI293" s="2">
        <v>107218.99</v>
      </c>
      <c r="AL293" s="1" t="s">
        <v>1819</v>
      </c>
    </row>
    <row r="294" spans="1:38" ht="14.45" customHeight="1" x14ac:dyDescent="0.2">
      <c r="A294" s="1" t="s">
        <v>57</v>
      </c>
      <c r="B294" s="9" t="s">
        <v>38</v>
      </c>
      <c r="C294" s="1" t="s">
        <v>58</v>
      </c>
      <c r="D294" s="1" t="s">
        <v>146</v>
      </c>
      <c r="E294" s="1" t="s">
        <v>42</v>
      </c>
      <c r="G294" s="1" t="s">
        <v>155</v>
      </c>
      <c r="H294" s="1" t="s">
        <v>156</v>
      </c>
      <c r="I294" s="1" t="s">
        <v>1820</v>
      </c>
      <c r="J294" s="1">
        <v>2022</v>
      </c>
      <c r="K294" s="1" t="s">
        <v>1821</v>
      </c>
      <c r="L294" s="1" t="s">
        <v>1822</v>
      </c>
      <c r="N294" s="1" t="s">
        <v>1823</v>
      </c>
      <c r="P294" s="1" t="s">
        <v>1824</v>
      </c>
      <c r="Q294" s="1" t="s">
        <v>50</v>
      </c>
      <c r="R294" s="1" t="s">
        <v>51</v>
      </c>
      <c r="S294" s="1" t="s">
        <v>1825</v>
      </c>
      <c r="T294" s="1" t="s">
        <v>1826</v>
      </c>
      <c r="V294" s="1" t="s">
        <v>54</v>
      </c>
      <c r="W294" s="1" t="s">
        <v>1827</v>
      </c>
      <c r="Y294" s="10">
        <v>45112</v>
      </c>
      <c r="Z294" s="1">
        <v>2023</v>
      </c>
      <c r="AA294" s="2">
        <v>2997522.77</v>
      </c>
      <c r="AB294" s="2"/>
      <c r="AC294" s="2">
        <v>2997522.77</v>
      </c>
      <c r="AG294" s="1" t="s">
        <v>56</v>
      </c>
      <c r="AI294" s="2">
        <v>2997522.77</v>
      </c>
    </row>
    <row r="295" spans="1:38" ht="12.6" customHeight="1" x14ac:dyDescent="0.2">
      <c r="A295" s="1" t="s">
        <v>57</v>
      </c>
      <c r="B295" s="9" t="s">
        <v>38</v>
      </c>
      <c r="C295" s="1" t="s">
        <v>58</v>
      </c>
      <c r="D295" s="1" t="s">
        <v>146</v>
      </c>
      <c r="E295" s="1" t="s">
        <v>42</v>
      </c>
      <c r="G295" s="1" t="s">
        <v>155</v>
      </c>
      <c r="H295" s="1" t="s">
        <v>156</v>
      </c>
      <c r="I295" s="1" t="s">
        <v>1828</v>
      </c>
      <c r="J295" s="1">
        <v>2022</v>
      </c>
      <c r="K295" s="1" t="s">
        <v>1829</v>
      </c>
      <c r="L295" s="1" t="s">
        <v>1830</v>
      </c>
      <c r="M295" s="1" t="s">
        <v>1831</v>
      </c>
      <c r="N295" s="1" t="s">
        <v>1832</v>
      </c>
      <c r="O295" s="1" t="s">
        <v>1833</v>
      </c>
      <c r="P295" s="1" t="s">
        <v>1834</v>
      </c>
      <c r="Q295" s="1" t="s">
        <v>842</v>
      </c>
      <c r="R295" s="1" t="s">
        <v>843</v>
      </c>
      <c r="S295" s="1" t="s">
        <v>844</v>
      </c>
      <c r="T295" s="1" t="s">
        <v>845</v>
      </c>
      <c r="V295" s="1" t="s">
        <v>846</v>
      </c>
      <c r="W295" s="1" t="s">
        <v>1835</v>
      </c>
      <c r="Y295" s="10">
        <v>45112</v>
      </c>
      <c r="Z295" s="1">
        <v>2023</v>
      </c>
      <c r="AA295" s="2">
        <v>999208.61</v>
      </c>
      <c r="AB295" s="2"/>
      <c r="AC295" s="2">
        <v>999208.61</v>
      </c>
      <c r="AG295" s="1" t="s">
        <v>56</v>
      </c>
      <c r="AI295" s="2">
        <v>999208.61</v>
      </c>
    </row>
    <row r="296" spans="1:38" ht="12.6" customHeight="1" x14ac:dyDescent="0.2">
      <c r="A296" s="1" t="s">
        <v>57</v>
      </c>
      <c r="B296" s="9" t="s">
        <v>38</v>
      </c>
      <c r="C296" s="1" t="s">
        <v>58</v>
      </c>
      <c r="D296" s="1" t="s">
        <v>146</v>
      </c>
      <c r="E296" s="1" t="s">
        <v>42</v>
      </c>
      <c r="G296" s="1" t="s">
        <v>155</v>
      </c>
      <c r="H296" s="1" t="s">
        <v>156</v>
      </c>
      <c r="I296" s="1" t="s">
        <v>1836</v>
      </c>
      <c r="J296" s="1">
        <v>2022</v>
      </c>
      <c r="K296" s="1" t="s">
        <v>1837</v>
      </c>
      <c r="L296" s="1" t="s">
        <v>1838</v>
      </c>
      <c r="M296" s="1" t="s">
        <v>1839</v>
      </c>
      <c r="N296" s="1" t="s">
        <v>1840</v>
      </c>
      <c r="P296" s="1" t="s">
        <v>1834</v>
      </c>
      <c r="Q296" s="1" t="s">
        <v>842</v>
      </c>
      <c r="R296" s="1" t="s">
        <v>843</v>
      </c>
      <c r="S296" s="1" t="s">
        <v>844</v>
      </c>
      <c r="T296" s="1" t="s">
        <v>845</v>
      </c>
      <c r="V296" s="1" t="s">
        <v>846</v>
      </c>
      <c r="W296" s="1" t="s">
        <v>1841</v>
      </c>
      <c r="Y296" s="10">
        <v>45112</v>
      </c>
      <c r="Z296" s="1">
        <v>2023</v>
      </c>
      <c r="AA296" s="2">
        <v>3997108.32</v>
      </c>
      <c r="AB296" s="2"/>
      <c r="AC296" s="2">
        <v>3997108.32</v>
      </c>
      <c r="AG296" s="1" t="s">
        <v>56</v>
      </c>
      <c r="AI296" s="2">
        <v>3997108.32</v>
      </c>
    </row>
    <row r="297" spans="1:38" ht="12.6" customHeight="1" x14ac:dyDescent="0.2">
      <c r="A297" s="1" t="s">
        <v>57</v>
      </c>
      <c r="B297" s="9" t="s">
        <v>38</v>
      </c>
      <c r="C297" s="1" t="s">
        <v>58</v>
      </c>
      <c r="D297" s="1" t="s">
        <v>146</v>
      </c>
      <c r="E297" s="1" t="s">
        <v>42</v>
      </c>
      <c r="G297" s="1" t="s">
        <v>147</v>
      </c>
      <c r="H297" s="1" t="s">
        <v>148</v>
      </c>
      <c r="I297" s="1" t="s">
        <v>1842</v>
      </c>
      <c r="J297" s="1">
        <v>2020</v>
      </c>
      <c r="K297" s="1" t="s">
        <v>1843</v>
      </c>
      <c r="L297" s="1" t="s">
        <v>1844</v>
      </c>
      <c r="P297" s="1" t="s">
        <v>1845</v>
      </c>
      <c r="Q297" s="1" t="s">
        <v>264</v>
      </c>
      <c r="R297" s="1" t="s">
        <v>265</v>
      </c>
      <c r="S297" s="1" t="s">
        <v>1334</v>
      </c>
      <c r="T297" s="1" t="s">
        <v>1335</v>
      </c>
      <c r="U297" s="1">
        <v>1</v>
      </c>
      <c r="V297" s="1" t="s">
        <v>268</v>
      </c>
      <c r="W297" s="1" t="s">
        <v>1846</v>
      </c>
      <c r="X297" s="1" t="s">
        <v>153</v>
      </c>
      <c r="Y297" s="10">
        <v>44127</v>
      </c>
      <c r="Z297" s="1">
        <v>2020</v>
      </c>
      <c r="AA297" s="2">
        <v>1500000</v>
      </c>
      <c r="AB297" s="2"/>
      <c r="AC297" s="2">
        <v>1125000</v>
      </c>
      <c r="AD297" s="1">
        <v>0</v>
      </c>
      <c r="AF297" s="1">
        <v>0</v>
      </c>
      <c r="AG297" s="1" t="s">
        <v>56</v>
      </c>
      <c r="AH297" s="1" t="s">
        <v>154</v>
      </c>
      <c r="AI297" s="2">
        <v>1101714.69</v>
      </c>
      <c r="AL297" s="1" t="s">
        <v>503</v>
      </c>
    </row>
    <row r="298" spans="1:38" ht="12.6" customHeight="1" x14ac:dyDescent="0.2">
      <c r="A298" s="1" t="s">
        <v>57</v>
      </c>
      <c r="B298" s="9" t="s">
        <v>38</v>
      </c>
      <c r="C298" s="1" t="s">
        <v>58</v>
      </c>
      <c r="D298" s="1" t="s">
        <v>146</v>
      </c>
      <c r="E298" s="1" t="s">
        <v>42</v>
      </c>
      <c r="G298" s="1" t="s">
        <v>147</v>
      </c>
      <c r="H298" s="1" t="s">
        <v>148</v>
      </c>
      <c r="I298" s="1" t="s">
        <v>1847</v>
      </c>
      <c r="J298" s="1">
        <v>2020</v>
      </c>
      <c r="K298" s="1" t="s">
        <v>1848</v>
      </c>
      <c r="L298" s="1" t="s">
        <v>1848</v>
      </c>
      <c r="P298" s="1" t="s">
        <v>1849</v>
      </c>
      <c r="Q298" s="1" t="s">
        <v>264</v>
      </c>
      <c r="R298" s="1" t="s">
        <v>265</v>
      </c>
      <c r="S298" s="1" t="s">
        <v>275</v>
      </c>
      <c r="T298" s="1" t="s">
        <v>276</v>
      </c>
      <c r="U298" s="1">
        <v>2</v>
      </c>
      <c r="V298" s="1" t="s">
        <v>80</v>
      </c>
      <c r="W298" s="1" t="s">
        <v>1848</v>
      </c>
      <c r="X298" s="1" t="s">
        <v>153</v>
      </c>
      <c r="Y298" s="10">
        <v>44127</v>
      </c>
      <c r="Z298" s="1">
        <v>2020</v>
      </c>
      <c r="AA298" s="2">
        <v>1500000</v>
      </c>
      <c r="AB298" s="2"/>
      <c r="AC298" s="2">
        <v>1125000</v>
      </c>
      <c r="AD298" s="1">
        <v>0</v>
      </c>
      <c r="AF298" s="1">
        <v>0</v>
      </c>
      <c r="AG298" s="1" t="s">
        <v>56</v>
      </c>
      <c r="AH298" s="1" t="s">
        <v>1458</v>
      </c>
      <c r="AI298" s="2">
        <v>1125000</v>
      </c>
      <c r="AL298" s="1" t="s">
        <v>1744</v>
      </c>
    </row>
    <row r="299" spans="1:38" ht="14.45" customHeight="1" x14ac:dyDescent="0.2">
      <c r="A299" s="1" t="s">
        <v>57</v>
      </c>
      <c r="B299" s="9" t="s">
        <v>38</v>
      </c>
      <c r="C299" s="1" t="s">
        <v>58</v>
      </c>
      <c r="D299" s="1" t="s">
        <v>146</v>
      </c>
      <c r="E299" s="1" t="s">
        <v>42</v>
      </c>
      <c r="G299" s="1" t="s">
        <v>147</v>
      </c>
      <c r="H299" s="1" t="s">
        <v>148</v>
      </c>
      <c r="I299" s="1" t="s">
        <v>1850</v>
      </c>
      <c r="J299" s="1">
        <v>2020</v>
      </c>
      <c r="K299" s="1" t="s">
        <v>1851</v>
      </c>
      <c r="L299" s="1" t="s">
        <v>1852</v>
      </c>
      <c r="M299" s="1" t="s">
        <v>1853</v>
      </c>
      <c r="P299" s="1" t="s">
        <v>1854</v>
      </c>
      <c r="Q299" s="1" t="s">
        <v>264</v>
      </c>
      <c r="R299" s="1" t="s">
        <v>265</v>
      </c>
      <c r="S299" s="1" t="s">
        <v>1855</v>
      </c>
      <c r="T299" s="1" t="s">
        <v>1856</v>
      </c>
      <c r="U299" s="1">
        <v>1</v>
      </c>
      <c r="V299" s="1" t="s">
        <v>268</v>
      </c>
      <c r="W299" s="1" t="s">
        <v>1857</v>
      </c>
      <c r="X299" s="1" t="s">
        <v>153</v>
      </c>
      <c r="Y299" s="10">
        <v>44127</v>
      </c>
      <c r="Z299" s="1">
        <v>2020</v>
      </c>
      <c r="AA299" s="2">
        <v>930000</v>
      </c>
      <c r="AB299" s="2"/>
      <c r="AC299" s="2">
        <v>697500</v>
      </c>
      <c r="AD299" s="1">
        <v>0</v>
      </c>
      <c r="AF299" s="1">
        <v>5</v>
      </c>
      <c r="AG299" s="1" t="s">
        <v>56</v>
      </c>
      <c r="AH299" s="1" t="s">
        <v>154</v>
      </c>
      <c r="AI299" s="2">
        <v>645030.39</v>
      </c>
      <c r="AL299" s="1" t="s">
        <v>1858</v>
      </c>
    </row>
    <row r="300" spans="1:38" ht="12.6" customHeight="1" x14ac:dyDescent="0.2">
      <c r="A300" s="1" t="s">
        <v>57</v>
      </c>
      <c r="B300" s="9" t="s">
        <v>38</v>
      </c>
      <c r="C300" s="1" t="s">
        <v>58</v>
      </c>
      <c r="D300" s="1" t="s">
        <v>146</v>
      </c>
      <c r="E300" s="1" t="s">
        <v>42</v>
      </c>
      <c r="G300" s="1" t="s">
        <v>147</v>
      </c>
      <c r="H300" s="1" t="s">
        <v>148</v>
      </c>
      <c r="I300" s="1" t="s">
        <v>1859</v>
      </c>
      <c r="J300" s="1">
        <v>2020</v>
      </c>
      <c r="K300" s="1" t="s">
        <v>1860</v>
      </c>
      <c r="L300" s="1" t="s">
        <v>1861</v>
      </c>
      <c r="M300" s="1" t="s">
        <v>1862</v>
      </c>
      <c r="P300" s="1" t="s">
        <v>1556</v>
      </c>
      <c r="Q300" s="1" t="s">
        <v>264</v>
      </c>
      <c r="R300" s="1" t="s">
        <v>265</v>
      </c>
      <c r="S300" s="1" t="s">
        <v>1557</v>
      </c>
      <c r="T300" s="1" t="s">
        <v>1558</v>
      </c>
      <c r="U300" s="1">
        <v>1</v>
      </c>
      <c r="V300" s="1" t="s">
        <v>268</v>
      </c>
      <c r="W300" s="1" t="s">
        <v>1863</v>
      </c>
      <c r="X300" s="1" t="s">
        <v>400</v>
      </c>
      <c r="Y300" s="10">
        <v>44127</v>
      </c>
      <c r="Z300" s="1">
        <v>2020</v>
      </c>
      <c r="AA300" s="2">
        <v>445000</v>
      </c>
      <c r="AB300" s="2"/>
      <c r="AC300" s="2">
        <v>333750</v>
      </c>
      <c r="AD300" s="1">
        <v>0</v>
      </c>
      <c r="AF300" s="1">
        <v>8</v>
      </c>
      <c r="AG300" s="1" t="s">
        <v>56</v>
      </c>
      <c r="AH300" s="1" t="s">
        <v>154</v>
      </c>
      <c r="AI300" s="2">
        <v>333750</v>
      </c>
      <c r="AL300" s="1" t="s">
        <v>1864</v>
      </c>
    </row>
    <row r="301" spans="1:38" ht="12.6" customHeight="1" x14ac:dyDescent="0.2">
      <c r="A301" s="1" t="s">
        <v>57</v>
      </c>
      <c r="B301" s="9" t="s">
        <v>38</v>
      </c>
      <c r="C301" s="1" t="s">
        <v>58</v>
      </c>
      <c r="D301" s="1" t="s">
        <v>146</v>
      </c>
      <c r="E301" s="1" t="s">
        <v>42</v>
      </c>
      <c r="G301" s="1" t="s">
        <v>147</v>
      </c>
      <c r="H301" s="1" t="s">
        <v>148</v>
      </c>
      <c r="I301" s="1" t="s">
        <v>1865</v>
      </c>
      <c r="J301" s="1">
        <v>2020</v>
      </c>
      <c r="K301" s="1" t="s">
        <v>1866</v>
      </c>
      <c r="L301" s="1" t="s">
        <v>1867</v>
      </c>
      <c r="M301" s="1" t="s">
        <v>1868</v>
      </c>
      <c r="P301" s="1" t="s">
        <v>1345</v>
      </c>
      <c r="Q301" s="1" t="s">
        <v>264</v>
      </c>
      <c r="R301" s="1" t="s">
        <v>265</v>
      </c>
      <c r="S301" s="1" t="s">
        <v>290</v>
      </c>
      <c r="T301" s="1" t="s">
        <v>291</v>
      </c>
      <c r="U301" s="1">
        <v>1</v>
      </c>
      <c r="V301" s="1" t="s">
        <v>268</v>
      </c>
      <c r="W301" s="1" t="s">
        <v>1869</v>
      </c>
      <c r="X301" s="1" t="s">
        <v>153</v>
      </c>
      <c r="Y301" s="10">
        <v>44127</v>
      </c>
      <c r="Z301" s="1">
        <v>2020</v>
      </c>
      <c r="AA301" s="2">
        <v>300000</v>
      </c>
      <c r="AB301" s="2"/>
      <c r="AC301" s="2">
        <v>225000</v>
      </c>
      <c r="AD301" s="1">
        <v>0</v>
      </c>
      <c r="AF301" s="1">
        <v>10</v>
      </c>
      <c r="AG301" s="1" t="s">
        <v>56</v>
      </c>
      <c r="AH301" s="1" t="s">
        <v>154</v>
      </c>
      <c r="AI301" s="2">
        <v>224999.96</v>
      </c>
      <c r="AL301" s="1" t="s">
        <v>1870</v>
      </c>
    </row>
    <row r="302" spans="1:38" ht="12.6" customHeight="1" x14ac:dyDescent="0.2">
      <c r="A302" s="1" t="s">
        <v>57</v>
      </c>
      <c r="B302" s="9" t="s">
        <v>38</v>
      </c>
      <c r="C302" s="1" t="s">
        <v>58</v>
      </c>
      <c r="D302" s="1" t="s">
        <v>146</v>
      </c>
      <c r="E302" s="1" t="s">
        <v>42</v>
      </c>
      <c r="G302" s="1" t="s">
        <v>155</v>
      </c>
      <c r="H302" s="1" t="s">
        <v>156</v>
      </c>
      <c r="I302" s="1" t="s">
        <v>1871</v>
      </c>
      <c r="J302" s="1">
        <v>2022</v>
      </c>
      <c r="K302" s="1" t="s">
        <v>1872</v>
      </c>
      <c r="L302" s="1" t="s">
        <v>1873</v>
      </c>
      <c r="N302" s="1" t="s">
        <v>1874</v>
      </c>
      <c r="P302" s="1" t="s">
        <v>1875</v>
      </c>
      <c r="Q302" s="1" t="s">
        <v>50</v>
      </c>
      <c r="R302" s="1" t="s">
        <v>68</v>
      </c>
      <c r="S302" s="1" t="s">
        <v>1876</v>
      </c>
      <c r="T302" s="1" t="s">
        <v>1877</v>
      </c>
      <c r="U302" s="1">
        <v>1</v>
      </c>
      <c r="V302" s="1" t="s">
        <v>71</v>
      </c>
      <c r="W302" s="1" t="s">
        <v>1878</v>
      </c>
      <c r="Y302" s="10">
        <v>45112</v>
      </c>
      <c r="Z302" s="1">
        <v>2023</v>
      </c>
      <c r="AA302" s="2">
        <v>427263</v>
      </c>
      <c r="AB302" s="2"/>
      <c r="AC302" s="2">
        <v>427263</v>
      </c>
      <c r="AG302" s="1" t="s">
        <v>56</v>
      </c>
      <c r="AI302" s="2">
        <v>427263</v>
      </c>
    </row>
    <row r="303" spans="1:38" ht="14.45" customHeight="1" x14ac:dyDescent="0.2">
      <c r="A303" s="1" t="s">
        <v>57</v>
      </c>
      <c r="B303" s="9" t="s">
        <v>38</v>
      </c>
      <c r="C303" s="1" t="s">
        <v>58</v>
      </c>
      <c r="D303" s="1" t="s">
        <v>146</v>
      </c>
      <c r="E303" s="1" t="s">
        <v>42</v>
      </c>
      <c r="G303" s="1" t="s">
        <v>155</v>
      </c>
      <c r="H303" s="1" t="s">
        <v>156</v>
      </c>
      <c r="I303" s="1" t="s">
        <v>1879</v>
      </c>
      <c r="J303" s="1">
        <v>2022</v>
      </c>
      <c r="K303" s="1" t="s">
        <v>1880</v>
      </c>
      <c r="L303" s="1" t="s">
        <v>1881</v>
      </c>
      <c r="N303" s="1" t="s">
        <v>1882</v>
      </c>
      <c r="P303" s="1" t="s">
        <v>1883</v>
      </c>
      <c r="Q303" s="1" t="s">
        <v>1149</v>
      </c>
      <c r="R303" s="1" t="s">
        <v>1150</v>
      </c>
      <c r="S303" s="1" t="s">
        <v>1884</v>
      </c>
      <c r="T303" s="1" t="s">
        <v>1885</v>
      </c>
      <c r="V303" s="1" t="s">
        <v>1537</v>
      </c>
      <c r="W303" s="1" t="s">
        <v>1886</v>
      </c>
      <c r="Y303" s="10">
        <v>45112</v>
      </c>
      <c r="Z303" s="1">
        <v>2023</v>
      </c>
      <c r="AA303" s="2">
        <v>1693338.21</v>
      </c>
      <c r="AB303" s="2"/>
      <c r="AC303" s="2">
        <v>1693338.21</v>
      </c>
      <c r="AG303" s="1" t="s">
        <v>56</v>
      </c>
      <c r="AI303" s="2">
        <v>1693338.21</v>
      </c>
    </row>
    <row r="304" spans="1:38" ht="14.45" customHeight="1" x14ac:dyDescent="0.2">
      <c r="A304" s="1" t="s">
        <v>57</v>
      </c>
      <c r="B304" s="9" t="s">
        <v>38</v>
      </c>
      <c r="C304" s="1" t="s">
        <v>58</v>
      </c>
      <c r="D304" s="1" t="s">
        <v>146</v>
      </c>
      <c r="E304" s="1" t="s">
        <v>42</v>
      </c>
      <c r="G304" s="1" t="s">
        <v>155</v>
      </c>
      <c r="H304" s="1" t="s">
        <v>156</v>
      </c>
      <c r="I304" s="1" t="s">
        <v>1887</v>
      </c>
      <c r="J304" s="1">
        <v>2022</v>
      </c>
      <c r="K304" s="1" t="s">
        <v>1888</v>
      </c>
      <c r="L304" s="1" t="s">
        <v>1889</v>
      </c>
      <c r="M304" s="1" t="s">
        <v>1890</v>
      </c>
      <c r="N304" s="1" t="s">
        <v>1891</v>
      </c>
      <c r="P304" s="1" t="s">
        <v>1688</v>
      </c>
      <c r="Q304" s="1" t="s">
        <v>50</v>
      </c>
      <c r="R304" s="1" t="s">
        <v>68</v>
      </c>
      <c r="S304" s="1" t="s">
        <v>1203</v>
      </c>
      <c r="T304" s="1" t="s">
        <v>1204</v>
      </c>
      <c r="U304" s="1">
        <v>1</v>
      </c>
      <c r="V304" s="1" t="s">
        <v>195</v>
      </c>
      <c r="W304" s="1" t="s">
        <v>1892</v>
      </c>
      <c r="Y304" s="10">
        <v>45112</v>
      </c>
      <c r="Z304" s="1">
        <v>2023</v>
      </c>
      <c r="AA304" s="2">
        <v>1750255.14</v>
      </c>
      <c r="AB304" s="2"/>
      <c r="AC304" s="2">
        <v>1750255.14</v>
      </c>
      <c r="AG304" s="1" t="s">
        <v>56</v>
      </c>
      <c r="AI304" s="2">
        <v>1750255.14</v>
      </c>
    </row>
    <row r="305" spans="1:38" ht="12.6" customHeight="1" x14ac:dyDescent="0.2">
      <c r="A305" s="1" t="s">
        <v>57</v>
      </c>
      <c r="B305" s="9" t="s">
        <v>38</v>
      </c>
      <c r="C305" s="1" t="s">
        <v>58</v>
      </c>
      <c r="D305" s="1" t="s">
        <v>59</v>
      </c>
      <c r="E305" s="1" t="s">
        <v>42</v>
      </c>
      <c r="G305" s="1" t="s">
        <v>105</v>
      </c>
      <c r="H305" s="1" t="s">
        <v>1893</v>
      </c>
      <c r="I305" s="1" t="s">
        <v>1894</v>
      </c>
      <c r="J305" s="1">
        <v>2023</v>
      </c>
      <c r="K305" s="1" t="s">
        <v>1895</v>
      </c>
      <c r="L305" s="1" t="s">
        <v>1896</v>
      </c>
      <c r="N305" s="1" t="s">
        <v>1897</v>
      </c>
      <c r="P305" s="1" t="s">
        <v>1898</v>
      </c>
      <c r="Q305" s="1" t="s">
        <v>101</v>
      </c>
      <c r="R305" s="1" t="s">
        <v>102</v>
      </c>
      <c r="S305" s="1" t="s">
        <v>637</v>
      </c>
      <c r="T305" s="1" t="s">
        <v>638</v>
      </c>
      <c r="U305" s="1">
        <v>1</v>
      </c>
      <c r="V305" s="1" t="s">
        <v>101</v>
      </c>
      <c r="W305" s="1" t="s">
        <v>1895</v>
      </c>
      <c r="Y305" s="10">
        <v>45462</v>
      </c>
      <c r="Z305" s="1">
        <v>2024</v>
      </c>
      <c r="AA305" s="2">
        <v>25279160.579999998</v>
      </c>
      <c r="AB305" s="2"/>
      <c r="AC305" s="2">
        <v>3000000</v>
      </c>
      <c r="AD305" s="1">
        <v>35</v>
      </c>
      <c r="AE305" s="1">
        <v>3</v>
      </c>
      <c r="AG305" s="1" t="s">
        <v>56</v>
      </c>
      <c r="AI305" s="2">
        <v>3000000</v>
      </c>
    </row>
    <row r="306" spans="1:38" ht="14.45" customHeight="1" x14ac:dyDescent="0.25">
      <c r="A306" s="1" t="s">
        <v>57</v>
      </c>
      <c r="B306" s="9" t="s">
        <v>38</v>
      </c>
      <c r="C306" s="1" t="s">
        <v>58</v>
      </c>
      <c r="D306" s="1" t="s">
        <v>59</v>
      </c>
      <c r="E306" s="1" t="s">
        <v>42</v>
      </c>
      <c r="G306" s="1" t="s">
        <v>105</v>
      </c>
      <c r="H306" s="1" t="s">
        <v>1893</v>
      </c>
      <c r="I306" s="1" t="s">
        <v>1899</v>
      </c>
      <c r="J306" s="1">
        <v>2023</v>
      </c>
      <c r="K306" s="1" t="s">
        <v>1900</v>
      </c>
      <c r="L306" s="1" t="s">
        <v>1901</v>
      </c>
      <c r="M306" s="1" t="s">
        <v>1902</v>
      </c>
      <c r="N306" s="1" t="s">
        <v>1903</v>
      </c>
      <c r="P306" s="1" t="s">
        <v>1904</v>
      </c>
      <c r="Q306" s="1" t="s">
        <v>842</v>
      </c>
      <c r="R306" s="1" t="s">
        <v>1177</v>
      </c>
      <c r="S306" s="16" t="s">
        <v>1178</v>
      </c>
      <c r="T306" s="1" t="s">
        <v>1179</v>
      </c>
      <c r="V306" s="1" t="s">
        <v>1178</v>
      </c>
      <c r="W306" s="1" t="s">
        <v>1900</v>
      </c>
      <c r="Y306" s="10">
        <v>45462</v>
      </c>
      <c r="Z306" s="1">
        <v>2024</v>
      </c>
      <c r="AA306" s="2">
        <v>6113619.0099999998</v>
      </c>
      <c r="AB306" s="2"/>
      <c r="AC306" s="2">
        <v>1887977.23</v>
      </c>
      <c r="AD306" s="1">
        <v>30</v>
      </c>
      <c r="AE306" s="1">
        <v>17.399999999999999</v>
      </c>
      <c r="AG306" s="1" t="s">
        <v>56</v>
      </c>
      <c r="AI306" s="2">
        <v>1887977.23</v>
      </c>
    </row>
    <row r="307" spans="1:38" ht="14.45" customHeight="1" x14ac:dyDescent="0.2">
      <c r="A307" s="1" t="s">
        <v>57</v>
      </c>
      <c r="B307" s="9" t="s">
        <v>38</v>
      </c>
      <c r="C307" s="1" t="s">
        <v>58</v>
      </c>
      <c r="D307" s="1" t="s">
        <v>59</v>
      </c>
      <c r="E307" s="1" t="s">
        <v>42</v>
      </c>
      <c r="G307" s="1" t="s">
        <v>105</v>
      </c>
      <c r="H307" s="1" t="s">
        <v>1893</v>
      </c>
      <c r="I307" s="1" t="s">
        <v>1905</v>
      </c>
      <c r="J307" s="1">
        <v>2023</v>
      </c>
      <c r="K307" s="1" t="s">
        <v>1906</v>
      </c>
      <c r="L307" s="1" t="s">
        <v>1907</v>
      </c>
      <c r="M307" s="1" t="s">
        <v>1908</v>
      </c>
      <c r="N307" s="1" t="s">
        <v>1909</v>
      </c>
      <c r="P307" s="1" t="s">
        <v>1910</v>
      </c>
      <c r="Q307" s="1" t="s">
        <v>1149</v>
      </c>
      <c r="R307" s="1" t="s">
        <v>1150</v>
      </c>
      <c r="S307" s="1" t="s">
        <v>1218</v>
      </c>
      <c r="T307" s="1" t="s">
        <v>1219</v>
      </c>
      <c r="V307" s="1" t="s">
        <v>1153</v>
      </c>
      <c r="W307" s="1" t="s">
        <v>1906</v>
      </c>
      <c r="Y307" s="10">
        <v>45462</v>
      </c>
      <c r="Z307" s="1">
        <v>2024</v>
      </c>
      <c r="AA307" s="2">
        <v>2775810.32</v>
      </c>
      <c r="AB307" s="2"/>
      <c r="AC307" s="2">
        <v>560766.81000000006</v>
      </c>
      <c r="AD307" s="1">
        <v>5</v>
      </c>
      <c r="AE307" s="1">
        <v>1</v>
      </c>
      <c r="AG307" s="1" t="s">
        <v>56</v>
      </c>
      <c r="AI307" s="2">
        <v>560766.81000000006</v>
      </c>
      <c r="AL307" s="1" t="s">
        <v>1911</v>
      </c>
    </row>
    <row r="308" spans="1:38" ht="12.6" customHeight="1" x14ac:dyDescent="0.2">
      <c r="A308" s="1" t="s">
        <v>57</v>
      </c>
      <c r="B308" s="9" t="s">
        <v>38</v>
      </c>
      <c r="C308" s="1" t="s">
        <v>58</v>
      </c>
      <c r="D308" s="1" t="s">
        <v>59</v>
      </c>
      <c r="E308" s="1" t="s">
        <v>42</v>
      </c>
      <c r="G308" s="1" t="s">
        <v>105</v>
      </c>
      <c r="H308" s="1" t="s">
        <v>1893</v>
      </c>
      <c r="I308" s="1" t="s">
        <v>1912</v>
      </c>
      <c r="J308" s="1">
        <v>2023</v>
      </c>
      <c r="K308" s="1" t="s">
        <v>1913</v>
      </c>
      <c r="L308" s="1" t="s">
        <v>1914</v>
      </c>
      <c r="N308" s="1" t="s">
        <v>1915</v>
      </c>
      <c r="P308" s="1" t="s">
        <v>1916</v>
      </c>
      <c r="Q308" s="1" t="s">
        <v>101</v>
      </c>
      <c r="R308" s="1" t="s">
        <v>102</v>
      </c>
      <c r="S308" s="1" t="s">
        <v>1917</v>
      </c>
      <c r="T308" s="1" t="s">
        <v>1918</v>
      </c>
      <c r="U308" s="1">
        <v>2</v>
      </c>
      <c r="V308" s="1" t="s">
        <v>101</v>
      </c>
      <c r="W308" s="1" t="s">
        <v>1919</v>
      </c>
      <c r="Y308" s="10">
        <v>45462</v>
      </c>
      <c r="Z308" s="1">
        <v>2024</v>
      </c>
      <c r="AA308" s="2">
        <v>7722917.2300000004</v>
      </c>
      <c r="AB308" s="2"/>
      <c r="AC308" s="2">
        <v>1852083.45</v>
      </c>
      <c r="AD308" s="1">
        <v>41</v>
      </c>
      <c r="AG308" s="1" t="s">
        <v>56</v>
      </c>
      <c r="AI308" s="2">
        <v>1852083.45</v>
      </c>
    </row>
    <row r="309" spans="1:38" ht="12.6" customHeight="1" x14ac:dyDescent="0.2">
      <c r="A309" s="1" t="s">
        <v>57</v>
      </c>
      <c r="B309" s="9" t="s">
        <v>38</v>
      </c>
      <c r="C309" s="1" t="s">
        <v>58</v>
      </c>
      <c r="D309" s="1" t="s">
        <v>59</v>
      </c>
      <c r="E309" s="1" t="s">
        <v>42</v>
      </c>
      <c r="G309" s="1" t="s">
        <v>105</v>
      </c>
      <c r="H309" s="1" t="s">
        <v>1893</v>
      </c>
      <c r="I309" s="1" t="s">
        <v>1920</v>
      </c>
      <c r="J309" s="1">
        <v>2023</v>
      </c>
      <c r="K309" s="1" t="s">
        <v>1921</v>
      </c>
      <c r="L309" s="1" t="s">
        <v>1922</v>
      </c>
      <c r="M309" s="1" t="s">
        <v>1923</v>
      </c>
      <c r="N309" s="1" t="s">
        <v>1924</v>
      </c>
      <c r="O309" s="1" t="s">
        <v>1833</v>
      </c>
      <c r="P309" s="1" t="s">
        <v>1925</v>
      </c>
      <c r="Q309" s="1" t="s">
        <v>842</v>
      </c>
      <c r="R309" s="1" t="s">
        <v>884</v>
      </c>
      <c r="S309" s="11" t="s">
        <v>1926</v>
      </c>
      <c r="T309" s="1" t="s">
        <v>1927</v>
      </c>
      <c r="V309" s="1" t="s">
        <v>887</v>
      </c>
      <c r="W309" s="1" t="s">
        <v>1928</v>
      </c>
      <c r="Y309" s="10">
        <v>45594</v>
      </c>
      <c r="Z309" s="1">
        <v>2024</v>
      </c>
      <c r="AA309" s="2">
        <v>1234202.3999999999</v>
      </c>
      <c r="AB309" s="2"/>
      <c r="AC309" s="2">
        <v>307573.68</v>
      </c>
      <c r="AD309" s="1">
        <v>4</v>
      </c>
      <c r="AE309" s="1">
        <v>4</v>
      </c>
      <c r="AG309" s="1" t="s">
        <v>56</v>
      </c>
    </row>
    <row r="310" spans="1:38" ht="37.9" customHeight="1" x14ac:dyDescent="0.2">
      <c r="A310" s="1" t="s">
        <v>57</v>
      </c>
      <c r="B310" s="9" t="s">
        <v>38</v>
      </c>
      <c r="C310" s="1" t="s">
        <v>58</v>
      </c>
      <c r="D310" s="1" t="s">
        <v>59</v>
      </c>
      <c r="E310" s="1" t="s">
        <v>42</v>
      </c>
      <c r="G310" s="1" t="s">
        <v>105</v>
      </c>
      <c r="H310" s="1" t="s">
        <v>1893</v>
      </c>
      <c r="I310" s="1" t="s">
        <v>1929</v>
      </c>
      <c r="J310" s="1">
        <v>2023</v>
      </c>
      <c r="K310" s="1" t="s">
        <v>1930</v>
      </c>
      <c r="L310" s="1" t="s">
        <v>1931</v>
      </c>
      <c r="N310" s="1" t="s">
        <v>1932</v>
      </c>
      <c r="P310" s="1" t="s">
        <v>1933</v>
      </c>
      <c r="Q310" s="1" t="s">
        <v>101</v>
      </c>
      <c r="R310" s="1" t="s">
        <v>102</v>
      </c>
      <c r="S310" s="1" t="s">
        <v>103</v>
      </c>
      <c r="T310" s="1" t="s">
        <v>104</v>
      </c>
      <c r="U310" s="1">
        <v>1</v>
      </c>
      <c r="V310" s="1" t="s">
        <v>101</v>
      </c>
      <c r="W310" s="1" t="s">
        <v>1930</v>
      </c>
      <c r="Y310" s="10">
        <v>45462</v>
      </c>
      <c r="Z310" s="1">
        <v>2024</v>
      </c>
      <c r="AA310" s="2">
        <v>355104</v>
      </c>
      <c r="AB310" s="2"/>
      <c r="AC310" s="2">
        <v>116020.8</v>
      </c>
      <c r="AD310" s="1">
        <v>3</v>
      </c>
      <c r="AE310" s="1">
        <v>2</v>
      </c>
      <c r="AG310" s="1" t="s">
        <v>56</v>
      </c>
      <c r="AI310" s="2">
        <v>116020.8</v>
      </c>
    </row>
    <row r="311" spans="1:38" ht="14.45" customHeight="1" x14ac:dyDescent="0.2">
      <c r="A311" s="1" t="s">
        <v>57</v>
      </c>
      <c r="B311" s="9" t="s">
        <v>38</v>
      </c>
      <c r="C311" s="1" t="s">
        <v>58</v>
      </c>
      <c r="D311" s="1" t="s">
        <v>59</v>
      </c>
      <c r="E311" s="1" t="s">
        <v>42</v>
      </c>
      <c r="G311" s="1" t="s">
        <v>105</v>
      </c>
      <c r="H311" s="1" t="s">
        <v>61</v>
      </c>
      <c r="I311" s="1" t="s">
        <v>1934</v>
      </c>
      <c r="J311" s="1">
        <v>2023</v>
      </c>
      <c r="K311" s="1" t="s">
        <v>1935</v>
      </c>
      <c r="L311" s="1" t="s">
        <v>1936</v>
      </c>
      <c r="M311" s="1" t="s">
        <v>1937</v>
      </c>
      <c r="N311" s="1" t="s">
        <v>1938</v>
      </c>
      <c r="P311" s="1" t="s">
        <v>1939</v>
      </c>
      <c r="Q311" s="1" t="s">
        <v>842</v>
      </c>
      <c r="R311" s="1" t="s">
        <v>843</v>
      </c>
      <c r="S311" s="1" t="s">
        <v>844</v>
      </c>
      <c r="T311" s="1" t="s">
        <v>845</v>
      </c>
      <c r="V311" s="1" t="s">
        <v>846</v>
      </c>
      <c r="W311" s="1" t="s">
        <v>1935</v>
      </c>
      <c r="Y311" s="10">
        <v>45462</v>
      </c>
      <c r="Z311" s="1">
        <v>2024</v>
      </c>
      <c r="AA311" s="2">
        <v>125030</v>
      </c>
      <c r="AB311" s="2"/>
      <c r="AC311" s="2">
        <v>75017.990000000005</v>
      </c>
      <c r="AD311" s="1">
        <v>6</v>
      </c>
      <c r="AE311" s="1">
        <v>4</v>
      </c>
      <c r="AG311" s="1" t="s">
        <v>56</v>
      </c>
      <c r="AI311" s="2">
        <v>75017.990000000005</v>
      </c>
    </row>
    <row r="312" spans="1:38" ht="14.45" customHeight="1" x14ac:dyDescent="0.2">
      <c r="A312" s="1" t="s">
        <v>57</v>
      </c>
      <c r="B312" s="9" t="s">
        <v>38</v>
      </c>
      <c r="C312" s="1" t="s">
        <v>58</v>
      </c>
      <c r="D312" s="1" t="s">
        <v>59</v>
      </c>
      <c r="E312" s="1" t="s">
        <v>42</v>
      </c>
      <c r="G312" s="1" t="s">
        <v>105</v>
      </c>
      <c r="H312" s="1" t="s">
        <v>61</v>
      </c>
      <c r="I312" s="1" t="s">
        <v>1940</v>
      </c>
      <c r="J312" s="1">
        <v>2023</v>
      </c>
      <c r="K312" s="1" t="s">
        <v>1941</v>
      </c>
      <c r="L312" s="1" t="s">
        <v>1941</v>
      </c>
      <c r="M312" s="1" t="s">
        <v>1942</v>
      </c>
      <c r="N312" s="1" t="s">
        <v>1943</v>
      </c>
      <c r="P312" s="1" t="s">
        <v>1944</v>
      </c>
      <c r="Q312" s="1" t="s">
        <v>50</v>
      </c>
      <c r="R312" s="1" t="s">
        <v>51</v>
      </c>
      <c r="S312" s="1" t="s">
        <v>1077</v>
      </c>
      <c r="T312" s="1" t="s">
        <v>1078</v>
      </c>
      <c r="V312" s="1" t="s">
        <v>54</v>
      </c>
      <c r="W312" s="1" t="s">
        <v>1941</v>
      </c>
      <c r="Y312" s="10">
        <v>45462</v>
      </c>
      <c r="Z312" s="1">
        <v>2024</v>
      </c>
      <c r="AA312" s="2">
        <v>5379034.0899999999</v>
      </c>
      <c r="AB312" s="2"/>
      <c r="AC312" s="2">
        <v>942379.26</v>
      </c>
      <c r="AD312" s="1">
        <v>18</v>
      </c>
      <c r="AE312" s="1">
        <v>5</v>
      </c>
      <c r="AG312" s="1" t="s">
        <v>56</v>
      </c>
      <c r="AI312" s="2">
        <v>942379.26</v>
      </c>
    </row>
    <row r="313" spans="1:38" ht="14.45" customHeight="1" x14ac:dyDescent="0.2">
      <c r="A313" s="1" t="s">
        <v>57</v>
      </c>
      <c r="B313" s="9" t="s">
        <v>38</v>
      </c>
      <c r="C313" s="1" t="s">
        <v>58</v>
      </c>
      <c r="D313" s="1" t="s">
        <v>59</v>
      </c>
      <c r="E313" s="1" t="s">
        <v>42</v>
      </c>
      <c r="G313" s="1" t="s">
        <v>105</v>
      </c>
      <c r="H313" s="1" t="s">
        <v>61</v>
      </c>
      <c r="I313" s="1" t="s">
        <v>1945</v>
      </c>
      <c r="J313" s="1">
        <v>2023</v>
      </c>
      <c r="K313" s="1" t="s">
        <v>1946</v>
      </c>
      <c r="L313" s="1" t="s">
        <v>1947</v>
      </c>
      <c r="N313" s="1" t="s">
        <v>1948</v>
      </c>
      <c r="P313" s="1" t="s">
        <v>1949</v>
      </c>
      <c r="Q313" s="1" t="s">
        <v>101</v>
      </c>
      <c r="R313" s="1" t="s">
        <v>102</v>
      </c>
      <c r="S313" s="1" t="s">
        <v>1950</v>
      </c>
      <c r="T313" s="1" t="s">
        <v>1951</v>
      </c>
      <c r="V313" s="1" t="s">
        <v>101</v>
      </c>
      <c r="W313" s="1" t="s">
        <v>1952</v>
      </c>
      <c r="Y313" s="10">
        <v>45462</v>
      </c>
      <c r="Z313" s="1">
        <v>2024</v>
      </c>
      <c r="AA313" s="2">
        <v>6011615.5599999996</v>
      </c>
      <c r="AB313" s="2"/>
      <c r="AC313" s="2">
        <v>1202323.1100000001</v>
      </c>
      <c r="AD313" s="1">
        <v>60</v>
      </c>
      <c r="AE313" s="1">
        <v>18</v>
      </c>
      <c r="AG313" s="1" t="s">
        <v>56</v>
      </c>
      <c r="AI313" s="2">
        <v>1202323.1100000001</v>
      </c>
    </row>
    <row r="314" spans="1:38" ht="14.45" customHeight="1" x14ac:dyDescent="0.25">
      <c r="A314" s="1" t="s">
        <v>57</v>
      </c>
      <c r="B314" s="9" t="s">
        <v>38</v>
      </c>
      <c r="C314" s="1" t="s">
        <v>58</v>
      </c>
      <c r="D314" s="1" t="s">
        <v>59</v>
      </c>
      <c r="E314" s="1" t="s">
        <v>42</v>
      </c>
      <c r="G314" s="1" t="s">
        <v>105</v>
      </c>
      <c r="H314" s="1" t="s">
        <v>1893</v>
      </c>
      <c r="I314" s="1" t="s">
        <v>1953</v>
      </c>
      <c r="J314" s="1">
        <v>2023</v>
      </c>
      <c r="K314" s="1" t="s">
        <v>1954</v>
      </c>
      <c r="L314" s="1" t="s">
        <v>1955</v>
      </c>
      <c r="M314" s="19" t="s">
        <v>1956</v>
      </c>
      <c r="N314" s="1" t="s">
        <v>1957</v>
      </c>
      <c r="P314" s="1" t="s">
        <v>1958</v>
      </c>
      <c r="Q314" s="1" t="s">
        <v>1149</v>
      </c>
      <c r="R314" s="1" t="s">
        <v>1150</v>
      </c>
      <c r="S314" s="16" t="s">
        <v>1959</v>
      </c>
      <c r="T314" s="1" t="s">
        <v>1960</v>
      </c>
      <c r="V314" s="1" t="s">
        <v>1153</v>
      </c>
      <c r="W314" s="1" t="s">
        <v>1954</v>
      </c>
      <c r="Y314" s="10">
        <v>45462</v>
      </c>
      <c r="Z314" s="1">
        <v>2024</v>
      </c>
      <c r="AA314" s="2">
        <v>21720130.07</v>
      </c>
      <c r="AB314" s="2"/>
      <c r="AC314" s="2">
        <v>3000000</v>
      </c>
      <c r="AD314" s="1">
        <v>25</v>
      </c>
      <c r="AE314" s="1">
        <v>6</v>
      </c>
      <c r="AG314" s="1" t="s">
        <v>56</v>
      </c>
      <c r="AI314" s="2">
        <v>3000000</v>
      </c>
    </row>
    <row r="315" spans="1:38" ht="14.45" customHeight="1" x14ac:dyDescent="0.2">
      <c r="A315" s="1" t="s">
        <v>57</v>
      </c>
      <c r="B315" s="9" t="s">
        <v>38</v>
      </c>
      <c r="C315" s="1" t="s">
        <v>58</v>
      </c>
      <c r="D315" s="1" t="s">
        <v>59</v>
      </c>
      <c r="E315" s="1" t="s">
        <v>42</v>
      </c>
      <c r="G315" s="1" t="s">
        <v>105</v>
      </c>
      <c r="H315" s="1" t="s">
        <v>1893</v>
      </c>
      <c r="I315" s="1" t="s">
        <v>1961</v>
      </c>
      <c r="J315" s="1">
        <v>2023</v>
      </c>
      <c r="K315" s="1" t="s">
        <v>1962</v>
      </c>
      <c r="L315" s="1" t="s">
        <v>1963</v>
      </c>
      <c r="M315" s="1" t="s">
        <v>882</v>
      </c>
      <c r="N315" s="1" t="s">
        <v>1964</v>
      </c>
      <c r="P315" s="1" t="s">
        <v>1965</v>
      </c>
      <c r="Q315" s="1" t="s">
        <v>842</v>
      </c>
      <c r="R315" s="1" t="s">
        <v>884</v>
      </c>
      <c r="S315" s="1" t="s">
        <v>1011</v>
      </c>
      <c r="T315" s="1" t="s">
        <v>1012</v>
      </c>
      <c r="V315" s="1" t="s">
        <v>887</v>
      </c>
      <c r="W315" s="1" t="s">
        <v>1962</v>
      </c>
      <c r="Y315" s="10">
        <v>45462</v>
      </c>
      <c r="Z315" s="1">
        <v>2024</v>
      </c>
      <c r="AA315" s="2">
        <v>1407209.76</v>
      </c>
      <c r="AB315" s="2"/>
      <c r="AC315" s="2">
        <v>722162.93</v>
      </c>
      <c r="AD315" s="1">
        <v>20</v>
      </c>
      <c r="AE315" s="1">
        <v>6</v>
      </c>
      <c r="AG315" s="1" t="s">
        <v>56</v>
      </c>
      <c r="AI315" s="2">
        <v>722162.93</v>
      </c>
    </row>
    <row r="316" spans="1:38" ht="14.45" customHeight="1" x14ac:dyDescent="0.2">
      <c r="A316" s="1" t="s">
        <v>57</v>
      </c>
      <c r="B316" s="9" t="s">
        <v>38</v>
      </c>
      <c r="C316" s="1" t="s">
        <v>58</v>
      </c>
      <c r="D316" s="1" t="s">
        <v>59</v>
      </c>
      <c r="E316" s="1" t="s">
        <v>42</v>
      </c>
      <c r="F316" s="1" t="s">
        <v>165</v>
      </c>
      <c r="G316" s="1" t="s">
        <v>88</v>
      </c>
      <c r="H316" s="1" t="s">
        <v>166</v>
      </c>
      <c r="I316" s="1" t="s">
        <v>1966</v>
      </c>
      <c r="J316" s="1">
        <v>2023</v>
      </c>
      <c r="K316" s="1" t="s">
        <v>1967</v>
      </c>
      <c r="L316" s="1" t="s">
        <v>1968</v>
      </c>
      <c r="M316" s="1" t="s">
        <v>1969</v>
      </c>
      <c r="N316" s="1" t="s">
        <v>1970</v>
      </c>
      <c r="P316" s="1" t="s">
        <v>1971</v>
      </c>
      <c r="Q316" s="1" t="s">
        <v>50</v>
      </c>
      <c r="R316" s="1" t="s">
        <v>77</v>
      </c>
      <c r="S316" s="1" t="s">
        <v>198</v>
      </c>
      <c r="T316" s="2" t="s">
        <v>199</v>
      </c>
      <c r="U316" s="1">
        <v>1</v>
      </c>
      <c r="V316" s="1" t="str">
        <f>VLOOKUP(Tabla35[[#This Row],[Municipio]],[1]CON_INE_2024!$H$5:$K$353,3,FALSE)</f>
        <v>Guardo-Velilla</v>
      </c>
      <c r="W316" s="1" t="s">
        <v>1972</v>
      </c>
      <c r="Y316" s="10">
        <v>45802</v>
      </c>
      <c r="Z316" s="1">
        <v>2025</v>
      </c>
      <c r="AA316" s="12">
        <v>431094.07</v>
      </c>
      <c r="AB316" s="2"/>
      <c r="AC316" s="12">
        <v>107773.52</v>
      </c>
      <c r="AD316" s="1">
        <v>0</v>
      </c>
      <c r="AE316" s="1">
        <v>0</v>
      </c>
      <c r="AG316" s="1" t="s">
        <v>56</v>
      </c>
      <c r="AI316" s="13">
        <v>107773.52</v>
      </c>
    </row>
    <row r="317" spans="1:38" ht="14.45" customHeight="1" x14ac:dyDescent="0.2">
      <c r="A317" s="1" t="s">
        <v>57</v>
      </c>
      <c r="B317" s="9" t="s">
        <v>38</v>
      </c>
      <c r="C317" s="1" t="s">
        <v>58</v>
      </c>
      <c r="D317" s="1" t="s">
        <v>146</v>
      </c>
      <c r="E317" s="1" t="s">
        <v>42</v>
      </c>
      <c r="G317" s="1" t="s">
        <v>147</v>
      </c>
      <c r="H317" s="1" t="s">
        <v>148</v>
      </c>
      <c r="I317" s="1" t="s">
        <v>1973</v>
      </c>
      <c r="J317" s="1">
        <v>2020</v>
      </c>
      <c r="K317" s="1" t="s">
        <v>1974</v>
      </c>
      <c r="L317" s="1" t="s">
        <v>1975</v>
      </c>
      <c r="M317" s="1" t="s">
        <v>1976</v>
      </c>
      <c r="P317" s="1" t="s">
        <v>1715</v>
      </c>
      <c r="Q317" s="1" t="s">
        <v>264</v>
      </c>
      <c r="R317" s="1" t="s">
        <v>265</v>
      </c>
      <c r="S317" s="1" t="s">
        <v>542</v>
      </c>
      <c r="T317" s="1" t="s">
        <v>543</v>
      </c>
      <c r="U317" s="1">
        <v>1</v>
      </c>
      <c r="V317" s="1" t="s">
        <v>268</v>
      </c>
      <c r="W317" s="1" t="s">
        <v>1977</v>
      </c>
      <c r="X317" s="1" t="s">
        <v>153</v>
      </c>
      <c r="Y317" s="10">
        <v>44127</v>
      </c>
      <c r="Z317" s="1">
        <v>2020</v>
      </c>
      <c r="AA317" s="2">
        <v>350000</v>
      </c>
      <c r="AB317" s="2"/>
      <c r="AC317" s="2">
        <v>262500</v>
      </c>
      <c r="AD317" s="1">
        <v>0</v>
      </c>
      <c r="AF317" s="1">
        <v>0</v>
      </c>
      <c r="AG317" s="1" t="s">
        <v>56</v>
      </c>
      <c r="AH317" s="1" t="s">
        <v>154</v>
      </c>
      <c r="AI317" s="2">
        <v>247442.89</v>
      </c>
      <c r="AL317" s="1" t="s">
        <v>503</v>
      </c>
    </row>
    <row r="318" spans="1:38" ht="14.45" customHeight="1" x14ac:dyDescent="0.2">
      <c r="A318" s="1" t="s">
        <v>57</v>
      </c>
      <c r="B318" s="9" t="s">
        <v>38</v>
      </c>
      <c r="C318" s="1" t="s">
        <v>58</v>
      </c>
      <c r="D318" s="1" t="s">
        <v>146</v>
      </c>
      <c r="E318" s="1" t="s">
        <v>42</v>
      </c>
      <c r="G318" s="1" t="s">
        <v>147</v>
      </c>
      <c r="H318" s="1" t="s">
        <v>148</v>
      </c>
      <c r="I318" s="1" t="s">
        <v>1978</v>
      </c>
      <c r="J318" s="1">
        <v>2020</v>
      </c>
      <c r="K318" s="1" t="s">
        <v>1979</v>
      </c>
      <c r="L318" s="1" t="s">
        <v>1980</v>
      </c>
      <c r="M318" s="1" t="s">
        <v>1981</v>
      </c>
      <c r="P318" s="1" t="s">
        <v>1715</v>
      </c>
      <c r="Q318" s="1" t="s">
        <v>264</v>
      </c>
      <c r="R318" s="1" t="s">
        <v>265</v>
      </c>
      <c r="S318" s="1" t="s">
        <v>542</v>
      </c>
      <c r="T318" s="1" t="s">
        <v>543</v>
      </c>
      <c r="U318" s="1">
        <v>1</v>
      </c>
      <c r="V318" s="1" t="s">
        <v>268</v>
      </c>
      <c r="W318" s="1" t="s">
        <v>1982</v>
      </c>
      <c r="X318" s="1" t="s">
        <v>153</v>
      </c>
      <c r="Y318" s="10">
        <v>44127</v>
      </c>
      <c r="Z318" s="1">
        <v>2020</v>
      </c>
      <c r="AA318" s="2">
        <v>331500</v>
      </c>
      <c r="AB318" s="2"/>
      <c r="AC318" s="2">
        <v>248625</v>
      </c>
      <c r="AD318" s="1">
        <v>0</v>
      </c>
      <c r="AF318" s="1">
        <v>0</v>
      </c>
      <c r="AG318" s="1" t="s">
        <v>56</v>
      </c>
      <c r="AH318" s="1" t="s">
        <v>154</v>
      </c>
      <c r="AI318" s="2">
        <v>233825.93</v>
      </c>
    </row>
    <row r="319" spans="1:38" ht="14.45" customHeight="1" x14ac:dyDescent="0.2">
      <c r="A319" s="1" t="s">
        <v>57</v>
      </c>
      <c r="B319" s="9" t="s">
        <v>38</v>
      </c>
      <c r="C319" s="1" t="s">
        <v>58</v>
      </c>
      <c r="D319" s="1" t="s">
        <v>146</v>
      </c>
      <c r="E319" s="1" t="s">
        <v>42</v>
      </c>
      <c r="G319" s="1" t="s">
        <v>147</v>
      </c>
      <c r="H319" s="1" t="s">
        <v>148</v>
      </c>
      <c r="I319" s="1" t="s">
        <v>1983</v>
      </c>
      <c r="J319" s="1">
        <v>2020</v>
      </c>
      <c r="K319" s="1" t="s">
        <v>1984</v>
      </c>
      <c r="L319" s="1" t="s">
        <v>1985</v>
      </c>
      <c r="M319" s="1" t="s">
        <v>1986</v>
      </c>
      <c r="P319" s="1" t="s">
        <v>1715</v>
      </c>
      <c r="Q319" s="1" t="s">
        <v>264</v>
      </c>
      <c r="R319" s="1" t="s">
        <v>265</v>
      </c>
      <c r="S319" s="1" t="s">
        <v>542</v>
      </c>
      <c r="T319" s="1" t="s">
        <v>543</v>
      </c>
      <c r="U319" s="1">
        <v>1</v>
      </c>
      <c r="V319" s="1" t="s">
        <v>268</v>
      </c>
      <c r="W319" s="1" t="s">
        <v>1987</v>
      </c>
      <c r="X319" s="1" t="s">
        <v>153</v>
      </c>
      <c r="Y319" s="10">
        <v>44127</v>
      </c>
      <c r="Z319" s="1">
        <v>2020</v>
      </c>
      <c r="AA319" s="2">
        <v>957000</v>
      </c>
      <c r="AB319" s="2"/>
      <c r="AC319" s="2">
        <v>717750</v>
      </c>
      <c r="AD319" s="1">
        <v>0</v>
      </c>
      <c r="AF319" s="1">
        <v>0</v>
      </c>
      <c r="AG319" s="1" t="s">
        <v>56</v>
      </c>
      <c r="AH319" s="1" t="s">
        <v>1458</v>
      </c>
      <c r="AI319" s="2">
        <v>717750</v>
      </c>
      <c r="AL319" s="1" t="s">
        <v>1744</v>
      </c>
    </row>
    <row r="320" spans="1:38" ht="14.45" customHeight="1" x14ac:dyDescent="0.2">
      <c r="A320" s="1" t="s">
        <v>57</v>
      </c>
      <c r="B320" s="9" t="s">
        <v>38</v>
      </c>
      <c r="C320" s="1" t="s">
        <v>58</v>
      </c>
      <c r="D320" s="1" t="s">
        <v>59</v>
      </c>
      <c r="E320" s="1" t="s">
        <v>42</v>
      </c>
      <c r="F320" s="1" t="s">
        <v>165</v>
      </c>
      <c r="G320" s="1" t="s">
        <v>88</v>
      </c>
      <c r="H320" s="1" t="s">
        <v>166</v>
      </c>
      <c r="I320" s="1" t="s">
        <v>1988</v>
      </c>
      <c r="J320" s="1">
        <v>2023</v>
      </c>
      <c r="K320" s="1" t="s">
        <v>1989</v>
      </c>
      <c r="L320" s="1" t="s">
        <v>1990</v>
      </c>
      <c r="M320" s="1" t="s">
        <v>1991</v>
      </c>
      <c r="N320" s="1" t="s">
        <v>1992</v>
      </c>
      <c r="P320" s="1" t="s">
        <v>1993</v>
      </c>
      <c r="Q320" s="1" t="s">
        <v>50</v>
      </c>
      <c r="R320" s="1" t="s">
        <v>77</v>
      </c>
      <c r="S320" s="1" t="s">
        <v>1212</v>
      </c>
      <c r="T320" s="2" t="s">
        <v>1213</v>
      </c>
      <c r="U320" s="1">
        <v>1</v>
      </c>
      <c r="V320" s="1" t="str">
        <f>VLOOKUP(Tabla35[[#This Row],[Municipio]],[1]CON_INE_2024!$H$5:$K$353,3,FALSE)</f>
        <v>Guardo-Velilla</v>
      </c>
      <c r="W320" s="1" t="s">
        <v>1994</v>
      </c>
      <c r="Y320" s="10">
        <v>45802</v>
      </c>
      <c r="Z320" s="1">
        <v>2025</v>
      </c>
      <c r="AA320" s="12">
        <v>107328.22</v>
      </c>
      <c r="AB320" s="2"/>
      <c r="AC320" s="12">
        <v>37564.879999999997</v>
      </c>
      <c r="AD320" s="1">
        <v>0</v>
      </c>
      <c r="AE320" s="1">
        <v>0</v>
      </c>
      <c r="AG320" s="1" t="s">
        <v>56</v>
      </c>
      <c r="AI320" s="13">
        <v>37564.879999999997</v>
      </c>
    </row>
    <row r="321" spans="1:38" ht="14.45" customHeight="1" x14ac:dyDescent="0.2">
      <c r="A321" s="1" t="s">
        <v>57</v>
      </c>
      <c r="B321" s="9" t="s">
        <v>38</v>
      </c>
      <c r="C321" s="1" t="s">
        <v>58</v>
      </c>
      <c r="D321" s="1" t="s">
        <v>146</v>
      </c>
      <c r="E321" s="1" t="s">
        <v>42</v>
      </c>
      <c r="G321" s="1" t="s">
        <v>147</v>
      </c>
      <c r="H321" s="1" t="s">
        <v>148</v>
      </c>
      <c r="I321" s="1" t="s">
        <v>1995</v>
      </c>
      <c r="J321" s="1">
        <v>2020</v>
      </c>
      <c r="K321" s="1" t="s">
        <v>1996</v>
      </c>
      <c r="L321" s="1" t="s">
        <v>1997</v>
      </c>
      <c r="M321" s="1" t="s">
        <v>1998</v>
      </c>
      <c r="P321" s="1" t="s">
        <v>1556</v>
      </c>
      <c r="Q321" s="1" t="s">
        <v>264</v>
      </c>
      <c r="R321" s="1" t="s">
        <v>265</v>
      </c>
      <c r="S321" s="1" t="s">
        <v>1557</v>
      </c>
      <c r="T321" s="1" t="s">
        <v>1558</v>
      </c>
      <c r="U321" s="1">
        <v>1</v>
      </c>
      <c r="V321" s="1" t="s">
        <v>268</v>
      </c>
      <c r="W321" s="1" t="s">
        <v>1999</v>
      </c>
      <c r="X321" s="1" t="s">
        <v>153</v>
      </c>
      <c r="Y321" s="10">
        <v>44127</v>
      </c>
      <c r="Z321" s="1">
        <v>2020</v>
      </c>
      <c r="AA321" s="2">
        <v>91000</v>
      </c>
      <c r="AB321" s="2"/>
      <c r="AC321" s="2">
        <v>68250</v>
      </c>
      <c r="AD321" s="1">
        <v>0.5</v>
      </c>
      <c r="AF321" s="1">
        <v>2</v>
      </c>
      <c r="AG321" s="1" t="s">
        <v>56</v>
      </c>
      <c r="AH321" s="1" t="s">
        <v>154</v>
      </c>
      <c r="AI321" s="2">
        <v>56177.38</v>
      </c>
      <c r="AL321" s="1" t="s">
        <v>2000</v>
      </c>
    </row>
    <row r="322" spans="1:38" ht="14.45" customHeight="1" x14ac:dyDescent="0.2">
      <c r="A322" s="1" t="s">
        <v>57</v>
      </c>
      <c r="B322" s="9" t="s">
        <v>38</v>
      </c>
      <c r="C322" s="1" t="s">
        <v>58</v>
      </c>
      <c r="D322" s="1" t="s">
        <v>146</v>
      </c>
      <c r="E322" s="1" t="s">
        <v>42</v>
      </c>
      <c r="G322" s="1" t="s">
        <v>147</v>
      </c>
      <c r="H322" s="1" t="s">
        <v>148</v>
      </c>
      <c r="I322" s="1" t="s">
        <v>2001</v>
      </c>
      <c r="J322" s="1">
        <v>2020</v>
      </c>
      <c r="K322" s="1" t="s">
        <v>2002</v>
      </c>
      <c r="L322" s="1" t="s">
        <v>2003</v>
      </c>
      <c r="M322" s="1" t="s">
        <v>2004</v>
      </c>
      <c r="P322" s="1" t="s">
        <v>1718</v>
      </c>
      <c r="Q322" s="1" t="s">
        <v>264</v>
      </c>
      <c r="R322" s="1" t="s">
        <v>265</v>
      </c>
      <c r="S322" s="1" t="s">
        <v>717</v>
      </c>
      <c r="T322" s="1" t="s">
        <v>718</v>
      </c>
      <c r="U322" s="1">
        <v>1</v>
      </c>
      <c r="V322" s="1" t="s">
        <v>535</v>
      </c>
      <c r="W322" s="1" t="s">
        <v>2005</v>
      </c>
      <c r="X322" s="1" t="s">
        <v>153</v>
      </c>
      <c r="Y322" s="10">
        <v>44127</v>
      </c>
      <c r="Z322" s="1">
        <v>2020</v>
      </c>
      <c r="AA322" s="2">
        <v>601000</v>
      </c>
      <c r="AB322" s="2"/>
      <c r="AC322" s="2">
        <v>450750</v>
      </c>
      <c r="AD322" s="1">
        <v>0</v>
      </c>
      <c r="AF322" s="1">
        <v>10</v>
      </c>
      <c r="AG322" s="1" t="s">
        <v>56</v>
      </c>
      <c r="AH322" s="1" t="s">
        <v>154</v>
      </c>
      <c r="AI322" s="2">
        <f>VLOOKUP(Tabla35[[#This Row],[Ref. Proyecto]],[4]revITJ!$B$2:$BG$67,2,FALSE)</f>
        <v>390122.39</v>
      </c>
      <c r="AL322" s="1" t="s">
        <v>2006</v>
      </c>
    </row>
    <row r="323" spans="1:38" ht="14.45" customHeight="1" x14ac:dyDescent="0.2">
      <c r="A323" s="1" t="s">
        <v>57</v>
      </c>
      <c r="B323" s="9" t="s">
        <v>38</v>
      </c>
      <c r="C323" s="1" t="s">
        <v>58</v>
      </c>
      <c r="D323" s="1" t="s">
        <v>59</v>
      </c>
      <c r="E323" s="1" t="s">
        <v>42</v>
      </c>
      <c r="G323" s="1" t="s">
        <v>122</v>
      </c>
      <c r="H323" s="1" t="s">
        <v>1893</v>
      </c>
      <c r="I323" s="1" t="s">
        <v>2007</v>
      </c>
      <c r="J323" s="1">
        <v>2023</v>
      </c>
      <c r="K323" s="1" t="s">
        <v>2008</v>
      </c>
      <c r="L323" s="1" t="s">
        <v>2009</v>
      </c>
      <c r="M323" s="1" t="s">
        <v>2010</v>
      </c>
      <c r="N323" s="1" t="s">
        <v>2011</v>
      </c>
      <c r="O323" s="1" t="s">
        <v>2012</v>
      </c>
      <c r="P323" s="1" t="s">
        <v>2013</v>
      </c>
      <c r="Q323" s="1" t="s">
        <v>1149</v>
      </c>
      <c r="R323" s="1" t="s">
        <v>1150</v>
      </c>
      <c r="S323" s="1" t="s">
        <v>2014</v>
      </c>
      <c r="T323" s="1" t="s">
        <v>2015</v>
      </c>
      <c r="V323" s="1" t="s">
        <v>1153</v>
      </c>
      <c r="W323" s="1" t="s">
        <v>2008</v>
      </c>
      <c r="Y323" s="10">
        <v>45478</v>
      </c>
      <c r="Z323" s="1">
        <v>2024</v>
      </c>
      <c r="AA323" s="2">
        <v>69271.55</v>
      </c>
      <c r="AB323" s="2"/>
      <c r="AC323" s="2">
        <v>32317.89</v>
      </c>
      <c r="AD323" s="1">
        <v>1</v>
      </c>
      <c r="AG323" s="1" t="s">
        <v>56</v>
      </c>
      <c r="AI323" s="2">
        <v>32317.89</v>
      </c>
    </row>
    <row r="324" spans="1:38" ht="14.45" customHeight="1" x14ac:dyDescent="0.2">
      <c r="A324" s="1" t="s">
        <v>57</v>
      </c>
      <c r="B324" s="9" t="s">
        <v>38</v>
      </c>
      <c r="C324" s="1" t="s">
        <v>58</v>
      </c>
      <c r="D324" s="1" t="s">
        <v>59</v>
      </c>
      <c r="E324" s="1" t="s">
        <v>42</v>
      </c>
      <c r="G324" s="1" t="s">
        <v>122</v>
      </c>
      <c r="H324" s="1" t="s">
        <v>1893</v>
      </c>
      <c r="I324" s="1" t="s">
        <v>2016</v>
      </c>
      <c r="J324" s="1">
        <v>2023</v>
      </c>
      <c r="K324" s="1" t="s">
        <v>2017</v>
      </c>
      <c r="L324" s="1" t="s">
        <v>2018</v>
      </c>
      <c r="N324" s="1" t="s">
        <v>2019</v>
      </c>
      <c r="P324" s="1" t="s">
        <v>2020</v>
      </c>
      <c r="Q324" s="1" t="s">
        <v>101</v>
      </c>
      <c r="R324" s="1" t="s">
        <v>102</v>
      </c>
      <c r="S324" s="1" t="s">
        <v>637</v>
      </c>
      <c r="T324" s="1" t="s">
        <v>638</v>
      </c>
      <c r="U324" s="1">
        <v>1</v>
      </c>
      <c r="V324" s="1" t="s">
        <v>101</v>
      </c>
      <c r="W324" s="1" t="s">
        <v>2017</v>
      </c>
      <c r="Y324" s="10">
        <v>45478</v>
      </c>
      <c r="Z324" s="1">
        <v>2024</v>
      </c>
      <c r="AA324" s="2">
        <v>80059.48</v>
      </c>
      <c r="AB324" s="2"/>
      <c r="AC324" s="2">
        <v>40029.74</v>
      </c>
      <c r="AD324" s="1">
        <v>2</v>
      </c>
      <c r="AE324" s="1">
        <v>2</v>
      </c>
      <c r="AG324" s="1" t="s">
        <v>56</v>
      </c>
      <c r="AI324" s="2">
        <v>40029.74</v>
      </c>
    </row>
    <row r="325" spans="1:38" ht="14.45" customHeight="1" x14ac:dyDescent="0.2">
      <c r="A325" s="1" t="s">
        <v>57</v>
      </c>
      <c r="B325" s="9" t="s">
        <v>38</v>
      </c>
      <c r="C325" s="1" t="s">
        <v>58</v>
      </c>
      <c r="D325" s="1" t="s">
        <v>59</v>
      </c>
      <c r="E325" s="1" t="s">
        <v>42</v>
      </c>
      <c r="G325" s="1" t="s">
        <v>122</v>
      </c>
      <c r="H325" s="1" t="s">
        <v>1893</v>
      </c>
      <c r="I325" s="1" t="s">
        <v>2021</v>
      </c>
      <c r="J325" s="1">
        <v>2023</v>
      </c>
      <c r="K325" s="1" t="s">
        <v>2022</v>
      </c>
      <c r="L325" s="1" t="s">
        <v>2023</v>
      </c>
      <c r="N325" s="1" t="s">
        <v>2024</v>
      </c>
      <c r="P325" s="1" t="s">
        <v>2025</v>
      </c>
      <c r="Q325" s="1" t="s">
        <v>2026</v>
      </c>
      <c r="R325" s="1" t="s">
        <v>2027</v>
      </c>
      <c r="S325" s="1" t="s">
        <v>2028</v>
      </c>
      <c r="T325" s="1" t="s">
        <v>2029</v>
      </c>
      <c r="U325" s="1">
        <v>2</v>
      </c>
      <c r="V325" s="1" t="s">
        <v>101</v>
      </c>
      <c r="W325" s="1" t="s">
        <v>2022</v>
      </c>
      <c r="Y325" s="10">
        <v>45478</v>
      </c>
      <c r="Z325" s="1">
        <v>2024</v>
      </c>
      <c r="AA325" s="2">
        <v>47542.31</v>
      </c>
      <c r="AB325" s="2"/>
      <c r="AC325" s="2">
        <v>23771.15</v>
      </c>
      <c r="AD325" s="1">
        <v>1</v>
      </c>
      <c r="AG325" s="1" t="s">
        <v>56</v>
      </c>
      <c r="AI325" s="2">
        <v>23771.15</v>
      </c>
    </row>
    <row r="326" spans="1:38" ht="12.6" customHeight="1" x14ac:dyDescent="0.2">
      <c r="A326" s="1" t="s">
        <v>57</v>
      </c>
      <c r="B326" s="9" t="s">
        <v>38</v>
      </c>
      <c r="C326" s="1" t="s">
        <v>58</v>
      </c>
      <c r="D326" s="1" t="s">
        <v>146</v>
      </c>
      <c r="E326" s="1" t="s">
        <v>42</v>
      </c>
      <c r="G326" s="1" t="s">
        <v>147</v>
      </c>
      <c r="H326" s="1" t="s">
        <v>148</v>
      </c>
      <c r="I326" s="1" t="s">
        <v>2030</v>
      </c>
      <c r="J326" s="1">
        <v>2021</v>
      </c>
      <c r="K326" s="1" t="s">
        <v>2031</v>
      </c>
      <c r="L326" s="1" t="s">
        <v>2032</v>
      </c>
      <c r="P326" s="1" t="s">
        <v>1711</v>
      </c>
      <c r="Q326" s="1" t="s">
        <v>264</v>
      </c>
      <c r="R326" s="1" t="s">
        <v>265</v>
      </c>
      <c r="S326" s="1" t="s">
        <v>315</v>
      </c>
      <c r="T326" s="1" t="s">
        <v>316</v>
      </c>
      <c r="U326" s="1">
        <v>1</v>
      </c>
      <c r="V326" s="1" t="s">
        <v>268</v>
      </c>
      <c r="W326" s="1" t="s">
        <v>2033</v>
      </c>
      <c r="Y326" s="10">
        <v>44550</v>
      </c>
      <c r="Z326" s="1">
        <v>2021</v>
      </c>
      <c r="AA326" s="2">
        <v>10000000</v>
      </c>
      <c r="AB326" s="2"/>
      <c r="AC326" s="2">
        <v>7500000</v>
      </c>
      <c r="AD326" s="1">
        <v>42</v>
      </c>
      <c r="AF326" s="1">
        <v>0</v>
      </c>
      <c r="AG326" s="1" t="s">
        <v>56</v>
      </c>
      <c r="AH326" s="1" t="s">
        <v>154</v>
      </c>
      <c r="AI326" s="2">
        <v>6048000</v>
      </c>
      <c r="AL326" s="1" t="s">
        <v>2034</v>
      </c>
    </row>
    <row r="327" spans="1:38" ht="14.45" customHeight="1" x14ac:dyDescent="0.2">
      <c r="A327" s="1" t="s">
        <v>57</v>
      </c>
      <c r="B327" s="9" t="s">
        <v>38</v>
      </c>
      <c r="C327" s="1" t="s">
        <v>58</v>
      </c>
      <c r="D327" s="1" t="s">
        <v>59</v>
      </c>
      <c r="E327" s="1" t="s">
        <v>42</v>
      </c>
      <c r="G327" s="1" t="s">
        <v>122</v>
      </c>
      <c r="H327" s="1" t="s">
        <v>61</v>
      </c>
      <c r="I327" s="1" t="s">
        <v>2035</v>
      </c>
      <c r="J327" s="1">
        <v>2023</v>
      </c>
      <c r="K327" s="1" t="s">
        <v>2036</v>
      </c>
      <c r="L327" s="1" t="s">
        <v>2037</v>
      </c>
      <c r="N327" s="1" t="s">
        <v>2038</v>
      </c>
      <c r="P327" s="1" t="s">
        <v>2039</v>
      </c>
      <c r="Q327" s="1" t="s">
        <v>1109</v>
      </c>
      <c r="R327" s="1" t="s">
        <v>1110</v>
      </c>
      <c r="S327" s="1" t="s">
        <v>2040</v>
      </c>
      <c r="T327" s="1" t="s">
        <v>2041</v>
      </c>
      <c r="V327" s="1" t="s">
        <v>54</v>
      </c>
      <c r="W327" s="1" t="s">
        <v>2037</v>
      </c>
      <c r="Y327" s="10">
        <v>45478</v>
      </c>
      <c r="Z327" s="1">
        <v>2024</v>
      </c>
      <c r="AA327" s="2">
        <v>418450</v>
      </c>
      <c r="AB327" s="2"/>
      <c r="AC327" s="2">
        <v>190000</v>
      </c>
      <c r="AD327" s="1">
        <v>3</v>
      </c>
      <c r="AE327" s="1">
        <v>1</v>
      </c>
      <c r="AG327" s="1" t="s">
        <v>56</v>
      </c>
      <c r="AI327" s="2">
        <v>190000</v>
      </c>
    </row>
    <row r="328" spans="1:38" ht="14.45" customHeight="1" x14ac:dyDescent="0.2">
      <c r="A328" s="1" t="s">
        <v>57</v>
      </c>
      <c r="B328" s="9" t="s">
        <v>38</v>
      </c>
      <c r="C328" s="1" t="s">
        <v>58</v>
      </c>
      <c r="D328" s="1" t="s">
        <v>146</v>
      </c>
      <c r="E328" s="1" t="s">
        <v>42</v>
      </c>
      <c r="G328" s="1" t="s">
        <v>147</v>
      </c>
      <c r="H328" s="1" t="s">
        <v>148</v>
      </c>
      <c r="I328" s="1" t="s">
        <v>2042</v>
      </c>
      <c r="J328" s="1">
        <v>2020</v>
      </c>
      <c r="K328" s="1" t="s">
        <v>2043</v>
      </c>
      <c r="L328" s="1" t="s">
        <v>2044</v>
      </c>
      <c r="P328" s="1" t="s">
        <v>1812</v>
      </c>
      <c r="Q328" s="1" t="s">
        <v>101</v>
      </c>
      <c r="R328" s="1" t="s">
        <v>102</v>
      </c>
      <c r="S328" s="1" t="s">
        <v>523</v>
      </c>
      <c r="T328" s="1" t="s">
        <v>524</v>
      </c>
      <c r="U328" s="1">
        <v>1</v>
      </c>
      <c r="V328" s="1" t="s">
        <v>101</v>
      </c>
      <c r="W328" s="1" t="s">
        <v>2045</v>
      </c>
      <c r="X328" s="1" t="s">
        <v>153</v>
      </c>
      <c r="Y328" s="10">
        <v>44127</v>
      </c>
      <c r="Z328" s="1">
        <v>2020</v>
      </c>
      <c r="AA328" s="2">
        <v>251223.1</v>
      </c>
      <c r="AB328" s="2"/>
      <c r="AC328" s="2">
        <v>188417.32500000001</v>
      </c>
      <c r="AD328" s="1">
        <v>0</v>
      </c>
      <c r="AF328" s="1">
        <v>18</v>
      </c>
      <c r="AG328" s="1" t="s">
        <v>56</v>
      </c>
      <c r="AH328" s="1" t="s">
        <v>154</v>
      </c>
      <c r="AI328" s="2">
        <v>160217.38</v>
      </c>
      <c r="AK328" s="1" t="s">
        <v>600</v>
      </c>
      <c r="AL328" s="1" t="s">
        <v>2046</v>
      </c>
    </row>
    <row r="329" spans="1:38" ht="14.45" customHeight="1" x14ac:dyDescent="0.2">
      <c r="A329" s="1" t="s">
        <v>57</v>
      </c>
      <c r="B329" s="9" t="s">
        <v>38</v>
      </c>
      <c r="C329" s="1" t="s">
        <v>58</v>
      </c>
      <c r="D329" s="1" t="s">
        <v>146</v>
      </c>
      <c r="E329" s="1" t="s">
        <v>42</v>
      </c>
      <c r="G329" s="1" t="s">
        <v>147</v>
      </c>
      <c r="H329" s="1" t="s">
        <v>148</v>
      </c>
      <c r="I329" s="1" t="s">
        <v>2047</v>
      </c>
      <c r="J329" s="1">
        <v>2020</v>
      </c>
      <c r="K329" s="1" t="s">
        <v>2048</v>
      </c>
      <c r="L329" s="1" t="s">
        <v>2049</v>
      </c>
      <c r="P329" s="1" t="s">
        <v>2050</v>
      </c>
      <c r="Q329" s="1" t="s">
        <v>101</v>
      </c>
      <c r="R329" s="1" t="s">
        <v>102</v>
      </c>
      <c r="S329" s="1" t="s">
        <v>1917</v>
      </c>
      <c r="T329" s="1" t="s">
        <v>1918</v>
      </c>
      <c r="U329" s="1">
        <v>1</v>
      </c>
      <c r="V329" s="1" t="s">
        <v>101</v>
      </c>
      <c r="W329" s="1" t="s">
        <v>2051</v>
      </c>
      <c r="X329" s="1" t="s">
        <v>153</v>
      </c>
      <c r="Y329" s="10">
        <v>44188</v>
      </c>
      <c r="Z329" s="1">
        <v>2020</v>
      </c>
      <c r="AA329" s="2">
        <v>120000</v>
      </c>
      <c r="AB329" s="2"/>
      <c r="AC329" s="2">
        <v>90000</v>
      </c>
      <c r="AD329" s="1">
        <v>0</v>
      </c>
      <c r="AF329" s="1">
        <v>0</v>
      </c>
      <c r="AG329" s="1" t="s">
        <v>56</v>
      </c>
      <c r="AH329" s="1" t="s">
        <v>154</v>
      </c>
      <c r="AI329" s="2">
        <v>73536.41</v>
      </c>
      <c r="AK329" s="1" t="s">
        <v>301</v>
      </c>
    </row>
    <row r="330" spans="1:38" ht="14.45" customHeight="1" x14ac:dyDescent="0.2">
      <c r="A330" s="1" t="s">
        <v>57</v>
      </c>
      <c r="B330" s="9" t="s">
        <v>38</v>
      </c>
      <c r="C330" s="1" t="s">
        <v>58</v>
      </c>
      <c r="D330" s="1" t="s">
        <v>59</v>
      </c>
      <c r="E330" s="1" t="s">
        <v>42</v>
      </c>
      <c r="G330" s="1" t="s">
        <v>122</v>
      </c>
      <c r="H330" s="1" t="s">
        <v>1893</v>
      </c>
      <c r="I330" s="1" t="s">
        <v>2052</v>
      </c>
      <c r="J330" s="1">
        <v>2023</v>
      </c>
      <c r="K330" s="1" t="s">
        <v>1075</v>
      </c>
      <c r="L330" s="1" t="s">
        <v>2053</v>
      </c>
      <c r="N330" s="1" t="s">
        <v>2054</v>
      </c>
      <c r="P330" s="1" t="s">
        <v>2055</v>
      </c>
      <c r="Q330" s="1" t="s">
        <v>50</v>
      </c>
      <c r="R330" s="1" t="s">
        <v>68</v>
      </c>
      <c r="S330" s="1" t="s">
        <v>2056</v>
      </c>
      <c r="T330" s="1" t="s">
        <v>2057</v>
      </c>
      <c r="U330" s="1">
        <v>1</v>
      </c>
      <c r="V330" s="1" t="s">
        <v>195</v>
      </c>
      <c r="W330" s="1" t="s">
        <v>1075</v>
      </c>
      <c r="Y330" s="10">
        <v>45478</v>
      </c>
      <c r="Z330" s="1">
        <v>2024</v>
      </c>
      <c r="AA330" s="2">
        <v>335847</v>
      </c>
      <c r="AB330" s="2"/>
      <c r="AC330" s="2">
        <v>112169.4</v>
      </c>
      <c r="AD330" s="1">
        <v>3</v>
      </c>
      <c r="AG330" s="1" t="s">
        <v>56</v>
      </c>
      <c r="AI330" s="2">
        <v>112169.4</v>
      </c>
    </row>
    <row r="331" spans="1:38" x14ac:dyDescent="0.2">
      <c r="A331" s="1" t="s">
        <v>57</v>
      </c>
      <c r="B331" s="9" t="s">
        <v>38</v>
      </c>
      <c r="C331" s="1" t="s">
        <v>58</v>
      </c>
      <c r="D331" s="1" t="s">
        <v>59</v>
      </c>
      <c r="E331" s="1" t="s">
        <v>42</v>
      </c>
      <c r="G331" s="1" t="s">
        <v>122</v>
      </c>
      <c r="H331" s="1" t="s">
        <v>1893</v>
      </c>
      <c r="I331" s="1" t="s">
        <v>2058</v>
      </c>
      <c r="J331" s="1">
        <v>2023</v>
      </c>
      <c r="K331" s="1" t="s">
        <v>2059</v>
      </c>
      <c r="L331" s="1" t="s">
        <v>2060</v>
      </c>
      <c r="N331" s="1" t="s">
        <v>2061</v>
      </c>
      <c r="P331" s="1" t="s">
        <v>561</v>
      </c>
      <c r="Q331" s="1" t="s">
        <v>101</v>
      </c>
      <c r="R331" s="1" t="s">
        <v>102</v>
      </c>
      <c r="S331" s="1" t="s">
        <v>562</v>
      </c>
      <c r="T331" s="1" t="s">
        <v>563</v>
      </c>
      <c r="U331" s="1">
        <v>1</v>
      </c>
      <c r="V331" s="1" t="s">
        <v>101</v>
      </c>
      <c r="W331" s="1" t="s">
        <v>2062</v>
      </c>
      <c r="Y331" s="10">
        <v>45478</v>
      </c>
      <c r="Z331" s="1">
        <v>2024</v>
      </c>
      <c r="AA331" s="2">
        <v>247293.17</v>
      </c>
      <c r="AB331" s="2"/>
      <c r="AC331" s="2">
        <v>94458.63</v>
      </c>
      <c r="AD331" s="1">
        <v>3</v>
      </c>
      <c r="AG331" s="1" t="s">
        <v>56</v>
      </c>
      <c r="AI331" s="2">
        <v>94458.63</v>
      </c>
    </row>
    <row r="332" spans="1:38" ht="14.45" customHeight="1" x14ac:dyDescent="0.2">
      <c r="A332" s="1" t="s">
        <v>57</v>
      </c>
      <c r="B332" s="9" t="s">
        <v>38</v>
      </c>
      <c r="C332" s="1" t="s">
        <v>58</v>
      </c>
      <c r="D332" s="1" t="s">
        <v>59</v>
      </c>
      <c r="E332" s="1" t="s">
        <v>42</v>
      </c>
      <c r="G332" s="1" t="s">
        <v>122</v>
      </c>
      <c r="H332" s="1" t="s">
        <v>61</v>
      </c>
      <c r="I332" s="1" t="s">
        <v>2063</v>
      </c>
      <c r="J332" s="1">
        <v>2023</v>
      </c>
      <c r="K332" s="1" t="s">
        <v>2064</v>
      </c>
      <c r="L332" s="1" t="s">
        <v>2065</v>
      </c>
      <c r="N332" s="1" t="s">
        <v>2066</v>
      </c>
      <c r="P332" s="1" t="s">
        <v>2067</v>
      </c>
      <c r="Q332" s="1" t="s">
        <v>1149</v>
      </c>
      <c r="R332" s="1" t="s">
        <v>1449</v>
      </c>
      <c r="S332" s="1" t="s">
        <v>2068</v>
      </c>
      <c r="T332" s="1" t="s">
        <v>2069</v>
      </c>
      <c r="V332" s="1" t="s">
        <v>1153</v>
      </c>
      <c r="W332" s="1" t="s">
        <v>2064</v>
      </c>
      <c r="Y332" s="10">
        <v>45478</v>
      </c>
      <c r="Z332" s="1">
        <v>2024</v>
      </c>
      <c r="AA332" s="2">
        <v>374953.4</v>
      </c>
      <c r="AB332" s="2"/>
      <c r="AC332" s="2">
        <v>112486.02</v>
      </c>
      <c r="AD332" s="1">
        <v>4</v>
      </c>
      <c r="AE332" s="1">
        <v>2</v>
      </c>
      <c r="AG332" s="1" t="s">
        <v>56</v>
      </c>
      <c r="AI332" s="2">
        <v>112486.02</v>
      </c>
    </row>
    <row r="333" spans="1:38" ht="14.45" customHeight="1" x14ac:dyDescent="0.2">
      <c r="A333" s="1" t="s">
        <v>57</v>
      </c>
      <c r="B333" s="9" t="s">
        <v>38</v>
      </c>
      <c r="C333" s="1" t="s">
        <v>58</v>
      </c>
      <c r="D333" s="1" t="s">
        <v>146</v>
      </c>
      <c r="E333" s="1" t="s">
        <v>42</v>
      </c>
      <c r="G333" s="1" t="s">
        <v>147</v>
      </c>
      <c r="H333" s="1" t="s">
        <v>148</v>
      </c>
      <c r="I333" s="1" t="s">
        <v>2070</v>
      </c>
      <c r="J333" s="1">
        <v>2020</v>
      </c>
      <c r="K333" s="1" t="s">
        <v>2071</v>
      </c>
      <c r="L333" s="1" t="s">
        <v>2072</v>
      </c>
      <c r="P333" s="1" t="s">
        <v>2073</v>
      </c>
      <c r="Q333" s="1" t="s">
        <v>101</v>
      </c>
      <c r="R333" s="1" t="s">
        <v>102</v>
      </c>
      <c r="S333" s="1" t="s">
        <v>562</v>
      </c>
      <c r="T333" s="1" t="s">
        <v>563</v>
      </c>
      <c r="U333" s="1">
        <v>1</v>
      </c>
      <c r="V333" s="1" t="s">
        <v>101</v>
      </c>
      <c r="W333" s="1" t="s">
        <v>2074</v>
      </c>
      <c r="X333" s="1" t="s">
        <v>153</v>
      </c>
      <c r="Y333" s="10">
        <v>44127</v>
      </c>
      <c r="Z333" s="1">
        <v>2020</v>
      </c>
      <c r="AA333" s="2">
        <v>249769</v>
      </c>
      <c r="AB333" s="2"/>
      <c r="AC333" s="2">
        <v>187326.75</v>
      </c>
      <c r="AF333" s="1">
        <v>15</v>
      </c>
      <c r="AG333" s="1" t="s">
        <v>56</v>
      </c>
      <c r="AH333" s="1" t="s">
        <v>154</v>
      </c>
      <c r="AI333" s="2">
        <v>186235.84</v>
      </c>
      <c r="AK333" s="1" t="s">
        <v>2075</v>
      </c>
      <c r="AL333" s="1" t="s">
        <v>1744</v>
      </c>
    </row>
    <row r="334" spans="1:38" ht="14.45" customHeight="1" x14ac:dyDescent="0.2">
      <c r="A334" s="1" t="s">
        <v>57</v>
      </c>
      <c r="B334" s="9" t="s">
        <v>38</v>
      </c>
      <c r="C334" s="1" t="s">
        <v>58</v>
      </c>
      <c r="D334" s="1" t="s">
        <v>146</v>
      </c>
      <c r="E334" s="1" t="s">
        <v>42</v>
      </c>
      <c r="G334" s="1" t="s">
        <v>147</v>
      </c>
      <c r="H334" s="1" t="s">
        <v>148</v>
      </c>
      <c r="I334" s="1" t="s">
        <v>2076</v>
      </c>
      <c r="J334" s="1">
        <v>2020</v>
      </c>
      <c r="K334" s="1" t="s">
        <v>2077</v>
      </c>
      <c r="L334" s="1" t="s">
        <v>2078</v>
      </c>
      <c r="P334" s="1" t="s">
        <v>2073</v>
      </c>
      <c r="Q334" s="1" t="s">
        <v>101</v>
      </c>
      <c r="R334" s="1" t="s">
        <v>102</v>
      </c>
      <c r="S334" s="1" t="s">
        <v>562</v>
      </c>
      <c r="T334" s="1" t="s">
        <v>563</v>
      </c>
      <c r="U334" s="1">
        <v>1</v>
      </c>
      <c r="V334" s="1" t="s">
        <v>101</v>
      </c>
      <c r="W334" s="1" t="s">
        <v>2079</v>
      </c>
      <c r="X334" s="1" t="s">
        <v>153</v>
      </c>
      <c r="Y334" s="10">
        <v>44127</v>
      </c>
      <c r="Z334" s="1">
        <v>2020</v>
      </c>
      <c r="AA334" s="2">
        <v>199988</v>
      </c>
      <c r="AB334" s="2"/>
      <c r="AC334" s="2">
        <v>149991</v>
      </c>
      <c r="AF334" s="1">
        <v>15</v>
      </c>
      <c r="AG334" s="1" t="s">
        <v>56</v>
      </c>
      <c r="AH334" s="1" t="s">
        <v>154</v>
      </c>
      <c r="AI334" s="2">
        <v>149991</v>
      </c>
      <c r="AK334" s="1" t="s">
        <v>301</v>
      </c>
      <c r="AL334" s="1" t="s">
        <v>2080</v>
      </c>
    </row>
    <row r="335" spans="1:38" ht="14.45" customHeight="1" x14ac:dyDescent="0.2">
      <c r="A335" s="1" t="s">
        <v>57</v>
      </c>
      <c r="B335" s="9" t="s">
        <v>38</v>
      </c>
      <c r="C335" s="1" t="s">
        <v>58</v>
      </c>
      <c r="D335" s="1" t="s">
        <v>146</v>
      </c>
      <c r="E335" s="1" t="s">
        <v>42</v>
      </c>
      <c r="G335" s="1" t="s">
        <v>147</v>
      </c>
      <c r="H335" s="1" t="s">
        <v>148</v>
      </c>
      <c r="I335" s="1" t="s">
        <v>2081</v>
      </c>
      <c r="J335" s="1">
        <v>2020</v>
      </c>
      <c r="K335" s="1" t="s">
        <v>2082</v>
      </c>
      <c r="L335" s="1" t="s">
        <v>2083</v>
      </c>
      <c r="P335" s="1" t="s">
        <v>2084</v>
      </c>
      <c r="Q335" s="1" t="s">
        <v>101</v>
      </c>
      <c r="R335" s="1" t="s">
        <v>102</v>
      </c>
      <c r="S335" s="1" t="s">
        <v>103</v>
      </c>
      <c r="T335" s="1" t="s">
        <v>104</v>
      </c>
      <c r="U335" s="1">
        <v>1</v>
      </c>
      <c r="V335" s="1" t="s">
        <v>101</v>
      </c>
      <c r="W335" s="1" t="s">
        <v>2085</v>
      </c>
      <c r="X335" s="1" t="s">
        <v>321</v>
      </c>
      <c r="Y335" s="10">
        <v>44127</v>
      </c>
      <c r="Z335" s="1">
        <v>2020</v>
      </c>
      <c r="AA335" s="2">
        <v>5386700.1699999999</v>
      </c>
      <c r="AB335" s="2"/>
      <c r="AC335" s="2">
        <v>4040025.1274999999</v>
      </c>
      <c r="AD335" s="1">
        <v>24</v>
      </c>
      <c r="AF335" s="1">
        <v>0</v>
      </c>
      <c r="AG335" s="1" t="s">
        <v>56</v>
      </c>
      <c r="AH335" s="1" t="s">
        <v>1458</v>
      </c>
      <c r="AI335" s="2">
        <v>4040025.1274999999</v>
      </c>
      <c r="AK335" s="1" t="s">
        <v>301</v>
      </c>
      <c r="AL335" s="1" t="s">
        <v>2046</v>
      </c>
    </row>
    <row r="336" spans="1:38" ht="14.45" customHeight="1" x14ac:dyDescent="0.2">
      <c r="A336" s="1" t="s">
        <v>57</v>
      </c>
      <c r="B336" s="9" t="s">
        <v>38</v>
      </c>
      <c r="C336" s="1" t="s">
        <v>58</v>
      </c>
      <c r="D336" s="1" t="s">
        <v>59</v>
      </c>
      <c r="E336" s="1" t="s">
        <v>42</v>
      </c>
      <c r="G336" s="1" t="s">
        <v>122</v>
      </c>
      <c r="H336" s="1" t="s">
        <v>61</v>
      </c>
      <c r="I336" s="1" t="s">
        <v>2086</v>
      </c>
      <c r="J336" s="1">
        <v>2023</v>
      </c>
      <c r="K336" s="1" t="s">
        <v>2087</v>
      </c>
      <c r="L336" s="1" t="s">
        <v>2088</v>
      </c>
      <c r="N336" s="1" t="s">
        <v>2089</v>
      </c>
      <c r="P336" s="1" t="s">
        <v>119</v>
      </c>
      <c r="Q336" s="1" t="s">
        <v>110</v>
      </c>
      <c r="R336" s="1" t="s">
        <v>111</v>
      </c>
      <c r="S336" s="1" t="s">
        <v>120</v>
      </c>
      <c r="T336" s="1" t="s">
        <v>121</v>
      </c>
      <c r="V336" s="1" t="s">
        <v>114</v>
      </c>
      <c r="W336" s="1" t="s">
        <v>2090</v>
      </c>
      <c r="Y336" s="10">
        <v>45478</v>
      </c>
      <c r="Z336" s="1">
        <v>2024</v>
      </c>
      <c r="AA336" s="2">
        <v>177842.26</v>
      </c>
      <c r="AB336" s="2"/>
      <c r="AC336" s="2">
        <v>88921.13</v>
      </c>
      <c r="AD336" s="1">
        <v>1.6</v>
      </c>
      <c r="AE336" s="1">
        <v>1.6</v>
      </c>
      <c r="AG336" s="1" t="s">
        <v>56</v>
      </c>
      <c r="AI336" s="2">
        <v>88921.13</v>
      </c>
    </row>
    <row r="337" spans="1:38" ht="14.45" customHeight="1" x14ac:dyDescent="0.2">
      <c r="A337" s="1" t="s">
        <v>57</v>
      </c>
      <c r="B337" s="9" t="s">
        <v>38</v>
      </c>
      <c r="C337" s="1" t="s">
        <v>58</v>
      </c>
      <c r="D337" s="1" t="s">
        <v>146</v>
      </c>
      <c r="E337" s="1" t="s">
        <v>42</v>
      </c>
      <c r="G337" s="1" t="s">
        <v>147</v>
      </c>
      <c r="H337" s="1" t="s">
        <v>148</v>
      </c>
      <c r="I337" s="1" t="s">
        <v>2091</v>
      </c>
      <c r="J337" s="1">
        <v>2020</v>
      </c>
      <c r="K337" s="1" t="s">
        <v>2092</v>
      </c>
      <c r="L337" s="1" t="s">
        <v>2093</v>
      </c>
      <c r="P337" s="1" t="s">
        <v>1812</v>
      </c>
      <c r="Q337" s="1" t="s">
        <v>101</v>
      </c>
      <c r="R337" s="1" t="s">
        <v>102</v>
      </c>
      <c r="S337" s="1" t="s">
        <v>523</v>
      </c>
      <c r="T337" s="1" t="s">
        <v>524</v>
      </c>
      <c r="U337" s="1">
        <v>1</v>
      </c>
      <c r="V337" s="1" t="s">
        <v>101</v>
      </c>
      <c r="W337" s="1" t="s">
        <v>2094</v>
      </c>
      <c r="X337" s="1" t="s">
        <v>153</v>
      </c>
      <c r="Y337" s="10">
        <v>44127</v>
      </c>
      <c r="Z337" s="1">
        <v>2020</v>
      </c>
      <c r="AA337" s="2">
        <v>53487</v>
      </c>
      <c r="AB337" s="2"/>
      <c r="AC337" s="2">
        <v>40115.25</v>
      </c>
      <c r="AD337" s="1">
        <v>0</v>
      </c>
      <c r="AF337" s="1">
        <v>0</v>
      </c>
      <c r="AG337" s="1" t="s">
        <v>56</v>
      </c>
      <c r="AH337" s="1" t="s">
        <v>154</v>
      </c>
      <c r="AI337" s="2">
        <v>40115.25</v>
      </c>
      <c r="AL337" s="1" t="s">
        <v>2095</v>
      </c>
    </row>
    <row r="338" spans="1:38" ht="14.45" customHeight="1" x14ac:dyDescent="0.2">
      <c r="A338" s="1" t="s">
        <v>57</v>
      </c>
      <c r="B338" s="9" t="s">
        <v>38</v>
      </c>
      <c r="C338" s="1" t="s">
        <v>58</v>
      </c>
      <c r="D338" s="1" t="s">
        <v>146</v>
      </c>
      <c r="E338" s="1" t="s">
        <v>42</v>
      </c>
      <c r="G338" s="1" t="s">
        <v>147</v>
      </c>
      <c r="H338" s="1" t="s">
        <v>148</v>
      </c>
      <c r="I338" s="1" t="s">
        <v>2096</v>
      </c>
      <c r="J338" s="1">
        <v>2020</v>
      </c>
      <c r="K338" s="1" t="s">
        <v>2097</v>
      </c>
      <c r="L338" s="1" t="s">
        <v>2098</v>
      </c>
      <c r="P338" s="1" t="s">
        <v>2099</v>
      </c>
      <c r="Q338" s="1" t="s">
        <v>101</v>
      </c>
      <c r="R338" s="1" t="s">
        <v>339</v>
      </c>
      <c r="S338" s="1" t="s">
        <v>340</v>
      </c>
      <c r="T338" s="1" t="s">
        <v>341</v>
      </c>
      <c r="U338" s="1">
        <v>1</v>
      </c>
      <c r="V338" s="1" t="s">
        <v>80</v>
      </c>
      <c r="W338" s="1" t="s">
        <v>2098</v>
      </c>
      <c r="X338" s="1" t="s">
        <v>138</v>
      </c>
      <c r="Y338" s="10">
        <v>44127</v>
      </c>
      <c r="Z338" s="1">
        <v>2020</v>
      </c>
      <c r="AA338" s="2">
        <v>5317116</v>
      </c>
      <c r="AB338" s="2"/>
      <c r="AC338" s="2">
        <v>3987837</v>
      </c>
      <c r="AD338" s="1">
        <v>0</v>
      </c>
      <c r="AF338" s="1">
        <v>30</v>
      </c>
      <c r="AG338" s="1" t="s">
        <v>56</v>
      </c>
      <c r="AH338" s="1" t="s">
        <v>154</v>
      </c>
      <c r="AI338" s="2">
        <v>3987837</v>
      </c>
      <c r="AK338" s="1" t="s">
        <v>600</v>
      </c>
      <c r="AL338" s="1" t="s">
        <v>2100</v>
      </c>
    </row>
    <row r="339" spans="1:38" ht="14.45" customHeight="1" x14ac:dyDescent="0.2">
      <c r="A339" s="1" t="s">
        <v>57</v>
      </c>
      <c r="B339" s="9" t="s">
        <v>38</v>
      </c>
      <c r="C339" s="1" t="s">
        <v>58</v>
      </c>
      <c r="D339" s="1" t="s">
        <v>146</v>
      </c>
      <c r="E339" s="1" t="s">
        <v>42</v>
      </c>
      <c r="G339" s="1" t="s">
        <v>147</v>
      </c>
      <c r="H339" s="1" t="s">
        <v>148</v>
      </c>
      <c r="I339" s="1" t="s">
        <v>2101</v>
      </c>
      <c r="J339" s="1">
        <v>2020</v>
      </c>
      <c r="K339" s="1" t="s">
        <v>2102</v>
      </c>
      <c r="L339" s="1" t="s">
        <v>2103</v>
      </c>
      <c r="P339" s="1" t="s">
        <v>2104</v>
      </c>
      <c r="Q339" s="1" t="s">
        <v>101</v>
      </c>
      <c r="R339" s="1" t="s">
        <v>102</v>
      </c>
      <c r="S339" s="1" t="s">
        <v>2105</v>
      </c>
      <c r="T339" s="1" t="s">
        <v>2106</v>
      </c>
      <c r="U339" s="1">
        <v>1</v>
      </c>
      <c r="V339" s="1" t="s">
        <v>101</v>
      </c>
      <c r="W339" s="1" t="s">
        <v>2107</v>
      </c>
      <c r="X339" s="1" t="s">
        <v>153</v>
      </c>
      <c r="Y339" s="10">
        <v>44127</v>
      </c>
      <c r="Z339" s="1">
        <v>2020</v>
      </c>
      <c r="AA339" s="2">
        <v>199700.7</v>
      </c>
      <c r="AB339" s="2"/>
      <c r="AC339" s="2">
        <v>149775.52500000002</v>
      </c>
      <c r="AD339" s="1">
        <v>4</v>
      </c>
      <c r="AG339" s="1" t="s">
        <v>56</v>
      </c>
      <c r="AH339" s="1" t="s">
        <v>154</v>
      </c>
      <c r="AI339" s="2">
        <v>148961.57</v>
      </c>
      <c r="AK339" s="1" t="s">
        <v>2108</v>
      </c>
    </row>
    <row r="340" spans="1:38" ht="14.45" customHeight="1" x14ac:dyDescent="0.2">
      <c r="A340" s="1" t="s">
        <v>57</v>
      </c>
      <c r="B340" s="9" t="s">
        <v>38</v>
      </c>
      <c r="C340" s="1" t="s">
        <v>58</v>
      </c>
      <c r="D340" s="1" t="s">
        <v>59</v>
      </c>
      <c r="E340" s="1" t="s">
        <v>42</v>
      </c>
      <c r="G340" s="1" t="s">
        <v>122</v>
      </c>
      <c r="H340" s="1" t="s">
        <v>1893</v>
      </c>
      <c r="I340" s="1" t="s">
        <v>2109</v>
      </c>
      <c r="J340" s="1">
        <v>2023</v>
      </c>
      <c r="K340" s="1" t="s">
        <v>2110</v>
      </c>
      <c r="L340" s="1" t="s">
        <v>2111</v>
      </c>
      <c r="M340" s="1" t="s">
        <v>2112</v>
      </c>
      <c r="N340" s="1" t="s">
        <v>2113</v>
      </c>
      <c r="P340" s="1" t="s">
        <v>2114</v>
      </c>
      <c r="Q340" s="1" t="s">
        <v>50</v>
      </c>
      <c r="R340" s="1" t="s">
        <v>68</v>
      </c>
      <c r="S340" s="1" t="s">
        <v>692</v>
      </c>
      <c r="T340" s="1" t="s">
        <v>693</v>
      </c>
      <c r="U340" s="1">
        <v>2</v>
      </c>
      <c r="V340" s="1" t="s">
        <v>71</v>
      </c>
      <c r="W340" s="1" t="s">
        <v>2110</v>
      </c>
      <c r="Y340" s="10">
        <v>45478</v>
      </c>
      <c r="Z340" s="1">
        <v>2024</v>
      </c>
      <c r="AA340" s="2">
        <v>228878.99</v>
      </c>
      <c r="AB340" s="2"/>
      <c r="AC340" s="2">
        <v>87219.75</v>
      </c>
      <c r="AD340" s="1">
        <v>1</v>
      </c>
      <c r="AG340" s="1" t="s">
        <v>56</v>
      </c>
      <c r="AI340" s="2">
        <v>87219.75</v>
      </c>
    </row>
    <row r="341" spans="1:38" ht="14.45" customHeight="1" x14ac:dyDescent="0.2">
      <c r="A341" s="1" t="s">
        <v>57</v>
      </c>
      <c r="B341" s="9" t="s">
        <v>38</v>
      </c>
      <c r="C341" s="1" t="s">
        <v>58</v>
      </c>
      <c r="D341" s="1" t="s">
        <v>146</v>
      </c>
      <c r="E341" s="1" t="s">
        <v>42</v>
      </c>
      <c r="G341" s="1" t="s">
        <v>147</v>
      </c>
      <c r="H341" s="1" t="s">
        <v>148</v>
      </c>
      <c r="I341" s="1" t="s">
        <v>2115</v>
      </c>
      <c r="J341" s="1">
        <v>2020</v>
      </c>
      <c r="K341" s="1" t="s">
        <v>2116</v>
      </c>
      <c r="L341" s="1" t="s">
        <v>2117</v>
      </c>
      <c r="P341" s="1" t="s">
        <v>2050</v>
      </c>
      <c r="Q341" s="1" t="s">
        <v>101</v>
      </c>
      <c r="R341" s="1" t="s">
        <v>102</v>
      </c>
      <c r="S341" s="1" t="s">
        <v>1917</v>
      </c>
      <c r="T341" s="1" t="s">
        <v>1918</v>
      </c>
      <c r="U341" s="1">
        <v>1</v>
      </c>
      <c r="V341" s="1" t="s">
        <v>101</v>
      </c>
      <c r="W341" s="1" t="s">
        <v>2118</v>
      </c>
      <c r="X341" s="1" t="s">
        <v>153</v>
      </c>
      <c r="Y341" s="10">
        <v>44127</v>
      </c>
      <c r="Z341" s="1">
        <v>2020</v>
      </c>
      <c r="AA341" s="2">
        <v>37295</v>
      </c>
      <c r="AB341" s="2"/>
      <c r="AC341" s="2">
        <v>27971.25</v>
      </c>
      <c r="AD341" s="1">
        <v>0</v>
      </c>
      <c r="AF341" s="1">
        <v>0</v>
      </c>
      <c r="AG341" s="1" t="s">
        <v>56</v>
      </c>
      <c r="AH341" s="1" t="s">
        <v>154</v>
      </c>
      <c r="AI341" s="2">
        <v>23683.89</v>
      </c>
      <c r="AK341" s="1" t="s">
        <v>440</v>
      </c>
      <c r="AL341" s="1" t="s">
        <v>503</v>
      </c>
    </row>
    <row r="342" spans="1:38" ht="14.45" customHeight="1" x14ac:dyDescent="0.2">
      <c r="A342" s="1" t="s">
        <v>57</v>
      </c>
      <c r="B342" s="9" t="s">
        <v>38</v>
      </c>
      <c r="C342" s="1" t="s">
        <v>58</v>
      </c>
      <c r="D342" s="1" t="s">
        <v>146</v>
      </c>
      <c r="E342" s="1" t="s">
        <v>42</v>
      </c>
      <c r="G342" s="1" t="s">
        <v>147</v>
      </c>
      <c r="H342" s="1" t="s">
        <v>148</v>
      </c>
      <c r="I342" s="1" t="s">
        <v>2119</v>
      </c>
      <c r="J342" s="1">
        <v>2020</v>
      </c>
      <c r="K342" s="1" t="s">
        <v>2120</v>
      </c>
      <c r="L342" s="1" t="s">
        <v>2121</v>
      </c>
      <c r="P342" s="1" t="s">
        <v>2122</v>
      </c>
      <c r="Q342" s="1" t="s">
        <v>101</v>
      </c>
      <c r="R342" s="1" t="s">
        <v>102</v>
      </c>
      <c r="S342" s="1" t="s">
        <v>2123</v>
      </c>
      <c r="T342" s="1" t="s">
        <v>2124</v>
      </c>
      <c r="U342" s="1">
        <v>1</v>
      </c>
      <c r="V342" s="1" t="s">
        <v>101</v>
      </c>
      <c r="W342" s="1" t="s">
        <v>2125</v>
      </c>
      <c r="X342" s="1" t="s">
        <v>153</v>
      </c>
      <c r="Y342" s="10">
        <v>44127</v>
      </c>
      <c r="Z342" s="1">
        <v>2020</v>
      </c>
      <c r="AA342" s="2">
        <v>237978</v>
      </c>
      <c r="AB342" s="2"/>
      <c r="AC342" s="2">
        <v>178483.5</v>
      </c>
      <c r="AD342" s="1">
        <v>0</v>
      </c>
      <c r="AF342" s="1">
        <v>0</v>
      </c>
      <c r="AG342" s="1" t="s">
        <v>56</v>
      </c>
      <c r="AH342" s="1" t="s">
        <v>154</v>
      </c>
      <c r="AI342" s="2">
        <v>168781.79</v>
      </c>
      <c r="AK342" s="1" t="s">
        <v>301</v>
      </c>
      <c r="AL342" s="1" t="s">
        <v>503</v>
      </c>
    </row>
    <row r="343" spans="1:38" ht="12.6" customHeight="1" x14ac:dyDescent="0.2">
      <c r="A343" s="1" t="s">
        <v>57</v>
      </c>
      <c r="B343" s="9" t="s">
        <v>38</v>
      </c>
      <c r="C343" s="1" t="s">
        <v>58</v>
      </c>
      <c r="D343" s="1" t="s">
        <v>146</v>
      </c>
      <c r="E343" s="1" t="s">
        <v>42</v>
      </c>
      <c r="G343" s="1" t="s">
        <v>147</v>
      </c>
      <c r="H343" s="1" t="s">
        <v>148</v>
      </c>
      <c r="I343" s="1" t="s">
        <v>2126</v>
      </c>
      <c r="J343" s="1">
        <v>2020</v>
      </c>
      <c r="K343" s="1" t="s">
        <v>2127</v>
      </c>
      <c r="L343" s="1" t="s">
        <v>2128</v>
      </c>
      <c r="P343" s="1" t="s">
        <v>2129</v>
      </c>
      <c r="Q343" s="1" t="s">
        <v>101</v>
      </c>
      <c r="R343" s="1" t="s">
        <v>102</v>
      </c>
      <c r="S343" s="1" t="s">
        <v>637</v>
      </c>
      <c r="T343" s="1" t="s">
        <v>638</v>
      </c>
      <c r="U343" s="1">
        <v>1</v>
      </c>
      <c r="V343" s="1" t="s">
        <v>101</v>
      </c>
      <c r="W343" s="1" t="s">
        <v>2130</v>
      </c>
      <c r="X343" s="1" t="s">
        <v>153</v>
      </c>
      <c r="Y343" s="10">
        <v>44127</v>
      </c>
      <c r="Z343" s="1">
        <v>2020</v>
      </c>
      <c r="AA343" s="2">
        <v>249550</v>
      </c>
      <c r="AB343" s="2"/>
      <c r="AC343" s="2">
        <v>187162.5</v>
      </c>
      <c r="AD343" s="1">
        <v>0</v>
      </c>
      <c r="AF343" s="1">
        <v>0</v>
      </c>
      <c r="AG343" s="1" t="s">
        <v>56</v>
      </c>
      <c r="AH343" s="1" t="s">
        <v>154</v>
      </c>
      <c r="AI343" s="2">
        <v>185032.01</v>
      </c>
      <c r="AK343" s="1" t="s">
        <v>600</v>
      </c>
      <c r="AL343" s="1" t="s">
        <v>503</v>
      </c>
    </row>
    <row r="344" spans="1:38" ht="14.45" customHeight="1" x14ac:dyDescent="0.2">
      <c r="A344" s="1" t="s">
        <v>57</v>
      </c>
      <c r="B344" s="9" t="s">
        <v>38</v>
      </c>
      <c r="C344" s="1" t="s">
        <v>58</v>
      </c>
      <c r="D344" s="1" t="s">
        <v>59</v>
      </c>
      <c r="E344" s="1" t="s">
        <v>42</v>
      </c>
      <c r="G344" s="1" t="s">
        <v>122</v>
      </c>
      <c r="H344" s="1" t="s">
        <v>1893</v>
      </c>
      <c r="I344" s="1" t="s">
        <v>2131</v>
      </c>
      <c r="J344" s="1">
        <v>2023</v>
      </c>
      <c r="K344" s="1" t="s">
        <v>2132</v>
      </c>
      <c r="L344" s="1" t="s">
        <v>2133</v>
      </c>
      <c r="N344" s="1" t="s">
        <v>2134</v>
      </c>
      <c r="P344" s="1" t="s">
        <v>2135</v>
      </c>
      <c r="Q344" s="1" t="s">
        <v>101</v>
      </c>
      <c r="R344" s="1" t="s">
        <v>102</v>
      </c>
      <c r="S344" s="1" t="s">
        <v>562</v>
      </c>
      <c r="T344" s="1" t="s">
        <v>563</v>
      </c>
      <c r="U344" s="1">
        <v>1</v>
      </c>
      <c r="V344" s="1" t="s">
        <v>101</v>
      </c>
      <c r="W344" s="1" t="s">
        <v>2132</v>
      </c>
      <c r="Y344" s="10">
        <v>45478</v>
      </c>
      <c r="Z344" s="1">
        <v>2024</v>
      </c>
      <c r="AA344" s="2">
        <v>81937.94</v>
      </c>
      <c r="AB344" s="2"/>
      <c r="AC344" s="2">
        <v>20484.490000000002</v>
      </c>
      <c r="AD344" s="1">
        <v>0</v>
      </c>
      <c r="AG344" s="1" t="s">
        <v>56</v>
      </c>
      <c r="AI344" s="2">
        <v>20484.490000000002</v>
      </c>
    </row>
    <row r="345" spans="1:38" ht="12.6" customHeight="1" x14ac:dyDescent="0.2">
      <c r="A345" s="1" t="s">
        <v>57</v>
      </c>
      <c r="B345" s="9" t="s">
        <v>38</v>
      </c>
      <c r="C345" s="1" t="s">
        <v>58</v>
      </c>
      <c r="D345" s="1" t="s">
        <v>146</v>
      </c>
      <c r="E345" s="1" t="s">
        <v>42</v>
      </c>
      <c r="G345" s="1" t="s">
        <v>147</v>
      </c>
      <c r="H345" s="1" t="s">
        <v>148</v>
      </c>
      <c r="I345" s="1" t="s">
        <v>2136</v>
      </c>
      <c r="J345" s="1">
        <v>2020</v>
      </c>
      <c r="K345" s="1" t="s">
        <v>2137</v>
      </c>
      <c r="L345" s="1" t="s">
        <v>2138</v>
      </c>
      <c r="P345" s="1" t="s">
        <v>2129</v>
      </c>
      <c r="Q345" s="1" t="s">
        <v>101</v>
      </c>
      <c r="R345" s="1" t="s">
        <v>102</v>
      </c>
      <c r="S345" s="1" t="s">
        <v>637</v>
      </c>
      <c r="T345" s="1" t="s">
        <v>638</v>
      </c>
      <c r="U345" s="1">
        <v>1</v>
      </c>
      <c r="V345" s="1" t="s">
        <v>101</v>
      </c>
      <c r="W345" s="1" t="s">
        <v>2139</v>
      </c>
      <c r="X345" s="1" t="s">
        <v>321</v>
      </c>
      <c r="Y345" s="10">
        <v>44127</v>
      </c>
      <c r="Z345" s="1">
        <v>2020</v>
      </c>
      <c r="AA345" s="2">
        <v>231916.12</v>
      </c>
      <c r="AB345" s="2"/>
      <c r="AC345" s="2">
        <v>173937.09</v>
      </c>
      <c r="AD345" s="1">
        <v>0</v>
      </c>
      <c r="AF345" s="1">
        <v>2</v>
      </c>
      <c r="AG345" s="1" t="s">
        <v>56</v>
      </c>
      <c r="AH345" s="1" t="s">
        <v>1458</v>
      </c>
      <c r="AI345" s="2">
        <v>173937.09</v>
      </c>
      <c r="AK345" s="1" t="s">
        <v>440</v>
      </c>
      <c r="AL345" s="1" t="s">
        <v>2046</v>
      </c>
    </row>
    <row r="346" spans="1:38" ht="14.45" customHeight="1" x14ac:dyDescent="0.2">
      <c r="A346" s="1" t="s">
        <v>57</v>
      </c>
      <c r="B346" s="9" t="s">
        <v>38</v>
      </c>
      <c r="C346" s="1" t="s">
        <v>58</v>
      </c>
      <c r="D346" s="1" t="s">
        <v>146</v>
      </c>
      <c r="E346" s="1" t="s">
        <v>42</v>
      </c>
      <c r="G346" s="1" t="s">
        <v>147</v>
      </c>
      <c r="H346" s="1" t="s">
        <v>148</v>
      </c>
      <c r="I346" s="1" t="s">
        <v>2140</v>
      </c>
      <c r="J346" s="1">
        <v>2020</v>
      </c>
      <c r="K346" s="1" t="s">
        <v>2141</v>
      </c>
      <c r="L346" s="1" t="s">
        <v>2142</v>
      </c>
      <c r="P346" s="1" t="s">
        <v>2073</v>
      </c>
      <c r="Q346" s="1" t="s">
        <v>101</v>
      </c>
      <c r="R346" s="1" t="s">
        <v>102</v>
      </c>
      <c r="S346" s="1" t="s">
        <v>562</v>
      </c>
      <c r="T346" s="1" t="s">
        <v>563</v>
      </c>
      <c r="U346" s="1">
        <v>1</v>
      </c>
      <c r="V346" s="1" t="s">
        <v>101</v>
      </c>
      <c r="W346" s="1" t="s">
        <v>2143</v>
      </c>
      <c r="X346" s="1" t="s">
        <v>153</v>
      </c>
      <c r="Y346" s="10">
        <v>44127</v>
      </c>
      <c r="Z346" s="1">
        <v>2020</v>
      </c>
      <c r="AA346" s="2">
        <v>393361</v>
      </c>
      <c r="AB346" s="2"/>
      <c r="AC346" s="2">
        <v>295020.75</v>
      </c>
      <c r="AD346" s="1">
        <v>18</v>
      </c>
      <c r="AF346" s="1">
        <v>0</v>
      </c>
      <c r="AG346" s="1" t="s">
        <v>56</v>
      </c>
      <c r="AH346" s="1" t="s">
        <v>154</v>
      </c>
      <c r="AI346" s="2">
        <v>201775.79</v>
      </c>
      <c r="AK346" s="1" t="s">
        <v>301</v>
      </c>
      <c r="AL346" s="1" t="s">
        <v>2144</v>
      </c>
    </row>
    <row r="347" spans="1:38" ht="14.45" customHeight="1" x14ac:dyDescent="0.2">
      <c r="A347" s="1" t="s">
        <v>57</v>
      </c>
      <c r="B347" s="9" t="s">
        <v>38</v>
      </c>
      <c r="C347" s="1" t="s">
        <v>58</v>
      </c>
      <c r="D347" s="1" t="s">
        <v>1409</v>
      </c>
      <c r="E347" s="1" t="s">
        <v>42</v>
      </c>
      <c r="F347" s="1" t="s">
        <v>2145</v>
      </c>
      <c r="G347" s="1" t="s">
        <v>2146</v>
      </c>
      <c r="H347" s="1" t="s">
        <v>2147</v>
      </c>
      <c r="I347" s="1" t="s">
        <v>2148</v>
      </c>
      <c r="J347" s="1">
        <v>2021</v>
      </c>
      <c r="K347" s="1" t="s">
        <v>2149</v>
      </c>
      <c r="L347" s="1" t="s">
        <v>2149</v>
      </c>
      <c r="M347" s="1" t="s">
        <v>2150</v>
      </c>
      <c r="P347" s="1" t="s">
        <v>2151</v>
      </c>
      <c r="Q347" s="1" t="s">
        <v>50</v>
      </c>
      <c r="R347" s="1" t="s">
        <v>68</v>
      </c>
      <c r="S347" s="1" t="s">
        <v>1360</v>
      </c>
      <c r="T347" s="1" t="s">
        <v>1361</v>
      </c>
      <c r="U347" s="1">
        <v>1</v>
      </c>
      <c r="V347" s="1" t="s">
        <v>71</v>
      </c>
      <c r="W347" s="1" t="s">
        <v>2152</v>
      </c>
      <c r="Y347" s="10">
        <v>44363</v>
      </c>
      <c r="Z347" s="1">
        <v>2021</v>
      </c>
      <c r="AA347" s="2">
        <v>1050038.3899999999</v>
      </c>
      <c r="AB347" s="2"/>
      <c r="AC347" s="2">
        <v>1050038.3899999999</v>
      </c>
      <c r="AG347" s="1" t="s">
        <v>2153</v>
      </c>
      <c r="AI347" s="2">
        <v>1050038.3899999999</v>
      </c>
      <c r="AJ347" s="2">
        <v>4.8899999999999997</v>
      </c>
      <c r="AL347" s="1" t="s">
        <v>2154</v>
      </c>
    </row>
    <row r="348" spans="1:38" ht="14.45" customHeight="1" x14ac:dyDescent="0.2">
      <c r="A348" s="1" t="s">
        <v>57</v>
      </c>
      <c r="B348" s="9" t="s">
        <v>38</v>
      </c>
      <c r="C348" s="1" t="s">
        <v>58</v>
      </c>
      <c r="D348" s="1" t="s">
        <v>146</v>
      </c>
      <c r="E348" s="1" t="s">
        <v>42</v>
      </c>
      <c r="G348" s="1" t="s">
        <v>147</v>
      </c>
      <c r="H348" s="1" t="s">
        <v>2155</v>
      </c>
      <c r="I348" s="1" t="s">
        <v>2156</v>
      </c>
      <c r="J348" s="1">
        <v>2020</v>
      </c>
      <c r="K348" s="1" t="s">
        <v>2157</v>
      </c>
      <c r="L348" s="1" t="s">
        <v>2158</v>
      </c>
      <c r="P348" s="1" t="s">
        <v>1711</v>
      </c>
      <c r="Q348" s="1" t="s">
        <v>264</v>
      </c>
      <c r="R348" s="1" t="s">
        <v>265</v>
      </c>
      <c r="S348" s="1" t="s">
        <v>315</v>
      </c>
      <c r="T348" s="1" t="s">
        <v>316</v>
      </c>
      <c r="U348" s="1">
        <v>1</v>
      </c>
      <c r="V348" s="1" t="s">
        <v>268</v>
      </c>
      <c r="W348" s="1" t="s">
        <v>2157</v>
      </c>
      <c r="X348" s="1" t="s">
        <v>153</v>
      </c>
      <c r="Y348" s="10">
        <v>44127</v>
      </c>
      <c r="Z348" s="1">
        <v>2020</v>
      </c>
      <c r="AA348" s="2">
        <v>5581159.4400000004</v>
      </c>
      <c r="AB348" s="2"/>
      <c r="AC348" s="2">
        <v>4185869.58</v>
      </c>
      <c r="AD348" s="1">
        <v>0</v>
      </c>
      <c r="AF348" s="1" t="s">
        <v>1768</v>
      </c>
      <c r="AG348" s="1" t="s">
        <v>56</v>
      </c>
      <c r="AH348" s="1" t="s">
        <v>1458</v>
      </c>
      <c r="AI348" s="2">
        <v>4185869.58</v>
      </c>
      <c r="AL348" s="1" t="s">
        <v>2159</v>
      </c>
    </row>
    <row r="349" spans="1:38" ht="14.45" customHeight="1" x14ac:dyDescent="0.2">
      <c r="A349" s="1" t="s">
        <v>57</v>
      </c>
      <c r="B349" s="9" t="s">
        <v>38</v>
      </c>
      <c r="C349" s="1" t="s">
        <v>58</v>
      </c>
      <c r="D349" s="1" t="s">
        <v>59</v>
      </c>
      <c r="E349" s="1" t="s">
        <v>42</v>
      </c>
      <c r="G349" s="1" t="s">
        <v>122</v>
      </c>
      <c r="H349" s="1" t="s">
        <v>61</v>
      </c>
      <c r="I349" s="1" t="s">
        <v>2160</v>
      </c>
      <c r="J349" s="1">
        <v>2023</v>
      </c>
      <c r="K349" s="1" t="s">
        <v>2161</v>
      </c>
      <c r="L349" s="1" t="s">
        <v>2162</v>
      </c>
      <c r="N349" s="1" t="s">
        <v>2163</v>
      </c>
      <c r="P349" s="1" t="s">
        <v>2164</v>
      </c>
      <c r="Q349" s="1" t="s">
        <v>1149</v>
      </c>
      <c r="R349" s="1" t="s">
        <v>1150</v>
      </c>
      <c r="S349" s="1" t="s">
        <v>1218</v>
      </c>
      <c r="T349" s="1" t="s">
        <v>1219</v>
      </c>
      <c r="V349" s="1" t="s">
        <v>1153</v>
      </c>
      <c r="W349" s="1" t="s">
        <v>2161</v>
      </c>
      <c r="Y349" s="10">
        <v>45478</v>
      </c>
      <c r="Z349" s="1">
        <v>2024</v>
      </c>
      <c r="AA349" s="2">
        <v>199873.95</v>
      </c>
      <c r="AB349" s="2"/>
      <c r="AC349" s="2">
        <v>99936.98</v>
      </c>
      <c r="AD349" s="1">
        <v>4</v>
      </c>
      <c r="AE349" s="1">
        <v>1</v>
      </c>
      <c r="AG349" s="1" t="s">
        <v>56</v>
      </c>
      <c r="AI349" s="2">
        <v>99936.98</v>
      </c>
    </row>
    <row r="350" spans="1:38" ht="14.45" customHeight="1" x14ac:dyDescent="0.2">
      <c r="A350" s="1" t="s">
        <v>57</v>
      </c>
      <c r="B350" s="9" t="s">
        <v>38</v>
      </c>
      <c r="C350" s="1" t="s">
        <v>58</v>
      </c>
      <c r="D350" s="1" t="s">
        <v>146</v>
      </c>
      <c r="E350" s="1" t="s">
        <v>42</v>
      </c>
      <c r="G350" s="1" t="s">
        <v>147</v>
      </c>
      <c r="H350" s="1" t="s">
        <v>2155</v>
      </c>
      <c r="I350" s="1" t="s">
        <v>2165</v>
      </c>
      <c r="J350" s="1">
        <v>2020</v>
      </c>
      <c r="K350" s="1" t="s">
        <v>2166</v>
      </c>
      <c r="L350" s="1" t="s">
        <v>2167</v>
      </c>
      <c r="M350" s="1" t="s">
        <v>2168</v>
      </c>
      <c r="P350" s="1" t="s">
        <v>1782</v>
      </c>
      <c r="Q350" s="1" t="s">
        <v>264</v>
      </c>
      <c r="R350" s="1" t="s">
        <v>265</v>
      </c>
      <c r="S350" s="1" t="s">
        <v>1783</v>
      </c>
      <c r="T350" s="1" t="s">
        <v>1784</v>
      </c>
      <c r="U350" s="1">
        <v>1</v>
      </c>
      <c r="V350" s="1" t="s">
        <v>535</v>
      </c>
      <c r="W350" s="1" t="s">
        <v>2169</v>
      </c>
      <c r="X350" s="1" t="s">
        <v>153</v>
      </c>
      <c r="Y350" s="10">
        <v>44127</v>
      </c>
      <c r="Z350" s="1">
        <v>2020</v>
      </c>
      <c r="AA350" s="2">
        <v>1423907.35</v>
      </c>
      <c r="AB350" s="2"/>
      <c r="AC350" s="2">
        <v>1067930.5125000002</v>
      </c>
      <c r="AD350" s="1">
        <v>1</v>
      </c>
      <c r="AF350" s="1">
        <v>0</v>
      </c>
      <c r="AG350" s="1" t="s">
        <v>56</v>
      </c>
      <c r="AH350" s="1" t="s">
        <v>1458</v>
      </c>
      <c r="AI350" s="2">
        <v>1067930.5125000002</v>
      </c>
      <c r="AL350" s="1" t="s">
        <v>2170</v>
      </c>
    </row>
    <row r="351" spans="1:38" ht="12.6" customHeight="1" x14ac:dyDescent="0.2">
      <c r="A351" s="1" t="s">
        <v>57</v>
      </c>
      <c r="B351" s="9" t="s">
        <v>38</v>
      </c>
      <c r="C351" s="1" t="s">
        <v>58</v>
      </c>
      <c r="D351" s="1" t="s">
        <v>59</v>
      </c>
      <c r="E351" s="1" t="s">
        <v>42</v>
      </c>
      <c r="G351" s="1" t="s">
        <v>122</v>
      </c>
      <c r="H351" s="1" t="s">
        <v>61</v>
      </c>
      <c r="I351" s="1" t="s">
        <v>2171</v>
      </c>
      <c r="J351" s="1">
        <v>2023</v>
      </c>
      <c r="K351" s="1" t="s">
        <v>2172</v>
      </c>
      <c r="L351" s="1" t="s">
        <v>2173</v>
      </c>
      <c r="N351" s="1" t="s">
        <v>2174</v>
      </c>
      <c r="P351" s="1" t="s">
        <v>2175</v>
      </c>
      <c r="Q351" s="1" t="s">
        <v>101</v>
      </c>
      <c r="R351" s="1" t="s">
        <v>102</v>
      </c>
      <c r="S351" s="1" t="s">
        <v>1950</v>
      </c>
      <c r="T351" s="1" t="s">
        <v>1951</v>
      </c>
      <c r="V351" s="1" t="s">
        <v>101</v>
      </c>
      <c r="W351" s="1" t="s">
        <v>2172</v>
      </c>
      <c r="Y351" s="10">
        <v>45478</v>
      </c>
      <c r="Z351" s="1">
        <v>2024</v>
      </c>
      <c r="AA351" s="2">
        <v>124451.03</v>
      </c>
      <c r="AB351" s="2"/>
      <c r="AC351" s="2">
        <v>62225.52</v>
      </c>
      <c r="AD351" s="1">
        <v>2</v>
      </c>
      <c r="AE351" s="1">
        <v>1</v>
      </c>
      <c r="AG351" s="1" t="s">
        <v>56</v>
      </c>
      <c r="AI351" s="2">
        <v>62225.52</v>
      </c>
    </row>
    <row r="352" spans="1:38" ht="14.45" customHeight="1" x14ac:dyDescent="0.2">
      <c r="A352" s="1" t="s">
        <v>57</v>
      </c>
      <c r="B352" s="9" t="s">
        <v>38</v>
      </c>
      <c r="C352" s="1" t="s">
        <v>58</v>
      </c>
      <c r="D352" s="1" t="s">
        <v>146</v>
      </c>
      <c r="E352" s="1" t="s">
        <v>42</v>
      </c>
      <c r="G352" s="1" t="s">
        <v>147</v>
      </c>
      <c r="H352" s="1" t="s">
        <v>2155</v>
      </c>
      <c r="I352" s="1" t="s">
        <v>2176</v>
      </c>
      <c r="J352" s="1">
        <v>2020</v>
      </c>
      <c r="K352" s="1" t="s">
        <v>2177</v>
      </c>
      <c r="L352" s="1" t="s">
        <v>2178</v>
      </c>
      <c r="M352" s="1" t="s">
        <v>2179</v>
      </c>
      <c r="P352" s="1" t="s">
        <v>1715</v>
      </c>
      <c r="Q352" s="1" t="s">
        <v>264</v>
      </c>
      <c r="R352" s="1" t="s">
        <v>265</v>
      </c>
      <c r="S352" s="1" t="s">
        <v>542</v>
      </c>
      <c r="T352" s="1" t="s">
        <v>543</v>
      </c>
      <c r="U352" s="1">
        <v>1</v>
      </c>
      <c r="V352" s="1" t="s">
        <v>268</v>
      </c>
      <c r="W352" s="1" t="s">
        <v>2180</v>
      </c>
      <c r="X352" s="1" t="s">
        <v>153</v>
      </c>
      <c r="Y352" s="10">
        <v>44127</v>
      </c>
      <c r="Z352" s="1">
        <v>2020</v>
      </c>
      <c r="AA352" s="2">
        <v>3614424.88</v>
      </c>
      <c r="AB352" s="2"/>
      <c r="AC352" s="2">
        <v>2710818.66</v>
      </c>
      <c r="AD352" s="1">
        <v>0</v>
      </c>
      <c r="AF352" s="1">
        <v>0</v>
      </c>
      <c r="AG352" s="1" t="s">
        <v>56</v>
      </c>
      <c r="AH352" s="1" t="s">
        <v>1458</v>
      </c>
      <c r="AI352" s="2">
        <v>2710818.66</v>
      </c>
      <c r="AL352" s="1" t="s">
        <v>2046</v>
      </c>
    </row>
    <row r="353" spans="1:38" ht="14.45" customHeight="1" x14ac:dyDescent="0.2">
      <c r="A353" s="1" t="s">
        <v>57</v>
      </c>
      <c r="B353" s="9" t="s">
        <v>38</v>
      </c>
      <c r="C353" s="1" t="s">
        <v>58</v>
      </c>
      <c r="D353" s="1" t="s">
        <v>146</v>
      </c>
      <c r="E353" s="1" t="s">
        <v>42</v>
      </c>
      <c r="G353" s="1" t="s">
        <v>147</v>
      </c>
      <c r="H353" s="1" t="s">
        <v>2155</v>
      </c>
      <c r="I353" s="1" t="s">
        <v>2181</v>
      </c>
      <c r="J353" s="1">
        <v>2020</v>
      </c>
      <c r="K353" s="1" t="s">
        <v>2182</v>
      </c>
      <c r="L353" s="1" t="s">
        <v>2183</v>
      </c>
      <c r="M353" s="1" t="s">
        <v>2184</v>
      </c>
      <c r="P353" s="1" t="s">
        <v>1715</v>
      </c>
      <c r="Q353" s="1" t="s">
        <v>264</v>
      </c>
      <c r="R353" s="1" t="s">
        <v>265</v>
      </c>
      <c r="S353" s="1" t="s">
        <v>542</v>
      </c>
      <c r="T353" s="1" t="s">
        <v>543</v>
      </c>
      <c r="U353" s="1">
        <v>1</v>
      </c>
      <c r="V353" s="1" t="s">
        <v>268</v>
      </c>
      <c r="W353" s="1" t="s">
        <v>2185</v>
      </c>
      <c r="X353" s="1" t="s">
        <v>321</v>
      </c>
      <c r="Y353" s="10">
        <v>44127</v>
      </c>
      <c r="Z353" s="1">
        <v>2020</v>
      </c>
      <c r="AA353" s="2">
        <v>623854.24</v>
      </c>
      <c r="AB353" s="2"/>
      <c r="AC353" s="2">
        <v>467890.68</v>
      </c>
      <c r="AD353" s="1">
        <v>0</v>
      </c>
      <c r="AF353" s="1">
        <v>0</v>
      </c>
      <c r="AG353" s="1" t="s">
        <v>56</v>
      </c>
      <c r="AH353" s="1" t="s">
        <v>1458</v>
      </c>
      <c r="AI353" s="2">
        <v>467890.68</v>
      </c>
      <c r="AL353" s="1" t="s">
        <v>2046</v>
      </c>
    </row>
    <row r="354" spans="1:38" ht="14.45" customHeight="1" x14ac:dyDescent="0.2">
      <c r="A354" s="1" t="s">
        <v>57</v>
      </c>
      <c r="B354" s="9" t="s">
        <v>38</v>
      </c>
      <c r="C354" s="1" t="s">
        <v>58</v>
      </c>
      <c r="D354" s="1" t="s">
        <v>146</v>
      </c>
      <c r="E354" s="1" t="s">
        <v>42</v>
      </c>
      <c r="G354" s="1" t="s">
        <v>147</v>
      </c>
      <c r="H354" s="1" t="s">
        <v>2155</v>
      </c>
      <c r="I354" s="1" t="s">
        <v>2186</v>
      </c>
      <c r="J354" s="1">
        <v>2020</v>
      </c>
      <c r="K354" s="1" t="s">
        <v>2187</v>
      </c>
      <c r="L354" s="1" t="s">
        <v>2188</v>
      </c>
      <c r="P354" s="1" t="s">
        <v>2189</v>
      </c>
      <c r="Q354" s="1" t="s">
        <v>101</v>
      </c>
      <c r="R354" s="1" t="s">
        <v>102</v>
      </c>
      <c r="S354" s="1" t="s">
        <v>2190</v>
      </c>
      <c r="T354" s="1" t="s">
        <v>2191</v>
      </c>
      <c r="U354" s="1">
        <v>1</v>
      </c>
      <c r="V354" s="1" t="s">
        <v>101</v>
      </c>
      <c r="W354" s="1" t="s">
        <v>2192</v>
      </c>
      <c r="X354" s="1" t="s">
        <v>400</v>
      </c>
      <c r="Y354" s="10">
        <v>44127</v>
      </c>
      <c r="Z354" s="1">
        <v>2020</v>
      </c>
      <c r="AA354" s="2">
        <v>367830.15</v>
      </c>
      <c r="AB354" s="2"/>
      <c r="AC354" s="2">
        <v>275872.61250000005</v>
      </c>
      <c r="AD354" s="1">
        <v>12</v>
      </c>
      <c r="AF354" s="1">
        <v>12</v>
      </c>
      <c r="AG354" s="1" t="s">
        <v>56</v>
      </c>
      <c r="AH354" s="1" t="s">
        <v>154</v>
      </c>
      <c r="AI354" s="2">
        <v>208210.72</v>
      </c>
      <c r="AK354" s="1" t="s">
        <v>600</v>
      </c>
      <c r="AL354" s="1" t="s">
        <v>2046</v>
      </c>
    </row>
    <row r="355" spans="1:38" ht="14.45" customHeight="1" x14ac:dyDescent="0.2">
      <c r="A355" s="1" t="s">
        <v>57</v>
      </c>
      <c r="B355" s="9" t="s">
        <v>38</v>
      </c>
      <c r="C355" s="1" t="s">
        <v>58</v>
      </c>
      <c r="D355" s="1" t="s">
        <v>146</v>
      </c>
      <c r="E355" s="1" t="s">
        <v>42</v>
      </c>
      <c r="G355" s="1" t="s">
        <v>147</v>
      </c>
      <c r="H355" s="1" t="s">
        <v>2155</v>
      </c>
      <c r="I355" s="1" t="s">
        <v>2193</v>
      </c>
      <c r="J355" s="1">
        <v>2020</v>
      </c>
      <c r="K355" s="1" t="s">
        <v>2194</v>
      </c>
      <c r="L355" s="1" t="s">
        <v>2195</v>
      </c>
      <c r="P355" s="1" t="s">
        <v>2129</v>
      </c>
      <c r="Q355" s="1" t="s">
        <v>101</v>
      </c>
      <c r="R355" s="1" t="s">
        <v>102</v>
      </c>
      <c r="S355" s="1" t="s">
        <v>637</v>
      </c>
      <c r="T355" s="1" t="s">
        <v>638</v>
      </c>
      <c r="U355" s="1">
        <v>1</v>
      </c>
      <c r="V355" s="1" t="s">
        <v>101</v>
      </c>
      <c r="W355" s="1" t="s">
        <v>2196</v>
      </c>
      <c r="X355" s="1" t="s">
        <v>153</v>
      </c>
      <c r="Y355" s="10">
        <v>44127</v>
      </c>
      <c r="Z355" s="1">
        <v>2020</v>
      </c>
      <c r="AA355" s="2">
        <v>361789.58</v>
      </c>
      <c r="AB355" s="2"/>
      <c r="AC355" s="2">
        <v>271342.19</v>
      </c>
      <c r="AD355" s="1">
        <v>0</v>
      </c>
      <c r="AF355" s="1">
        <v>0</v>
      </c>
      <c r="AG355" s="1" t="s">
        <v>56</v>
      </c>
      <c r="AH355" s="1" t="s">
        <v>154</v>
      </c>
      <c r="AI355" s="2">
        <v>271342.19</v>
      </c>
      <c r="AK355" s="1" t="s">
        <v>600</v>
      </c>
      <c r="AL355" s="1" t="s">
        <v>2197</v>
      </c>
    </row>
    <row r="356" spans="1:38" ht="14.45" customHeight="1" x14ac:dyDescent="0.2">
      <c r="A356" s="1" t="s">
        <v>57</v>
      </c>
      <c r="B356" s="9" t="s">
        <v>38</v>
      </c>
      <c r="C356" s="1" t="s">
        <v>58</v>
      </c>
      <c r="D356" s="1" t="s">
        <v>146</v>
      </c>
      <c r="E356" s="1" t="s">
        <v>42</v>
      </c>
      <c r="G356" s="1" t="s">
        <v>147</v>
      </c>
      <c r="H356" s="1" t="s">
        <v>2155</v>
      </c>
      <c r="I356" s="1" t="s">
        <v>2198</v>
      </c>
      <c r="J356" s="1">
        <v>2020</v>
      </c>
      <c r="K356" s="1" t="s">
        <v>2199</v>
      </c>
      <c r="L356" s="1" t="s">
        <v>2200</v>
      </c>
      <c r="P356" s="1" t="s">
        <v>1812</v>
      </c>
      <c r="Q356" s="1" t="s">
        <v>101</v>
      </c>
      <c r="R356" s="1" t="s">
        <v>102</v>
      </c>
      <c r="S356" s="1" t="s">
        <v>523</v>
      </c>
      <c r="T356" s="1" t="s">
        <v>524</v>
      </c>
      <c r="U356" s="1">
        <v>1</v>
      </c>
      <c r="V356" s="1" t="s">
        <v>101</v>
      </c>
      <c r="W356" s="1" t="s">
        <v>2201</v>
      </c>
      <c r="X356" s="1" t="s">
        <v>138</v>
      </c>
      <c r="Y356" s="10">
        <v>44127</v>
      </c>
      <c r="Z356" s="1">
        <v>2020</v>
      </c>
      <c r="AA356" s="2">
        <v>1036918.0666666667</v>
      </c>
      <c r="AB356" s="2"/>
      <c r="AC356" s="2">
        <v>777688.55</v>
      </c>
      <c r="AD356" s="1">
        <v>0</v>
      </c>
      <c r="AF356" s="1">
        <v>5</v>
      </c>
      <c r="AG356" s="1" t="s">
        <v>56</v>
      </c>
      <c r="AH356" s="1" t="s">
        <v>154</v>
      </c>
      <c r="AI356" s="2">
        <f>VLOOKUP(Tabla35[[#This Row],[Ref. Proyecto]],[4]revITJ!$B$2:$BG$67,2,FALSE)</f>
        <v>659909.99</v>
      </c>
      <c r="AL356" s="1" t="s">
        <v>2202</v>
      </c>
    </row>
    <row r="357" spans="1:38" ht="14.45" customHeight="1" x14ac:dyDescent="0.2">
      <c r="A357" s="1" t="s">
        <v>57</v>
      </c>
      <c r="B357" s="9" t="s">
        <v>38</v>
      </c>
      <c r="C357" s="1" t="s">
        <v>58</v>
      </c>
      <c r="D357" s="1" t="s">
        <v>59</v>
      </c>
      <c r="E357" s="1" t="s">
        <v>42</v>
      </c>
      <c r="F357" s="1" t="s">
        <v>2203</v>
      </c>
      <c r="G357" s="1" t="s">
        <v>60</v>
      </c>
      <c r="H357" s="1" t="s">
        <v>166</v>
      </c>
      <c r="I357" s="1" t="s">
        <v>2204</v>
      </c>
      <c r="J357" s="1">
        <v>2023</v>
      </c>
      <c r="K357" s="1" t="s">
        <v>2205</v>
      </c>
      <c r="L357" s="1" t="s">
        <v>2205</v>
      </c>
      <c r="M357" s="1" t="s">
        <v>2206</v>
      </c>
      <c r="P357" s="1" t="s">
        <v>2207</v>
      </c>
      <c r="Q357" s="1" t="s">
        <v>264</v>
      </c>
      <c r="R357" s="1" t="str">
        <f>VLOOKUP(Tabla35[[#This Row],[COD_INE]],[1]CON_INE_2024!$A$5:$K$353,5,FALSE)</f>
        <v>Asturias</v>
      </c>
      <c r="S357" s="1" t="s">
        <v>275</v>
      </c>
      <c r="T357" s="1" t="s">
        <v>276</v>
      </c>
      <c r="U357" s="1">
        <v>2</v>
      </c>
      <c r="V357" s="1" t="s">
        <v>80</v>
      </c>
      <c r="W357" s="1" t="s">
        <v>2208</v>
      </c>
      <c r="Y357" s="10">
        <v>45802</v>
      </c>
      <c r="Z357" s="1">
        <v>2025</v>
      </c>
      <c r="AA357" s="2">
        <v>5759779.3300000001</v>
      </c>
      <c r="AB357" s="2"/>
      <c r="AC357" s="2">
        <v>1439944.83</v>
      </c>
      <c r="AD357" s="26">
        <v>25</v>
      </c>
      <c r="AE357" s="1">
        <v>2</v>
      </c>
      <c r="AG357" s="1" t="s">
        <v>56</v>
      </c>
      <c r="AI357" s="2">
        <v>1439944.83</v>
      </c>
    </row>
    <row r="358" spans="1:38" ht="14.45" customHeight="1" x14ac:dyDescent="0.2">
      <c r="A358" s="1" t="s">
        <v>57</v>
      </c>
      <c r="B358" s="9" t="s">
        <v>38</v>
      </c>
      <c r="C358" s="1" t="s">
        <v>58</v>
      </c>
      <c r="D358" s="1" t="s">
        <v>59</v>
      </c>
      <c r="E358" s="1" t="s">
        <v>42</v>
      </c>
      <c r="F358" s="1" t="s">
        <v>2203</v>
      </c>
      <c r="G358" s="1" t="s">
        <v>60</v>
      </c>
      <c r="H358" s="1" t="s">
        <v>166</v>
      </c>
      <c r="I358" s="1" t="s">
        <v>2209</v>
      </c>
      <c r="J358" s="1">
        <v>2023</v>
      </c>
      <c r="K358" s="1" t="s">
        <v>2210</v>
      </c>
      <c r="L358" s="1" t="s">
        <v>2210</v>
      </c>
      <c r="M358" s="1" t="s">
        <v>2211</v>
      </c>
      <c r="P358" s="1" t="s">
        <v>2212</v>
      </c>
      <c r="Q358" s="1" t="s">
        <v>264</v>
      </c>
      <c r="R358" s="1" t="str">
        <f>VLOOKUP(Tabla35[[#This Row],[COD_INE]],[1]CON_INE_2024!$A$5:$K$353,5,FALSE)</f>
        <v>Asturias</v>
      </c>
      <c r="S358" s="1" t="s">
        <v>266</v>
      </c>
      <c r="T358" s="1" t="s">
        <v>267</v>
      </c>
      <c r="U358" s="1">
        <v>2</v>
      </c>
      <c r="V358" s="1" t="s">
        <v>268</v>
      </c>
      <c r="W358" s="1" t="s">
        <v>2213</v>
      </c>
      <c r="Y358" s="10">
        <v>45802</v>
      </c>
      <c r="Z358" s="1">
        <v>2025</v>
      </c>
      <c r="AA358" s="2">
        <v>778054</v>
      </c>
      <c r="AB358" s="2"/>
      <c r="AC358" s="2">
        <v>136159.45000000001</v>
      </c>
      <c r="AD358" s="26">
        <v>3</v>
      </c>
      <c r="AE358" s="1">
        <v>0</v>
      </c>
      <c r="AG358" s="1" t="s">
        <v>56</v>
      </c>
      <c r="AI358" s="2">
        <v>136159.45000000001</v>
      </c>
    </row>
    <row r="359" spans="1:38" ht="14.45" customHeight="1" x14ac:dyDescent="0.2">
      <c r="A359" s="1" t="s">
        <v>57</v>
      </c>
      <c r="B359" s="9" t="s">
        <v>38</v>
      </c>
      <c r="C359" s="1" t="s">
        <v>58</v>
      </c>
      <c r="D359" s="1" t="s">
        <v>59</v>
      </c>
      <c r="E359" s="1" t="s">
        <v>42</v>
      </c>
      <c r="F359" s="1" t="s">
        <v>2203</v>
      </c>
      <c r="G359" s="1" t="s">
        <v>60</v>
      </c>
      <c r="H359" s="1" t="s">
        <v>166</v>
      </c>
      <c r="I359" s="1" t="s">
        <v>2214</v>
      </c>
      <c r="J359" s="1">
        <v>2023</v>
      </c>
      <c r="K359" s="1" t="s">
        <v>2215</v>
      </c>
      <c r="L359" s="1" t="s">
        <v>2215</v>
      </c>
      <c r="M359" s="1" t="s">
        <v>1240</v>
      </c>
      <c r="P359" s="1" t="s">
        <v>2216</v>
      </c>
      <c r="Q359" s="1" t="s">
        <v>264</v>
      </c>
      <c r="R359" s="1" t="str">
        <f>VLOOKUP(Tabla35[[#This Row],[COD_INE]],[1]CON_INE_2024!$A$5:$K$353,5,FALSE)</f>
        <v>Asturias</v>
      </c>
      <c r="S359" s="1" t="s">
        <v>266</v>
      </c>
      <c r="T359" s="1" t="s">
        <v>267</v>
      </c>
      <c r="U359" s="1">
        <v>2</v>
      </c>
      <c r="V359" s="1" t="s">
        <v>268</v>
      </c>
      <c r="W359" s="1" t="s">
        <v>2217</v>
      </c>
      <c r="Y359" s="10">
        <v>45802</v>
      </c>
      <c r="Z359" s="1">
        <v>2025</v>
      </c>
      <c r="AA359" s="2">
        <v>731443.96</v>
      </c>
      <c r="AB359" s="2"/>
      <c r="AC359" s="2">
        <v>128002.69</v>
      </c>
      <c r="AD359" s="26">
        <v>3</v>
      </c>
      <c r="AE359" s="1">
        <v>0</v>
      </c>
      <c r="AG359" s="1" t="s">
        <v>56</v>
      </c>
      <c r="AI359" s="2">
        <v>128002.69</v>
      </c>
    </row>
    <row r="360" spans="1:38" ht="12.6" customHeight="1" x14ac:dyDescent="0.2">
      <c r="A360" s="1" t="s">
        <v>57</v>
      </c>
      <c r="B360" s="9" t="s">
        <v>38</v>
      </c>
      <c r="C360" s="1" t="s">
        <v>58</v>
      </c>
      <c r="D360" s="1" t="s">
        <v>59</v>
      </c>
      <c r="E360" s="1" t="s">
        <v>42</v>
      </c>
      <c r="F360" s="1" t="s">
        <v>2203</v>
      </c>
      <c r="G360" s="1" t="s">
        <v>60</v>
      </c>
      <c r="H360" s="1" t="s">
        <v>166</v>
      </c>
      <c r="I360" s="1" t="s">
        <v>2218</v>
      </c>
      <c r="J360" s="1">
        <v>2023</v>
      </c>
      <c r="K360" s="1" t="s">
        <v>2219</v>
      </c>
      <c r="L360" s="1" t="s">
        <v>2219</v>
      </c>
      <c r="M360" s="1" t="s">
        <v>2220</v>
      </c>
      <c r="P360" s="1" t="s">
        <v>2221</v>
      </c>
      <c r="Q360" s="1" t="s">
        <v>264</v>
      </c>
      <c r="R360" s="1" t="str">
        <f>VLOOKUP(Tabla35[[#This Row],[COD_INE]],[1]CON_INE_2024!$A$5:$K$353,5,FALSE)</f>
        <v>Asturias</v>
      </c>
      <c r="S360" s="1" t="s">
        <v>379</v>
      </c>
      <c r="T360" s="1" t="s">
        <v>380</v>
      </c>
      <c r="U360" s="1">
        <v>2</v>
      </c>
      <c r="V360" s="1" t="s">
        <v>268</v>
      </c>
      <c r="W360" s="1" t="s">
        <v>2222</v>
      </c>
      <c r="Y360" s="10">
        <v>45802</v>
      </c>
      <c r="Z360" s="1">
        <v>2025</v>
      </c>
      <c r="AA360" s="2">
        <v>1447460.63</v>
      </c>
      <c r="AB360" s="2"/>
      <c r="AC360" s="2">
        <v>180932.58</v>
      </c>
      <c r="AD360" s="26">
        <v>7</v>
      </c>
      <c r="AE360" s="1">
        <v>4</v>
      </c>
      <c r="AG360" s="1" t="s">
        <v>56</v>
      </c>
      <c r="AI360" s="2">
        <v>180932.58</v>
      </c>
    </row>
    <row r="361" spans="1:38" ht="14.45" customHeight="1" x14ac:dyDescent="0.2">
      <c r="A361" s="1" t="s">
        <v>57</v>
      </c>
      <c r="B361" s="9" t="s">
        <v>38</v>
      </c>
      <c r="C361" s="1" t="s">
        <v>58</v>
      </c>
      <c r="D361" s="1" t="s">
        <v>59</v>
      </c>
      <c r="E361" s="1" t="s">
        <v>42</v>
      </c>
      <c r="F361" s="1" t="s">
        <v>2203</v>
      </c>
      <c r="G361" s="1" t="s">
        <v>60</v>
      </c>
      <c r="H361" s="1" t="s">
        <v>166</v>
      </c>
      <c r="I361" s="1" t="s">
        <v>2223</v>
      </c>
      <c r="J361" s="1">
        <v>2023</v>
      </c>
      <c r="K361" s="1" t="s">
        <v>2224</v>
      </c>
      <c r="L361" s="1" t="s">
        <v>2224</v>
      </c>
      <c r="M361" s="1" t="s">
        <v>2225</v>
      </c>
      <c r="P361" s="1" t="s">
        <v>2226</v>
      </c>
      <c r="Q361" s="1" t="s">
        <v>264</v>
      </c>
      <c r="R361" s="1" t="str">
        <f>VLOOKUP(Tabla35[[#This Row],[COD_INE]],[1]CON_INE_2024!$A$5:$K$353,5,FALSE)</f>
        <v>Asturias</v>
      </c>
      <c r="S361" s="1" t="s">
        <v>266</v>
      </c>
      <c r="T361" s="1" t="s">
        <v>267</v>
      </c>
      <c r="U361" s="1">
        <v>2</v>
      </c>
      <c r="V361" s="1" t="s">
        <v>268</v>
      </c>
      <c r="W361" s="1" t="s">
        <v>2227</v>
      </c>
      <c r="Y361" s="10">
        <v>45802</v>
      </c>
      <c r="Z361" s="1">
        <v>2025</v>
      </c>
      <c r="AA361" s="2">
        <v>1503409.65</v>
      </c>
      <c r="AB361" s="2"/>
      <c r="AC361" s="2">
        <v>150054.60999999999</v>
      </c>
      <c r="AD361" s="26">
        <v>3</v>
      </c>
      <c r="AE361" s="1">
        <v>0</v>
      </c>
      <c r="AG361" s="1" t="s">
        <v>56</v>
      </c>
      <c r="AI361" s="2">
        <v>150054.60999999999</v>
      </c>
    </row>
    <row r="362" spans="1:38" ht="14.45" customHeight="1" x14ac:dyDescent="0.2">
      <c r="A362" s="1" t="s">
        <v>57</v>
      </c>
      <c r="B362" s="9" t="s">
        <v>38</v>
      </c>
      <c r="C362" s="1" t="s">
        <v>58</v>
      </c>
      <c r="D362" s="1" t="s">
        <v>59</v>
      </c>
      <c r="E362" s="1" t="s">
        <v>42</v>
      </c>
      <c r="F362" s="1" t="s">
        <v>2203</v>
      </c>
      <c r="G362" s="1" t="s">
        <v>60</v>
      </c>
      <c r="H362" s="1" t="s">
        <v>166</v>
      </c>
      <c r="I362" s="1" t="s">
        <v>2228</v>
      </c>
      <c r="J362" s="1">
        <v>2023</v>
      </c>
      <c r="K362" s="1" t="s">
        <v>2229</v>
      </c>
      <c r="L362" s="1" t="s">
        <v>2229</v>
      </c>
      <c r="M362" s="1" t="s">
        <v>2230</v>
      </c>
      <c r="P362" s="1" t="s">
        <v>2231</v>
      </c>
      <c r="Q362" s="1" t="s">
        <v>264</v>
      </c>
      <c r="R362" s="1" t="str">
        <f>VLOOKUP(Tabla35[[#This Row],[COD_INE]],[1]CON_INE_2024!$A$5:$K$353,5,FALSE)</f>
        <v>Asturias</v>
      </c>
      <c r="S362" s="1" t="s">
        <v>717</v>
      </c>
      <c r="T362" s="1" t="s">
        <v>718</v>
      </c>
      <c r="U362" s="1">
        <v>1</v>
      </c>
      <c r="V362" s="1" t="s">
        <v>535</v>
      </c>
      <c r="W362" s="1" t="s">
        <v>2232</v>
      </c>
      <c r="Y362" s="10">
        <v>45802</v>
      </c>
      <c r="Z362" s="1">
        <v>2025</v>
      </c>
      <c r="AA362" s="2">
        <v>472782.64</v>
      </c>
      <c r="AB362" s="2"/>
      <c r="AC362" s="2">
        <v>165473.92000000001</v>
      </c>
      <c r="AD362" s="26">
        <v>6</v>
      </c>
      <c r="AE362" s="1">
        <v>3</v>
      </c>
      <c r="AG362" s="1" t="s">
        <v>56</v>
      </c>
      <c r="AI362" s="2">
        <v>165473.92000000001</v>
      </c>
    </row>
    <row r="363" spans="1:38" ht="14.45" customHeight="1" x14ac:dyDescent="0.2">
      <c r="A363" s="1" t="s">
        <v>57</v>
      </c>
      <c r="B363" s="9" t="s">
        <v>38</v>
      </c>
      <c r="C363" s="1" t="s">
        <v>58</v>
      </c>
      <c r="D363" s="1" t="s">
        <v>59</v>
      </c>
      <c r="E363" s="1" t="s">
        <v>42</v>
      </c>
      <c r="F363" s="1" t="s">
        <v>2203</v>
      </c>
      <c r="G363" s="1" t="s">
        <v>60</v>
      </c>
      <c r="H363" s="1" t="s">
        <v>166</v>
      </c>
      <c r="I363" s="1" t="s">
        <v>2233</v>
      </c>
      <c r="J363" s="1">
        <v>2023</v>
      </c>
      <c r="K363" s="1" t="s">
        <v>2234</v>
      </c>
      <c r="L363" s="1" t="s">
        <v>2234</v>
      </c>
      <c r="M363" s="1" t="s">
        <v>1240</v>
      </c>
      <c r="P363" s="1" t="s">
        <v>2235</v>
      </c>
      <c r="Q363" s="1" t="s">
        <v>264</v>
      </c>
      <c r="R363" s="1" t="str">
        <f>VLOOKUP(Tabla35[[#This Row],[COD_INE]],[1]CON_INE_2024!$A$5:$K$353,5,FALSE)</f>
        <v>Asturias</v>
      </c>
      <c r="S363" s="1" t="s">
        <v>266</v>
      </c>
      <c r="T363" s="1" t="s">
        <v>267</v>
      </c>
      <c r="U363" s="1">
        <v>2</v>
      </c>
      <c r="V363" s="1" t="s">
        <v>268</v>
      </c>
      <c r="W363" s="1" t="s">
        <v>2236</v>
      </c>
      <c r="Y363" s="10">
        <v>45802</v>
      </c>
      <c r="Z363" s="1">
        <v>2025</v>
      </c>
      <c r="AA363" s="2">
        <v>653755.14</v>
      </c>
      <c r="AB363" s="2"/>
      <c r="AC363" s="2">
        <v>81719.39</v>
      </c>
      <c r="AD363" s="26">
        <v>10</v>
      </c>
      <c r="AE363" s="1">
        <v>0</v>
      </c>
      <c r="AG363" s="1" t="s">
        <v>56</v>
      </c>
      <c r="AI363" s="2">
        <v>81719.39</v>
      </c>
    </row>
    <row r="364" spans="1:38" ht="14.45" customHeight="1" x14ac:dyDescent="0.2">
      <c r="A364" s="1" t="s">
        <v>57</v>
      </c>
      <c r="B364" s="9" t="s">
        <v>38</v>
      </c>
      <c r="C364" s="1" t="s">
        <v>58</v>
      </c>
      <c r="D364" s="1" t="s">
        <v>59</v>
      </c>
      <c r="E364" s="1" t="s">
        <v>42</v>
      </c>
      <c r="F364" s="1" t="s">
        <v>2203</v>
      </c>
      <c r="G364" s="1" t="s">
        <v>60</v>
      </c>
      <c r="H364" s="1" t="s">
        <v>166</v>
      </c>
      <c r="I364" s="1" t="s">
        <v>2237</v>
      </c>
      <c r="J364" s="1">
        <v>2023</v>
      </c>
      <c r="K364" s="1" t="s">
        <v>2238</v>
      </c>
      <c r="L364" s="1" t="s">
        <v>2238</v>
      </c>
      <c r="M364" s="1" t="s">
        <v>2239</v>
      </c>
      <c r="P364" s="1" t="s">
        <v>2240</v>
      </c>
      <c r="Q364" s="1" t="s">
        <v>264</v>
      </c>
      <c r="R364" s="1" t="str">
        <f>VLOOKUP(Tabla35[[#This Row],[COD_INE]],[1]CON_INE_2024!$A$5:$K$353,5,FALSE)</f>
        <v>Asturias</v>
      </c>
      <c r="S364" s="1" t="s">
        <v>266</v>
      </c>
      <c r="T364" s="1" t="s">
        <v>267</v>
      </c>
      <c r="U364" s="1">
        <v>2</v>
      </c>
      <c r="V364" s="1" t="s">
        <v>268</v>
      </c>
      <c r="W364" s="1" t="s">
        <v>2241</v>
      </c>
      <c r="Y364" s="10">
        <v>45802</v>
      </c>
      <c r="Z364" s="1">
        <v>2025</v>
      </c>
      <c r="AA364" s="2">
        <v>7363496.8899999997</v>
      </c>
      <c r="AB364" s="2"/>
      <c r="AC364" s="2">
        <v>552262.27</v>
      </c>
      <c r="AD364" s="26">
        <v>33</v>
      </c>
      <c r="AE364" s="1">
        <v>6</v>
      </c>
      <c r="AG364" s="1" t="s">
        <v>56</v>
      </c>
      <c r="AI364" s="2">
        <v>552262.27</v>
      </c>
    </row>
    <row r="365" spans="1:38" ht="14.45" customHeight="1" x14ac:dyDescent="0.2">
      <c r="A365" s="1" t="s">
        <v>57</v>
      </c>
      <c r="B365" s="9" t="s">
        <v>38</v>
      </c>
      <c r="C365" s="1" t="s">
        <v>58</v>
      </c>
      <c r="D365" s="1" t="s">
        <v>59</v>
      </c>
      <c r="E365" s="1" t="s">
        <v>42</v>
      </c>
      <c r="F365" s="1" t="s">
        <v>2203</v>
      </c>
      <c r="G365" s="1" t="s">
        <v>60</v>
      </c>
      <c r="H365" s="1" t="s">
        <v>166</v>
      </c>
      <c r="I365" s="1" t="s">
        <v>2242</v>
      </c>
      <c r="J365" s="1">
        <v>2023</v>
      </c>
      <c r="K365" s="1" t="s">
        <v>2243</v>
      </c>
      <c r="L365" s="1" t="s">
        <v>2243</v>
      </c>
      <c r="M365" s="1" t="s">
        <v>2244</v>
      </c>
      <c r="P365" s="1" t="s">
        <v>2245</v>
      </c>
      <c r="Q365" s="1" t="s">
        <v>264</v>
      </c>
      <c r="R365" s="1" t="str">
        <f>VLOOKUP(Tabla35[[#This Row],[COD_INE]],[1]CON_INE_2024!$A$5:$K$353,5,FALSE)</f>
        <v>Asturias</v>
      </c>
      <c r="S365" s="1" t="s">
        <v>784</v>
      </c>
      <c r="T365" s="1" t="s">
        <v>785</v>
      </c>
      <c r="U365" s="1">
        <v>2</v>
      </c>
      <c r="V365" s="1" t="s">
        <v>80</v>
      </c>
      <c r="W365" s="1" t="s">
        <v>2246</v>
      </c>
      <c r="Y365" s="10">
        <v>45802</v>
      </c>
      <c r="Z365" s="1">
        <v>2025</v>
      </c>
      <c r="AA365" s="2">
        <v>1254460</v>
      </c>
      <c r="AB365" s="2"/>
      <c r="AC365" s="2">
        <v>219530.5</v>
      </c>
      <c r="AD365" s="26">
        <v>3</v>
      </c>
      <c r="AE365" s="1">
        <v>0</v>
      </c>
      <c r="AG365" s="1" t="s">
        <v>56</v>
      </c>
      <c r="AI365" s="2">
        <v>219530.5</v>
      </c>
    </row>
    <row r="366" spans="1:38" ht="14.45" customHeight="1" x14ac:dyDescent="0.2">
      <c r="A366" s="1" t="s">
        <v>57</v>
      </c>
      <c r="B366" s="9" t="s">
        <v>38</v>
      </c>
      <c r="C366" s="1" t="s">
        <v>58</v>
      </c>
      <c r="D366" s="1" t="s">
        <v>59</v>
      </c>
      <c r="E366" s="1" t="s">
        <v>42</v>
      </c>
      <c r="F366" s="1" t="s">
        <v>2203</v>
      </c>
      <c r="G366" s="1" t="s">
        <v>60</v>
      </c>
      <c r="H366" s="1" t="s">
        <v>166</v>
      </c>
      <c r="I366" s="1" t="s">
        <v>2247</v>
      </c>
      <c r="J366" s="1">
        <v>2023</v>
      </c>
      <c r="K366" s="1" t="s">
        <v>2248</v>
      </c>
      <c r="L366" s="1" t="s">
        <v>2248</v>
      </c>
      <c r="M366" s="1" t="s">
        <v>2249</v>
      </c>
      <c r="P366" s="1" t="s">
        <v>2250</v>
      </c>
      <c r="Q366" s="1" t="s">
        <v>264</v>
      </c>
      <c r="R366" s="1" t="str">
        <f>VLOOKUP(Tabla35[[#This Row],[COD_INE]],[1]CON_INE_2024!$A$5:$K$353,5,FALSE)</f>
        <v>Asturias</v>
      </c>
      <c r="S366" s="1" t="s">
        <v>379</v>
      </c>
      <c r="T366" s="1" t="s">
        <v>380</v>
      </c>
      <c r="U366" s="1">
        <v>2</v>
      </c>
      <c r="V366" s="1" t="s">
        <v>268</v>
      </c>
      <c r="W366" s="1" t="s">
        <v>2251</v>
      </c>
      <c r="Y366" s="10">
        <v>45802</v>
      </c>
      <c r="Z366" s="1">
        <v>2025</v>
      </c>
      <c r="AA366" s="2">
        <v>17291553.920000002</v>
      </c>
      <c r="AB366" s="2"/>
      <c r="AC366" s="2">
        <v>1296866.54</v>
      </c>
      <c r="AD366" s="26">
        <v>19</v>
      </c>
      <c r="AE366" s="1">
        <v>0</v>
      </c>
      <c r="AG366" s="1" t="s">
        <v>56</v>
      </c>
      <c r="AI366" s="2">
        <v>1296866.54</v>
      </c>
    </row>
    <row r="367" spans="1:38" ht="14.45" customHeight="1" x14ac:dyDescent="0.2">
      <c r="A367" s="1" t="s">
        <v>57</v>
      </c>
      <c r="B367" s="9" t="s">
        <v>38</v>
      </c>
      <c r="C367" s="1" t="s">
        <v>58</v>
      </c>
      <c r="D367" s="1" t="s">
        <v>59</v>
      </c>
      <c r="E367" s="1" t="s">
        <v>42</v>
      </c>
      <c r="F367" s="1" t="s">
        <v>2203</v>
      </c>
      <c r="G367" s="1" t="s">
        <v>60</v>
      </c>
      <c r="H367" s="1" t="s">
        <v>166</v>
      </c>
      <c r="I367" s="1" t="s">
        <v>2252</v>
      </c>
      <c r="J367" s="1">
        <v>2023</v>
      </c>
      <c r="K367" s="1" t="s">
        <v>2253</v>
      </c>
      <c r="L367" s="1" t="s">
        <v>2253</v>
      </c>
      <c r="M367" s="1" t="s">
        <v>2254</v>
      </c>
      <c r="P367" s="1" t="s">
        <v>2255</v>
      </c>
      <c r="Q367" s="1" t="s">
        <v>264</v>
      </c>
      <c r="R367" s="1" t="str">
        <f>VLOOKUP(Tabla35[[#This Row],[COD_INE]],[1]CON_INE_2024!$A$5:$K$353,5,FALSE)</f>
        <v>Asturias</v>
      </c>
      <c r="S367" s="1" t="s">
        <v>673</v>
      </c>
      <c r="T367" s="1" t="s">
        <v>674</v>
      </c>
      <c r="U367" s="1">
        <v>2</v>
      </c>
      <c r="V367" s="1" t="s">
        <v>268</v>
      </c>
      <c r="W367" s="1" t="s">
        <v>2256</v>
      </c>
      <c r="Y367" s="10">
        <v>45802</v>
      </c>
      <c r="Z367" s="1">
        <v>2025</v>
      </c>
      <c r="AA367" s="2">
        <v>461121.5</v>
      </c>
      <c r="AB367" s="2"/>
      <c r="AC367" s="2">
        <v>80696.259999999995</v>
      </c>
      <c r="AD367" s="26">
        <v>8</v>
      </c>
      <c r="AE367" s="1">
        <v>7</v>
      </c>
      <c r="AG367" s="1" t="s">
        <v>56</v>
      </c>
      <c r="AI367" s="2">
        <v>80696.259999999995</v>
      </c>
    </row>
    <row r="368" spans="1:38" ht="14.45" customHeight="1" x14ac:dyDescent="0.2">
      <c r="A368" s="1" t="s">
        <v>57</v>
      </c>
      <c r="B368" s="9" t="s">
        <v>38</v>
      </c>
      <c r="C368" s="1" t="s">
        <v>58</v>
      </c>
      <c r="D368" s="1" t="s">
        <v>59</v>
      </c>
      <c r="E368" s="1" t="s">
        <v>42</v>
      </c>
      <c r="F368" s="1" t="s">
        <v>2203</v>
      </c>
      <c r="G368" s="1" t="s">
        <v>60</v>
      </c>
      <c r="H368" s="1" t="s">
        <v>166</v>
      </c>
      <c r="I368" s="1" t="s">
        <v>2257</v>
      </c>
      <c r="J368" s="1">
        <v>2023</v>
      </c>
      <c r="K368" s="1" t="s">
        <v>2258</v>
      </c>
      <c r="L368" s="1" t="s">
        <v>2258</v>
      </c>
      <c r="M368" s="1" t="s">
        <v>1240</v>
      </c>
      <c r="P368" s="1" t="s">
        <v>2259</v>
      </c>
      <c r="Q368" s="1" t="s">
        <v>264</v>
      </c>
      <c r="R368" s="1" t="str">
        <f>VLOOKUP(Tabla35[[#This Row],[COD_INE]],[1]CON_INE_2024!$A$5:$K$353,5,FALSE)</f>
        <v>Asturias</v>
      </c>
      <c r="S368" s="1" t="s">
        <v>266</v>
      </c>
      <c r="T368" s="1" t="s">
        <v>267</v>
      </c>
      <c r="U368" s="1">
        <v>2</v>
      </c>
      <c r="V368" s="1" t="s">
        <v>268</v>
      </c>
      <c r="W368" s="1" t="s">
        <v>2260</v>
      </c>
      <c r="Y368" s="10">
        <v>45802</v>
      </c>
      <c r="Z368" s="1">
        <v>2025</v>
      </c>
      <c r="AA368" s="2">
        <v>957721.48</v>
      </c>
      <c r="AB368" s="2"/>
      <c r="AC368" s="2">
        <v>167601.26</v>
      </c>
      <c r="AD368" s="26">
        <v>8</v>
      </c>
      <c r="AE368" s="1">
        <v>7</v>
      </c>
      <c r="AG368" s="1" t="s">
        <v>56</v>
      </c>
      <c r="AI368" s="2">
        <v>167601.26</v>
      </c>
    </row>
    <row r="369" spans="1:35" ht="14.45" customHeight="1" x14ac:dyDescent="0.2">
      <c r="A369" s="1" t="s">
        <v>57</v>
      </c>
      <c r="B369" s="9" t="s">
        <v>38</v>
      </c>
      <c r="C369" s="1" t="s">
        <v>58</v>
      </c>
      <c r="D369" s="1" t="s">
        <v>59</v>
      </c>
      <c r="E369" s="1" t="s">
        <v>42</v>
      </c>
      <c r="F369" s="1" t="s">
        <v>2203</v>
      </c>
      <c r="G369" s="1" t="s">
        <v>60</v>
      </c>
      <c r="H369" s="1" t="s">
        <v>166</v>
      </c>
      <c r="I369" s="1" t="s">
        <v>2261</v>
      </c>
      <c r="J369" s="1">
        <v>2023</v>
      </c>
      <c r="K369" s="1" t="s">
        <v>2262</v>
      </c>
      <c r="L369" s="1" t="s">
        <v>2262</v>
      </c>
      <c r="M369" s="1" t="s">
        <v>1240</v>
      </c>
      <c r="P369" s="1" t="s">
        <v>2263</v>
      </c>
      <c r="Q369" s="1" t="s">
        <v>264</v>
      </c>
      <c r="R369" s="1" t="str">
        <f>VLOOKUP(Tabla35[[#This Row],[COD_INE]],[1]CON_INE_2024!$A$5:$K$353,5,FALSE)</f>
        <v>Asturias</v>
      </c>
      <c r="S369" s="1" t="s">
        <v>266</v>
      </c>
      <c r="T369" s="1" t="s">
        <v>267</v>
      </c>
      <c r="U369" s="1">
        <v>2</v>
      </c>
      <c r="V369" s="1" t="s">
        <v>268</v>
      </c>
      <c r="W369" s="1" t="s">
        <v>2264</v>
      </c>
      <c r="Y369" s="10">
        <v>45802</v>
      </c>
      <c r="Z369" s="1">
        <v>2025</v>
      </c>
      <c r="AA369" s="2">
        <v>547273.25</v>
      </c>
      <c r="AB369" s="2"/>
      <c r="AC369" s="2">
        <v>95772.82</v>
      </c>
      <c r="AD369" s="26">
        <v>4</v>
      </c>
      <c r="AE369" s="1">
        <v>3</v>
      </c>
      <c r="AG369" s="1" t="s">
        <v>56</v>
      </c>
      <c r="AI369" s="2">
        <v>95772.82</v>
      </c>
    </row>
    <row r="370" spans="1:35" ht="14.45" customHeight="1" x14ac:dyDescent="0.2">
      <c r="A370" s="1" t="s">
        <v>57</v>
      </c>
      <c r="B370" s="9" t="s">
        <v>38</v>
      </c>
      <c r="C370" s="1" t="s">
        <v>58</v>
      </c>
      <c r="D370" s="1" t="s">
        <v>59</v>
      </c>
      <c r="E370" s="1" t="s">
        <v>42</v>
      </c>
      <c r="F370" s="1" t="s">
        <v>2203</v>
      </c>
      <c r="G370" s="1" t="s">
        <v>60</v>
      </c>
      <c r="H370" s="1" t="s">
        <v>166</v>
      </c>
      <c r="I370" s="1" t="s">
        <v>2265</v>
      </c>
      <c r="J370" s="1">
        <v>2023</v>
      </c>
      <c r="K370" s="1" t="s">
        <v>2266</v>
      </c>
      <c r="L370" s="1" t="s">
        <v>2266</v>
      </c>
      <c r="M370" s="1" t="s">
        <v>2267</v>
      </c>
      <c r="P370" s="1" t="s">
        <v>2268</v>
      </c>
      <c r="Q370" s="1" t="s">
        <v>264</v>
      </c>
      <c r="R370" s="1" t="str">
        <f>VLOOKUP(Tabla35[[#This Row],[COD_INE]],[1]CON_INE_2024!$A$5:$K$353,5,FALSE)</f>
        <v>Asturias</v>
      </c>
      <c r="S370" s="1" t="s">
        <v>784</v>
      </c>
      <c r="T370" s="1" t="s">
        <v>785</v>
      </c>
      <c r="U370" s="1">
        <v>2</v>
      </c>
      <c r="V370" s="1" t="s">
        <v>80</v>
      </c>
      <c r="W370" s="1" t="s">
        <v>2269</v>
      </c>
      <c r="Y370" s="10">
        <v>45802</v>
      </c>
      <c r="Z370" s="1">
        <v>2025</v>
      </c>
      <c r="AA370" s="2">
        <v>174450</v>
      </c>
      <c r="AB370" s="2"/>
      <c r="AC370" s="2">
        <v>30528.75</v>
      </c>
      <c r="AD370" s="26">
        <v>3</v>
      </c>
      <c r="AE370" s="1">
        <v>0</v>
      </c>
      <c r="AG370" s="1" t="s">
        <v>56</v>
      </c>
      <c r="AI370" s="2">
        <v>30528.75</v>
      </c>
    </row>
    <row r="371" spans="1:35" ht="14.45" customHeight="1" x14ac:dyDescent="0.2">
      <c r="A371" s="1" t="s">
        <v>57</v>
      </c>
      <c r="B371" s="9" t="s">
        <v>38</v>
      </c>
      <c r="C371" s="1" t="s">
        <v>58</v>
      </c>
      <c r="D371" s="1" t="s">
        <v>59</v>
      </c>
      <c r="E371" s="1" t="s">
        <v>42</v>
      </c>
      <c r="F371" s="1" t="s">
        <v>2203</v>
      </c>
      <c r="G371" s="1" t="s">
        <v>60</v>
      </c>
      <c r="H371" s="1" t="s">
        <v>166</v>
      </c>
      <c r="I371" s="1" t="s">
        <v>2270</v>
      </c>
      <c r="J371" s="1">
        <v>2023</v>
      </c>
      <c r="K371" s="1" t="s">
        <v>2271</v>
      </c>
      <c r="L371" s="1" t="s">
        <v>2271</v>
      </c>
      <c r="M371" s="1" t="s">
        <v>2272</v>
      </c>
      <c r="P371" s="1" t="s">
        <v>2273</v>
      </c>
      <c r="Q371" s="1" t="s">
        <v>264</v>
      </c>
      <c r="R371" s="1" t="str">
        <f>VLOOKUP(Tabla35[[#This Row],[COD_INE]],[1]CON_INE_2024!$A$5:$K$353,5,FALSE)</f>
        <v>Asturias</v>
      </c>
      <c r="S371" s="1" t="s">
        <v>350</v>
      </c>
      <c r="T371" s="1" t="s">
        <v>351</v>
      </c>
      <c r="U371" s="1">
        <v>1</v>
      </c>
      <c r="V371" s="1" t="s">
        <v>80</v>
      </c>
      <c r="W371" s="1" t="s">
        <v>2274</v>
      </c>
      <c r="Y371" s="10">
        <v>45802</v>
      </c>
      <c r="Z371" s="1">
        <v>2025</v>
      </c>
      <c r="AA371" s="2">
        <v>1219190.4099999999</v>
      </c>
      <c r="AB371" s="2"/>
      <c r="AC371" s="2">
        <v>304797.59999999998</v>
      </c>
      <c r="AD371" s="26">
        <v>5</v>
      </c>
      <c r="AE371" s="1">
        <v>1</v>
      </c>
      <c r="AG371" s="1" t="s">
        <v>56</v>
      </c>
      <c r="AI371" s="2">
        <v>304797.59999999998</v>
      </c>
    </row>
    <row r="372" spans="1:35" ht="14.45" customHeight="1" x14ac:dyDescent="0.2">
      <c r="A372" s="1" t="s">
        <v>57</v>
      </c>
      <c r="B372" s="9" t="s">
        <v>38</v>
      </c>
      <c r="C372" s="1" t="s">
        <v>58</v>
      </c>
      <c r="D372" s="1" t="s">
        <v>59</v>
      </c>
      <c r="E372" s="1" t="s">
        <v>42</v>
      </c>
      <c r="F372" s="1" t="s">
        <v>2203</v>
      </c>
      <c r="G372" s="1" t="s">
        <v>60</v>
      </c>
      <c r="H372" s="1" t="s">
        <v>166</v>
      </c>
      <c r="I372" s="1" t="s">
        <v>2275</v>
      </c>
      <c r="J372" s="1">
        <v>2023</v>
      </c>
      <c r="K372" s="1" t="s">
        <v>2276</v>
      </c>
      <c r="L372" s="1" t="s">
        <v>2276</v>
      </c>
      <c r="M372" s="1" t="s">
        <v>2277</v>
      </c>
      <c r="P372" s="1" t="s">
        <v>2278</v>
      </c>
      <c r="Q372" s="1" t="s">
        <v>264</v>
      </c>
      <c r="R372" s="1" t="str">
        <f>VLOOKUP(Tabla35[[#This Row],[COD_INE]],[1]CON_INE_2024!$A$5:$K$353,5,FALSE)</f>
        <v>Asturias</v>
      </c>
      <c r="S372" s="1" t="s">
        <v>266</v>
      </c>
      <c r="T372" s="1" t="s">
        <v>267</v>
      </c>
      <c r="U372" s="1">
        <v>2</v>
      </c>
      <c r="V372" s="1" t="s">
        <v>268</v>
      </c>
      <c r="W372" s="1" t="s">
        <v>2279</v>
      </c>
      <c r="Y372" s="10">
        <v>45802</v>
      </c>
      <c r="Z372" s="1">
        <v>2025</v>
      </c>
      <c r="AA372" s="2">
        <v>2039212.03</v>
      </c>
      <c r="AB372" s="2"/>
      <c r="AC372" s="2">
        <v>254901.5</v>
      </c>
      <c r="AD372" s="26">
        <v>14</v>
      </c>
      <c r="AE372" s="1">
        <v>7</v>
      </c>
      <c r="AG372" s="1" t="s">
        <v>56</v>
      </c>
      <c r="AI372" s="2">
        <v>254901.5</v>
      </c>
    </row>
    <row r="373" spans="1:35" ht="14.45" customHeight="1" x14ac:dyDescent="0.2">
      <c r="A373" s="1" t="s">
        <v>57</v>
      </c>
      <c r="B373" s="9" t="s">
        <v>38</v>
      </c>
      <c r="C373" s="1" t="s">
        <v>58</v>
      </c>
      <c r="D373" s="1" t="s">
        <v>59</v>
      </c>
      <c r="E373" s="1" t="s">
        <v>42</v>
      </c>
      <c r="F373" s="1" t="s">
        <v>2203</v>
      </c>
      <c r="G373" s="1" t="s">
        <v>60</v>
      </c>
      <c r="H373" s="1" t="s">
        <v>166</v>
      </c>
      <c r="I373" s="1" t="s">
        <v>2280</v>
      </c>
      <c r="J373" s="1">
        <v>2023</v>
      </c>
      <c r="K373" s="1" t="s">
        <v>2281</v>
      </c>
      <c r="L373" s="1" t="s">
        <v>2281</v>
      </c>
      <c r="M373" s="1" t="s">
        <v>1240</v>
      </c>
      <c r="P373" s="1" t="s">
        <v>2282</v>
      </c>
      <c r="Q373" s="1" t="s">
        <v>264</v>
      </c>
      <c r="R373" s="1" t="str">
        <f>VLOOKUP(Tabla35[[#This Row],[COD_INE]],[1]CON_INE_2024!$A$5:$K$353,5,FALSE)</f>
        <v>Asturias</v>
      </c>
      <c r="S373" s="1" t="s">
        <v>379</v>
      </c>
      <c r="T373" s="1" t="s">
        <v>380</v>
      </c>
      <c r="U373" s="1">
        <v>2</v>
      </c>
      <c r="V373" s="1" t="s">
        <v>268</v>
      </c>
      <c r="W373" s="1" t="s">
        <v>2283</v>
      </c>
      <c r="Y373" s="10">
        <v>45802</v>
      </c>
      <c r="Z373" s="1">
        <v>2025</v>
      </c>
      <c r="AA373" s="2">
        <v>587489.97</v>
      </c>
      <c r="AB373" s="2"/>
      <c r="AC373" s="2">
        <v>73436.25</v>
      </c>
      <c r="AD373" s="26">
        <v>3</v>
      </c>
      <c r="AE373" s="1">
        <v>0</v>
      </c>
      <c r="AG373" s="1" t="s">
        <v>56</v>
      </c>
      <c r="AI373" s="2">
        <v>73436.25</v>
      </c>
    </row>
    <row r="374" spans="1:35" ht="14.45" customHeight="1" x14ac:dyDescent="0.2">
      <c r="A374" s="1" t="s">
        <v>57</v>
      </c>
      <c r="B374" s="9" t="s">
        <v>38</v>
      </c>
      <c r="C374" s="1" t="s">
        <v>58</v>
      </c>
      <c r="D374" s="1" t="s">
        <v>59</v>
      </c>
      <c r="E374" s="1" t="s">
        <v>42</v>
      </c>
      <c r="F374" s="1" t="s">
        <v>2203</v>
      </c>
      <c r="G374" s="1" t="s">
        <v>60</v>
      </c>
      <c r="H374" s="1" t="s">
        <v>166</v>
      </c>
      <c r="I374" s="1" t="s">
        <v>2284</v>
      </c>
      <c r="J374" s="1">
        <v>2023</v>
      </c>
      <c r="K374" s="1" t="s">
        <v>2285</v>
      </c>
      <c r="L374" s="1" t="s">
        <v>2285</v>
      </c>
      <c r="M374" s="1" t="s">
        <v>2286</v>
      </c>
      <c r="P374" s="1" t="s">
        <v>2287</v>
      </c>
      <c r="Q374" s="1" t="s">
        <v>264</v>
      </c>
      <c r="R374" s="1" t="str">
        <f>VLOOKUP(Tabla35[[#This Row],[COD_INE]],[1]CON_INE_2024!$A$5:$K$353,5,FALSE)</f>
        <v>Asturias</v>
      </c>
      <c r="S374" s="1" t="s">
        <v>266</v>
      </c>
      <c r="T374" s="1" t="s">
        <v>267</v>
      </c>
      <c r="U374" s="1">
        <v>2</v>
      </c>
      <c r="V374" s="1" t="s">
        <v>268</v>
      </c>
      <c r="W374" s="1" t="s">
        <v>2288</v>
      </c>
      <c r="Y374" s="10">
        <v>45802</v>
      </c>
      <c r="Z374" s="1">
        <v>2025</v>
      </c>
      <c r="AA374" s="2">
        <v>1934039.05</v>
      </c>
      <c r="AB374" s="2"/>
      <c r="AC374" s="2">
        <v>225000</v>
      </c>
      <c r="AD374" s="26">
        <v>3</v>
      </c>
      <c r="AE374" s="1">
        <v>0</v>
      </c>
      <c r="AG374" s="1" t="s">
        <v>56</v>
      </c>
      <c r="AI374" s="2">
        <v>225000</v>
      </c>
    </row>
    <row r="375" spans="1:35" ht="14.45" customHeight="1" x14ac:dyDescent="0.2">
      <c r="A375" s="1" t="s">
        <v>57</v>
      </c>
      <c r="B375" s="9" t="s">
        <v>38</v>
      </c>
      <c r="C375" s="1" t="s">
        <v>58</v>
      </c>
      <c r="D375" s="1" t="s">
        <v>59</v>
      </c>
      <c r="E375" s="1" t="s">
        <v>42</v>
      </c>
      <c r="F375" s="1" t="s">
        <v>2203</v>
      </c>
      <c r="G375" s="1" t="s">
        <v>60</v>
      </c>
      <c r="H375" s="1" t="s">
        <v>166</v>
      </c>
      <c r="I375" s="1" t="s">
        <v>2289</v>
      </c>
      <c r="J375" s="1">
        <v>2023</v>
      </c>
      <c r="K375" s="1" t="s">
        <v>2290</v>
      </c>
      <c r="L375" s="1" t="s">
        <v>2290</v>
      </c>
      <c r="M375" s="1" t="s">
        <v>2291</v>
      </c>
      <c r="P375" s="1" t="s">
        <v>349</v>
      </c>
      <c r="Q375" s="1" t="s">
        <v>264</v>
      </c>
      <c r="R375" s="1" t="str">
        <f>VLOOKUP(Tabla35[[#This Row],[COD_INE]],[1]CON_INE_2024!$A$5:$K$353,5,FALSE)</f>
        <v>Asturias</v>
      </c>
      <c r="S375" s="1" t="s">
        <v>350</v>
      </c>
      <c r="T375" s="1" t="s">
        <v>351</v>
      </c>
      <c r="U375" s="1">
        <v>1</v>
      </c>
      <c r="V375" s="1" t="s">
        <v>80</v>
      </c>
      <c r="W375" s="1" t="s">
        <v>2292</v>
      </c>
      <c r="Y375" s="10">
        <v>45802</v>
      </c>
      <c r="Z375" s="1">
        <v>2025</v>
      </c>
      <c r="AA375" s="2">
        <v>586640</v>
      </c>
      <c r="AB375" s="2"/>
      <c r="AC375" s="2">
        <v>205324</v>
      </c>
      <c r="AD375" s="26">
        <v>6</v>
      </c>
      <c r="AE375" s="1">
        <v>6</v>
      </c>
      <c r="AG375" s="1" t="s">
        <v>56</v>
      </c>
      <c r="AI375" s="2">
        <v>205324</v>
      </c>
    </row>
    <row r="376" spans="1:35" ht="14.45" customHeight="1" x14ac:dyDescent="0.2">
      <c r="A376" s="1" t="s">
        <v>57</v>
      </c>
      <c r="B376" s="9" t="s">
        <v>38</v>
      </c>
      <c r="C376" s="1" t="s">
        <v>58</v>
      </c>
      <c r="D376" s="1" t="s">
        <v>59</v>
      </c>
      <c r="E376" s="1" t="s">
        <v>42</v>
      </c>
      <c r="F376" s="1" t="s">
        <v>2203</v>
      </c>
      <c r="G376" s="1" t="s">
        <v>60</v>
      </c>
      <c r="H376" s="1" t="s">
        <v>166</v>
      </c>
      <c r="I376" s="1" t="s">
        <v>2293</v>
      </c>
      <c r="J376" s="1">
        <v>2023</v>
      </c>
      <c r="K376" s="1" t="s">
        <v>2294</v>
      </c>
      <c r="L376" s="1" t="s">
        <v>2294</v>
      </c>
      <c r="M376" s="1" t="s">
        <v>2295</v>
      </c>
      <c r="P376" s="1" t="s">
        <v>2296</v>
      </c>
      <c r="Q376" s="1" t="s">
        <v>264</v>
      </c>
      <c r="R376" s="1" t="str">
        <f>VLOOKUP(Tabla35[[#This Row],[COD_INE]],[1]CON_INE_2024!$A$5:$K$353,5,FALSE)</f>
        <v>Asturias</v>
      </c>
      <c r="S376" s="1" t="s">
        <v>275</v>
      </c>
      <c r="T376" s="1" t="s">
        <v>276</v>
      </c>
      <c r="U376" s="1">
        <v>2</v>
      </c>
      <c r="V376" s="1" t="s">
        <v>80</v>
      </c>
      <c r="W376" s="1" t="s">
        <v>2297</v>
      </c>
      <c r="Y376" s="10">
        <v>45802</v>
      </c>
      <c r="Z376" s="1">
        <v>2025</v>
      </c>
      <c r="AA376" s="2">
        <v>2757281.25</v>
      </c>
      <c r="AB376" s="2"/>
      <c r="AC376" s="2">
        <v>482524.22</v>
      </c>
      <c r="AD376" s="26">
        <v>36.9</v>
      </c>
      <c r="AE376" s="1">
        <v>30</v>
      </c>
      <c r="AG376" s="1" t="s">
        <v>56</v>
      </c>
      <c r="AI376" s="2">
        <v>482524.22</v>
      </c>
    </row>
    <row r="377" spans="1:35" ht="12.6" customHeight="1" x14ac:dyDescent="0.2">
      <c r="A377" s="1" t="s">
        <v>57</v>
      </c>
      <c r="B377" s="9" t="s">
        <v>38</v>
      </c>
      <c r="C377" s="1" t="s">
        <v>58</v>
      </c>
      <c r="D377" s="1" t="s">
        <v>59</v>
      </c>
      <c r="E377" s="1" t="s">
        <v>42</v>
      </c>
      <c r="F377" s="1" t="s">
        <v>2203</v>
      </c>
      <c r="G377" s="1" t="s">
        <v>60</v>
      </c>
      <c r="H377" s="1" t="s">
        <v>166</v>
      </c>
      <c r="I377" s="1" t="s">
        <v>2298</v>
      </c>
      <c r="J377" s="1">
        <v>2023</v>
      </c>
      <c r="K377" s="1" t="s">
        <v>2299</v>
      </c>
      <c r="L377" s="1" t="s">
        <v>2299</v>
      </c>
      <c r="M377" s="1" t="s">
        <v>2300</v>
      </c>
      <c r="P377" s="1" t="s">
        <v>2301</v>
      </c>
      <c r="Q377" s="1" t="s">
        <v>264</v>
      </c>
      <c r="R377" s="1" t="str">
        <f>VLOOKUP(Tabla35[[#This Row],[COD_INE]],[1]CON_INE_2024!$A$5:$K$353,5,FALSE)</f>
        <v>Asturias</v>
      </c>
      <c r="S377" s="1" t="s">
        <v>379</v>
      </c>
      <c r="T377" s="1" t="s">
        <v>380</v>
      </c>
      <c r="U377" s="1">
        <v>2</v>
      </c>
      <c r="V377" s="1" t="s">
        <v>268</v>
      </c>
      <c r="W377" s="1" t="s">
        <v>2302</v>
      </c>
      <c r="Y377" s="10">
        <v>45802</v>
      </c>
      <c r="Z377" s="1">
        <v>2025</v>
      </c>
      <c r="AA377" s="2">
        <v>938131.7</v>
      </c>
      <c r="AB377" s="2"/>
      <c r="AC377" s="2">
        <v>164173.04999999999</v>
      </c>
      <c r="AD377" s="26">
        <v>4</v>
      </c>
      <c r="AE377" s="1">
        <v>2</v>
      </c>
      <c r="AG377" s="1" t="s">
        <v>56</v>
      </c>
      <c r="AI377" s="2">
        <v>164173.04999999999</v>
      </c>
    </row>
    <row r="378" spans="1:35" ht="14.45" customHeight="1" x14ac:dyDescent="0.2">
      <c r="A378" s="1" t="s">
        <v>57</v>
      </c>
      <c r="B378" s="9" t="s">
        <v>38</v>
      </c>
      <c r="C378" s="1" t="s">
        <v>58</v>
      </c>
      <c r="D378" s="1" t="s">
        <v>59</v>
      </c>
      <c r="E378" s="1" t="s">
        <v>42</v>
      </c>
      <c r="F378" s="1" t="s">
        <v>165</v>
      </c>
      <c r="G378" s="1" t="s">
        <v>88</v>
      </c>
      <c r="H378" s="1" t="s">
        <v>166</v>
      </c>
      <c r="I378" s="1" t="s">
        <v>2303</v>
      </c>
      <c r="J378" s="1">
        <v>2023</v>
      </c>
      <c r="K378" s="1" t="s">
        <v>2304</v>
      </c>
      <c r="L378" s="1" t="s">
        <v>2304</v>
      </c>
      <c r="M378" s="1" t="s">
        <v>2305</v>
      </c>
      <c r="P378" s="1" t="s">
        <v>2306</v>
      </c>
      <c r="Q378" s="1" t="s">
        <v>264</v>
      </c>
      <c r="R378" s="1" t="s">
        <v>265</v>
      </c>
      <c r="S378" s="1" t="s">
        <v>784</v>
      </c>
      <c r="T378" s="1" t="s">
        <v>785</v>
      </c>
      <c r="U378" s="1">
        <v>2</v>
      </c>
      <c r="V378" s="1" t="s">
        <v>80</v>
      </c>
      <c r="W378" s="1" t="s">
        <v>2307</v>
      </c>
      <c r="Y378" s="10">
        <v>45802</v>
      </c>
      <c r="Z378" s="1">
        <v>2025</v>
      </c>
      <c r="AA378" s="12">
        <v>135585</v>
      </c>
      <c r="AB378" s="2"/>
      <c r="AC378" s="12">
        <v>23727.38</v>
      </c>
      <c r="AD378" s="1">
        <v>0</v>
      </c>
      <c r="AE378" s="1">
        <v>0</v>
      </c>
      <c r="AG378" s="1" t="s">
        <v>56</v>
      </c>
      <c r="AI378" s="13">
        <v>23727.38</v>
      </c>
    </row>
    <row r="379" spans="1:35" ht="14.45" customHeight="1" x14ac:dyDescent="0.2">
      <c r="A379" s="1" t="s">
        <v>57</v>
      </c>
      <c r="B379" s="9" t="s">
        <v>38</v>
      </c>
      <c r="C379" s="1" t="s">
        <v>58</v>
      </c>
      <c r="D379" s="1" t="s">
        <v>59</v>
      </c>
      <c r="E379" s="1" t="s">
        <v>42</v>
      </c>
      <c r="F379" s="1" t="s">
        <v>165</v>
      </c>
      <c r="G379" s="1" t="s">
        <v>88</v>
      </c>
      <c r="H379" s="1" t="s">
        <v>166</v>
      </c>
      <c r="I379" s="1" t="s">
        <v>2308</v>
      </c>
      <c r="J379" s="1">
        <v>2023</v>
      </c>
      <c r="K379" s="1" t="s">
        <v>2309</v>
      </c>
      <c r="L379" s="1" t="s">
        <v>2309</v>
      </c>
      <c r="M379" s="1" t="s">
        <v>2310</v>
      </c>
      <c r="P379" s="1" t="s">
        <v>2311</v>
      </c>
      <c r="Q379" s="1" t="s">
        <v>264</v>
      </c>
      <c r="R379" s="1" t="s">
        <v>265</v>
      </c>
      <c r="S379" s="1" t="s">
        <v>299</v>
      </c>
      <c r="T379" s="1" t="s">
        <v>300</v>
      </c>
      <c r="U379" s="1">
        <v>2</v>
      </c>
      <c r="V379" s="1" t="str">
        <f>VLOOKUP(Tabla35[[#This Row],[Municipio]],[1]CON_INE_2024!$H$5:$K$353,3,FALSE)</f>
        <v>Caudal-Aboño</v>
      </c>
      <c r="W379" s="1" t="s">
        <v>2312</v>
      </c>
      <c r="Y379" s="10">
        <v>45802</v>
      </c>
      <c r="Z379" s="1">
        <v>2025</v>
      </c>
      <c r="AA379" s="12">
        <v>265997.21000000002</v>
      </c>
      <c r="AB379" s="2"/>
      <c r="AC379" s="12">
        <v>46549.51</v>
      </c>
      <c r="AD379" s="1">
        <v>0</v>
      </c>
      <c r="AE379" s="1">
        <v>0</v>
      </c>
      <c r="AG379" s="1" t="s">
        <v>56</v>
      </c>
      <c r="AI379" s="13">
        <v>46549.51</v>
      </c>
    </row>
    <row r="380" spans="1:35" ht="14.45" customHeight="1" x14ac:dyDescent="0.2">
      <c r="A380" s="1" t="s">
        <v>57</v>
      </c>
      <c r="B380" s="9" t="s">
        <v>38</v>
      </c>
      <c r="C380" s="1" t="s">
        <v>58</v>
      </c>
      <c r="D380" s="1" t="s">
        <v>59</v>
      </c>
      <c r="E380" s="1" t="s">
        <v>42</v>
      </c>
      <c r="F380" s="1" t="s">
        <v>165</v>
      </c>
      <c r="G380" s="1" t="s">
        <v>88</v>
      </c>
      <c r="H380" s="1" t="s">
        <v>166</v>
      </c>
      <c r="I380" s="1" t="s">
        <v>2313</v>
      </c>
      <c r="J380" s="1">
        <v>2023</v>
      </c>
      <c r="K380" s="1" t="s">
        <v>2314</v>
      </c>
      <c r="L380" s="1" t="s">
        <v>2314</v>
      </c>
      <c r="M380" s="1" t="s">
        <v>1240</v>
      </c>
      <c r="P380" s="1" t="s">
        <v>2315</v>
      </c>
      <c r="Q380" s="1" t="s">
        <v>264</v>
      </c>
      <c r="R380" s="1" t="s">
        <v>265</v>
      </c>
      <c r="S380" s="1" t="s">
        <v>275</v>
      </c>
      <c r="T380" s="2" t="s">
        <v>276</v>
      </c>
      <c r="U380" s="1">
        <v>2</v>
      </c>
      <c r="V380" s="1" t="s">
        <v>80</v>
      </c>
      <c r="W380" s="1" t="s">
        <v>2316</v>
      </c>
      <c r="Y380" s="10">
        <v>45802</v>
      </c>
      <c r="Z380" s="1">
        <v>2025</v>
      </c>
      <c r="AA380" s="12">
        <v>136795.22</v>
      </c>
      <c r="AB380" s="2"/>
      <c r="AC380" s="12">
        <v>23939.16</v>
      </c>
      <c r="AD380" s="1">
        <v>2</v>
      </c>
      <c r="AE380" s="1">
        <v>1</v>
      </c>
      <c r="AG380" s="1" t="s">
        <v>56</v>
      </c>
      <c r="AI380" s="13">
        <v>23939.16</v>
      </c>
    </row>
    <row r="381" spans="1:35" ht="14.45" customHeight="1" x14ac:dyDescent="0.2">
      <c r="A381" s="1" t="s">
        <v>57</v>
      </c>
      <c r="B381" s="9" t="s">
        <v>38</v>
      </c>
      <c r="C381" s="1" t="s">
        <v>58</v>
      </c>
      <c r="D381" s="1" t="s">
        <v>59</v>
      </c>
      <c r="E381" s="1" t="s">
        <v>42</v>
      </c>
      <c r="F381" s="1" t="s">
        <v>165</v>
      </c>
      <c r="G381" s="1" t="s">
        <v>88</v>
      </c>
      <c r="H381" s="1" t="s">
        <v>166</v>
      </c>
      <c r="I381" s="1" t="s">
        <v>2317</v>
      </c>
      <c r="J381" s="1">
        <v>2023</v>
      </c>
      <c r="K381" s="1" t="s">
        <v>2318</v>
      </c>
      <c r="L381" s="1" t="s">
        <v>2319</v>
      </c>
      <c r="M381" s="1" t="s">
        <v>2320</v>
      </c>
      <c r="P381" s="1" t="s">
        <v>2321</v>
      </c>
      <c r="Q381" s="1" t="s">
        <v>264</v>
      </c>
      <c r="R381" s="1" t="s">
        <v>265</v>
      </c>
      <c r="S381" s="1" t="s">
        <v>266</v>
      </c>
      <c r="T381" s="1" t="s">
        <v>267</v>
      </c>
      <c r="U381" s="1">
        <v>2</v>
      </c>
      <c r="V381" s="1" t="str">
        <f>VLOOKUP(Tabla35[[#This Row],[Municipio]],[1]CON_INE_2024!$H$5:$K$353,3,FALSE)</f>
        <v>Caudal-Aboño</v>
      </c>
      <c r="W381" s="1" t="s">
        <v>2322</v>
      </c>
      <c r="Y381" s="10">
        <v>45802</v>
      </c>
      <c r="Z381" s="1">
        <v>2025</v>
      </c>
      <c r="AA381" s="12">
        <v>194468</v>
      </c>
      <c r="AB381" s="2"/>
      <c r="AC381" s="12">
        <v>34031.9</v>
      </c>
      <c r="AD381" s="1">
        <v>0</v>
      </c>
      <c r="AE381" s="1">
        <v>0</v>
      </c>
      <c r="AG381" s="1" t="s">
        <v>56</v>
      </c>
      <c r="AI381" s="13">
        <v>34031.9</v>
      </c>
    </row>
    <row r="382" spans="1:35" ht="14.45" customHeight="1" x14ac:dyDescent="0.2">
      <c r="A382" s="1" t="s">
        <v>57</v>
      </c>
      <c r="B382" s="9" t="s">
        <v>38</v>
      </c>
      <c r="C382" s="1" t="s">
        <v>58</v>
      </c>
      <c r="D382" s="1" t="s">
        <v>59</v>
      </c>
      <c r="E382" s="1" t="s">
        <v>42</v>
      </c>
      <c r="F382" s="1" t="s">
        <v>165</v>
      </c>
      <c r="G382" s="1" t="s">
        <v>88</v>
      </c>
      <c r="H382" s="1" t="s">
        <v>166</v>
      </c>
      <c r="I382" s="1" t="s">
        <v>2323</v>
      </c>
      <c r="J382" s="1">
        <v>2023</v>
      </c>
      <c r="K382" s="1" t="s">
        <v>2324</v>
      </c>
      <c r="L382" s="1" t="s">
        <v>2324</v>
      </c>
      <c r="M382" s="1" t="s">
        <v>1240</v>
      </c>
      <c r="P382" s="1" t="s">
        <v>807</v>
      </c>
      <c r="Q382" s="1" t="s">
        <v>264</v>
      </c>
      <c r="R382" s="1" t="s">
        <v>265</v>
      </c>
      <c r="S382" s="1" t="s">
        <v>266</v>
      </c>
      <c r="T382" s="1" t="s">
        <v>267</v>
      </c>
      <c r="U382" s="1">
        <v>2</v>
      </c>
      <c r="V382" s="1" t="str">
        <f>VLOOKUP(Tabla35[[#This Row],[Municipio]],[1]CON_INE_2024!$H$5:$K$353,3,FALSE)</f>
        <v>Caudal-Aboño</v>
      </c>
      <c r="W382" s="1" t="s">
        <v>2325</v>
      </c>
      <c r="Y382" s="10">
        <v>45802</v>
      </c>
      <c r="Z382" s="1">
        <v>2025</v>
      </c>
      <c r="AA382" s="12">
        <v>40379.14</v>
      </c>
      <c r="AB382" s="2"/>
      <c r="AC382" s="12">
        <v>7066.35</v>
      </c>
      <c r="AD382" s="1">
        <v>0</v>
      </c>
      <c r="AE382" s="1">
        <v>0</v>
      </c>
      <c r="AG382" s="1" t="s">
        <v>56</v>
      </c>
      <c r="AI382" s="13">
        <v>7066.35</v>
      </c>
    </row>
    <row r="383" spans="1:35" ht="14.45" customHeight="1" x14ac:dyDescent="0.2">
      <c r="A383" s="1" t="s">
        <v>57</v>
      </c>
      <c r="B383" s="9" t="s">
        <v>38</v>
      </c>
      <c r="C383" s="1" t="s">
        <v>58</v>
      </c>
      <c r="D383" s="1" t="s">
        <v>59</v>
      </c>
      <c r="E383" s="1" t="s">
        <v>42</v>
      </c>
      <c r="F383" s="1" t="s">
        <v>165</v>
      </c>
      <c r="G383" s="1" t="s">
        <v>88</v>
      </c>
      <c r="H383" s="1" t="s">
        <v>166</v>
      </c>
      <c r="I383" s="1" t="s">
        <v>2326</v>
      </c>
      <c r="J383" s="1">
        <v>2023</v>
      </c>
      <c r="K383" s="1" t="s">
        <v>2327</v>
      </c>
      <c r="L383" s="1" t="s">
        <v>2327</v>
      </c>
      <c r="M383" s="1" t="s">
        <v>2328</v>
      </c>
      <c r="P383" s="1" t="s">
        <v>2329</v>
      </c>
      <c r="Q383" s="1" t="s">
        <v>264</v>
      </c>
      <c r="R383" s="1" t="s">
        <v>265</v>
      </c>
      <c r="S383" s="1" t="s">
        <v>740</v>
      </c>
      <c r="T383" s="2" t="s">
        <v>741</v>
      </c>
      <c r="U383" s="1">
        <v>1</v>
      </c>
      <c r="V383" s="1" t="str">
        <f>VLOOKUP(Tabla35[[#This Row],[Municipio]],[1]CON_INE_2024!$H$5:$K$353,3,FALSE)</f>
        <v>Nalón</v>
      </c>
      <c r="W383" s="1" t="s">
        <v>2330</v>
      </c>
      <c r="Y383" s="10">
        <v>45802</v>
      </c>
      <c r="Z383" s="1">
        <v>2025</v>
      </c>
      <c r="AA383" s="12">
        <v>30400</v>
      </c>
      <c r="AB383" s="2"/>
      <c r="AC383" s="12">
        <v>10640</v>
      </c>
      <c r="AD383" s="1">
        <v>1</v>
      </c>
      <c r="AE383" s="1">
        <v>0</v>
      </c>
      <c r="AG383" s="1" t="s">
        <v>56</v>
      </c>
      <c r="AI383" s="13">
        <v>10640</v>
      </c>
    </row>
    <row r="384" spans="1:35" ht="14.45" customHeight="1" x14ac:dyDescent="0.2">
      <c r="A384" s="1" t="s">
        <v>57</v>
      </c>
      <c r="B384" s="9" t="s">
        <v>38</v>
      </c>
      <c r="C384" s="1" t="s">
        <v>58</v>
      </c>
      <c r="D384" s="1" t="s">
        <v>59</v>
      </c>
      <c r="E384" s="1" t="s">
        <v>42</v>
      </c>
      <c r="F384" s="1" t="s">
        <v>165</v>
      </c>
      <c r="G384" s="1" t="s">
        <v>88</v>
      </c>
      <c r="H384" s="1" t="s">
        <v>166</v>
      </c>
      <c r="I384" s="1" t="s">
        <v>2331</v>
      </c>
      <c r="J384" s="1">
        <v>2023</v>
      </c>
      <c r="K384" s="1" t="s">
        <v>2332</v>
      </c>
      <c r="L384" s="1" t="s">
        <v>2332</v>
      </c>
      <c r="M384" s="1" t="s">
        <v>455</v>
      </c>
      <c r="P384" s="1" t="s">
        <v>2333</v>
      </c>
      <c r="Q384" s="1" t="s">
        <v>264</v>
      </c>
      <c r="R384" s="1" t="s">
        <v>265</v>
      </c>
      <c r="S384" s="1" t="s">
        <v>266</v>
      </c>
      <c r="T384" s="2" t="s">
        <v>267</v>
      </c>
      <c r="U384" s="1">
        <v>2</v>
      </c>
      <c r="V384" s="1" t="str">
        <f>VLOOKUP(Tabla35[[#This Row],[Municipio]],[1]CON_INE_2024!$H$5:$K$353,3,FALSE)</f>
        <v>Caudal-Aboño</v>
      </c>
      <c r="W384" s="1" t="s">
        <v>2334</v>
      </c>
      <c r="Y384" s="10">
        <v>45802</v>
      </c>
      <c r="Z384" s="1">
        <v>2025</v>
      </c>
      <c r="AA384" s="12">
        <v>438402</v>
      </c>
      <c r="AB384" s="2"/>
      <c r="AC384" s="12">
        <v>76720.350000000006</v>
      </c>
      <c r="AD384" s="1">
        <v>3</v>
      </c>
      <c r="AE384" s="1">
        <v>2</v>
      </c>
      <c r="AG384" s="1" t="s">
        <v>56</v>
      </c>
      <c r="AI384" s="13">
        <v>76720.350000000006</v>
      </c>
    </row>
    <row r="385" spans="1:35" ht="14.45" customHeight="1" x14ac:dyDescent="0.2">
      <c r="A385" s="1" t="s">
        <v>57</v>
      </c>
      <c r="B385" s="9" t="s">
        <v>38</v>
      </c>
      <c r="C385" s="1" t="s">
        <v>58</v>
      </c>
      <c r="D385" s="1" t="s">
        <v>59</v>
      </c>
      <c r="E385" s="1" t="s">
        <v>42</v>
      </c>
      <c r="F385" s="1" t="s">
        <v>165</v>
      </c>
      <c r="G385" s="1" t="s">
        <v>88</v>
      </c>
      <c r="H385" s="1" t="s">
        <v>166</v>
      </c>
      <c r="I385" s="1" t="s">
        <v>2335</v>
      </c>
      <c r="J385" s="1">
        <v>2023</v>
      </c>
      <c r="K385" s="1" t="s">
        <v>2336</v>
      </c>
      <c r="L385" s="1" t="s">
        <v>2336</v>
      </c>
      <c r="M385" s="1" t="s">
        <v>2337</v>
      </c>
      <c r="P385" s="1" t="s">
        <v>2338</v>
      </c>
      <c r="Q385" s="1" t="s">
        <v>264</v>
      </c>
      <c r="R385" s="1" t="s">
        <v>265</v>
      </c>
      <c r="S385" s="1" t="s">
        <v>266</v>
      </c>
      <c r="T385" s="1" t="s">
        <v>267</v>
      </c>
      <c r="U385" s="1">
        <v>2</v>
      </c>
      <c r="V385" s="1" t="str">
        <f>VLOOKUP(Tabla35[[#This Row],[Municipio]],[1]CON_INE_2024!$H$5:$K$353,3,FALSE)</f>
        <v>Caudal-Aboño</v>
      </c>
      <c r="W385" s="1" t="s">
        <v>2339</v>
      </c>
      <c r="Y385" s="10">
        <v>45802</v>
      </c>
      <c r="Z385" s="1">
        <v>2025</v>
      </c>
      <c r="AA385" s="12">
        <v>488500</v>
      </c>
      <c r="AB385" s="2"/>
      <c r="AC385" s="12">
        <v>85487.5</v>
      </c>
      <c r="AD385" s="1">
        <v>0</v>
      </c>
      <c r="AE385" s="1">
        <v>0</v>
      </c>
      <c r="AG385" s="1" t="s">
        <v>56</v>
      </c>
      <c r="AI385" s="13">
        <v>85487.5</v>
      </c>
    </row>
    <row r="386" spans="1:35" ht="14.45" customHeight="1" x14ac:dyDescent="0.2">
      <c r="A386" s="1" t="s">
        <v>57</v>
      </c>
      <c r="B386" s="9" t="s">
        <v>38</v>
      </c>
      <c r="C386" s="1" t="s">
        <v>58</v>
      </c>
      <c r="D386" s="1" t="s">
        <v>59</v>
      </c>
      <c r="E386" s="1" t="s">
        <v>42</v>
      </c>
      <c r="F386" s="1" t="s">
        <v>165</v>
      </c>
      <c r="G386" s="1" t="s">
        <v>88</v>
      </c>
      <c r="H386" s="1" t="s">
        <v>166</v>
      </c>
      <c r="I386" s="1" t="s">
        <v>2340</v>
      </c>
      <c r="J386" s="1">
        <v>2023</v>
      </c>
      <c r="K386" s="1" t="s">
        <v>2341</v>
      </c>
      <c r="L386" s="1" t="s">
        <v>2341</v>
      </c>
      <c r="M386" s="1" t="s">
        <v>2342</v>
      </c>
      <c r="P386" s="1" t="s">
        <v>320</v>
      </c>
      <c r="Q386" s="1" t="s">
        <v>264</v>
      </c>
      <c r="R386" s="1" t="s">
        <v>265</v>
      </c>
      <c r="S386" s="1" t="s">
        <v>275</v>
      </c>
      <c r="T386" s="2" t="s">
        <v>276</v>
      </c>
      <c r="U386" s="1">
        <v>2</v>
      </c>
      <c r="V386" s="1" t="s">
        <v>80</v>
      </c>
      <c r="W386" s="1" t="s">
        <v>2343</v>
      </c>
      <c r="Y386" s="10">
        <v>45802</v>
      </c>
      <c r="Z386" s="1">
        <v>2025</v>
      </c>
      <c r="AA386" s="12">
        <v>204411.36</v>
      </c>
      <c r="AB386" s="2"/>
      <c r="AC386" s="12">
        <v>51102.84</v>
      </c>
      <c r="AD386" s="1">
        <v>1</v>
      </c>
      <c r="AE386" s="1">
        <v>0</v>
      </c>
      <c r="AG386" s="1" t="s">
        <v>56</v>
      </c>
      <c r="AI386" s="13">
        <v>51102.84</v>
      </c>
    </row>
    <row r="387" spans="1:35" ht="14.45" customHeight="1" x14ac:dyDescent="0.2">
      <c r="A387" s="1" t="s">
        <v>57</v>
      </c>
      <c r="B387" s="9" t="s">
        <v>38</v>
      </c>
      <c r="C387" s="1" t="s">
        <v>58</v>
      </c>
      <c r="D387" s="1" t="s">
        <v>59</v>
      </c>
      <c r="E387" s="1" t="s">
        <v>42</v>
      </c>
      <c r="F387" s="1" t="s">
        <v>165</v>
      </c>
      <c r="G387" s="1" t="s">
        <v>88</v>
      </c>
      <c r="H387" s="1" t="s">
        <v>166</v>
      </c>
      <c r="I387" s="1" t="s">
        <v>2344</v>
      </c>
      <c r="J387" s="1">
        <v>2023</v>
      </c>
      <c r="K387" s="1" t="s">
        <v>2345</v>
      </c>
      <c r="L387" s="1" t="s">
        <v>2345</v>
      </c>
      <c r="M387" s="1" t="s">
        <v>2346</v>
      </c>
      <c r="P387" s="1" t="s">
        <v>2347</v>
      </c>
      <c r="Q387" s="1" t="s">
        <v>264</v>
      </c>
      <c r="R387" s="1" t="s">
        <v>265</v>
      </c>
      <c r="S387" s="1" t="s">
        <v>350</v>
      </c>
      <c r="T387" s="2" t="s">
        <v>351</v>
      </c>
      <c r="U387" s="1">
        <v>1</v>
      </c>
      <c r="V387" s="1" t="s">
        <v>80</v>
      </c>
      <c r="W387" s="1" t="s">
        <v>2348</v>
      </c>
      <c r="Y387" s="10">
        <v>45802</v>
      </c>
      <c r="Z387" s="1">
        <v>2025</v>
      </c>
      <c r="AA387" s="12">
        <v>495077.77</v>
      </c>
      <c r="AB387" s="2"/>
      <c r="AC387" s="12">
        <v>173277.22</v>
      </c>
      <c r="AD387" s="1">
        <v>2</v>
      </c>
      <c r="AE387" s="1">
        <v>0</v>
      </c>
      <c r="AG387" s="1" t="s">
        <v>56</v>
      </c>
      <c r="AI387" s="13">
        <v>173277.22</v>
      </c>
    </row>
    <row r="388" spans="1:35" ht="12.6" customHeight="1" x14ac:dyDescent="0.2">
      <c r="A388" s="1" t="s">
        <v>57</v>
      </c>
      <c r="B388" s="9" t="s">
        <v>38</v>
      </c>
      <c r="C388" s="1" t="s">
        <v>58</v>
      </c>
      <c r="D388" s="1" t="s">
        <v>59</v>
      </c>
      <c r="E388" s="1" t="s">
        <v>42</v>
      </c>
      <c r="F388" s="1" t="s">
        <v>165</v>
      </c>
      <c r="G388" s="1" t="s">
        <v>88</v>
      </c>
      <c r="H388" s="1" t="s">
        <v>166</v>
      </c>
      <c r="I388" s="1" t="s">
        <v>2349</v>
      </c>
      <c r="J388" s="1">
        <v>2023</v>
      </c>
      <c r="K388" s="1" t="s">
        <v>2350</v>
      </c>
      <c r="L388" s="1" t="s">
        <v>2350</v>
      </c>
      <c r="M388" s="1" t="s">
        <v>2351</v>
      </c>
      <c r="P388" s="1" t="s">
        <v>2352</v>
      </c>
      <c r="Q388" s="1" t="s">
        <v>264</v>
      </c>
      <c r="R388" s="1" t="s">
        <v>265</v>
      </c>
      <c r="S388" s="1" t="s">
        <v>275</v>
      </c>
      <c r="T388" s="2" t="s">
        <v>276</v>
      </c>
      <c r="U388" s="1">
        <v>2</v>
      </c>
      <c r="V388" s="1" t="s">
        <v>80</v>
      </c>
      <c r="W388" s="1" t="s">
        <v>2353</v>
      </c>
      <c r="Y388" s="10">
        <v>45802</v>
      </c>
      <c r="Z388" s="1">
        <v>2025</v>
      </c>
      <c r="AA388" s="12">
        <v>236828.47</v>
      </c>
      <c r="AB388" s="2"/>
      <c r="AC388" s="12">
        <v>41444.980000000003</v>
      </c>
      <c r="AD388" s="1">
        <v>4.5</v>
      </c>
      <c r="AE388" s="1">
        <v>3</v>
      </c>
      <c r="AG388" s="1" t="s">
        <v>56</v>
      </c>
      <c r="AI388" s="13">
        <v>41444.980000000003</v>
      </c>
    </row>
    <row r="389" spans="1:35" ht="14.45" customHeight="1" x14ac:dyDescent="0.2">
      <c r="A389" s="1" t="s">
        <v>57</v>
      </c>
      <c r="B389" s="9" t="s">
        <v>38</v>
      </c>
      <c r="C389" s="1" t="s">
        <v>58</v>
      </c>
      <c r="D389" s="1" t="s">
        <v>59</v>
      </c>
      <c r="E389" s="1" t="s">
        <v>42</v>
      </c>
      <c r="F389" s="1" t="s">
        <v>165</v>
      </c>
      <c r="G389" s="1" t="s">
        <v>88</v>
      </c>
      <c r="H389" s="1" t="s">
        <v>166</v>
      </c>
      <c r="I389" s="1" t="s">
        <v>2354</v>
      </c>
      <c r="J389" s="1">
        <v>2023</v>
      </c>
      <c r="K389" s="1" t="s">
        <v>2355</v>
      </c>
      <c r="L389" s="1" t="s">
        <v>2355</v>
      </c>
      <c r="M389" s="1" t="s">
        <v>2356</v>
      </c>
      <c r="P389" s="1" t="s">
        <v>2357</v>
      </c>
      <c r="Q389" s="1" t="s">
        <v>264</v>
      </c>
      <c r="R389" s="1" t="s">
        <v>265</v>
      </c>
      <c r="S389" s="1" t="s">
        <v>266</v>
      </c>
      <c r="T389" s="2" t="s">
        <v>267</v>
      </c>
      <c r="U389" s="1">
        <v>2</v>
      </c>
      <c r="V389" s="1" t="str">
        <f>VLOOKUP(Tabla35[[#This Row],[Municipio]],[1]CON_INE_2024!$H$5:$K$353,3,FALSE)</f>
        <v>Caudal-Aboño</v>
      </c>
      <c r="W389" s="1" t="s">
        <v>2358</v>
      </c>
      <c r="Y389" s="10">
        <v>45802</v>
      </c>
      <c r="Z389" s="1">
        <v>2025</v>
      </c>
      <c r="AA389" s="12">
        <v>145781.47</v>
      </c>
      <c r="AB389" s="2"/>
      <c r="AC389" s="12">
        <v>25511.759999999998</v>
      </c>
      <c r="AD389" s="1">
        <v>1</v>
      </c>
      <c r="AE389" s="1">
        <v>1</v>
      </c>
      <c r="AG389" s="1" t="s">
        <v>56</v>
      </c>
      <c r="AI389" s="13">
        <v>25511.759999999998</v>
      </c>
    </row>
    <row r="390" spans="1:35" ht="14.45" customHeight="1" x14ac:dyDescent="0.2">
      <c r="A390" s="1" t="s">
        <v>57</v>
      </c>
      <c r="B390" s="9" t="s">
        <v>38</v>
      </c>
      <c r="C390" s="1" t="s">
        <v>58</v>
      </c>
      <c r="D390" s="1" t="s">
        <v>59</v>
      </c>
      <c r="E390" s="1" t="s">
        <v>42</v>
      </c>
      <c r="F390" s="1" t="s">
        <v>165</v>
      </c>
      <c r="G390" s="1" t="s">
        <v>88</v>
      </c>
      <c r="H390" s="1" t="s">
        <v>166</v>
      </c>
      <c r="I390" s="1" t="s">
        <v>2359</v>
      </c>
      <c r="J390" s="1">
        <v>2023</v>
      </c>
      <c r="K390" s="1" t="s">
        <v>2327</v>
      </c>
      <c r="L390" s="1" t="s">
        <v>2327</v>
      </c>
      <c r="M390" s="1" t="s">
        <v>2360</v>
      </c>
      <c r="P390" s="1" t="s">
        <v>2361</v>
      </c>
      <c r="Q390" s="1" t="s">
        <v>264</v>
      </c>
      <c r="R390" s="1" t="s">
        <v>265</v>
      </c>
      <c r="S390" s="1" t="s">
        <v>275</v>
      </c>
      <c r="T390" s="1" t="s">
        <v>276</v>
      </c>
      <c r="U390" s="1">
        <v>2</v>
      </c>
      <c r="V390" s="1" t="s">
        <v>80</v>
      </c>
      <c r="W390" s="1" t="s">
        <v>2330</v>
      </c>
      <c r="Y390" s="10">
        <v>45802</v>
      </c>
      <c r="Z390" s="1">
        <v>2025</v>
      </c>
      <c r="AA390" s="12">
        <v>32475</v>
      </c>
      <c r="AB390" s="2"/>
      <c r="AC390" s="12">
        <v>5683.13</v>
      </c>
      <c r="AD390" s="1">
        <v>0</v>
      </c>
      <c r="AE390" s="1">
        <v>0</v>
      </c>
      <c r="AG390" s="1" t="s">
        <v>56</v>
      </c>
      <c r="AI390" s="13">
        <v>5683.13</v>
      </c>
    </row>
    <row r="391" spans="1:35" ht="14.45" customHeight="1" x14ac:dyDescent="0.2">
      <c r="A391" s="1" t="s">
        <v>57</v>
      </c>
      <c r="B391" s="9" t="s">
        <v>38</v>
      </c>
      <c r="C391" s="1" t="s">
        <v>58</v>
      </c>
      <c r="D391" s="1" t="s">
        <v>59</v>
      </c>
      <c r="E391" s="1" t="s">
        <v>42</v>
      </c>
      <c r="F391" s="1" t="s">
        <v>165</v>
      </c>
      <c r="G391" s="1" t="s">
        <v>88</v>
      </c>
      <c r="H391" s="1" t="s">
        <v>166</v>
      </c>
      <c r="I391" s="1" t="s">
        <v>2362</v>
      </c>
      <c r="J391" s="1">
        <v>2023</v>
      </c>
      <c r="K391" s="1" t="s">
        <v>2363</v>
      </c>
      <c r="L391" s="1" t="s">
        <v>2363</v>
      </c>
      <c r="M391" s="1" t="s">
        <v>2364</v>
      </c>
      <c r="P391" s="1" t="s">
        <v>2365</v>
      </c>
      <c r="Q391" s="1" t="s">
        <v>264</v>
      </c>
      <c r="R391" s="1" t="s">
        <v>265</v>
      </c>
      <c r="S391" s="1" t="s">
        <v>299</v>
      </c>
      <c r="T391" s="2" t="s">
        <v>300</v>
      </c>
      <c r="U391" s="1">
        <v>2</v>
      </c>
      <c r="V391" s="1" t="str">
        <f>VLOOKUP(Tabla35[[#This Row],[Municipio]],[1]CON_INE_2024!$H$5:$K$353,3,FALSE)</f>
        <v>Caudal-Aboño</v>
      </c>
      <c r="W391" s="1" t="s">
        <v>2366</v>
      </c>
      <c r="Y391" s="10">
        <v>45802</v>
      </c>
      <c r="Z391" s="1">
        <v>2025</v>
      </c>
      <c r="AA391" s="12">
        <v>31000</v>
      </c>
      <c r="AB391" s="2"/>
      <c r="AC391" s="12">
        <v>5425</v>
      </c>
      <c r="AD391" s="1">
        <v>2</v>
      </c>
      <c r="AE391" s="1">
        <v>0</v>
      </c>
      <c r="AG391" s="1" t="s">
        <v>56</v>
      </c>
      <c r="AI391" s="13">
        <v>5425</v>
      </c>
    </row>
    <row r="392" spans="1:35" ht="12.6" customHeight="1" x14ac:dyDescent="0.2">
      <c r="A392" s="1" t="s">
        <v>57</v>
      </c>
      <c r="B392" s="9" t="s">
        <v>38</v>
      </c>
      <c r="C392" s="1" t="s">
        <v>58</v>
      </c>
      <c r="D392" s="1" t="s">
        <v>59</v>
      </c>
      <c r="E392" s="1" t="s">
        <v>42</v>
      </c>
      <c r="F392" s="1" t="s">
        <v>165</v>
      </c>
      <c r="G392" s="1" t="s">
        <v>88</v>
      </c>
      <c r="H392" s="1" t="s">
        <v>166</v>
      </c>
      <c r="I392" s="1" t="s">
        <v>2367</v>
      </c>
      <c r="J392" s="1">
        <v>2023</v>
      </c>
      <c r="K392" s="1" t="s">
        <v>2368</v>
      </c>
      <c r="L392" s="1" t="s">
        <v>2368</v>
      </c>
      <c r="M392" s="1" t="s">
        <v>2369</v>
      </c>
      <c r="P392" s="1" t="s">
        <v>2370</v>
      </c>
      <c r="Q392" s="1" t="s">
        <v>264</v>
      </c>
      <c r="R392" s="1" t="s">
        <v>265</v>
      </c>
      <c r="S392" s="1" t="s">
        <v>350</v>
      </c>
      <c r="T392" s="2" t="s">
        <v>351</v>
      </c>
      <c r="U392" s="1">
        <v>1</v>
      </c>
      <c r="V392" s="1" t="s">
        <v>80</v>
      </c>
      <c r="W392" s="1" t="s">
        <v>2371</v>
      </c>
      <c r="Y392" s="10">
        <v>45802</v>
      </c>
      <c r="Z392" s="1">
        <v>2025</v>
      </c>
      <c r="AA392" s="12">
        <v>351741</v>
      </c>
      <c r="AB392" s="2"/>
      <c r="AC392" s="12">
        <v>115000</v>
      </c>
      <c r="AD392" s="1">
        <v>1</v>
      </c>
      <c r="AE392" s="1">
        <v>0</v>
      </c>
      <c r="AG392" s="1" t="s">
        <v>56</v>
      </c>
      <c r="AI392" s="13">
        <v>115000</v>
      </c>
    </row>
    <row r="393" spans="1:35" ht="12.6" customHeight="1" x14ac:dyDescent="0.2">
      <c r="A393" s="1" t="s">
        <v>57</v>
      </c>
      <c r="B393" s="9" t="s">
        <v>38</v>
      </c>
      <c r="C393" s="1" t="s">
        <v>58</v>
      </c>
      <c r="D393" s="1" t="s">
        <v>59</v>
      </c>
      <c r="E393" s="1" t="s">
        <v>42</v>
      </c>
      <c r="F393" s="1" t="s">
        <v>165</v>
      </c>
      <c r="G393" s="1" t="s">
        <v>88</v>
      </c>
      <c r="H393" s="1" t="s">
        <v>166</v>
      </c>
      <c r="I393" s="1" t="s">
        <v>2372</v>
      </c>
      <c r="J393" s="1">
        <v>2023</v>
      </c>
      <c r="K393" s="1" t="s">
        <v>2373</v>
      </c>
      <c r="L393" s="1" t="s">
        <v>2373</v>
      </c>
      <c r="M393" s="1" t="s">
        <v>1240</v>
      </c>
      <c r="P393" s="1" t="s">
        <v>2374</v>
      </c>
      <c r="Q393" s="1" t="s">
        <v>264</v>
      </c>
      <c r="R393" s="1" t="s">
        <v>265</v>
      </c>
      <c r="S393" s="1" t="s">
        <v>379</v>
      </c>
      <c r="T393" s="1" t="s">
        <v>380</v>
      </c>
      <c r="U393" s="1">
        <v>2</v>
      </c>
      <c r="V393" s="1" t="str">
        <f>VLOOKUP(Tabla35[[#This Row],[Municipio]],[1]CON_INE_2024!$H$5:$K$353,3,FALSE)</f>
        <v>Caudal-Aboño</v>
      </c>
      <c r="W393" s="1" t="s">
        <v>2375</v>
      </c>
      <c r="Y393" s="10">
        <v>45802</v>
      </c>
      <c r="Z393" s="1">
        <v>2025</v>
      </c>
      <c r="AA393" s="12">
        <v>433189.36</v>
      </c>
      <c r="AB393" s="2"/>
      <c r="AC393" s="12">
        <v>75808.14</v>
      </c>
      <c r="AD393" s="1">
        <v>1</v>
      </c>
      <c r="AE393" s="1">
        <v>1</v>
      </c>
      <c r="AG393" s="1" t="s">
        <v>56</v>
      </c>
      <c r="AI393" s="13">
        <v>75808.14</v>
      </c>
    </row>
    <row r="394" spans="1:35" ht="12.6" customHeight="1" x14ac:dyDescent="0.2">
      <c r="A394" s="1" t="s">
        <v>57</v>
      </c>
      <c r="B394" s="9" t="s">
        <v>38</v>
      </c>
      <c r="C394" s="1" t="s">
        <v>58</v>
      </c>
      <c r="D394" s="1" t="s">
        <v>59</v>
      </c>
      <c r="E394" s="1" t="s">
        <v>42</v>
      </c>
      <c r="F394" s="1" t="s">
        <v>165</v>
      </c>
      <c r="G394" s="1" t="s">
        <v>88</v>
      </c>
      <c r="H394" s="1" t="s">
        <v>166</v>
      </c>
      <c r="I394" s="1" t="s">
        <v>2376</v>
      </c>
      <c r="J394" s="1">
        <v>2023</v>
      </c>
      <c r="K394" s="1" t="s">
        <v>2377</v>
      </c>
      <c r="L394" s="1" t="s">
        <v>2377</v>
      </c>
      <c r="M394" s="1" t="s">
        <v>2378</v>
      </c>
      <c r="P394" s="1" t="s">
        <v>2379</v>
      </c>
      <c r="Q394" s="1" t="s">
        <v>264</v>
      </c>
      <c r="R394" s="1" t="s">
        <v>265</v>
      </c>
      <c r="S394" s="1" t="s">
        <v>350</v>
      </c>
      <c r="T394" s="2" t="s">
        <v>351</v>
      </c>
      <c r="U394" s="1">
        <v>1</v>
      </c>
      <c r="V394" s="1" t="s">
        <v>80</v>
      </c>
      <c r="W394" s="1" t="s">
        <v>2380</v>
      </c>
      <c r="Y394" s="10">
        <v>45802</v>
      </c>
      <c r="Z394" s="1">
        <v>2025</v>
      </c>
      <c r="AA394" s="12">
        <v>277943.89</v>
      </c>
      <c r="AB394" s="2"/>
      <c r="AC394" s="12">
        <v>97280.36</v>
      </c>
      <c r="AD394" s="1">
        <v>0</v>
      </c>
      <c r="AE394" s="1">
        <v>0</v>
      </c>
      <c r="AG394" s="1" t="s">
        <v>56</v>
      </c>
      <c r="AI394" s="13">
        <v>97280.36</v>
      </c>
    </row>
    <row r="395" spans="1:35" ht="12.6" customHeight="1" x14ac:dyDescent="0.2">
      <c r="A395" s="1" t="s">
        <v>57</v>
      </c>
      <c r="B395" s="9" t="s">
        <v>38</v>
      </c>
      <c r="C395" s="1" t="s">
        <v>58</v>
      </c>
      <c r="D395" s="1" t="s">
        <v>59</v>
      </c>
      <c r="E395" s="1" t="s">
        <v>42</v>
      </c>
      <c r="F395" s="1" t="s">
        <v>165</v>
      </c>
      <c r="G395" s="1" t="s">
        <v>88</v>
      </c>
      <c r="H395" s="1" t="s">
        <v>166</v>
      </c>
      <c r="I395" s="1" t="s">
        <v>2381</v>
      </c>
      <c r="J395" s="1">
        <v>2023</v>
      </c>
      <c r="K395" s="1" t="s">
        <v>2382</v>
      </c>
      <c r="L395" s="1" t="s">
        <v>2382</v>
      </c>
      <c r="M395" s="1" t="s">
        <v>2383</v>
      </c>
      <c r="P395" s="1" t="s">
        <v>934</v>
      </c>
      <c r="Q395" s="1" t="s">
        <v>264</v>
      </c>
      <c r="R395" s="1" t="s">
        <v>265</v>
      </c>
      <c r="S395" s="1" t="s">
        <v>935</v>
      </c>
      <c r="T395" s="2" t="s">
        <v>936</v>
      </c>
      <c r="U395" s="1">
        <v>1</v>
      </c>
      <c r="V395" s="1" t="s">
        <v>308</v>
      </c>
      <c r="W395" s="1" t="s">
        <v>2384</v>
      </c>
      <c r="Y395" s="10">
        <v>45802</v>
      </c>
      <c r="Z395" s="1">
        <v>2025</v>
      </c>
      <c r="AA395" s="12">
        <v>49800</v>
      </c>
      <c r="AB395" s="2"/>
      <c r="AC395" s="12">
        <v>17430</v>
      </c>
      <c r="AD395" s="1">
        <v>0</v>
      </c>
      <c r="AE395" s="1">
        <v>0</v>
      </c>
      <c r="AG395" s="1" t="s">
        <v>56</v>
      </c>
      <c r="AI395" s="13">
        <v>17430</v>
      </c>
    </row>
    <row r="396" spans="1:35" ht="12.6" customHeight="1" x14ac:dyDescent="0.2">
      <c r="A396" s="1" t="s">
        <v>57</v>
      </c>
      <c r="B396" s="9" t="s">
        <v>38</v>
      </c>
      <c r="C396" s="1" t="s">
        <v>58</v>
      </c>
      <c r="D396" s="1" t="s">
        <v>59</v>
      </c>
      <c r="E396" s="1" t="s">
        <v>42</v>
      </c>
      <c r="F396" s="1" t="s">
        <v>165</v>
      </c>
      <c r="G396" s="1" t="s">
        <v>88</v>
      </c>
      <c r="H396" s="1" t="s">
        <v>166</v>
      </c>
      <c r="I396" s="1" t="s">
        <v>2385</v>
      </c>
      <c r="J396" s="1">
        <v>2023</v>
      </c>
      <c r="K396" s="1" t="s">
        <v>2386</v>
      </c>
      <c r="L396" s="1" t="s">
        <v>2386</v>
      </c>
      <c r="M396" s="1" t="s">
        <v>1240</v>
      </c>
      <c r="P396" s="1" t="s">
        <v>2387</v>
      </c>
      <c r="Q396" s="1" t="s">
        <v>264</v>
      </c>
      <c r="R396" s="1" t="s">
        <v>265</v>
      </c>
      <c r="S396" s="1" t="s">
        <v>656</v>
      </c>
      <c r="T396" s="2" t="s">
        <v>657</v>
      </c>
      <c r="U396" s="1">
        <v>2</v>
      </c>
      <c r="V396" s="1" t="str">
        <f>VLOOKUP(Tabla35[[#This Row],[Municipio]],[1]CON_INE_2024!$H$5:$K$353,3,FALSE)</f>
        <v>Caudal-Aboño</v>
      </c>
      <c r="W396" s="1" t="s">
        <v>2388</v>
      </c>
      <c r="Y396" s="10">
        <v>45802</v>
      </c>
      <c r="Z396" s="1">
        <v>2025</v>
      </c>
      <c r="AA396" s="12">
        <v>123938.19</v>
      </c>
      <c r="AB396" s="2"/>
      <c r="AC396" s="12">
        <v>21689.18</v>
      </c>
      <c r="AD396" s="1">
        <v>1</v>
      </c>
      <c r="AE396" s="1">
        <v>0</v>
      </c>
      <c r="AG396" s="1" t="s">
        <v>56</v>
      </c>
      <c r="AI396" s="13">
        <v>21689.18</v>
      </c>
    </row>
    <row r="397" spans="1:35" ht="12.6" customHeight="1" x14ac:dyDescent="0.2">
      <c r="A397" s="1" t="s">
        <v>57</v>
      </c>
      <c r="B397" s="9" t="s">
        <v>38</v>
      </c>
      <c r="C397" s="1" t="s">
        <v>58</v>
      </c>
      <c r="D397" s="1" t="s">
        <v>59</v>
      </c>
      <c r="E397" s="1" t="s">
        <v>42</v>
      </c>
      <c r="F397" s="1" t="s">
        <v>165</v>
      </c>
      <c r="G397" s="1" t="s">
        <v>88</v>
      </c>
      <c r="H397" s="1" t="s">
        <v>166</v>
      </c>
      <c r="I397" s="1" t="s">
        <v>2389</v>
      </c>
      <c r="J397" s="1">
        <v>2023</v>
      </c>
      <c r="K397" s="1" t="s">
        <v>2390</v>
      </c>
      <c r="L397" s="1" t="s">
        <v>2390</v>
      </c>
      <c r="M397" s="1" t="s">
        <v>1240</v>
      </c>
      <c r="P397" s="1" t="s">
        <v>2391</v>
      </c>
      <c r="Q397" s="1" t="s">
        <v>264</v>
      </c>
      <c r="R397" s="1" t="s">
        <v>265</v>
      </c>
      <c r="S397" s="1" t="s">
        <v>275</v>
      </c>
      <c r="T397" s="2" t="s">
        <v>276</v>
      </c>
      <c r="U397" s="1">
        <v>2</v>
      </c>
      <c r="V397" s="1" t="s">
        <v>80</v>
      </c>
      <c r="W397" s="1" t="s">
        <v>2392</v>
      </c>
      <c r="Y397" s="10">
        <v>45802</v>
      </c>
      <c r="Z397" s="1">
        <v>2025</v>
      </c>
      <c r="AA397" s="12">
        <v>110532.15</v>
      </c>
      <c r="AB397" s="2"/>
      <c r="AC397" s="12">
        <v>19343.13</v>
      </c>
      <c r="AD397" s="1">
        <v>1</v>
      </c>
      <c r="AE397" s="1">
        <v>1</v>
      </c>
      <c r="AG397" s="1" t="s">
        <v>56</v>
      </c>
      <c r="AI397" s="13">
        <v>19343.13</v>
      </c>
    </row>
    <row r="398" spans="1:35" ht="12.6" customHeight="1" x14ac:dyDescent="0.2">
      <c r="A398" s="1" t="s">
        <v>57</v>
      </c>
      <c r="B398" s="9" t="s">
        <v>38</v>
      </c>
      <c r="C398" s="1" t="s">
        <v>58</v>
      </c>
      <c r="D398" s="1" t="s">
        <v>59</v>
      </c>
      <c r="E398" s="1" t="s">
        <v>42</v>
      </c>
      <c r="F398" s="1" t="s">
        <v>165</v>
      </c>
      <c r="G398" s="1" t="s">
        <v>88</v>
      </c>
      <c r="H398" s="1" t="s">
        <v>166</v>
      </c>
      <c r="I398" s="1" t="s">
        <v>2393</v>
      </c>
      <c r="J398" s="1">
        <v>2023</v>
      </c>
      <c r="K398" s="1" t="s">
        <v>2394</v>
      </c>
      <c r="L398" s="1" t="s">
        <v>2394</v>
      </c>
      <c r="M398" s="1" t="s">
        <v>2395</v>
      </c>
      <c r="P398" s="1" t="s">
        <v>2396</v>
      </c>
      <c r="Q398" s="1" t="s">
        <v>264</v>
      </c>
      <c r="R398" s="1" t="s">
        <v>265</v>
      </c>
      <c r="S398" s="1" t="s">
        <v>350</v>
      </c>
      <c r="T398" s="2" t="s">
        <v>351</v>
      </c>
      <c r="U398" s="1">
        <v>1</v>
      </c>
      <c r="V398" s="1" t="s">
        <v>80</v>
      </c>
      <c r="W398" s="1" t="s">
        <v>2397</v>
      </c>
      <c r="Y398" s="10">
        <v>45802</v>
      </c>
      <c r="Z398" s="1">
        <v>2025</v>
      </c>
      <c r="AA398" s="27">
        <v>227031.5</v>
      </c>
      <c r="AB398" s="2"/>
      <c r="AC398" s="27">
        <v>56757.88</v>
      </c>
      <c r="AD398" s="1">
        <v>2</v>
      </c>
      <c r="AE398" s="1">
        <v>1</v>
      </c>
      <c r="AG398" s="1" t="s">
        <v>56</v>
      </c>
      <c r="AI398" s="28">
        <v>56757.88</v>
      </c>
    </row>
    <row r="399" spans="1:35" ht="12.6" customHeight="1" x14ac:dyDescent="0.2">
      <c r="A399" s="1" t="s">
        <v>57</v>
      </c>
      <c r="B399" s="9" t="s">
        <v>38</v>
      </c>
      <c r="C399" s="1" t="s">
        <v>58</v>
      </c>
      <c r="D399" s="1" t="s">
        <v>59</v>
      </c>
      <c r="E399" s="1" t="s">
        <v>42</v>
      </c>
      <c r="F399" s="1" t="s">
        <v>165</v>
      </c>
      <c r="G399" s="1" t="s">
        <v>88</v>
      </c>
      <c r="H399" s="1" t="s">
        <v>166</v>
      </c>
      <c r="I399" s="1" t="s">
        <v>2398</v>
      </c>
      <c r="J399" s="1">
        <v>2023</v>
      </c>
      <c r="K399" s="1" t="s">
        <v>2399</v>
      </c>
      <c r="L399" s="1" t="s">
        <v>2399</v>
      </c>
      <c r="M399" s="1" t="s">
        <v>2400</v>
      </c>
      <c r="P399" s="1" t="s">
        <v>2401</v>
      </c>
      <c r="Q399" s="1" t="s">
        <v>264</v>
      </c>
      <c r="R399" s="1" t="s">
        <v>265</v>
      </c>
      <c r="S399" s="1" t="s">
        <v>275</v>
      </c>
      <c r="T399" s="2" t="s">
        <v>276</v>
      </c>
      <c r="U399" s="1">
        <v>2</v>
      </c>
      <c r="V399" s="1" t="s">
        <v>80</v>
      </c>
      <c r="W399" s="1" t="s">
        <v>2402</v>
      </c>
      <c r="Y399" s="10">
        <v>45802</v>
      </c>
      <c r="Z399" s="1">
        <v>2025</v>
      </c>
      <c r="AA399" s="12">
        <v>91140</v>
      </c>
      <c r="AB399" s="2"/>
      <c r="AC399" s="12">
        <v>15949.5</v>
      </c>
      <c r="AD399" s="1">
        <v>3</v>
      </c>
      <c r="AE399" s="1">
        <v>2</v>
      </c>
      <c r="AG399" s="1" t="s">
        <v>56</v>
      </c>
      <c r="AI399" s="13">
        <v>15949.5</v>
      </c>
    </row>
    <row r="400" spans="1:35" ht="12.6" customHeight="1" x14ac:dyDescent="0.2">
      <c r="A400" s="1" t="s">
        <v>57</v>
      </c>
      <c r="B400" s="9" t="s">
        <v>38</v>
      </c>
      <c r="C400" s="1" t="s">
        <v>58</v>
      </c>
      <c r="D400" s="1" t="s">
        <v>59</v>
      </c>
      <c r="E400" s="1" t="s">
        <v>42</v>
      </c>
      <c r="F400" s="1" t="s">
        <v>165</v>
      </c>
      <c r="G400" s="1" t="s">
        <v>88</v>
      </c>
      <c r="H400" s="1" t="s">
        <v>166</v>
      </c>
      <c r="I400" s="1" t="s">
        <v>2403</v>
      </c>
      <c r="J400" s="1">
        <v>2023</v>
      </c>
      <c r="K400" s="1" t="s">
        <v>2404</v>
      </c>
      <c r="L400" s="1" t="s">
        <v>2404</v>
      </c>
      <c r="M400" s="1" t="s">
        <v>2405</v>
      </c>
      <c r="P400" s="1" t="s">
        <v>2406</v>
      </c>
      <c r="Q400" s="1" t="s">
        <v>264</v>
      </c>
      <c r="R400" s="1" t="s">
        <v>265</v>
      </c>
      <c r="S400" s="1" t="s">
        <v>266</v>
      </c>
      <c r="T400" s="1" t="s">
        <v>267</v>
      </c>
      <c r="U400" s="1">
        <v>2</v>
      </c>
      <c r="V400" s="1" t="str">
        <f>VLOOKUP(Tabla35[[#This Row],[Municipio]],[1]CON_INE_2024!$H$5:$K$353,3,FALSE)</f>
        <v>Caudal-Aboño</v>
      </c>
      <c r="W400" s="1" t="s">
        <v>2407</v>
      </c>
      <c r="Y400" s="10">
        <v>45802</v>
      </c>
      <c r="Z400" s="1">
        <v>2025</v>
      </c>
      <c r="AA400" s="12">
        <v>99144.8</v>
      </c>
      <c r="AB400" s="2"/>
      <c r="AC400" s="12">
        <v>12393.1</v>
      </c>
      <c r="AD400" s="1">
        <v>0</v>
      </c>
      <c r="AE400" s="1">
        <v>0</v>
      </c>
      <c r="AG400" s="1" t="s">
        <v>56</v>
      </c>
      <c r="AI400" s="13">
        <v>12393.1</v>
      </c>
    </row>
    <row r="401" spans="1:35" ht="12.6" customHeight="1" x14ac:dyDescent="0.2">
      <c r="A401" s="1" t="s">
        <v>57</v>
      </c>
      <c r="B401" s="9" t="s">
        <v>38</v>
      </c>
      <c r="C401" s="1" t="s">
        <v>58</v>
      </c>
      <c r="D401" s="1" t="s">
        <v>59</v>
      </c>
      <c r="E401" s="1" t="s">
        <v>42</v>
      </c>
      <c r="F401" s="1" t="s">
        <v>165</v>
      </c>
      <c r="G401" s="1" t="s">
        <v>88</v>
      </c>
      <c r="H401" s="1" t="s">
        <v>166</v>
      </c>
      <c r="I401" s="1" t="s">
        <v>2408</v>
      </c>
      <c r="J401" s="1">
        <v>2023</v>
      </c>
      <c r="K401" s="1" t="s">
        <v>2409</v>
      </c>
      <c r="L401" s="1" t="s">
        <v>2409</v>
      </c>
      <c r="M401" s="1" t="s">
        <v>2410</v>
      </c>
      <c r="P401" s="1" t="s">
        <v>2411</v>
      </c>
      <c r="Q401" s="1" t="s">
        <v>264</v>
      </c>
      <c r="R401" s="1" t="s">
        <v>265</v>
      </c>
      <c r="S401" s="1" t="s">
        <v>533</v>
      </c>
      <c r="T401" s="2" t="s">
        <v>534</v>
      </c>
      <c r="U401" s="1">
        <v>1</v>
      </c>
      <c r="V401" s="1" t="str">
        <f>VLOOKUP(Tabla35[[#This Row],[Municipio]],[1]CON_INE_2024!$H$5:$K$353,3,FALSE)</f>
        <v>Nalón</v>
      </c>
      <c r="W401" s="1" t="s">
        <v>2412</v>
      </c>
      <c r="Y401" s="10">
        <v>45802</v>
      </c>
      <c r="Z401" s="1">
        <v>2025</v>
      </c>
      <c r="AA401" s="12">
        <v>63868</v>
      </c>
      <c r="AB401" s="2"/>
      <c r="AC401" s="12">
        <v>22353.8</v>
      </c>
      <c r="AD401" s="1">
        <v>0</v>
      </c>
      <c r="AE401" s="1">
        <v>0</v>
      </c>
      <c r="AG401" s="1" t="s">
        <v>56</v>
      </c>
      <c r="AI401" s="13">
        <v>22353.8</v>
      </c>
    </row>
    <row r="402" spans="1:35" ht="12.6" customHeight="1" x14ac:dyDescent="0.2">
      <c r="A402" s="1" t="s">
        <v>57</v>
      </c>
      <c r="B402" s="9" t="s">
        <v>38</v>
      </c>
      <c r="C402" s="1" t="s">
        <v>58</v>
      </c>
      <c r="D402" s="1" t="s">
        <v>59</v>
      </c>
      <c r="E402" s="1" t="s">
        <v>42</v>
      </c>
      <c r="F402" s="1" t="s">
        <v>165</v>
      </c>
      <c r="G402" s="1" t="s">
        <v>88</v>
      </c>
      <c r="H402" s="1" t="s">
        <v>166</v>
      </c>
      <c r="I402" s="1" t="s">
        <v>2413</v>
      </c>
      <c r="J402" s="1">
        <v>2023</v>
      </c>
      <c r="K402" s="1" t="s">
        <v>2414</v>
      </c>
      <c r="L402" s="1" t="s">
        <v>2414</v>
      </c>
      <c r="M402" s="1" t="s">
        <v>2415</v>
      </c>
      <c r="P402" s="1" t="s">
        <v>2416</v>
      </c>
      <c r="Q402" s="1" t="s">
        <v>264</v>
      </c>
      <c r="R402" s="1" t="s">
        <v>265</v>
      </c>
      <c r="S402" s="1" t="s">
        <v>379</v>
      </c>
      <c r="T402" s="2" t="s">
        <v>380</v>
      </c>
      <c r="U402" s="1">
        <v>2</v>
      </c>
      <c r="V402" s="1" t="str">
        <f>VLOOKUP(Tabla35[[#This Row],[Municipio]],[1]CON_INE_2024!$H$5:$K$353,3,FALSE)</f>
        <v>Caudal-Aboño</v>
      </c>
      <c r="W402" s="1" t="s">
        <v>2417</v>
      </c>
      <c r="Y402" s="10">
        <v>45802</v>
      </c>
      <c r="Z402" s="1">
        <v>2025</v>
      </c>
      <c r="AA402" s="12">
        <v>436644.86</v>
      </c>
      <c r="AB402" s="2"/>
      <c r="AC402" s="12">
        <v>54580.61</v>
      </c>
      <c r="AD402" s="1">
        <v>3</v>
      </c>
      <c r="AE402" s="1">
        <v>0</v>
      </c>
      <c r="AG402" s="1" t="s">
        <v>56</v>
      </c>
      <c r="AI402" s="13">
        <v>54580.61</v>
      </c>
    </row>
    <row r="403" spans="1:35" ht="12.6" customHeight="1" x14ac:dyDescent="0.2">
      <c r="A403" s="1" t="s">
        <v>57</v>
      </c>
      <c r="B403" s="9" t="s">
        <v>38</v>
      </c>
      <c r="C403" s="1" t="s">
        <v>58</v>
      </c>
      <c r="D403" s="1" t="s">
        <v>59</v>
      </c>
      <c r="E403" s="1" t="s">
        <v>42</v>
      </c>
      <c r="F403" s="1" t="s">
        <v>165</v>
      </c>
      <c r="G403" s="1" t="s">
        <v>88</v>
      </c>
      <c r="H403" s="1" t="s">
        <v>166</v>
      </c>
      <c r="I403" s="1" t="s">
        <v>2418</v>
      </c>
      <c r="J403" s="1">
        <v>2023</v>
      </c>
      <c r="K403" s="1" t="s">
        <v>2419</v>
      </c>
      <c r="L403" s="1" t="s">
        <v>2419</v>
      </c>
      <c r="M403" s="1" t="s">
        <v>2420</v>
      </c>
      <c r="P403" s="1" t="s">
        <v>2421</v>
      </c>
      <c r="Q403" s="1" t="s">
        <v>264</v>
      </c>
      <c r="R403" s="1" t="s">
        <v>265</v>
      </c>
      <c r="S403" s="1" t="s">
        <v>350</v>
      </c>
      <c r="T403" s="1" t="s">
        <v>351</v>
      </c>
      <c r="U403" s="1">
        <v>1</v>
      </c>
      <c r="V403" s="1" t="s">
        <v>80</v>
      </c>
      <c r="W403" s="1" t="s">
        <v>2422</v>
      </c>
      <c r="Y403" s="10">
        <v>45802</v>
      </c>
      <c r="Z403" s="1">
        <v>2025</v>
      </c>
      <c r="AA403" s="12">
        <v>415800</v>
      </c>
      <c r="AB403" s="2"/>
      <c r="AC403" s="12">
        <v>62370</v>
      </c>
      <c r="AD403" s="1">
        <v>0</v>
      </c>
      <c r="AE403" s="1">
        <v>0</v>
      </c>
      <c r="AG403" s="1" t="s">
        <v>56</v>
      </c>
      <c r="AI403" s="13">
        <v>62370</v>
      </c>
    </row>
    <row r="404" spans="1:35" ht="12.6" customHeight="1" x14ac:dyDescent="0.2">
      <c r="A404" s="1" t="s">
        <v>57</v>
      </c>
      <c r="B404" s="9" t="s">
        <v>38</v>
      </c>
      <c r="C404" s="1" t="s">
        <v>58</v>
      </c>
      <c r="D404" s="1" t="s">
        <v>59</v>
      </c>
      <c r="E404" s="1" t="s">
        <v>42</v>
      </c>
      <c r="F404" s="1" t="s">
        <v>165</v>
      </c>
      <c r="G404" s="1" t="s">
        <v>88</v>
      </c>
      <c r="H404" s="1" t="s">
        <v>166</v>
      </c>
      <c r="I404" s="1" t="s">
        <v>2423</v>
      </c>
      <c r="J404" s="1">
        <v>2023</v>
      </c>
      <c r="K404" s="1" t="s">
        <v>2304</v>
      </c>
      <c r="L404" s="1" t="s">
        <v>2304</v>
      </c>
      <c r="M404" s="1" t="s">
        <v>2424</v>
      </c>
      <c r="P404" s="1" t="s">
        <v>2425</v>
      </c>
      <c r="Q404" s="1" t="s">
        <v>264</v>
      </c>
      <c r="R404" s="1" t="s">
        <v>265</v>
      </c>
      <c r="S404" s="1" t="s">
        <v>533</v>
      </c>
      <c r="T404" s="2" t="s">
        <v>534</v>
      </c>
      <c r="U404" s="1">
        <v>1</v>
      </c>
      <c r="V404" s="1" t="str">
        <f>VLOOKUP(Tabla35[[#This Row],[Municipio]],[1]CON_INE_2024!$H$5:$K$353,3,FALSE)</f>
        <v>Nalón</v>
      </c>
      <c r="W404" s="1" t="s">
        <v>2307</v>
      </c>
      <c r="Y404" s="10">
        <v>45802</v>
      </c>
      <c r="Z404" s="1">
        <v>2025</v>
      </c>
      <c r="AA404" s="12">
        <v>302438.34000000003</v>
      </c>
      <c r="AB404" s="2"/>
      <c r="AC404" s="12">
        <v>75609.59</v>
      </c>
      <c r="AD404" s="1">
        <v>5</v>
      </c>
      <c r="AE404" s="1">
        <v>0</v>
      </c>
      <c r="AG404" s="1" t="s">
        <v>56</v>
      </c>
      <c r="AI404" s="13">
        <v>75609.59</v>
      </c>
    </row>
    <row r="405" spans="1:35" ht="12.6" customHeight="1" x14ac:dyDescent="0.2">
      <c r="A405" s="1" t="s">
        <v>57</v>
      </c>
      <c r="B405" s="9" t="s">
        <v>38</v>
      </c>
      <c r="C405" s="1" t="s">
        <v>58</v>
      </c>
      <c r="D405" s="1" t="s">
        <v>59</v>
      </c>
      <c r="E405" s="1" t="s">
        <v>42</v>
      </c>
      <c r="F405" s="1" t="s">
        <v>165</v>
      </c>
      <c r="G405" s="1" t="s">
        <v>88</v>
      </c>
      <c r="H405" s="1" t="s">
        <v>166</v>
      </c>
      <c r="I405" s="1" t="s">
        <v>2426</v>
      </c>
      <c r="J405" s="1">
        <v>2023</v>
      </c>
      <c r="K405" s="1" t="s">
        <v>2427</v>
      </c>
      <c r="L405" s="1" t="s">
        <v>2427</v>
      </c>
      <c r="M405" s="1" t="s">
        <v>2428</v>
      </c>
      <c r="P405" s="1" t="s">
        <v>2429</v>
      </c>
      <c r="Q405" s="1" t="s">
        <v>264</v>
      </c>
      <c r="R405" s="1" t="s">
        <v>265</v>
      </c>
      <c r="S405" s="1" t="s">
        <v>2430</v>
      </c>
      <c r="T405" s="2" t="s">
        <v>2431</v>
      </c>
      <c r="U405" s="1">
        <v>2</v>
      </c>
      <c r="V405" s="1" t="s">
        <v>80</v>
      </c>
      <c r="W405" s="1" t="s">
        <v>2432</v>
      </c>
      <c r="Y405" s="10">
        <v>45802</v>
      </c>
      <c r="Z405" s="1">
        <v>2025</v>
      </c>
      <c r="AA405" s="12">
        <v>129597.1</v>
      </c>
      <c r="AB405" s="2"/>
      <c r="AC405" s="12">
        <v>16199.64</v>
      </c>
      <c r="AD405" s="1">
        <v>1</v>
      </c>
      <c r="AE405" s="1">
        <v>0</v>
      </c>
      <c r="AG405" s="1" t="s">
        <v>56</v>
      </c>
      <c r="AI405" s="13">
        <v>16199.64</v>
      </c>
    </row>
    <row r="406" spans="1:35" ht="12.6" customHeight="1" x14ac:dyDescent="0.2">
      <c r="A406" s="1" t="s">
        <v>57</v>
      </c>
      <c r="B406" s="9" t="s">
        <v>38</v>
      </c>
      <c r="C406" s="1" t="s">
        <v>58</v>
      </c>
      <c r="D406" s="1" t="s">
        <v>59</v>
      </c>
      <c r="E406" s="1" t="s">
        <v>42</v>
      </c>
      <c r="F406" s="1" t="s">
        <v>165</v>
      </c>
      <c r="G406" s="1" t="s">
        <v>88</v>
      </c>
      <c r="H406" s="1" t="s">
        <v>166</v>
      </c>
      <c r="I406" s="1" t="s">
        <v>2433</v>
      </c>
      <c r="J406" s="1">
        <v>2023</v>
      </c>
      <c r="K406" s="1" t="s">
        <v>2434</v>
      </c>
      <c r="L406" s="1" t="s">
        <v>2434</v>
      </c>
      <c r="M406" s="1" t="s">
        <v>2435</v>
      </c>
      <c r="P406" s="1" t="s">
        <v>716</v>
      </c>
      <c r="Q406" s="1" t="s">
        <v>264</v>
      </c>
      <c r="R406" s="1" t="s">
        <v>265</v>
      </c>
      <c r="S406" s="1" t="s">
        <v>717</v>
      </c>
      <c r="T406" s="2" t="s">
        <v>718</v>
      </c>
      <c r="U406" s="1">
        <v>1</v>
      </c>
      <c r="V406" s="1" t="str">
        <f>VLOOKUP(Tabla35[[#This Row],[Municipio]],[1]CON_INE_2024!$H$5:$K$353,3,FALSE)</f>
        <v>Nalón</v>
      </c>
      <c r="W406" s="1" t="s">
        <v>2436</v>
      </c>
      <c r="Y406" s="10">
        <v>45802</v>
      </c>
      <c r="Z406" s="1">
        <v>2025</v>
      </c>
      <c r="AA406" s="12">
        <v>421000</v>
      </c>
      <c r="AB406" s="2"/>
      <c r="AC406" s="12">
        <v>105250</v>
      </c>
      <c r="AD406" s="1">
        <v>4</v>
      </c>
      <c r="AE406" s="1">
        <v>0</v>
      </c>
      <c r="AG406" s="1" t="s">
        <v>56</v>
      </c>
      <c r="AI406" s="13">
        <v>105250</v>
      </c>
    </row>
    <row r="407" spans="1:35" ht="12.6" customHeight="1" x14ac:dyDescent="0.2">
      <c r="A407" s="1" t="s">
        <v>57</v>
      </c>
      <c r="B407" s="9" t="s">
        <v>38</v>
      </c>
      <c r="C407" s="1" t="s">
        <v>58</v>
      </c>
      <c r="D407" s="1" t="s">
        <v>59</v>
      </c>
      <c r="E407" s="1" t="s">
        <v>42</v>
      </c>
      <c r="F407" s="1" t="s">
        <v>165</v>
      </c>
      <c r="G407" s="1" t="s">
        <v>88</v>
      </c>
      <c r="H407" s="1" t="s">
        <v>166</v>
      </c>
      <c r="I407" s="1" t="s">
        <v>2437</v>
      </c>
      <c r="J407" s="1">
        <v>2023</v>
      </c>
      <c r="K407" s="1" t="s">
        <v>2327</v>
      </c>
      <c r="L407" s="1" t="s">
        <v>2327</v>
      </c>
      <c r="M407" s="1" t="s">
        <v>1240</v>
      </c>
      <c r="P407" s="1" t="s">
        <v>2438</v>
      </c>
      <c r="Q407" s="1" t="s">
        <v>264</v>
      </c>
      <c r="R407" s="1" t="s">
        <v>265</v>
      </c>
      <c r="S407" s="1" t="s">
        <v>350</v>
      </c>
      <c r="T407" s="2" t="s">
        <v>351</v>
      </c>
      <c r="U407" s="1">
        <v>1</v>
      </c>
      <c r="V407" s="1" t="s">
        <v>80</v>
      </c>
      <c r="W407" s="1" t="s">
        <v>2330</v>
      </c>
      <c r="Y407" s="10">
        <v>45802</v>
      </c>
      <c r="Z407" s="1">
        <v>2025</v>
      </c>
      <c r="AA407" s="12">
        <v>79245.2</v>
      </c>
      <c r="AB407" s="2"/>
      <c r="AC407" s="12">
        <v>27735.82</v>
      </c>
      <c r="AD407" s="1">
        <v>1.5</v>
      </c>
      <c r="AE407" s="1">
        <v>1</v>
      </c>
      <c r="AG407" s="1" t="s">
        <v>56</v>
      </c>
      <c r="AI407" s="13">
        <v>27735.82</v>
      </c>
    </row>
    <row r="408" spans="1:35" ht="12.6" customHeight="1" x14ac:dyDescent="0.2">
      <c r="A408" s="1" t="s">
        <v>57</v>
      </c>
      <c r="B408" s="9" t="s">
        <v>38</v>
      </c>
      <c r="C408" s="1" t="s">
        <v>58</v>
      </c>
      <c r="D408" s="1" t="s">
        <v>59</v>
      </c>
      <c r="E408" s="1" t="s">
        <v>42</v>
      </c>
      <c r="F408" s="1" t="s">
        <v>165</v>
      </c>
      <c r="G408" s="1" t="s">
        <v>88</v>
      </c>
      <c r="H408" s="1" t="s">
        <v>166</v>
      </c>
      <c r="I408" s="1" t="s">
        <v>2439</v>
      </c>
      <c r="J408" s="1">
        <v>2023</v>
      </c>
      <c r="K408" s="1" t="s">
        <v>2440</v>
      </c>
      <c r="L408" s="1" t="s">
        <v>2440</v>
      </c>
      <c r="M408" s="1" t="s">
        <v>2441</v>
      </c>
      <c r="P408" s="1" t="s">
        <v>2442</v>
      </c>
      <c r="Q408" s="1" t="s">
        <v>264</v>
      </c>
      <c r="R408" s="1" t="s">
        <v>265</v>
      </c>
      <c r="S408" s="1" t="s">
        <v>266</v>
      </c>
      <c r="T408" s="2" t="s">
        <v>267</v>
      </c>
      <c r="U408" s="1">
        <v>2</v>
      </c>
      <c r="V408" s="1" t="str">
        <f>VLOOKUP(Tabla35[[#This Row],[Municipio]],[1]CON_INE_2024!$H$5:$K$353,3,FALSE)</f>
        <v>Caudal-Aboño</v>
      </c>
      <c r="W408" s="1" t="s">
        <v>2443</v>
      </c>
      <c r="Y408" s="10">
        <v>45802</v>
      </c>
      <c r="Z408" s="1">
        <v>2025</v>
      </c>
      <c r="AA408" s="12">
        <v>214461.96</v>
      </c>
      <c r="AB408" s="2"/>
      <c r="AC408" s="12">
        <v>37530.839999999997</v>
      </c>
      <c r="AD408" s="1">
        <v>2</v>
      </c>
      <c r="AE408" s="1">
        <v>1</v>
      </c>
      <c r="AG408" s="1" t="s">
        <v>56</v>
      </c>
      <c r="AI408" s="13">
        <v>37530.839999999997</v>
      </c>
    </row>
    <row r="409" spans="1:35" ht="12.6" customHeight="1" x14ac:dyDescent="0.2">
      <c r="A409" s="1" t="s">
        <v>57</v>
      </c>
      <c r="B409" s="9" t="s">
        <v>38</v>
      </c>
      <c r="C409" s="1" t="s">
        <v>58</v>
      </c>
      <c r="D409" s="1" t="s">
        <v>59</v>
      </c>
      <c r="E409" s="1" t="s">
        <v>42</v>
      </c>
      <c r="F409" s="1" t="s">
        <v>165</v>
      </c>
      <c r="G409" s="1" t="s">
        <v>88</v>
      </c>
      <c r="H409" s="1" t="s">
        <v>166</v>
      </c>
      <c r="I409" s="1" t="s">
        <v>2444</v>
      </c>
      <c r="J409" s="1">
        <v>2023</v>
      </c>
      <c r="K409" s="1" t="s">
        <v>2445</v>
      </c>
      <c r="L409" s="1" t="s">
        <v>2445</v>
      </c>
      <c r="M409" s="1" t="s">
        <v>2446</v>
      </c>
      <c r="P409" s="1" t="s">
        <v>2447</v>
      </c>
      <c r="Q409" s="1" t="s">
        <v>264</v>
      </c>
      <c r="R409" s="1" t="s">
        <v>265</v>
      </c>
      <c r="S409" s="1" t="s">
        <v>784</v>
      </c>
      <c r="T409" s="2" t="s">
        <v>785</v>
      </c>
      <c r="U409" s="1">
        <v>2</v>
      </c>
      <c r="V409" s="1" t="s">
        <v>80</v>
      </c>
      <c r="W409" s="1" t="s">
        <v>2448</v>
      </c>
      <c r="Y409" s="10">
        <v>45802</v>
      </c>
      <c r="Z409" s="1">
        <v>2025</v>
      </c>
      <c r="AA409" s="12">
        <v>442478</v>
      </c>
      <c r="AB409" s="2"/>
      <c r="AC409" s="12">
        <v>77433.649999999994</v>
      </c>
      <c r="AD409" s="1">
        <v>1</v>
      </c>
      <c r="AE409" s="1">
        <v>0</v>
      </c>
      <c r="AG409" s="1" t="s">
        <v>56</v>
      </c>
      <c r="AI409" s="13">
        <v>77433.649999999994</v>
      </c>
    </row>
    <row r="410" spans="1:35" ht="12.6" customHeight="1" x14ac:dyDescent="0.2">
      <c r="A410" s="1" t="s">
        <v>57</v>
      </c>
      <c r="B410" s="9" t="s">
        <v>38</v>
      </c>
      <c r="C410" s="1" t="s">
        <v>58</v>
      </c>
      <c r="D410" s="1" t="s">
        <v>59</v>
      </c>
      <c r="E410" s="1" t="s">
        <v>42</v>
      </c>
      <c r="F410" s="1" t="s">
        <v>165</v>
      </c>
      <c r="G410" s="1" t="s">
        <v>88</v>
      </c>
      <c r="H410" s="1" t="s">
        <v>166</v>
      </c>
      <c r="I410" s="1" t="s">
        <v>2449</v>
      </c>
      <c r="J410" s="1">
        <v>2023</v>
      </c>
      <c r="K410" s="1" t="s">
        <v>2450</v>
      </c>
      <c r="L410" s="1" t="s">
        <v>2450</v>
      </c>
      <c r="M410" s="1" t="s">
        <v>1240</v>
      </c>
      <c r="P410" s="1" t="s">
        <v>2451</v>
      </c>
      <c r="Q410" s="1" t="s">
        <v>264</v>
      </c>
      <c r="R410" s="1" t="s">
        <v>265</v>
      </c>
      <c r="S410" s="1" t="s">
        <v>450</v>
      </c>
      <c r="T410" s="1" t="s">
        <v>451</v>
      </c>
      <c r="U410" s="1">
        <v>2</v>
      </c>
      <c r="V410" s="1" t="s">
        <v>80</v>
      </c>
      <c r="W410" s="1" t="s">
        <v>2452</v>
      </c>
      <c r="Y410" s="10">
        <v>45802</v>
      </c>
      <c r="Z410" s="1">
        <v>2025</v>
      </c>
      <c r="AA410" s="12">
        <v>416400.4</v>
      </c>
      <c r="AB410" s="2"/>
      <c r="AC410" s="12">
        <v>52050.05</v>
      </c>
      <c r="AD410" s="1">
        <v>3</v>
      </c>
      <c r="AE410" s="1">
        <v>0</v>
      </c>
      <c r="AG410" s="1" t="s">
        <v>56</v>
      </c>
      <c r="AI410" s="13">
        <v>52050.05</v>
      </c>
    </row>
    <row r="411" spans="1:35" ht="12.6" customHeight="1" x14ac:dyDescent="0.2">
      <c r="A411" s="1" t="s">
        <v>57</v>
      </c>
      <c r="B411" s="9" t="s">
        <v>38</v>
      </c>
      <c r="C411" s="1" t="s">
        <v>58</v>
      </c>
      <c r="D411" s="1" t="s">
        <v>59</v>
      </c>
      <c r="E411" s="1" t="s">
        <v>42</v>
      </c>
      <c r="F411" s="1" t="s">
        <v>165</v>
      </c>
      <c r="G411" s="1" t="s">
        <v>88</v>
      </c>
      <c r="H411" s="1" t="s">
        <v>166</v>
      </c>
      <c r="I411" s="1" t="s">
        <v>2453</v>
      </c>
      <c r="J411" s="1">
        <v>2023</v>
      </c>
      <c r="K411" s="1" t="s">
        <v>2454</v>
      </c>
      <c r="L411" s="1" t="s">
        <v>2454</v>
      </c>
      <c r="M411" s="1" t="s">
        <v>1240</v>
      </c>
      <c r="P411" s="1" t="s">
        <v>2455</v>
      </c>
      <c r="Q411" s="1" t="s">
        <v>264</v>
      </c>
      <c r="R411" s="1" t="s">
        <v>265</v>
      </c>
      <c r="S411" s="1" t="s">
        <v>656</v>
      </c>
      <c r="T411" s="2" t="s">
        <v>657</v>
      </c>
      <c r="U411" s="1">
        <v>2</v>
      </c>
      <c r="V411" s="1" t="str">
        <f>VLOOKUP(Tabla35[[#This Row],[Municipio]],[1]CON_INE_2024!$H$5:$K$353,3,FALSE)</f>
        <v>Caudal-Aboño</v>
      </c>
      <c r="W411" s="1" t="s">
        <v>2456</v>
      </c>
      <c r="Y411" s="10">
        <v>45802</v>
      </c>
      <c r="Z411" s="1">
        <v>2025</v>
      </c>
      <c r="AA411" s="12">
        <v>180972.59</v>
      </c>
      <c r="AB411" s="2"/>
      <c r="AC411" s="12">
        <v>31670.2</v>
      </c>
      <c r="AD411" s="1">
        <v>2</v>
      </c>
      <c r="AE411" s="1">
        <v>0</v>
      </c>
      <c r="AG411" s="1" t="s">
        <v>56</v>
      </c>
      <c r="AI411" s="13">
        <v>31670.2</v>
      </c>
    </row>
    <row r="412" spans="1:35" ht="12.6" customHeight="1" x14ac:dyDescent="0.2">
      <c r="A412" s="1" t="s">
        <v>57</v>
      </c>
      <c r="B412" s="9" t="s">
        <v>38</v>
      </c>
      <c r="C412" s="1" t="s">
        <v>58</v>
      </c>
      <c r="D412" s="1" t="s">
        <v>59</v>
      </c>
      <c r="E412" s="1" t="s">
        <v>42</v>
      </c>
      <c r="F412" s="1" t="s">
        <v>165</v>
      </c>
      <c r="G412" s="1" t="s">
        <v>88</v>
      </c>
      <c r="H412" s="1" t="s">
        <v>166</v>
      </c>
      <c r="I412" s="1" t="s">
        <v>2457</v>
      </c>
      <c r="J412" s="1">
        <v>2023</v>
      </c>
      <c r="K412" s="1" t="s">
        <v>2458</v>
      </c>
      <c r="L412" s="1" t="s">
        <v>2458</v>
      </c>
      <c r="M412" s="1" t="s">
        <v>2459</v>
      </c>
      <c r="P412" s="1" t="s">
        <v>2460</v>
      </c>
      <c r="Q412" s="1" t="s">
        <v>264</v>
      </c>
      <c r="R412" s="1" t="s">
        <v>265</v>
      </c>
      <c r="S412" s="1" t="s">
        <v>275</v>
      </c>
      <c r="T412" s="1" t="s">
        <v>276</v>
      </c>
      <c r="U412" s="1">
        <v>2</v>
      </c>
      <c r="V412" s="1" t="s">
        <v>80</v>
      </c>
      <c r="W412" s="1" t="s">
        <v>2461</v>
      </c>
      <c r="Y412" s="10">
        <v>45802</v>
      </c>
      <c r="Z412" s="1">
        <v>2025</v>
      </c>
      <c r="AA412" s="12">
        <v>498796</v>
      </c>
      <c r="AB412" s="2"/>
      <c r="AC412" s="12">
        <v>37409.699999999997</v>
      </c>
      <c r="AD412" s="1">
        <v>0</v>
      </c>
      <c r="AE412" s="1">
        <v>0</v>
      </c>
      <c r="AG412" s="1" t="s">
        <v>56</v>
      </c>
      <c r="AI412" s="13">
        <v>37409.699999999997</v>
      </c>
    </row>
    <row r="413" spans="1:35" ht="12.6" customHeight="1" x14ac:dyDescent="0.2">
      <c r="A413" s="1" t="s">
        <v>57</v>
      </c>
      <c r="B413" s="9" t="s">
        <v>38</v>
      </c>
      <c r="C413" s="1" t="s">
        <v>58</v>
      </c>
      <c r="D413" s="1" t="s">
        <v>59</v>
      </c>
      <c r="E413" s="1" t="s">
        <v>42</v>
      </c>
      <c r="F413" s="1" t="s">
        <v>165</v>
      </c>
      <c r="G413" s="1" t="s">
        <v>88</v>
      </c>
      <c r="H413" s="1" t="s">
        <v>166</v>
      </c>
      <c r="I413" s="1" t="s">
        <v>2462</v>
      </c>
      <c r="J413" s="1">
        <v>2023</v>
      </c>
      <c r="K413" s="1" t="s">
        <v>2463</v>
      </c>
      <c r="L413" s="1" t="s">
        <v>2463</v>
      </c>
      <c r="M413" s="1" t="s">
        <v>1240</v>
      </c>
      <c r="P413" s="1" t="s">
        <v>2464</v>
      </c>
      <c r="Q413" s="1" t="s">
        <v>264</v>
      </c>
      <c r="R413" s="1" t="s">
        <v>265</v>
      </c>
      <c r="S413" s="1" t="s">
        <v>2465</v>
      </c>
      <c r="T413" s="2" t="s">
        <v>2466</v>
      </c>
      <c r="U413" s="1">
        <v>2</v>
      </c>
      <c r="V413" s="1" t="s">
        <v>80</v>
      </c>
      <c r="W413" s="1" t="s">
        <v>2467</v>
      </c>
      <c r="Y413" s="10">
        <v>45802</v>
      </c>
      <c r="Z413" s="1">
        <v>2025</v>
      </c>
      <c r="AA413" s="12">
        <v>260194.32</v>
      </c>
      <c r="AB413" s="2"/>
      <c r="AC413" s="12">
        <v>45534.01</v>
      </c>
      <c r="AD413" s="1">
        <v>2</v>
      </c>
      <c r="AE413" s="1">
        <v>1</v>
      </c>
      <c r="AG413" s="1" t="s">
        <v>56</v>
      </c>
      <c r="AI413" s="13">
        <v>45534.01</v>
      </c>
    </row>
    <row r="414" spans="1:35" ht="12.6" customHeight="1" x14ac:dyDescent="0.2">
      <c r="A414" s="1" t="s">
        <v>57</v>
      </c>
      <c r="B414" s="9" t="s">
        <v>38</v>
      </c>
      <c r="C414" s="1" t="s">
        <v>58</v>
      </c>
      <c r="D414" s="1" t="s">
        <v>59</v>
      </c>
      <c r="E414" s="1" t="s">
        <v>42</v>
      </c>
      <c r="F414" s="1" t="s">
        <v>165</v>
      </c>
      <c r="G414" s="1" t="s">
        <v>88</v>
      </c>
      <c r="H414" s="1" t="s">
        <v>166</v>
      </c>
      <c r="I414" s="1" t="s">
        <v>2468</v>
      </c>
      <c r="J414" s="1">
        <v>2023</v>
      </c>
      <c r="K414" s="1" t="s">
        <v>2469</v>
      </c>
      <c r="L414" s="1" t="s">
        <v>2469</v>
      </c>
      <c r="M414" s="1" t="s">
        <v>1240</v>
      </c>
      <c r="P414" s="1" t="s">
        <v>2470</v>
      </c>
      <c r="Q414" s="1" t="s">
        <v>264</v>
      </c>
      <c r="R414" s="1" t="s">
        <v>265</v>
      </c>
      <c r="S414" s="1" t="s">
        <v>275</v>
      </c>
      <c r="T414" s="2" t="s">
        <v>276</v>
      </c>
      <c r="U414" s="1">
        <v>2</v>
      </c>
      <c r="V414" s="1" t="s">
        <v>80</v>
      </c>
      <c r="W414" s="1" t="s">
        <v>2471</v>
      </c>
      <c r="Y414" s="10">
        <v>45802</v>
      </c>
      <c r="Z414" s="1">
        <v>2025</v>
      </c>
      <c r="AA414" s="12">
        <v>297283.94</v>
      </c>
      <c r="AB414" s="2"/>
      <c r="AC414" s="12">
        <v>52024.69</v>
      </c>
      <c r="AD414" s="1">
        <v>8.5</v>
      </c>
      <c r="AE414" s="1">
        <v>7</v>
      </c>
      <c r="AG414" s="1" t="s">
        <v>56</v>
      </c>
      <c r="AI414" s="13">
        <v>52024.69</v>
      </c>
    </row>
    <row r="415" spans="1:35" ht="12.6" customHeight="1" x14ac:dyDescent="0.2">
      <c r="A415" s="1" t="s">
        <v>57</v>
      </c>
      <c r="B415" s="9" t="s">
        <v>38</v>
      </c>
      <c r="C415" s="1" t="s">
        <v>58</v>
      </c>
      <c r="D415" s="1" t="s">
        <v>59</v>
      </c>
      <c r="E415" s="1" t="s">
        <v>42</v>
      </c>
      <c r="F415" s="1" t="s">
        <v>165</v>
      </c>
      <c r="G415" s="1" t="s">
        <v>88</v>
      </c>
      <c r="H415" s="1" t="s">
        <v>166</v>
      </c>
      <c r="I415" s="1" t="s">
        <v>2472</v>
      </c>
      <c r="J415" s="1">
        <v>2023</v>
      </c>
      <c r="K415" s="1" t="s">
        <v>2473</v>
      </c>
      <c r="L415" s="1" t="s">
        <v>2473</v>
      </c>
      <c r="M415" s="1" t="s">
        <v>2474</v>
      </c>
      <c r="P415" s="1" t="s">
        <v>2475</v>
      </c>
      <c r="Q415" s="1" t="s">
        <v>264</v>
      </c>
      <c r="R415" s="1" t="s">
        <v>265</v>
      </c>
      <c r="S415" s="1" t="s">
        <v>275</v>
      </c>
      <c r="T415" s="2" t="s">
        <v>276</v>
      </c>
      <c r="U415" s="1">
        <v>2</v>
      </c>
      <c r="V415" s="1" t="s">
        <v>80</v>
      </c>
      <c r="W415" s="1" t="s">
        <v>2476</v>
      </c>
      <c r="Y415" s="10">
        <v>45802</v>
      </c>
      <c r="Z415" s="1">
        <v>2025</v>
      </c>
      <c r="AA415" s="12">
        <v>148152.79999999999</v>
      </c>
      <c r="AB415" s="2"/>
      <c r="AC415" s="12">
        <v>25926.74</v>
      </c>
      <c r="AD415" s="1">
        <v>1</v>
      </c>
      <c r="AE415" s="1">
        <v>1</v>
      </c>
      <c r="AG415" s="1" t="s">
        <v>56</v>
      </c>
      <c r="AI415" s="13">
        <v>25926.74</v>
      </c>
    </row>
    <row r="416" spans="1:35" ht="12.6" customHeight="1" x14ac:dyDescent="0.2">
      <c r="A416" s="1" t="s">
        <v>57</v>
      </c>
      <c r="B416" s="9" t="s">
        <v>38</v>
      </c>
      <c r="C416" s="1" t="s">
        <v>58</v>
      </c>
      <c r="D416" s="1" t="s">
        <v>59</v>
      </c>
      <c r="E416" s="1" t="s">
        <v>42</v>
      </c>
      <c r="F416" s="1" t="s">
        <v>2203</v>
      </c>
      <c r="G416" s="1" t="s">
        <v>60</v>
      </c>
      <c r="H416" s="1" t="s">
        <v>166</v>
      </c>
      <c r="I416" s="1" t="s">
        <v>2477</v>
      </c>
      <c r="J416" s="1">
        <v>2023</v>
      </c>
      <c r="K416" s="1" t="s">
        <v>2478</v>
      </c>
      <c r="L416" s="29" t="s">
        <v>2479</v>
      </c>
      <c r="M416" s="1" t="s">
        <v>2480</v>
      </c>
      <c r="P416" s="1" t="s">
        <v>2481</v>
      </c>
      <c r="Q416" s="1" t="s">
        <v>101</v>
      </c>
      <c r="R416" s="1" t="str">
        <f>VLOOKUP(Tabla35[[#This Row],[COD_INE]],[1]CON_INE_2024!$A$5:$K$353,5,FALSE)</f>
        <v>Zaragoza</v>
      </c>
      <c r="S416" s="1" t="s">
        <v>340</v>
      </c>
      <c r="T416" s="1" t="s">
        <v>341</v>
      </c>
      <c r="U416" s="1">
        <v>1</v>
      </c>
      <c r="V416" s="1" t="s">
        <v>80</v>
      </c>
      <c r="W416" s="1" t="s">
        <v>2482</v>
      </c>
      <c r="Y416" s="10">
        <v>45802</v>
      </c>
      <c r="Z416" s="1">
        <v>2025</v>
      </c>
      <c r="AA416" s="2">
        <v>4431490.49</v>
      </c>
      <c r="AB416" s="2"/>
      <c r="AC416" s="2">
        <v>915000</v>
      </c>
      <c r="AD416" s="26">
        <v>9</v>
      </c>
      <c r="AE416" s="1">
        <v>2</v>
      </c>
      <c r="AG416" s="1" t="s">
        <v>56</v>
      </c>
      <c r="AI416" s="2">
        <v>915000</v>
      </c>
    </row>
    <row r="417" spans="1:38" ht="12.6" customHeight="1" x14ac:dyDescent="0.2">
      <c r="A417" s="1" t="s">
        <v>57</v>
      </c>
      <c r="B417" s="9" t="s">
        <v>38</v>
      </c>
      <c r="C417" s="1" t="s">
        <v>58</v>
      </c>
      <c r="D417" s="1" t="s">
        <v>59</v>
      </c>
      <c r="E417" s="1" t="s">
        <v>42</v>
      </c>
      <c r="F417" s="1" t="s">
        <v>2203</v>
      </c>
      <c r="G417" s="1" t="s">
        <v>60</v>
      </c>
      <c r="H417" s="1" t="s">
        <v>166</v>
      </c>
      <c r="I417" s="1" t="s">
        <v>2483</v>
      </c>
      <c r="J417" s="1">
        <v>2023</v>
      </c>
      <c r="K417" s="1" t="s">
        <v>999</v>
      </c>
      <c r="L417" s="29" t="s">
        <v>2484</v>
      </c>
      <c r="M417" s="1" t="s">
        <v>2485</v>
      </c>
      <c r="P417" s="1" t="s">
        <v>2486</v>
      </c>
      <c r="Q417" s="1" t="s">
        <v>101</v>
      </c>
      <c r="R417" s="1" t="str">
        <f>VLOOKUP(Tabla35[[#This Row],[COD_INE]],[1]CON_INE_2024!$A$5:$K$353,5,FALSE)</f>
        <v>Huesca</v>
      </c>
      <c r="S417" s="1" t="s">
        <v>361</v>
      </c>
      <c r="T417" s="1" t="s">
        <v>362</v>
      </c>
      <c r="U417" s="1">
        <v>2</v>
      </c>
      <c r="V417" s="1" t="s">
        <v>80</v>
      </c>
      <c r="W417" s="1" t="s">
        <v>2487</v>
      </c>
      <c r="Y417" s="10">
        <v>45802</v>
      </c>
      <c r="Z417" s="1">
        <v>2025</v>
      </c>
      <c r="AA417" s="2">
        <v>1582126.7</v>
      </c>
      <c r="AB417" s="2"/>
      <c r="AC417" s="2">
        <v>197765.84</v>
      </c>
      <c r="AD417" s="26">
        <v>3</v>
      </c>
      <c r="AE417" s="1">
        <v>3</v>
      </c>
      <c r="AG417" s="1" t="s">
        <v>56</v>
      </c>
      <c r="AI417" s="2">
        <v>197765.84</v>
      </c>
    </row>
    <row r="418" spans="1:38" ht="12.6" customHeight="1" x14ac:dyDescent="0.2">
      <c r="A418" s="1" t="s">
        <v>57</v>
      </c>
      <c r="B418" s="9" t="s">
        <v>38</v>
      </c>
      <c r="C418" s="1" t="s">
        <v>58</v>
      </c>
      <c r="D418" s="1" t="s">
        <v>59</v>
      </c>
      <c r="E418" s="1" t="s">
        <v>42</v>
      </c>
      <c r="F418" s="1" t="s">
        <v>2203</v>
      </c>
      <c r="G418" s="1" t="s">
        <v>60</v>
      </c>
      <c r="H418" s="1" t="s">
        <v>166</v>
      </c>
      <c r="I418" s="1" t="s">
        <v>2488</v>
      </c>
      <c r="J418" s="1">
        <v>2023</v>
      </c>
      <c r="K418" s="1" t="s">
        <v>2489</v>
      </c>
      <c r="L418" s="29" t="s">
        <v>2489</v>
      </c>
      <c r="M418" s="1" t="s">
        <v>1240</v>
      </c>
      <c r="P418" s="1" t="s">
        <v>2490</v>
      </c>
      <c r="Q418" s="1" t="s">
        <v>101</v>
      </c>
      <c r="R418" s="1" t="str">
        <f>VLOOKUP(Tabla35[[#This Row],[COD_INE]],[1]CON_INE_2024!$A$5:$K$353,5,FALSE)</f>
        <v>Teruel</v>
      </c>
      <c r="S418" s="1" t="s">
        <v>523</v>
      </c>
      <c r="T418" s="1" t="s">
        <v>524</v>
      </c>
      <c r="U418" s="1">
        <v>1</v>
      </c>
      <c r="V418" s="1" t="s">
        <v>101</v>
      </c>
      <c r="W418" s="1" t="s">
        <v>2491</v>
      </c>
      <c r="Y418" s="10">
        <v>45802</v>
      </c>
      <c r="Z418" s="1">
        <v>2025</v>
      </c>
      <c r="AA418" s="2">
        <v>741108.04</v>
      </c>
      <c r="AB418" s="2"/>
      <c r="AC418" s="2">
        <v>296443.21999999997</v>
      </c>
      <c r="AD418" s="26">
        <v>6</v>
      </c>
      <c r="AE418" s="1">
        <v>2</v>
      </c>
      <c r="AG418" s="1" t="s">
        <v>56</v>
      </c>
      <c r="AI418" s="2">
        <v>296443.21999999997</v>
      </c>
    </row>
    <row r="419" spans="1:38" ht="12.6" customHeight="1" x14ac:dyDescent="0.2">
      <c r="A419" s="1" t="s">
        <v>57</v>
      </c>
      <c r="B419" s="9" t="s">
        <v>38</v>
      </c>
      <c r="C419" s="1" t="s">
        <v>58</v>
      </c>
      <c r="D419" s="1" t="s">
        <v>59</v>
      </c>
      <c r="E419" s="1" t="s">
        <v>42</v>
      </c>
      <c r="F419" s="1" t="s">
        <v>2203</v>
      </c>
      <c r="G419" s="1" t="s">
        <v>60</v>
      </c>
      <c r="H419" s="1" t="s">
        <v>166</v>
      </c>
      <c r="I419" s="1" t="s">
        <v>2492</v>
      </c>
      <c r="J419" s="1">
        <v>2023</v>
      </c>
      <c r="K419" s="1" t="s">
        <v>2493</v>
      </c>
      <c r="L419" s="29" t="s">
        <v>2494</v>
      </c>
      <c r="M419" s="1" t="s">
        <v>2495</v>
      </c>
      <c r="P419" s="1" t="s">
        <v>2496</v>
      </c>
      <c r="Q419" s="1" t="s">
        <v>101</v>
      </c>
      <c r="R419" s="1" t="str">
        <f>VLOOKUP(Tabla35[[#This Row],[COD_INE]],[1]CON_INE_2024!$A$5:$K$353,5,FALSE)</f>
        <v>Teruel</v>
      </c>
      <c r="S419" s="1" t="s">
        <v>523</v>
      </c>
      <c r="T419" s="1" t="s">
        <v>524</v>
      </c>
      <c r="U419" s="1">
        <v>1</v>
      </c>
      <c r="V419" s="1" t="s">
        <v>101</v>
      </c>
      <c r="W419" s="1" t="s">
        <v>2497</v>
      </c>
      <c r="Y419" s="10">
        <v>45802</v>
      </c>
      <c r="Z419" s="1">
        <v>2025</v>
      </c>
      <c r="AA419" s="2">
        <v>801964.55</v>
      </c>
      <c r="AB419" s="2"/>
      <c r="AC419" s="2">
        <v>265000</v>
      </c>
      <c r="AD419" s="26">
        <v>3</v>
      </c>
      <c r="AE419" s="1">
        <v>0</v>
      </c>
      <c r="AG419" s="1" t="s">
        <v>56</v>
      </c>
      <c r="AI419" s="2">
        <v>265000</v>
      </c>
    </row>
    <row r="420" spans="1:38" ht="12.6" customHeight="1" x14ac:dyDescent="0.2">
      <c r="A420" s="1" t="s">
        <v>57</v>
      </c>
      <c r="B420" s="9" t="s">
        <v>38</v>
      </c>
      <c r="C420" s="1" t="s">
        <v>58</v>
      </c>
      <c r="D420" s="1" t="s">
        <v>59</v>
      </c>
      <c r="E420" s="1" t="s">
        <v>42</v>
      </c>
      <c r="F420" s="1" t="s">
        <v>2203</v>
      </c>
      <c r="G420" s="1" t="s">
        <v>60</v>
      </c>
      <c r="H420" s="1" t="s">
        <v>166</v>
      </c>
      <c r="I420" s="1" t="s">
        <v>2498</v>
      </c>
      <c r="J420" s="1">
        <v>2023</v>
      </c>
      <c r="K420" s="1" t="s">
        <v>2499</v>
      </c>
      <c r="L420" s="29" t="s">
        <v>2500</v>
      </c>
      <c r="M420" s="1" t="s">
        <v>795</v>
      </c>
      <c r="P420" s="1" t="s">
        <v>797</v>
      </c>
      <c r="Q420" s="1" t="s">
        <v>101</v>
      </c>
      <c r="R420" s="1" t="str">
        <f>VLOOKUP(Tabla35[[#This Row],[COD_INE]],[1]CON_INE_2024!$A$5:$K$353,5,FALSE)</f>
        <v>Teruel</v>
      </c>
      <c r="S420" s="1" t="s">
        <v>523</v>
      </c>
      <c r="T420" s="1" t="s">
        <v>524</v>
      </c>
      <c r="U420" s="1">
        <v>1</v>
      </c>
      <c r="V420" s="1" t="s">
        <v>101</v>
      </c>
      <c r="W420" s="1" t="s">
        <v>2501</v>
      </c>
      <c r="Y420" s="10">
        <v>45802</v>
      </c>
      <c r="Z420" s="1">
        <v>2025</v>
      </c>
      <c r="AA420" s="2">
        <v>4889747.4000000004</v>
      </c>
      <c r="AB420" s="2"/>
      <c r="AC420" s="2">
        <v>495000</v>
      </c>
      <c r="AD420" s="26">
        <v>5</v>
      </c>
      <c r="AE420" s="1">
        <v>2</v>
      </c>
      <c r="AG420" s="1" t="s">
        <v>56</v>
      </c>
      <c r="AI420" s="2">
        <v>495000</v>
      </c>
    </row>
    <row r="421" spans="1:38" ht="12.6" customHeight="1" x14ac:dyDescent="0.2">
      <c r="A421" s="1" t="s">
        <v>57</v>
      </c>
      <c r="B421" s="9" t="s">
        <v>38</v>
      </c>
      <c r="C421" s="1" t="s">
        <v>58</v>
      </c>
      <c r="D421" s="1" t="s">
        <v>59</v>
      </c>
      <c r="E421" s="1" t="s">
        <v>42</v>
      </c>
      <c r="F421" s="1" t="s">
        <v>2203</v>
      </c>
      <c r="G421" s="1" t="s">
        <v>60</v>
      </c>
      <c r="H421" s="1" t="s">
        <v>166</v>
      </c>
      <c r="I421" s="1" t="s">
        <v>2502</v>
      </c>
      <c r="J421" s="1">
        <v>2023</v>
      </c>
      <c r="K421" s="1" t="s">
        <v>2503</v>
      </c>
      <c r="L421" s="1" t="s">
        <v>2503</v>
      </c>
      <c r="M421" s="1" t="s">
        <v>2504</v>
      </c>
      <c r="P421" s="1" t="s">
        <v>2505</v>
      </c>
      <c r="Q421" s="1" t="s">
        <v>101</v>
      </c>
      <c r="R421" s="1" t="str">
        <f>VLOOKUP(Tabla35[[#This Row],[COD_INE]],[1]CON_INE_2024!$A$5:$K$353,5,FALSE)</f>
        <v>Teruel</v>
      </c>
      <c r="S421" s="1" t="s">
        <v>637</v>
      </c>
      <c r="T421" s="1" t="s">
        <v>638</v>
      </c>
      <c r="U421" s="1">
        <v>1</v>
      </c>
      <c r="V421" s="1" t="s">
        <v>101</v>
      </c>
      <c r="W421" s="1" t="s">
        <v>2506</v>
      </c>
      <c r="Y421" s="10">
        <v>45802</v>
      </c>
      <c r="Z421" s="1">
        <v>2025</v>
      </c>
      <c r="AA421" s="2">
        <v>1678500</v>
      </c>
      <c r="AB421" s="2"/>
      <c r="AC421" s="2">
        <v>345000</v>
      </c>
      <c r="AD421" s="26">
        <v>3</v>
      </c>
      <c r="AE421" s="1">
        <v>1</v>
      </c>
      <c r="AG421" s="1" t="s">
        <v>56</v>
      </c>
      <c r="AI421" s="2">
        <v>345000</v>
      </c>
    </row>
    <row r="422" spans="1:38" ht="12.6" customHeight="1" x14ac:dyDescent="0.2">
      <c r="A422" s="1" t="s">
        <v>57</v>
      </c>
      <c r="B422" s="9" t="s">
        <v>38</v>
      </c>
      <c r="C422" s="1" t="s">
        <v>58</v>
      </c>
      <c r="D422" s="1" t="s">
        <v>59</v>
      </c>
      <c r="E422" s="1" t="s">
        <v>42</v>
      </c>
      <c r="F422" s="1" t="s">
        <v>2203</v>
      </c>
      <c r="G422" s="1" t="s">
        <v>60</v>
      </c>
      <c r="H422" s="1" t="s">
        <v>166</v>
      </c>
      <c r="I422" s="1" t="s">
        <v>2507</v>
      </c>
      <c r="J422" s="1">
        <v>2023</v>
      </c>
      <c r="K422" s="1" t="s">
        <v>2508</v>
      </c>
      <c r="L422" s="1" t="s">
        <v>2508</v>
      </c>
      <c r="M422" s="1" t="s">
        <v>1240</v>
      </c>
      <c r="P422" s="1" t="s">
        <v>2509</v>
      </c>
      <c r="Q422" s="1" t="s">
        <v>101</v>
      </c>
      <c r="R422" s="1" t="str">
        <f>VLOOKUP(Tabla35[[#This Row],[COD_INE]],[1]CON_INE_2024!$A$5:$K$353,5,FALSE)</f>
        <v>Huesca</v>
      </c>
      <c r="S422" s="1" t="s">
        <v>327</v>
      </c>
      <c r="T422" s="1" t="s">
        <v>328</v>
      </c>
      <c r="U422" s="1">
        <v>2</v>
      </c>
      <c r="V422" s="1" t="s">
        <v>80</v>
      </c>
      <c r="W422" s="1" t="s">
        <v>2510</v>
      </c>
      <c r="Y422" s="10">
        <v>45802</v>
      </c>
      <c r="Z422" s="1">
        <v>2025</v>
      </c>
      <c r="AA422" s="2">
        <v>1970820</v>
      </c>
      <c r="AB422" s="2"/>
      <c r="AC422" s="2">
        <v>246352.5</v>
      </c>
      <c r="AD422" s="26">
        <v>4</v>
      </c>
      <c r="AE422" s="1">
        <v>4</v>
      </c>
      <c r="AG422" s="1" t="s">
        <v>56</v>
      </c>
      <c r="AI422" s="2">
        <v>246352.5</v>
      </c>
    </row>
    <row r="423" spans="1:38" ht="12.6" customHeight="1" x14ac:dyDescent="0.2">
      <c r="A423" s="1" t="s">
        <v>57</v>
      </c>
      <c r="B423" s="9" t="s">
        <v>38</v>
      </c>
      <c r="C423" s="1" t="s">
        <v>58</v>
      </c>
      <c r="D423" s="1" t="s">
        <v>59</v>
      </c>
      <c r="E423" s="1" t="s">
        <v>42</v>
      </c>
      <c r="F423" s="1" t="s">
        <v>2203</v>
      </c>
      <c r="G423" s="1" t="s">
        <v>60</v>
      </c>
      <c r="H423" s="1" t="s">
        <v>166</v>
      </c>
      <c r="I423" s="1" t="s">
        <v>2511</v>
      </c>
      <c r="J423" s="1">
        <v>2023</v>
      </c>
      <c r="K423" s="1" t="s">
        <v>2512</v>
      </c>
      <c r="L423" s="29" t="s">
        <v>2513</v>
      </c>
      <c r="M423" s="1" t="s">
        <v>2514</v>
      </c>
      <c r="P423" s="1" t="s">
        <v>2515</v>
      </c>
      <c r="Q423" s="1" t="s">
        <v>101</v>
      </c>
      <c r="R423" s="1" t="str">
        <f>VLOOKUP(Tabla35[[#This Row],[COD_INE]],[1]CON_INE_2024!$A$5:$K$353,5,FALSE)</f>
        <v>Teruel</v>
      </c>
      <c r="S423" s="1" t="s">
        <v>255</v>
      </c>
      <c r="T423" s="1" t="s">
        <v>256</v>
      </c>
      <c r="U423" s="1">
        <v>1</v>
      </c>
      <c r="V423" s="1" t="s">
        <v>101</v>
      </c>
      <c r="W423" s="1" t="s">
        <v>2516</v>
      </c>
      <c r="Y423" s="10">
        <v>45802</v>
      </c>
      <c r="Z423" s="1">
        <v>2025</v>
      </c>
      <c r="AA423" s="2">
        <v>6124683</v>
      </c>
      <c r="AB423" s="2"/>
      <c r="AC423" s="2">
        <v>1335000</v>
      </c>
      <c r="AD423" s="26">
        <v>13</v>
      </c>
      <c r="AE423" s="1">
        <v>3</v>
      </c>
      <c r="AG423" s="1" t="s">
        <v>56</v>
      </c>
      <c r="AI423" s="2">
        <v>1335000</v>
      </c>
    </row>
    <row r="424" spans="1:38" ht="12.6" customHeight="1" x14ac:dyDescent="0.2">
      <c r="A424" s="1" t="s">
        <v>57</v>
      </c>
      <c r="B424" s="9" t="s">
        <v>38</v>
      </c>
      <c r="C424" s="1" t="s">
        <v>58</v>
      </c>
      <c r="D424" s="1" t="s">
        <v>1409</v>
      </c>
      <c r="E424" s="1" t="s">
        <v>42</v>
      </c>
      <c r="F424" s="1" t="s">
        <v>2145</v>
      </c>
      <c r="G424" s="1" t="s">
        <v>2146</v>
      </c>
      <c r="H424" s="1" t="s">
        <v>2147</v>
      </c>
      <c r="I424" s="1" t="s">
        <v>2517</v>
      </c>
      <c r="J424" s="1">
        <v>2021</v>
      </c>
      <c r="K424" s="1" t="s">
        <v>2518</v>
      </c>
      <c r="L424" s="1" t="s">
        <v>2518</v>
      </c>
      <c r="M424" s="1" t="s">
        <v>2150</v>
      </c>
      <c r="P424" s="1" t="s">
        <v>2151</v>
      </c>
      <c r="Q424" s="1" t="s">
        <v>50</v>
      </c>
      <c r="R424" s="1" t="s">
        <v>68</v>
      </c>
      <c r="S424" s="1" t="s">
        <v>2519</v>
      </c>
      <c r="T424" s="1" t="s">
        <v>2520</v>
      </c>
      <c r="U424" s="1">
        <v>1</v>
      </c>
      <c r="V424" s="1" t="s">
        <v>71</v>
      </c>
      <c r="W424" s="1" t="s">
        <v>2521</v>
      </c>
      <c r="Y424" s="10">
        <v>44363</v>
      </c>
      <c r="Z424" s="1">
        <v>2021</v>
      </c>
      <c r="AA424" s="2">
        <v>2102325.92</v>
      </c>
      <c r="AB424" s="2"/>
      <c r="AC424" s="2">
        <v>2102325.92</v>
      </c>
      <c r="AG424" s="1" t="s">
        <v>56</v>
      </c>
      <c r="AI424" s="2">
        <v>2102325.92</v>
      </c>
      <c r="AJ424" s="2">
        <v>25.76</v>
      </c>
      <c r="AL424" s="1" t="s">
        <v>2522</v>
      </c>
    </row>
    <row r="425" spans="1:38" ht="12.6" customHeight="1" x14ac:dyDescent="0.2">
      <c r="A425" s="1" t="s">
        <v>57</v>
      </c>
      <c r="B425" s="9" t="s">
        <v>38</v>
      </c>
      <c r="C425" s="1" t="s">
        <v>58</v>
      </c>
      <c r="D425" s="1" t="s">
        <v>1409</v>
      </c>
      <c r="E425" s="1" t="s">
        <v>42</v>
      </c>
      <c r="F425" s="1" t="s">
        <v>2145</v>
      </c>
      <c r="G425" s="1" t="s">
        <v>2146</v>
      </c>
      <c r="H425" s="1" t="s">
        <v>2147</v>
      </c>
      <c r="I425" s="1" t="s">
        <v>2523</v>
      </c>
      <c r="J425" s="1">
        <v>2021</v>
      </c>
      <c r="K425" s="1" t="s">
        <v>2524</v>
      </c>
      <c r="L425" s="1" t="s">
        <v>2524</v>
      </c>
      <c r="P425" s="1" t="s">
        <v>2151</v>
      </c>
      <c r="Q425" s="1" t="s">
        <v>50</v>
      </c>
      <c r="R425" s="1" t="s">
        <v>68</v>
      </c>
      <c r="S425" s="1" t="s">
        <v>430</v>
      </c>
      <c r="T425" s="1" t="s">
        <v>431</v>
      </c>
      <c r="U425" s="1">
        <v>1</v>
      </c>
      <c r="V425" s="1" t="s">
        <v>71</v>
      </c>
      <c r="W425" s="1" t="s">
        <v>2525</v>
      </c>
      <c r="Y425" s="10">
        <v>44363</v>
      </c>
      <c r="Z425" s="1">
        <v>2021</v>
      </c>
      <c r="AA425" s="2">
        <v>1066888.01</v>
      </c>
      <c r="AB425" s="2"/>
      <c r="AC425" s="2">
        <v>1066888.01</v>
      </c>
      <c r="AG425" s="1" t="s">
        <v>56</v>
      </c>
      <c r="AI425" s="2">
        <v>1066888.01</v>
      </c>
      <c r="AJ425" s="2"/>
      <c r="AL425" s="1" t="s">
        <v>2526</v>
      </c>
    </row>
    <row r="426" spans="1:38" ht="12.6" customHeight="1" x14ac:dyDescent="0.2">
      <c r="A426" s="1" t="s">
        <v>57</v>
      </c>
      <c r="B426" s="9" t="s">
        <v>38</v>
      </c>
      <c r="C426" s="1" t="s">
        <v>58</v>
      </c>
      <c r="D426" s="1" t="s">
        <v>1409</v>
      </c>
      <c r="E426" s="1" t="s">
        <v>42</v>
      </c>
      <c r="F426" s="1" t="s">
        <v>2145</v>
      </c>
      <c r="G426" s="1" t="s">
        <v>2146</v>
      </c>
      <c r="H426" s="1" t="s">
        <v>2147</v>
      </c>
      <c r="I426" s="1" t="s">
        <v>2527</v>
      </c>
      <c r="J426" s="1">
        <v>2021</v>
      </c>
      <c r="K426" s="1" t="s">
        <v>2528</v>
      </c>
      <c r="L426" s="1" t="s">
        <v>2528</v>
      </c>
      <c r="M426" s="1" t="s">
        <v>2529</v>
      </c>
      <c r="P426" s="1" t="s">
        <v>2151</v>
      </c>
      <c r="Q426" s="1" t="s">
        <v>50</v>
      </c>
      <c r="R426" s="1" t="s">
        <v>77</v>
      </c>
      <c r="S426" s="11" t="s">
        <v>1212</v>
      </c>
      <c r="T426" s="1" t="s">
        <v>1213</v>
      </c>
      <c r="U426" s="1">
        <v>1</v>
      </c>
      <c r="V426" s="1" t="s">
        <v>186</v>
      </c>
      <c r="W426" s="1" t="s">
        <v>2530</v>
      </c>
      <c r="Y426" s="10">
        <v>44363</v>
      </c>
      <c r="Z426" s="1">
        <v>2021</v>
      </c>
      <c r="AA426" s="2">
        <v>408000</v>
      </c>
      <c r="AB426" s="2"/>
      <c r="AC426" s="2">
        <v>408000</v>
      </c>
      <c r="AG426" s="1" t="s">
        <v>2153</v>
      </c>
      <c r="AI426" s="2">
        <v>408000</v>
      </c>
      <c r="AJ426" s="2">
        <v>6.99</v>
      </c>
      <c r="AL426" s="1" t="s">
        <v>2531</v>
      </c>
    </row>
    <row r="427" spans="1:38" ht="12.6" customHeight="1" x14ac:dyDescent="0.2">
      <c r="A427" s="1" t="s">
        <v>57</v>
      </c>
      <c r="B427" s="9" t="s">
        <v>38</v>
      </c>
      <c r="C427" s="1" t="s">
        <v>58</v>
      </c>
      <c r="D427" s="1" t="s">
        <v>59</v>
      </c>
      <c r="E427" s="1" t="s">
        <v>42</v>
      </c>
      <c r="F427" s="1" t="s">
        <v>165</v>
      </c>
      <c r="G427" s="1" t="s">
        <v>88</v>
      </c>
      <c r="H427" s="1" t="s">
        <v>166</v>
      </c>
      <c r="I427" s="1" t="s">
        <v>2532</v>
      </c>
      <c r="J427" s="1">
        <v>2023</v>
      </c>
      <c r="K427" s="1" t="s">
        <v>2533</v>
      </c>
      <c r="L427" s="1" t="s">
        <v>2533</v>
      </c>
      <c r="P427" s="1" t="s">
        <v>551</v>
      </c>
      <c r="Q427" s="1" t="s">
        <v>101</v>
      </c>
      <c r="R427" s="1" t="s">
        <v>339</v>
      </c>
      <c r="S427" s="1" t="s">
        <v>340</v>
      </c>
      <c r="T427" s="2" t="s">
        <v>341</v>
      </c>
      <c r="U427" s="1">
        <v>1</v>
      </c>
      <c r="V427" s="1" t="s">
        <v>80</v>
      </c>
      <c r="W427" s="1" t="s">
        <v>2534</v>
      </c>
      <c r="Y427" s="10">
        <v>45802</v>
      </c>
      <c r="Z427" s="1">
        <v>2025</v>
      </c>
      <c r="AA427" s="12">
        <v>474209.98</v>
      </c>
      <c r="AB427" s="2"/>
      <c r="AC427" s="12">
        <v>165973.49</v>
      </c>
      <c r="AD427" s="1">
        <v>1.7</v>
      </c>
      <c r="AE427" s="1">
        <v>1</v>
      </c>
      <c r="AG427" s="1" t="s">
        <v>56</v>
      </c>
      <c r="AI427" s="13">
        <v>165973.49</v>
      </c>
    </row>
    <row r="428" spans="1:38" ht="12.6" customHeight="1" x14ac:dyDescent="0.2">
      <c r="A428" s="1" t="s">
        <v>57</v>
      </c>
      <c r="B428" s="9" t="s">
        <v>38</v>
      </c>
      <c r="C428" s="1" t="s">
        <v>58</v>
      </c>
      <c r="D428" s="1" t="s">
        <v>59</v>
      </c>
      <c r="E428" s="1" t="s">
        <v>42</v>
      </c>
      <c r="F428" s="1" t="s">
        <v>165</v>
      </c>
      <c r="G428" s="1" t="s">
        <v>88</v>
      </c>
      <c r="H428" s="1" t="s">
        <v>166</v>
      </c>
      <c r="I428" s="1" t="s">
        <v>2535</v>
      </c>
      <c r="J428" s="1">
        <v>2023</v>
      </c>
      <c r="K428" s="1" t="s">
        <v>2533</v>
      </c>
      <c r="L428" s="29" t="s">
        <v>2536</v>
      </c>
      <c r="M428" s="1" t="s">
        <v>2537</v>
      </c>
      <c r="P428" s="1" t="s">
        <v>2538</v>
      </c>
      <c r="Q428" s="1" t="s">
        <v>101</v>
      </c>
      <c r="R428" s="1" t="s">
        <v>102</v>
      </c>
      <c r="S428" s="1" t="s">
        <v>255</v>
      </c>
      <c r="T428" s="2" t="s">
        <v>256</v>
      </c>
      <c r="U428" s="1">
        <v>1</v>
      </c>
      <c r="V428" s="1" t="str">
        <f>VLOOKUP(Tabla35[[#This Row],[Municipio]],[1]CON_INE_2024!$H$5:$K$353,3,FALSE)</f>
        <v>Aragón</v>
      </c>
      <c r="W428" s="1" t="s">
        <v>2539</v>
      </c>
      <c r="Y428" s="10">
        <v>45802</v>
      </c>
      <c r="Z428" s="1">
        <v>2025</v>
      </c>
      <c r="AA428" s="12">
        <v>306719</v>
      </c>
      <c r="AB428" s="2"/>
      <c r="AC428" s="12">
        <v>122687.6</v>
      </c>
      <c r="AD428" s="1">
        <v>0</v>
      </c>
      <c r="AE428" s="1">
        <v>0</v>
      </c>
      <c r="AG428" s="1" t="s">
        <v>56</v>
      </c>
      <c r="AI428" s="13">
        <v>122687.6</v>
      </c>
    </row>
    <row r="429" spans="1:38" ht="12.6" customHeight="1" x14ac:dyDescent="0.2">
      <c r="A429" s="1" t="s">
        <v>57</v>
      </c>
      <c r="B429" s="9" t="s">
        <v>38</v>
      </c>
      <c r="C429" s="1" t="s">
        <v>58</v>
      </c>
      <c r="D429" s="1" t="s">
        <v>1409</v>
      </c>
      <c r="E429" s="1" t="s">
        <v>42</v>
      </c>
      <c r="F429" s="1" t="s">
        <v>2145</v>
      </c>
      <c r="G429" s="1" t="s">
        <v>2146</v>
      </c>
      <c r="H429" s="1" t="s">
        <v>2147</v>
      </c>
      <c r="I429" s="1" t="s">
        <v>2540</v>
      </c>
      <c r="J429" s="1">
        <v>2021</v>
      </c>
      <c r="K429" s="1" t="s">
        <v>2541</v>
      </c>
      <c r="L429" s="1" t="s">
        <v>2541</v>
      </c>
      <c r="M429" s="1" t="s">
        <v>2529</v>
      </c>
      <c r="P429" s="1" t="s">
        <v>2151</v>
      </c>
      <c r="Q429" s="1" t="s">
        <v>50</v>
      </c>
      <c r="R429" s="1" t="s">
        <v>77</v>
      </c>
      <c r="S429" s="1" t="s">
        <v>184</v>
      </c>
      <c r="T429" s="1" t="s">
        <v>185</v>
      </c>
      <c r="U429" s="1">
        <v>1</v>
      </c>
      <c r="V429" s="1" t="s">
        <v>186</v>
      </c>
      <c r="W429" s="1" t="s">
        <v>2542</v>
      </c>
      <c r="Y429" s="10">
        <v>44363</v>
      </c>
      <c r="Z429" s="1">
        <v>2021</v>
      </c>
      <c r="AA429" s="2">
        <v>2740687.54</v>
      </c>
      <c r="AB429" s="2"/>
      <c r="AC429" s="2">
        <v>2740687.54</v>
      </c>
      <c r="AG429" s="1" t="s">
        <v>2153</v>
      </c>
      <c r="AI429" s="2">
        <v>2740687.54</v>
      </c>
      <c r="AJ429" s="2">
        <v>21.18</v>
      </c>
      <c r="AL429" s="1" t="s">
        <v>2543</v>
      </c>
    </row>
    <row r="430" spans="1:38" ht="12.6" customHeight="1" x14ac:dyDescent="0.2">
      <c r="A430" s="1" t="s">
        <v>57</v>
      </c>
      <c r="B430" s="9" t="s">
        <v>38</v>
      </c>
      <c r="C430" s="1" t="s">
        <v>58</v>
      </c>
      <c r="D430" s="1" t="s">
        <v>59</v>
      </c>
      <c r="E430" s="1" t="s">
        <v>42</v>
      </c>
      <c r="F430" s="1" t="s">
        <v>165</v>
      </c>
      <c r="G430" s="1" t="s">
        <v>88</v>
      </c>
      <c r="H430" s="1" t="s">
        <v>166</v>
      </c>
      <c r="I430" s="1" t="s">
        <v>2544</v>
      </c>
      <c r="J430" s="1">
        <v>2023</v>
      </c>
      <c r="K430" s="1" t="s">
        <v>2545</v>
      </c>
      <c r="L430" s="29" t="s">
        <v>2546</v>
      </c>
      <c r="M430" s="1" t="s">
        <v>1240</v>
      </c>
      <c r="P430" s="1" t="s">
        <v>2547</v>
      </c>
      <c r="Q430" s="1" t="s">
        <v>101</v>
      </c>
      <c r="R430" s="1" t="s">
        <v>102</v>
      </c>
      <c r="S430" s="1" t="s">
        <v>637</v>
      </c>
      <c r="T430" s="2" t="s">
        <v>638</v>
      </c>
      <c r="U430" s="1">
        <v>1</v>
      </c>
      <c r="V430" s="1" t="str">
        <f>VLOOKUP(Tabla35[[#This Row],[Municipio]],[1]CON_INE_2024!$H$5:$K$353,3,FALSE)</f>
        <v>Aragón</v>
      </c>
      <c r="W430" s="1" t="s">
        <v>2548</v>
      </c>
      <c r="Y430" s="10">
        <v>45802</v>
      </c>
      <c r="Z430" s="1">
        <v>2025</v>
      </c>
      <c r="AA430" s="12">
        <v>194155.47</v>
      </c>
      <c r="AB430" s="2"/>
      <c r="AC430" s="12">
        <v>75000</v>
      </c>
      <c r="AD430" s="1">
        <v>1</v>
      </c>
      <c r="AE430" s="1">
        <v>0</v>
      </c>
      <c r="AG430" s="1" t="s">
        <v>56</v>
      </c>
      <c r="AI430" s="13">
        <v>75000</v>
      </c>
    </row>
    <row r="431" spans="1:38" ht="12.6" customHeight="1" x14ac:dyDescent="0.2">
      <c r="A431" s="1" t="s">
        <v>57</v>
      </c>
      <c r="B431" s="9" t="s">
        <v>38</v>
      </c>
      <c r="C431" s="1" t="s">
        <v>58</v>
      </c>
      <c r="D431" s="1" t="s">
        <v>59</v>
      </c>
      <c r="E431" s="1" t="s">
        <v>42</v>
      </c>
      <c r="F431" s="1" t="s">
        <v>165</v>
      </c>
      <c r="G431" s="1" t="s">
        <v>88</v>
      </c>
      <c r="H431" s="1" t="s">
        <v>166</v>
      </c>
      <c r="I431" s="1" t="s">
        <v>2549</v>
      </c>
      <c r="J431" s="1">
        <v>2023</v>
      </c>
      <c r="K431" s="1" t="s">
        <v>2550</v>
      </c>
      <c r="L431" s="29" t="s">
        <v>2551</v>
      </c>
      <c r="M431" s="1" t="s">
        <v>2552</v>
      </c>
      <c r="P431" s="1" t="s">
        <v>2553</v>
      </c>
      <c r="Q431" s="1" t="s">
        <v>101</v>
      </c>
      <c r="R431" s="1" t="s">
        <v>326</v>
      </c>
      <c r="S431" s="1" t="s">
        <v>327</v>
      </c>
      <c r="T431" s="1" t="s">
        <v>328</v>
      </c>
      <c r="U431" s="1">
        <v>2</v>
      </c>
      <c r="V431" s="1" t="s">
        <v>80</v>
      </c>
      <c r="W431" s="1" t="s">
        <v>2554</v>
      </c>
      <c r="Y431" s="10">
        <v>45802</v>
      </c>
      <c r="Z431" s="1">
        <v>2025</v>
      </c>
      <c r="AA431" s="12">
        <v>444911.06</v>
      </c>
      <c r="AB431" s="2"/>
      <c r="AC431" s="12">
        <v>75000</v>
      </c>
      <c r="AD431" s="1">
        <v>1</v>
      </c>
      <c r="AE431" s="1">
        <v>0</v>
      </c>
      <c r="AG431" s="1" t="s">
        <v>56</v>
      </c>
      <c r="AI431" s="13">
        <v>75000</v>
      </c>
    </row>
    <row r="432" spans="1:38" ht="12.6" customHeight="1" x14ac:dyDescent="0.2">
      <c r="A432" s="1" t="s">
        <v>57</v>
      </c>
      <c r="B432" s="9" t="s">
        <v>38</v>
      </c>
      <c r="C432" s="1" t="s">
        <v>58</v>
      </c>
      <c r="D432" s="1" t="s">
        <v>1409</v>
      </c>
      <c r="E432" s="1" t="s">
        <v>42</v>
      </c>
      <c r="F432" s="1" t="s">
        <v>2145</v>
      </c>
      <c r="G432" s="1" t="s">
        <v>2146</v>
      </c>
      <c r="H432" s="1" t="s">
        <v>2147</v>
      </c>
      <c r="I432" s="1" t="s">
        <v>2555</v>
      </c>
      <c r="J432" s="1">
        <v>2021</v>
      </c>
      <c r="K432" s="1" t="s">
        <v>2541</v>
      </c>
      <c r="L432" s="1" t="s">
        <v>2541</v>
      </c>
      <c r="M432" s="1" t="s">
        <v>2529</v>
      </c>
      <c r="P432" s="1" t="s">
        <v>2151</v>
      </c>
      <c r="Q432" s="1" t="s">
        <v>50</v>
      </c>
      <c r="R432" s="1" t="s">
        <v>77</v>
      </c>
      <c r="S432" s="1" t="s">
        <v>184</v>
      </c>
      <c r="T432" s="1" t="s">
        <v>185</v>
      </c>
      <c r="U432" s="1">
        <v>1</v>
      </c>
      <c r="V432" s="1" t="s">
        <v>186</v>
      </c>
      <c r="W432" s="1" t="s">
        <v>2556</v>
      </c>
      <c r="Y432" s="10">
        <v>44363</v>
      </c>
      <c r="Z432" s="1">
        <v>2021</v>
      </c>
      <c r="AA432" s="2">
        <v>408000</v>
      </c>
      <c r="AB432" s="2"/>
      <c r="AC432" s="2">
        <v>408000</v>
      </c>
      <c r="AG432" s="1" t="s">
        <v>2153</v>
      </c>
      <c r="AI432" s="2">
        <v>408000</v>
      </c>
      <c r="AJ432" s="2">
        <v>3.16</v>
      </c>
      <c r="AL432" s="1" t="s">
        <v>2557</v>
      </c>
    </row>
    <row r="433" spans="1:38" ht="12.6" customHeight="1" x14ac:dyDescent="0.2">
      <c r="A433" s="1" t="s">
        <v>57</v>
      </c>
      <c r="B433" s="9" t="s">
        <v>38</v>
      </c>
      <c r="C433" s="1" t="s">
        <v>58</v>
      </c>
      <c r="D433" s="1" t="s">
        <v>1409</v>
      </c>
      <c r="E433" s="1" t="s">
        <v>42</v>
      </c>
      <c r="F433" s="1" t="s">
        <v>2145</v>
      </c>
      <c r="G433" s="1" t="s">
        <v>2146</v>
      </c>
      <c r="H433" s="1" t="s">
        <v>2147</v>
      </c>
      <c r="I433" s="1" t="s">
        <v>2558</v>
      </c>
      <c r="J433" s="1">
        <v>2021</v>
      </c>
      <c r="K433" s="1" t="s">
        <v>2559</v>
      </c>
      <c r="L433" s="1" t="s">
        <v>2559</v>
      </c>
      <c r="M433" s="1" t="s">
        <v>2529</v>
      </c>
      <c r="P433" s="1" t="s">
        <v>2151</v>
      </c>
      <c r="Q433" s="1" t="s">
        <v>50</v>
      </c>
      <c r="R433" s="1" t="s">
        <v>77</v>
      </c>
      <c r="S433" s="11" t="s">
        <v>407</v>
      </c>
      <c r="T433" s="1" t="s">
        <v>408</v>
      </c>
      <c r="U433" s="1">
        <v>1</v>
      </c>
      <c r="V433" s="1" t="s">
        <v>186</v>
      </c>
      <c r="W433" s="1" t="s">
        <v>2560</v>
      </c>
      <c r="Y433" s="10">
        <v>44363</v>
      </c>
      <c r="Z433" s="1">
        <v>2021</v>
      </c>
      <c r="AA433" s="2">
        <v>306000</v>
      </c>
      <c r="AB433" s="2"/>
      <c r="AC433" s="2">
        <v>306000</v>
      </c>
      <c r="AG433" s="1" t="s">
        <v>2153</v>
      </c>
      <c r="AI433" s="2">
        <v>306000</v>
      </c>
      <c r="AJ433" s="2">
        <v>2.08</v>
      </c>
      <c r="AL433" s="1" t="s">
        <v>2561</v>
      </c>
    </row>
    <row r="434" spans="1:38" ht="12.6" customHeight="1" x14ac:dyDescent="0.2">
      <c r="A434" s="1" t="s">
        <v>57</v>
      </c>
      <c r="B434" s="9" t="s">
        <v>38</v>
      </c>
      <c r="C434" s="1" t="s">
        <v>58</v>
      </c>
      <c r="D434" s="1" t="s">
        <v>59</v>
      </c>
      <c r="E434" s="1" t="s">
        <v>42</v>
      </c>
      <c r="F434" s="1" t="s">
        <v>165</v>
      </c>
      <c r="G434" s="1" t="s">
        <v>88</v>
      </c>
      <c r="H434" s="1" t="s">
        <v>166</v>
      </c>
      <c r="I434" s="1" t="s">
        <v>2562</v>
      </c>
      <c r="J434" s="1">
        <v>2023</v>
      </c>
      <c r="K434" s="1" t="s">
        <v>2563</v>
      </c>
      <c r="L434" s="29" t="s">
        <v>2564</v>
      </c>
      <c r="M434" s="1" t="s">
        <v>1240</v>
      </c>
      <c r="P434" s="1" t="s">
        <v>2565</v>
      </c>
      <c r="Q434" s="1" t="s">
        <v>101</v>
      </c>
      <c r="R434" s="1" t="s">
        <v>102</v>
      </c>
      <c r="S434" s="1" t="s">
        <v>562</v>
      </c>
      <c r="T434" s="2" t="s">
        <v>563</v>
      </c>
      <c r="U434" s="1">
        <v>1</v>
      </c>
      <c r="V434" s="1" t="str">
        <f>VLOOKUP(Tabla35[[#This Row],[Municipio]],[1]CON_INE_2024!$H$5:$K$353,3,FALSE)</f>
        <v>Aragón</v>
      </c>
      <c r="W434" s="1" t="s">
        <v>2566</v>
      </c>
      <c r="Y434" s="10">
        <v>45802</v>
      </c>
      <c r="Z434" s="1">
        <v>2025</v>
      </c>
      <c r="AA434" s="12">
        <v>254377.21</v>
      </c>
      <c r="AB434" s="2"/>
      <c r="AC434" s="12">
        <v>101750.88</v>
      </c>
      <c r="AD434" s="1">
        <v>4</v>
      </c>
      <c r="AE434" s="1">
        <v>2</v>
      </c>
      <c r="AG434" s="1" t="s">
        <v>56</v>
      </c>
      <c r="AI434" s="13">
        <v>101750.88</v>
      </c>
    </row>
    <row r="435" spans="1:38" ht="12.6" customHeight="1" x14ac:dyDescent="0.2">
      <c r="A435" s="1" t="s">
        <v>57</v>
      </c>
      <c r="B435" s="9" t="s">
        <v>38</v>
      </c>
      <c r="C435" s="1" t="s">
        <v>58</v>
      </c>
      <c r="D435" s="1" t="s">
        <v>1409</v>
      </c>
      <c r="E435" s="1" t="s">
        <v>42</v>
      </c>
      <c r="F435" s="1" t="s">
        <v>2145</v>
      </c>
      <c r="G435" s="1" t="s">
        <v>2146</v>
      </c>
      <c r="H435" s="1" t="s">
        <v>2147</v>
      </c>
      <c r="I435" s="1" t="s">
        <v>2567</v>
      </c>
      <c r="J435" s="1">
        <v>2021</v>
      </c>
      <c r="K435" s="1" t="s">
        <v>2149</v>
      </c>
      <c r="L435" s="1" t="s">
        <v>2149</v>
      </c>
      <c r="M435" s="1" t="s">
        <v>2150</v>
      </c>
      <c r="P435" s="1" t="s">
        <v>2151</v>
      </c>
      <c r="Q435" s="1" t="s">
        <v>50</v>
      </c>
      <c r="R435" s="1" t="s">
        <v>68</v>
      </c>
      <c r="S435" s="1" t="s">
        <v>1360</v>
      </c>
      <c r="T435" s="1" t="s">
        <v>1361</v>
      </c>
      <c r="U435" s="1">
        <v>1</v>
      </c>
      <c r="V435" s="1" t="s">
        <v>71</v>
      </c>
      <c r="W435" s="1" t="s">
        <v>2568</v>
      </c>
      <c r="Y435" s="10">
        <v>44363</v>
      </c>
      <c r="Z435" s="1">
        <v>2021</v>
      </c>
      <c r="AA435" s="2">
        <v>1074189.8799999999</v>
      </c>
      <c r="AB435" s="2"/>
      <c r="AC435" s="2">
        <v>1074189.8799999999</v>
      </c>
      <c r="AG435" s="1" t="s">
        <v>2153</v>
      </c>
      <c r="AI435" s="2">
        <v>1074189.8799999999</v>
      </c>
      <c r="AJ435" s="2">
        <v>3.08</v>
      </c>
      <c r="AL435" s="1" t="s">
        <v>2569</v>
      </c>
    </row>
    <row r="436" spans="1:38" ht="12.6" customHeight="1" x14ac:dyDescent="0.2">
      <c r="A436" s="1" t="s">
        <v>57</v>
      </c>
      <c r="B436" s="9" t="s">
        <v>38</v>
      </c>
      <c r="C436" s="1" t="s">
        <v>58</v>
      </c>
      <c r="D436" s="1" t="s">
        <v>59</v>
      </c>
      <c r="E436" s="1" t="s">
        <v>42</v>
      </c>
      <c r="F436" s="1" t="s">
        <v>165</v>
      </c>
      <c r="G436" s="1" t="s">
        <v>88</v>
      </c>
      <c r="H436" s="1" t="s">
        <v>166</v>
      </c>
      <c r="I436" s="1" t="s">
        <v>2570</v>
      </c>
      <c r="J436" s="1">
        <v>2023</v>
      </c>
      <c r="K436" s="1" t="s">
        <v>2571</v>
      </c>
      <c r="L436" s="1" t="s">
        <v>2571</v>
      </c>
      <c r="M436" s="1" t="s">
        <v>1240</v>
      </c>
      <c r="P436" s="1" t="s">
        <v>2572</v>
      </c>
      <c r="Q436" s="1" t="s">
        <v>101</v>
      </c>
      <c r="R436" s="1" t="s">
        <v>326</v>
      </c>
      <c r="S436" s="1" t="s">
        <v>361</v>
      </c>
      <c r="T436" s="2" t="s">
        <v>362</v>
      </c>
      <c r="U436" s="1">
        <v>2</v>
      </c>
      <c r="V436" s="1" t="s">
        <v>80</v>
      </c>
      <c r="W436" s="1" t="s">
        <v>2573</v>
      </c>
      <c r="Y436" s="10">
        <v>45802</v>
      </c>
      <c r="Z436" s="1">
        <v>2025</v>
      </c>
      <c r="AA436" s="12">
        <v>222553.94</v>
      </c>
      <c r="AB436" s="2"/>
      <c r="AC436" s="12">
        <v>38946.94</v>
      </c>
      <c r="AD436" s="1">
        <v>1</v>
      </c>
      <c r="AE436" s="1">
        <v>1</v>
      </c>
      <c r="AG436" s="1" t="s">
        <v>56</v>
      </c>
      <c r="AI436" s="13">
        <v>38946.94</v>
      </c>
    </row>
    <row r="437" spans="1:38" ht="12.6" customHeight="1" x14ac:dyDescent="0.2">
      <c r="A437" s="1" t="s">
        <v>57</v>
      </c>
      <c r="B437" s="9" t="s">
        <v>38</v>
      </c>
      <c r="C437" s="1" t="s">
        <v>58</v>
      </c>
      <c r="D437" s="1" t="s">
        <v>59</v>
      </c>
      <c r="E437" s="1" t="s">
        <v>42</v>
      </c>
      <c r="F437" s="1" t="s">
        <v>165</v>
      </c>
      <c r="G437" s="1" t="s">
        <v>88</v>
      </c>
      <c r="H437" s="1" t="s">
        <v>166</v>
      </c>
      <c r="I437" s="1" t="s">
        <v>2574</v>
      </c>
      <c r="J437" s="1">
        <v>2023</v>
      </c>
      <c r="K437" s="1" t="s">
        <v>2575</v>
      </c>
      <c r="L437" s="1" t="s">
        <v>2576</v>
      </c>
      <c r="M437" s="1" t="s">
        <v>2577</v>
      </c>
      <c r="P437" s="1" t="s">
        <v>2578</v>
      </c>
      <c r="Q437" s="1" t="s">
        <v>110</v>
      </c>
      <c r="R437" s="1" t="s">
        <v>605</v>
      </c>
      <c r="S437" s="1" t="s">
        <v>606</v>
      </c>
      <c r="T437" s="2" t="s">
        <v>607</v>
      </c>
      <c r="U437" s="1">
        <v>1</v>
      </c>
      <c r="V437" s="1" t="s">
        <v>80</v>
      </c>
      <c r="W437" s="1" t="s">
        <v>2579</v>
      </c>
      <c r="Y437" s="10">
        <v>45802</v>
      </c>
      <c r="Z437" s="1">
        <v>2025</v>
      </c>
      <c r="AA437" s="12">
        <v>201456.57</v>
      </c>
      <c r="AB437" s="2"/>
      <c r="AC437" s="12">
        <v>100728.29</v>
      </c>
      <c r="AD437" s="1">
        <v>1</v>
      </c>
      <c r="AE437" s="1">
        <v>1</v>
      </c>
      <c r="AG437" s="1" t="s">
        <v>56</v>
      </c>
      <c r="AI437" s="13">
        <v>100728.29</v>
      </c>
    </row>
    <row r="438" spans="1:38" ht="12.6" customHeight="1" x14ac:dyDescent="0.2">
      <c r="A438" s="1" t="s">
        <v>57</v>
      </c>
      <c r="B438" s="9" t="s">
        <v>38</v>
      </c>
      <c r="C438" s="1" t="s">
        <v>58</v>
      </c>
      <c r="D438" s="1" t="s">
        <v>59</v>
      </c>
      <c r="E438" s="1" t="s">
        <v>42</v>
      </c>
      <c r="F438" s="1" t="s">
        <v>165</v>
      </c>
      <c r="G438" s="1" t="s">
        <v>88</v>
      </c>
      <c r="H438" s="1" t="s">
        <v>166</v>
      </c>
      <c r="I438" s="1" t="s">
        <v>2580</v>
      </c>
      <c r="J438" s="1">
        <v>2023</v>
      </c>
      <c r="K438" s="1" t="s">
        <v>2581</v>
      </c>
      <c r="L438" s="1" t="s">
        <v>2582</v>
      </c>
      <c r="M438" s="1" t="s">
        <v>2583</v>
      </c>
      <c r="P438" s="1" t="s">
        <v>2584</v>
      </c>
      <c r="Q438" s="1" t="s">
        <v>110</v>
      </c>
      <c r="R438" s="1" t="s">
        <v>605</v>
      </c>
      <c r="S438" s="1" t="s">
        <v>606</v>
      </c>
      <c r="T438" s="2" t="s">
        <v>607</v>
      </c>
      <c r="U438" s="1">
        <v>1</v>
      </c>
      <c r="V438" s="1" t="s">
        <v>80</v>
      </c>
      <c r="W438" s="1" t="s">
        <v>2585</v>
      </c>
      <c r="Y438" s="10">
        <v>45802</v>
      </c>
      <c r="Z438" s="1">
        <v>2025</v>
      </c>
      <c r="AA438" s="12">
        <v>294119.5</v>
      </c>
      <c r="AB438" s="2"/>
      <c r="AC438" s="12">
        <v>117647.8</v>
      </c>
      <c r="AD438" s="1">
        <v>7</v>
      </c>
      <c r="AE438" s="1">
        <v>1</v>
      </c>
      <c r="AG438" s="1" t="s">
        <v>56</v>
      </c>
      <c r="AI438" s="13">
        <v>117647.8</v>
      </c>
    </row>
    <row r="439" spans="1:38" ht="12.6" customHeight="1" x14ac:dyDescent="0.2">
      <c r="A439" s="1" t="s">
        <v>57</v>
      </c>
      <c r="B439" s="9" t="s">
        <v>38</v>
      </c>
      <c r="C439" s="1" t="s">
        <v>58</v>
      </c>
      <c r="D439" s="1" t="s">
        <v>59</v>
      </c>
      <c r="E439" s="1" t="s">
        <v>42</v>
      </c>
      <c r="F439" s="1" t="s">
        <v>165</v>
      </c>
      <c r="G439" s="1" t="s">
        <v>88</v>
      </c>
      <c r="H439" s="1" t="s">
        <v>166</v>
      </c>
      <c r="I439" s="1" t="s">
        <v>2586</v>
      </c>
      <c r="J439" s="1">
        <v>2023</v>
      </c>
      <c r="K439" s="1" t="s">
        <v>2587</v>
      </c>
      <c r="L439" s="1" t="s">
        <v>2587</v>
      </c>
      <c r="M439" s="1" t="s">
        <v>1240</v>
      </c>
      <c r="P439" s="1" t="s">
        <v>2588</v>
      </c>
      <c r="Q439" s="1" t="s">
        <v>101</v>
      </c>
      <c r="R439" s="1" t="s">
        <v>102</v>
      </c>
      <c r="S439" s="1" t="s">
        <v>562</v>
      </c>
      <c r="T439" s="2" t="s">
        <v>563</v>
      </c>
      <c r="U439" s="1">
        <v>1</v>
      </c>
      <c r="V439" s="1" t="str">
        <f>VLOOKUP(Tabla35[[#This Row],[Municipio]],[1]CON_INE_2024!$H$5:$K$353,3,FALSE)</f>
        <v>Aragón</v>
      </c>
      <c r="W439" s="1" t="s">
        <v>2589</v>
      </c>
      <c r="Y439" s="10">
        <v>45802</v>
      </c>
      <c r="Z439" s="1">
        <v>2025</v>
      </c>
      <c r="AA439" s="12">
        <v>35504.93</v>
      </c>
      <c r="AB439" s="2"/>
      <c r="AC439" s="12">
        <v>14201.97</v>
      </c>
      <c r="AD439" s="1">
        <v>2</v>
      </c>
      <c r="AE439" s="1">
        <v>1</v>
      </c>
      <c r="AG439" s="1" t="s">
        <v>56</v>
      </c>
      <c r="AI439" s="13">
        <v>14201.97</v>
      </c>
    </row>
    <row r="440" spans="1:38" ht="12.6" customHeight="1" x14ac:dyDescent="0.2">
      <c r="A440" s="1" t="s">
        <v>57</v>
      </c>
      <c r="B440" s="9" t="s">
        <v>38</v>
      </c>
      <c r="C440" s="1" t="s">
        <v>58</v>
      </c>
      <c r="D440" s="1" t="s">
        <v>1409</v>
      </c>
      <c r="E440" s="1" t="s">
        <v>42</v>
      </c>
      <c r="F440" s="1" t="s">
        <v>2145</v>
      </c>
      <c r="G440" s="1" t="s">
        <v>2146</v>
      </c>
      <c r="H440" s="1" t="s">
        <v>2147</v>
      </c>
      <c r="I440" s="1" t="s">
        <v>2590</v>
      </c>
      <c r="J440" s="1">
        <v>2021</v>
      </c>
      <c r="K440" s="1" t="s">
        <v>2559</v>
      </c>
      <c r="L440" s="1" t="s">
        <v>2559</v>
      </c>
      <c r="M440" s="1" t="s">
        <v>2529</v>
      </c>
      <c r="P440" s="1" t="s">
        <v>2151</v>
      </c>
      <c r="Q440" s="1" t="s">
        <v>50</v>
      </c>
      <c r="R440" s="1" t="s">
        <v>77</v>
      </c>
      <c r="S440" s="11" t="s">
        <v>407</v>
      </c>
      <c r="T440" s="1" t="s">
        <v>408</v>
      </c>
      <c r="U440" s="1">
        <v>1</v>
      </c>
      <c r="V440" s="1" t="s">
        <v>186</v>
      </c>
      <c r="W440" s="1" t="s">
        <v>2591</v>
      </c>
      <c r="Y440" s="10">
        <v>44363</v>
      </c>
      <c r="Z440" s="1">
        <v>2021</v>
      </c>
      <c r="AA440" s="2">
        <v>1278639</v>
      </c>
      <c r="AB440" s="2"/>
      <c r="AC440" s="2">
        <v>1278639</v>
      </c>
      <c r="AG440" s="1" t="s">
        <v>2153</v>
      </c>
      <c r="AI440" s="2">
        <v>1278639</v>
      </c>
      <c r="AJ440" s="2">
        <v>18.89</v>
      </c>
      <c r="AL440" s="1" t="s">
        <v>2592</v>
      </c>
    </row>
    <row r="441" spans="1:38" ht="12.6" customHeight="1" x14ac:dyDescent="0.2">
      <c r="A441" s="1" t="s">
        <v>57</v>
      </c>
      <c r="B441" s="9" t="s">
        <v>38</v>
      </c>
      <c r="C441" s="1" t="s">
        <v>58</v>
      </c>
      <c r="D441" s="1" t="s">
        <v>1409</v>
      </c>
      <c r="E441" s="1" t="s">
        <v>42</v>
      </c>
      <c r="F441" s="1" t="s">
        <v>2145</v>
      </c>
      <c r="G441" s="1" t="s">
        <v>2146</v>
      </c>
      <c r="H441" s="1" t="s">
        <v>2147</v>
      </c>
      <c r="I441" s="1" t="s">
        <v>2593</v>
      </c>
      <c r="J441" s="1">
        <v>2021</v>
      </c>
      <c r="K441" s="1" t="s">
        <v>2149</v>
      </c>
      <c r="L441" s="1" t="s">
        <v>2149</v>
      </c>
      <c r="M441" s="1" t="s">
        <v>2150</v>
      </c>
      <c r="P441" s="1" t="s">
        <v>2151</v>
      </c>
      <c r="Q441" s="1" t="s">
        <v>50</v>
      </c>
      <c r="R441" s="1" t="s">
        <v>68</v>
      </c>
      <c r="S441" s="1" t="s">
        <v>1360</v>
      </c>
      <c r="T441" s="1" t="s">
        <v>1361</v>
      </c>
      <c r="U441" s="1">
        <v>1</v>
      </c>
      <c r="V441" s="1" t="s">
        <v>71</v>
      </c>
      <c r="W441" s="1" t="s">
        <v>2594</v>
      </c>
      <c r="Y441" s="10">
        <v>44363</v>
      </c>
      <c r="Z441" s="1">
        <v>2021</v>
      </c>
      <c r="AA441" s="2">
        <v>738706.65</v>
      </c>
      <c r="AB441" s="2"/>
      <c r="AC441" s="2">
        <v>738706.65</v>
      </c>
      <c r="AG441" s="1" t="s">
        <v>2153</v>
      </c>
      <c r="AI441" s="2">
        <v>738706.65</v>
      </c>
      <c r="AJ441" s="2">
        <v>8.58</v>
      </c>
      <c r="AL441" s="1" t="s">
        <v>2569</v>
      </c>
    </row>
    <row r="442" spans="1:38" ht="12.6" customHeight="1" x14ac:dyDescent="0.2">
      <c r="A442" s="1" t="s">
        <v>57</v>
      </c>
      <c r="B442" s="9" t="s">
        <v>38</v>
      </c>
      <c r="C442" s="1" t="s">
        <v>58</v>
      </c>
      <c r="D442" s="1" t="s">
        <v>59</v>
      </c>
      <c r="E442" s="1" t="s">
        <v>42</v>
      </c>
      <c r="F442" s="1" t="s">
        <v>165</v>
      </c>
      <c r="G442" s="1" t="s">
        <v>88</v>
      </c>
      <c r="H442" s="1" t="s">
        <v>166</v>
      </c>
      <c r="I442" s="1" t="s">
        <v>2595</v>
      </c>
      <c r="J442" s="1">
        <v>2023</v>
      </c>
      <c r="K442" s="1" t="s">
        <v>2596</v>
      </c>
      <c r="L442" s="29" t="s">
        <v>2597</v>
      </c>
      <c r="M442" s="1" t="s">
        <v>2598</v>
      </c>
      <c r="P442" s="1" t="s">
        <v>2020</v>
      </c>
      <c r="Q442" s="1" t="s">
        <v>101</v>
      </c>
      <c r="R442" s="1" t="s">
        <v>102</v>
      </c>
      <c r="S442" s="1" t="s">
        <v>637</v>
      </c>
      <c r="T442" s="2" t="s">
        <v>638</v>
      </c>
      <c r="U442" s="1">
        <v>1</v>
      </c>
      <c r="V442" s="1" t="str">
        <f>VLOOKUP(Tabla35[[#This Row],[Municipio]],[1]CON_INE_2024!$H$5:$K$353,3,FALSE)</f>
        <v>Aragón</v>
      </c>
      <c r="W442" s="1" t="s">
        <v>2599</v>
      </c>
      <c r="Y442" s="10">
        <v>45802</v>
      </c>
      <c r="Z442" s="1">
        <v>2025</v>
      </c>
      <c r="AA442" s="12">
        <v>52207.21</v>
      </c>
      <c r="AB442" s="2"/>
      <c r="AC442" s="12">
        <v>20882.88</v>
      </c>
      <c r="AD442" s="1">
        <v>0</v>
      </c>
      <c r="AE442" s="1">
        <v>0</v>
      </c>
      <c r="AG442" s="1" t="s">
        <v>56</v>
      </c>
      <c r="AI442" s="13">
        <v>20882.88</v>
      </c>
    </row>
    <row r="443" spans="1:38" ht="12.6" customHeight="1" x14ac:dyDescent="0.2">
      <c r="A443" s="1" t="s">
        <v>57</v>
      </c>
      <c r="B443" s="9" t="s">
        <v>38</v>
      </c>
      <c r="C443" s="1" t="s">
        <v>58</v>
      </c>
      <c r="D443" s="1" t="s">
        <v>59</v>
      </c>
      <c r="E443" s="1" t="s">
        <v>42</v>
      </c>
      <c r="F443" s="1" t="s">
        <v>165</v>
      </c>
      <c r="G443" s="1" t="s">
        <v>88</v>
      </c>
      <c r="H443" s="1" t="s">
        <v>166</v>
      </c>
      <c r="I443" s="1" t="s">
        <v>2600</v>
      </c>
      <c r="J443" s="1">
        <v>2023</v>
      </c>
      <c r="K443" s="1" t="s">
        <v>2601</v>
      </c>
      <c r="L443" s="1" t="s">
        <v>2601</v>
      </c>
      <c r="M443" s="1" t="s">
        <v>2602</v>
      </c>
      <c r="P443" s="1" t="s">
        <v>2603</v>
      </c>
      <c r="Q443" s="1" t="s">
        <v>101</v>
      </c>
      <c r="R443" s="1" t="s">
        <v>102</v>
      </c>
      <c r="S443" s="1" t="s">
        <v>255</v>
      </c>
      <c r="T443" s="2" t="s">
        <v>256</v>
      </c>
      <c r="U443" s="1">
        <v>1</v>
      </c>
      <c r="V443" s="1" t="str">
        <f>VLOOKUP(Tabla35[[#This Row],[Municipio]],[1]CON_INE_2024!$H$5:$K$353,3,FALSE)</f>
        <v>Aragón</v>
      </c>
      <c r="W443" s="1" t="s">
        <v>2604</v>
      </c>
      <c r="Y443" s="10">
        <v>45802</v>
      </c>
      <c r="Z443" s="1">
        <v>2025</v>
      </c>
      <c r="AA443" s="12">
        <v>457617.16</v>
      </c>
      <c r="AB443" s="2"/>
      <c r="AC443" s="12">
        <v>137285.15</v>
      </c>
      <c r="AD443" s="1">
        <v>2</v>
      </c>
      <c r="AE443" s="1">
        <v>0</v>
      </c>
      <c r="AG443" s="1" t="s">
        <v>56</v>
      </c>
      <c r="AI443" s="13">
        <v>137285.15</v>
      </c>
    </row>
    <row r="444" spans="1:38" ht="12.6" customHeight="1" x14ac:dyDescent="0.25">
      <c r="A444" s="1" t="s">
        <v>57</v>
      </c>
      <c r="B444" s="9" t="s">
        <v>38</v>
      </c>
      <c r="C444" s="1" t="s">
        <v>58</v>
      </c>
      <c r="D444" s="1" t="s">
        <v>59</v>
      </c>
      <c r="E444" s="1" t="s">
        <v>42</v>
      </c>
      <c r="G444" s="1" t="s">
        <v>105</v>
      </c>
      <c r="H444" s="1" t="s">
        <v>1893</v>
      </c>
      <c r="I444" s="1" t="s">
        <v>2605</v>
      </c>
      <c r="J444" s="1">
        <v>2023</v>
      </c>
      <c r="K444" s="1" t="s">
        <v>2606</v>
      </c>
      <c r="L444" s="1" t="s">
        <v>2607</v>
      </c>
      <c r="M444" s="1" t="s">
        <v>2608</v>
      </c>
      <c r="P444" s="1" t="s">
        <v>2609</v>
      </c>
      <c r="Q444" s="1" t="s">
        <v>842</v>
      </c>
      <c r="R444" s="1" t="s">
        <v>1177</v>
      </c>
      <c r="S444" s="16" t="s">
        <v>1178</v>
      </c>
      <c r="T444" s="1" t="s">
        <v>1179</v>
      </c>
      <c r="V444" s="1" t="s">
        <v>1178</v>
      </c>
      <c r="W444" s="1" t="s">
        <v>2606</v>
      </c>
      <c r="Y444" s="10">
        <v>45462</v>
      </c>
      <c r="Z444" s="1">
        <v>2024</v>
      </c>
      <c r="AA444" s="2">
        <v>460378.97</v>
      </c>
      <c r="AB444" s="2"/>
      <c r="AC444" s="2">
        <v>141303.88</v>
      </c>
      <c r="AD444" s="1">
        <v>8</v>
      </c>
      <c r="AE444" s="1">
        <v>7</v>
      </c>
      <c r="AG444" s="1" t="s">
        <v>56</v>
      </c>
      <c r="AI444" s="2">
        <v>141303.88</v>
      </c>
    </row>
    <row r="445" spans="1:38" ht="14.45" customHeight="1" x14ac:dyDescent="0.2">
      <c r="A445" s="1" t="s">
        <v>57</v>
      </c>
      <c r="B445" s="9" t="s">
        <v>38</v>
      </c>
      <c r="C445" s="1" t="s">
        <v>58</v>
      </c>
      <c r="D445" s="1" t="s">
        <v>59</v>
      </c>
      <c r="E445" s="1" t="s">
        <v>42</v>
      </c>
      <c r="G445" s="1" t="s">
        <v>105</v>
      </c>
      <c r="H445" s="1" t="s">
        <v>1893</v>
      </c>
      <c r="I445" s="1" t="s">
        <v>2610</v>
      </c>
      <c r="J445" s="1">
        <v>2023</v>
      </c>
      <c r="K445" s="1" t="s">
        <v>2611</v>
      </c>
      <c r="L445" s="1" t="s">
        <v>2612</v>
      </c>
      <c r="M445" s="1" t="s">
        <v>2613</v>
      </c>
      <c r="P445" s="1" t="s">
        <v>2614</v>
      </c>
      <c r="Q445" s="1" t="s">
        <v>842</v>
      </c>
      <c r="R445" s="1" t="s">
        <v>884</v>
      </c>
      <c r="S445" s="1" t="s">
        <v>885</v>
      </c>
      <c r="T445" s="1" t="s">
        <v>886</v>
      </c>
      <c r="V445" s="1" t="s">
        <v>887</v>
      </c>
      <c r="W445" s="1" t="s">
        <v>2611</v>
      </c>
      <c r="Y445" s="10">
        <v>45462</v>
      </c>
      <c r="Z445" s="1">
        <v>2024</v>
      </c>
      <c r="AA445" s="2">
        <v>2081958.6</v>
      </c>
      <c r="AB445" s="2"/>
      <c r="AC445" s="2">
        <v>984587.58</v>
      </c>
      <c r="AD445" s="1">
        <v>26</v>
      </c>
      <c r="AE445" s="1">
        <v>8</v>
      </c>
      <c r="AG445" s="1" t="s">
        <v>56</v>
      </c>
      <c r="AI445" s="2">
        <v>984587.58</v>
      </c>
    </row>
    <row r="446" spans="1:38" ht="14.45" customHeight="1" x14ac:dyDescent="0.25">
      <c r="A446" s="1" t="s">
        <v>57</v>
      </c>
      <c r="B446" s="9" t="s">
        <v>38</v>
      </c>
      <c r="C446" s="1" t="s">
        <v>58</v>
      </c>
      <c r="D446" s="1" t="s">
        <v>146</v>
      </c>
      <c r="E446" s="1" t="s">
        <v>42</v>
      </c>
      <c r="G446" s="1" t="s">
        <v>155</v>
      </c>
      <c r="H446" s="1" t="s">
        <v>156</v>
      </c>
      <c r="I446" s="1" t="s">
        <v>2615</v>
      </c>
      <c r="J446" s="1">
        <v>2022</v>
      </c>
      <c r="K446" s="1" t="s">
        <v>2616</v>
      </c>
      <c r="L446" s="1" t="s">
        <v>2617</v>
      </c>
      <c r="P446" s="1" t="s">
        <v>2618</v>
      </c>
      <c r="Q446" s="1" t="s">
        <v>50</v>
      </c>
      <c r="R446" s="1" t="s">
        <v>51</v>
      </c>
      <c r="S446" s="16" t="s">
        <v>2619</v>
      </c>
      <c r="T446" s="1" t="s">
        <v>2620</v>
      </c>
      <c r="V446" s="1" t="s">
        <v>54</v>
      </c>
      <c r="W446" s="1" t="s">
        <v>2621</v>
      </c>
      <c r="Y446" s="10">
        <v>45112</v>
      </c>
      <c r="Z446" s="1">
        <v>2023</v>
      </c>
      <c r="AA446" s="2">
        <v>413107.6</v>
      </c>
      <c r="AB446" s="2"/>
      <c r="AC446" s="2">
        <v>413107.6</v>
      </c>
      <c r="AG446" s="1" t="s">
        <v>56</v>
      </c>
      <c r="AI446" s="2">
        <v>413107.6</v>
      </c>
    </row>
    <row r="447" spans="1:38" ht="14.45" customHeight="1" x14ac:dyDescent="0.2">
      <c r="A447" s="1" t="s">
        <v>57</v>
      </c>
      <c r="B447" s="9" t="s">
        <v>38</v>
      </c>
      <c r="C447" s="1" t="s">
        <v>58</v>
      </c>
      <c r="D447" s="1" t="s">
        <v>146</v>
      </c>
      <c r="E447" s="1" t="s">
        <v>42</v>
      </c>
      <c r="G447" s="1" t="s">
        <v>155</v>
      </c>
      <c r="H447" s="1" t="s">
        <v>156</v>
      </c>
      <c r="I447" s="1" t="s">
        <v>2622</v>
      </c>
      <c r="J447" s="1">
        <v>2022</v>
      </c>
      <c r="K447" s="1" t="s">
        <v>2623</v>
      </c>
      <c r="L447" s="1" t="s">
        <v>2624</v>
      </c>
      <c r="P447" s="1" t="s">
        <v>1534</v>
      </c>
      <c r="Q447" s="1" t="s">
        <v>1149</v>
      </c>
      <c r="R447" s="1" t="s">
        <v>1150</v>
      </c>
      <c r="S447" s="1" t="s">
        <v>1535</v>
      </c>
      <c r="T447" s="1" t="s">
        <v>1536</v>
      </c>
      <c r="V447" s="1" t="s">
        <v>1537</v>
      </c>
      <c r="W447" s="1" t="s">
        <v>2625</v>
      </c>
      <c r="Y447" s="10">
        <v>45112</v>
      </c>
      <c r="Z447" s="1">
        <v>2023</v>
      </c>
      <c r="AA447" s="2">
        <v>498393.68</v>
      </c>
      <c r="AB447" s="2"/>
      <c r="AC447" s="2">
        <v>498393.68</v>
      </c>
      <c r="AG447" s="1" t="s">
        <v>56</v>
      </c>
      <c r="AI447" s="2">
        <v>498393.68</v>
      </c>
    </row>
    <row r="448" spans="1:38" ht="14.45" customHeight="1" x14ac:dyDescent="0.2">
      <c r="A448" s="1" t="s">
        <v>57</v>
      </c>
      <c r="B448" s="9" t="s">
        <v>38</v>
      </c>
      <c r="C448" s="1" t="s">
        <v>58</v>
      </c>
      <c r="D448" s="1" t="s">
        <v>59</v>
      </c>
      <c r="E448" s="1" t="s">
        <v>42</v>
      </c>
      <c r="G448" s="1" t="s">
        <v>105</v>
      </c>
      <c r="H448" s="1" t="s">
        <v>1893</v>
      </c>
      <c r="I448" s="1" t="s">
        <v>2626</v>
      </c>
      <c r="J448" s="1">
        <v>2023</v>
      </c>
      <c r="K448" s="1" t="s">
        <v>2627</v>
      </c>
      <c r="L448" s="1" t="s">
        <v>2628</v>
      </c>
      <c r="M448" s="1" t="s">
        <v>882</v>
      </c>
      <c r="P448" s="1" t="s">
        <v>2629</v>
      </c>
      <c r="Q448" s="1" t="s">
        <v>842</v>
      </c>
      <c r="R448" s="1" t="s">
        <v>884</v>
      </c>
      <c r="S448" s="1" t="s">
        <v>1011</v>
      </c>
      <c r="T448" s="1" t="s">
        <v>1012</v>
      </c>
      <c r="V448" s="1" t="s">
        <v>887</v>
      </c>
      <c r="W448" s="1" t="s">
        <v>2627</v>
      </c>
      <c r="Y448" s="10">
        <v>45462</v>
      </c>
      <c r="Z448" s="1">
        <v>2024</v>
      </c>
      <c r="AA448" s="2">
        <v>1614743.9</v>
      </c>
      <c r="AB448" s="2"/>
      <c r="AC448" s="2">
        <v>529423.16</v>
      </c>
      <c r="AD448" s="1">
        <v>3</v>
      </c>
      <c r="AE448" s="1">
        <v>1</v>
      </c>
      <c r="AG448" s="1" t="s">
        <v>56</v>
      </c>
      <c r="AI448" s="2">
        <v>529423.16</v>
      </c>
    </row>
    <row r="449" spans="1:35" ht="14.45" customHeight="1" x14ac:dyDescent="0.2">
      <c r="A449" s="1" t="s">
        <v>57</v>
      </c>
      <c r="B449" s="9" t="s">
        <v>38</v>
      </c>
      <c r="C449" s="1" t="s">
        <v>58</v>
      </c>
      <c r="D449" s="1" t="s">
        <v>59</v>
      </c>
      <c r="E449" s="1" t="s">
        <v>42</v>
      </c>
      <c r="G449" s="1" t="s">
        <v>105</v>
      </c>
      <c r="H449" s="1" t="s">
        <v>1893</v>
      </c>
      <c r="I449" s="1" t="s">
        <v>2630</v>
      </c>
      <c r="J449" s="1">
        <v>2023</v>
      </c>
      <c r="K449" s="1" t="s">
        <v>2631</v>
      </c>
      <c r="L449" s="1" t="s">
        <v>2632</v>
      </c>
      <c r="P449" s="1" t="s">
        <v>2633</v>
      </c>
      <c r="Q449" s="1" t="s">
        <v>1149</v>
      </c>
      <c r="R449" s="1" t="s">
        <v>1150</v>
      </c>
      <c r="S449" s="1" t="s">
        <v>1151</v>
      </c>
      <c r="T449" s="1" t="s">
        <v>1152</v>
      </c>
      <c r="V449" s="1" t="s">
        <v>1153</v>
      </c>
      <c r="W449" s="1" t="s">
        <v>2634</v>
      </c>
      <c r="Y449" s="10">
        <v>45594</v>
      </c>
      <c r="Z449" s="1">
        <v>2024</v>
      </c>
      <c r="AA449" s="2">
        <v>1948628.5</v>
      </c>
      <c r="AB449" s="2"/>
      <c r="AC449" s="2">
        <v>378509.99</v>
      </c>
      <c r="AD449" s="1">
        <v>5</v>
      </c>
      <c r="AE449" s="1">
        <v>0</v>
      </c>
      <c r="AG449" s="1" t="s">
        <v>56</v>
      </c>
      <c r="AI449" s="2">
        <v>378509.99</v>
      </c>
    </row>
    <row r="450" spans="1:35" ht="14.45" customHeight="1" x14ac:dyDescent="0.25">
      <c r="A450" s="1" t="s">
        <v>57</v>
      </c>
      <c r="B450" s="9" t="s">
        <v>39</v>
      </c>
      <c r="C450" s="1" t="s">
        <v>58</v>
      </c>
      <c r="D450" s="1" t="s">
        <v>146</v>
      </c>
      <c r="E450" s="1" t="s">
        <v>42</v>
      </c>
      <c r="G450" s="1" t="s">
        <v>155</v>
      </c>
      <c r="H450" s="1" t="s">
        <v>156</v>
      </c>
      <c r="I450" s="1" t="s">
        <v>2635</v>
      </c>
      <c r="J450" s="1">
        <v>2022</v>
      </c>
      <c r="K450" s="14" t="s">
        <v>2636</v>
      </c>
      <c r="P450" s="1" t="s">
        <v>2637</v>
      </c>
      <c r="Q450" s="1" t="s">
        <v>50</v>
      </c>
      <c r="R450" s="1" t="s">
        <v>77</v>
      </c>
      <c r="S450" s="16" t="s">
        <v>2638</v>
      </c>
      <c r="T450" s="1" t="s">
        <v>2639</v>
      </c>
      <c r="U450" s="1">
        <v>1</v>
      </c>
      <c r="V450" s="1" t="s">
        <v>186</v>
      </c>
      <c r="W450" s="1" t="s">
        <v>2640</v>
      </c>
      <c r="Y450" s="10">
        <v>45174</v>
      </c>
      <c r="Z450" s="1">
        <v>2023</v>
      </c>
      <c r="AA450" s="2">
        <v>1333513.6499999999</v>
      </c>
      <c r="AB450" s="2"/>
      <c r="AC450" s="2">
        <v>1333513.6499999999</v>
      </c>
      <c r="AG450" s="1" t="s">
        <v>432</v>
      </c>
      <c r="AH450" s="1" t="s">
        <v>492</v>
      </c>
      <c r="AI450" s="2">
        <v>0</v>
      </c>
    </row>
    <row r="451" spans="1:35" ht="14.45" customHeight="1" x14ac:dyDescent="0.2">
      <c r="A451" s="1" t="s">
        <v>57</v>
      </c>
      <c r="B451" s="9" t="s">
        <v>38</v>
      </c>
      <c r="C451" s="1" t="s">
        <v>58</v>
      </c>
      <c r="D451" s="1" t="s">
        <v>146</v>
      </c>
      <c r="E451" s="1" t="s">
        <v>42</v>
      </c>
      <c r="G451" s="1" t="s">
        <v>155</v>
      </c>
      <c r="H451" s="1" t="s">
        <v>156</v>
      </c>
      <c r="I451" s="1" t="s">
        <v>2641</v>
      </c>
      <c r="J451" s="1">
        <v>2022</v>
      </c>
      <c r="K451" s="1" t="s">
        <v>1497</v>
      </c>
      <c r="L451" s="1" t="s">
        <v>1498</v>
      </c>
      <c r="P451" s="1" t="s">
        <v>2642</v>
      </c>
      <c r="Q451" s="1" t="s">
        <v>101</v>
      </c>
      <c r="R451" s="1" t="s">
        <v>102</v>
      </c>
      <c r="S451" s="1" t="s">
        <v>1272</v>
      </c>
      <c r="T451" s="1" t="s">
        <v>1273</v>
      </c>
      <c r="U451" s="1">
        <v>2</v>
      </c>
      <c r="V451" s="1" t="s">
        <v>101</v>
      </c>
      <c r="W451" s="1" t="s">
        <v>2643</v>
      </c>
      <c r="Y451" s="10">
        <v>45112</v>
      </c>
      <c r="Z451" s="1">
        <v>2023</v>
      </c>
      <c r="AA451" s="2">
        <v>378020.31</v>
      </c>
      <c r="AB451" s="2"/>
      <c r="AC451" s="2">
        <v>378020.31</v>
      </c>
      <c r="AG451" s="1" t="s">
        <v>56</v>
      </c>
      <c r="AI451" s="2">
        <v>378020.31</v>
      </c>
    </row>
    <row r="452" spans="1:35" ht="14.45" customHeight="1" x14ac:dyDescent="0.2">
      <c r="A452" s="1" t="s">
        <v>57</v>
      </c>
      <c r="B452" s="9" t="s">
        <v>38</v>
      </c>
      <c r="C452" s="1" t="s">
        <v>58</v>
      </c>
      <c r="D452" s="1" t="s">
        <v>59</v>
      </c>
      <c r="E452" s="1" t="s">
        <v>42</v>
      </c>
      <c r="G452" s="1" t="s">
        <v>105</v>
      </c>
      <c r="H452" s="1" t="s">
        <v>1893</v>
      </c>
      <c r="I452" s="1" t="s">
        <v>2644</v>
      </c>
      <c r="J452" s="1">
        <v>2023</v>
      </c>
      <c r="K452" s="1" t="s">
        <v>2645</v>
      </c>
      <c r="L452" s="1" t="s">
        <v>2646</v>
      </c>
      <c r="M452" s="1" t="s">
        <v>882</v>
      </c>
      <c r="P452" s="1" t="s">
        <v>2647</v>
      </c>
      <c r="Q452" s="1" t="s">
        <v>842</v>
      </c>
      <c r="R452" s="1" t="s">
        <v>884</v>
      </c>
      <c r="S452" s="1" t="s">
        <v>885</v>
      </c>
      <c r="T452" s="1" t="s">
        <v>886</v>
      </c>
      <c r="V452" s="1" t="s">
        <v>887</v>
      </c>
      <c r="W452" s="1" t="s">
        <v>2645</v>
      </c>
      <c r="Y452" s="10">
        <v>45462</v>
      </c>
      <c r="Z452" s="1">
        <v>2024</v>
      </c>
      <c r="AA452" s="2">
        <v>10272618.32</v>
      </c>
      <c r="AB452" s="2"/>
      <c r="AC452" s="2">
        <v>3000000</v>
      </c>
      <c r="AD452" s="1">
        <v>11</v>
      </c>
      <c r="AE452" s="1">
        <v>7</v>
      </c>
      <c r="AG452" s="1" t="s">
        <v>56</v>
      </c>
      <c r="AI452" s="2">
        <v>3000000</v>
      </c>
    </row>
    <row r="453" spans="1:35" ht="14.45" customHeight="1" x14ac:dyDescent="0.2">
      <c r="A453" s="1" t="s">
        <v>57</v>
      </c>
      <c r="B453" s="9" t="s">
        <v>38</v>
      </c>
      <c r="C453" s="1" t="s">
        <v>58</v>
      </c>
      <c r="D453" s="1" t="s">
        <v>59</v>
      </c>
      <c r="E453" s="1" t="s">
        <v>42</v>
      </c>
      <c r="G453" s="1" t="s">
        <v>105</v>
      </c>
      <c r="H453" s="1" t="s">
        <v>1893</v>
      </c>
      <c r="I453" s="1" t="s">
        <v>2648</v>
      </c>
      <c r="J453" s="1">
        <v>2023</v>
      </c>
      <c r="K453" s="1" t="s">
        <v>2649</v>
      </c>
      <c r="L453" s="1" t="s">
        <v>2650</v>
      </c>
      <c r="M453" s="1" t="s">
        <v>882</v>
      </c>
      <c r="P453" s="1" t="s">
        <v>2651</v>
      </c>
      <c r="Q453" s="1" t="s">
        <v>842</v>
      </c>
      <c r="R453" s="1" t="s">
        <v>884</v>
      </c>
      <c r="S453" s="1" t="s">
        <v>885</v>
      </c>
      <c r="T453" s="1" t="s">
        <v>886</v>
      </c>
      <c r="V453" s="1" t="s">
        <v>887</v>
      </c>
      <c r="W453" s="1" t="s">
        <v>2649</v>
      </c>
      <c r="Y453" s="10">
        <v>45462</v>
      </c>
      <c r="Z453" s="1">
        <v>2024</v>
      </c>
      <c r="AA453" s="2">
        <v>1703832.6</v>
      </c>
      <c r="AB453" s="2"/>
      <c r="AC453" s="2">
        <v>571149.78</v>
      </c>
      <c r="AD453" s="1">
        <v>4</v>
      </c>
      <c r="AE453" s="1">
        <v>2</v>
      </c>
      <c r="AG453" s="1" t="s">
        <v>56</v>
      </c>
      <c r="AI453" s="2">
        <v>571149.78</v>
      </c>
    </row>
    <row r="454" spans="1:35" ht="12.6" customHeight="1" x14ac:dyDescent="0.2">
      <c r="A454" s="1" t="s">
        <v>57</v>
      </c>
      <c r="B454" s="9" t="s">
        <v>38</v>
      </c>
      <c r="C454" s="1" t="s">
        <v>58</v>
      </c>
      <c r="D454" s="1" t="s">
        <v>146</v>
      </c>
      <c r="E454" s="1" t="s">
        <v>42</v>
      </c>
      <c r="G454" s="1" t="s">
        <v>155</v>
      </c>
      <c r="H454" s="1" t="s">
        <v>156</v>
      </c>
      <c r="I454" s="1" t="s">
        <v>2652</v>
      </c>
      <c r="J454" s="1">
        <v>2022</v>
      </c>
      <c r="K454" s="1" t="s">
        <v>2653</v>
      </c>
      <c r="L454" s="1" t="s">
        <v>2654</v>
      </c>
      <c r="P454" s="1" t="s">
        <v>2655</v>
      </c>
      <c r="Q454" s="1" t="s">
        <v>264</v>
      </c>
      <c r="R454" s="1" t="s">
        <v>265</v>
      </c>
      <c r="S454" s="1" t="s">
        <v>923</v>
      </c>
      <c r="T454" s="1" t="s">
        <v>924</v>
      </c>
      <c r="U454" s="1">
        <v>1</v>
      </c>
      <c r="V454" s="1" t="s">
        <v>268</v>
      </c>
      <c r="W454" s="1" t="s">
        <v>2656</v>
      </c>
      <c r="Y454" s="10">
        <v>45112</v>
      </c>
      <c r="Z454" s="1">
        <v>2023</v>
      </c>
      <c r="AA454" s="2">
        <v>498986.03</v>
      </c>
      <c r="AB454" s="2"/>
      <c r="AC454" s="2">
        <v>498986.03</v>
      </c>
      <c r="AG454" s="1" t="s">
        <v>56</v>
      </c>
      <c r="AI454" s="2">
        <v>498986.03</v>
      </c>
    </row>
    <row r="455" spans="1:35" ht="14.45" customHeight="1" x14ac:dyDescent="0.2">
      <c r="A455" s="1" t="s">
        <v>57</v>
      </c>
      <c r="B455" s="9" t="s">
        <v>38</v>
      </c>
      <c r="C455" s="1" t="s">
        <v>58</v>
      </c>
      <c r="D455" s="1" t="s">
        <v>59</v>
      </c>
      <c r="E455" s="1" t="s">
        <v>42</v>
      </c>
      <c r="G455" s="1" t="s">
        <v>122</v>
      </c>
      <c r="H455" s="1" t="s">
        <v>1893</v>
      </c>
      <c r="I455" s="1" t="s">
        <v>2657</v>
      </c>
      <c r="J455" s="1">
        <v>2023</v>
      </c>
      <c r="K455" s="1" t="s">
        <v>2658</v>
      </c>
      <c r="L455" s="1" t="s">
        <v>2659</v>
      </c>
      <c r="P455" s="1" t="s">
        <v>2660</v>
      </c>
      <c r="Q455" s="1" t="s">
        <v>842</v>
      </c>
      <c r="R455" s="1" t="s">
        <v>884</v>
      </c>
      <c r="S455" s="1" t="s">
        <v>885</v>
      </c>
      <c r="T455" s="1" t="s">
        <v>886</v>
      </c>
      <c r="V455" s="1" t="s">
        <v>887</v>
      </c>
      <c r="W455" s="1" t="s">
        <v>2658</v>
      </c>
      <c r="Y455" s="10">
        <v>45478</v>
      </c>
      <c r="Z455" s="1">
        <v>2024</v>
      </c>
      <c r="AA455" s="2">
        <v>50010.73</v>
      </c>
      <c r="AB455" s="2"/>
      <c r="AC455" s="2">
        <v>12502.68</v>
      </c>
      <c r="AD455" s="1">
        <v>0</v>
      </c>
      <c r="AG455" s="1" t="s">
        <v>56</v>
      </c>
      <c r="AI455" s="2">
        <v>12502.68</v>
      </c>
    </row>
    <row r="456" spans="1:35" ht="14.45" customHeight="1" x14ac:dyDescent="0.2">
      <c r="A456" s="1" t="s">
        <v>57</v>
      </c>
      <c r="B456" s="9" t="s">
        <v>38</v>
      </c>
      <c r="C456" s="1" t="s">
        <v>58</v>
      </c>
      <c r="D456" s="1" t="s">
        <v>59</v>
      </c>
      <c r="E456" s="1" t="s">
        <v>42</v>
      </c>
      <c r="G456" s="1" t="s">
        <v>122</v>
      </c>
      <c r="H456" s="1" t="s">
        <v>1893</v>
      </c>
      <c r="I456" s="1" t="s">
        <v>2661</v>
      </c>
      <c r="J456" s="1">
        <v>2023</v>
      </c>
      <c r="K456" s="1" t="s">
        <v>2662</v>
      </c>
      <c r="L456" s="1" t="s">
        <v>2663</v>
      </c>
      <c r="P456" s="1" t="s">
        <v>2664</v>
      </c>
      <c r="Q456" s="1" t="s">
        <v>842</v>
      </c>
      <c r="R456" s="1" t="s">
        <v>884</v>
      </c>
      <c r="S456" s="1" t="s">
        <v>1011</v>
      </c>
      <c r="T456" s="1" t="s">
        <v>1012</v>
      </c>
      <c r="V456" s="1" t="s">
        <v>887</v>
      </c>
      <c r="W456" s="1" t="s">
        <v>2662</v>
      </c>
      <c r="Y456" s="10">
        <v>45478</v>
      </c>
      <c r="Z456" s="1">
        <v>2024</v>
      </c>
      <c r="AA456" s="2">
        <v>63032.31</v>
      </c>
      <c r="AB456" s="2"/>
      <c r="AC456" s="2">
        <v>31516.16</v>
      </c>
      <c r="AD456" s="1">
        <v>2</v>
      </c>
      <c r="AE456" s="1">
        <v>1</v>
      </c>
      <c r="AG456" s="1" t="s">
        <v>56</v>
      </c>
      <c r="AI456" s="2">
        <v>31516.16</v>
      </c>
    </row>
    <row r="457" spans="1:35" ht="14.45" customHeight="1" x14ac:dyDescent="0.2">
      <c r="A457" s="1" t="s">
        <v>57</v>
      </c>
      <c r="B457" s="9" t="s">
        <v>38</v>
      </c>
      <c r="C457" s="1" t="s">
        <v>58</v>
      </c>
      <c r="D457" s="1" t="s">
        <v>59</v>
      </c>
      <c r="E457" s="1" t="s">
        <v>42</v>
      </c>
      <c r="G457" s="1" t="s">
        <v>122</v>
      </c>
      <c r="H457" s="1" t="s">
        <v>1893</v>
      </c>
      <c r="I457" s="1" t="s">
        <v>2665</v>
      </c>
      <c r="J457" s="1">
        <v>2023</v>
      </c>
      <c r="K457" s="1" t="s">
        <v>2666</v>
      </c>
      <c r="L457" s="1" t="s">
        <v>2667</v>
      </c>
      <c r="P457" s="1" t="s">
        <v>2668</v>
      </c>
      <c r="Q457" s="1" t="s">
        <v>842</v>
      </c>
      <c r="R457" s="1" t="s">
        <v>884</v>
      </c>
      <c r="S457" s="1" t="s">
        <v>2669</v>
      </c>
      <c r="T457" s="1" t="s">
        <v>2670</v>
      </c>
      <c r="V457" s="1" t="s">
        <v>887</v>
      </c>
      <c r="W457" s="1" t="s">
        <v>2666</v>
      </c>
      <c r="Y457" s="10">
        <v>45478</v>
      </c>
      <c r="Z457" s="1">
        <v>2024</v>
      </c>
      <c r="AA457" s="2">
        <v>33226.39</v>
      </c>
      <c r="AB457" s="2"/>
      <c r="AC457" s="2">
        <v>8306.6</v>
      </c>
      <c r="AD457" s="1">
        <v>0</v>
      </c>
      <c r="AG457" s="1" t="s">
        <v>56</v>
      </c>
      <c r="AI457" s="2">
        <v>8306.6</v>
      </c>
    </row>
    <row r="458" spans="1:35" ht="14.45" customHeight="1" x14ac:dyDescent="0.2">
      <c r="A458" s="1" t="s">
        <v>57</v>
      </c>
      <c r="B458" s="9" t="s">
        <v>38</v>
      </c>
      <c r="C458" s="1" t="s">
        <v>58</v>
      </c>
      <c r="D458" s="1" t="s">
        <v>59</v>
      </c>
      <c r="E458" s="1" t="s">
        <v>42</v>
      </c>
      <c r="G458" s="1" t="s">
        <v>105</v>
      </c>
      <c r="H458" s="1" t="s">
        <v>1893</v>
      </c>
      <c r="I458" s="1" t="s">
        <v>2671</v>
      </c>
      <c r="J458" s="1">
        <v>2023</v>
      </c>
      <c r="K458" s="1" t="s">
        <v>2672</v>
      </c>
      <c r="L458" s="1" t="s">
        <v>2673</v>
      </c>
      <c r="P458" s="1" t="s">
        <v>2674</v>
      </c>
      <c r="Q458" s="1" t="s">
        <v>264</v>
      </c>
      <c r="R458" s="1" t="s">
        <v>265</v>
      </c>
      <c r="S458" s="1" t="s">
        <v>266</v>
      </c>
      <c r="T458" s="1" t="s">
        <v>267</v>
      </c>
      <c r="U458" s="1">
        <v>2</v>
      </c>
      <c r="V458" s="1" t="s">
        <v>268</v>
      </c>
      <c r="W458" s="1" t="s">
        <v>2675</v>
      </c>
      <c r="Y458" s="10">
        <v>45462</v>
      </c>
      <c r="Z458" s="1">
        <v>2024</v>
      </c>
      <c r="AA458" s="2">
        <v>537203</v>
      </c>
      <c r="AB458" s="2"/>
      <c r="AC458" s="2">
        <v>188021.05</v>
      </c>
      <c r="AD458" s="1">
        <v>10</v>
      </c>
      <c r="AE458" s="1">
        <v>3</v>
      </c>
      <c r="AG458" s="1" t="s">
        <v>56</v>
      </c>
      <c r="AI458" s="2">
        <v>188021.05</v>
      </c>
    </row>
    <row r="459" spans="1:35" ht="14.45" customHeight="1" x14ac:dyDescent="0.2">
      <c r="A459" s="1" t="s">
        <v>57</v>
      </c>
      <c r="B459" s="9" t="s">
        <v>38</v>
      </c>
      <c r="C459" s="1" t="s">
        <v>58</v>
      </c>
      <c r="D459" s="1" t="s">
        <v>59</v>
      </c>
      <c r="E459" s="1" t="s">
        <v>42</v>
      </c>
      <c r="G459" s="1" t="s">
        <v>105</v>
      </c>
      <c r="H459" s="1" t="s">
        <v>1893</v>
      </c>
      <c r="I459" s="1" t="s">
        <v>2676</v>
      </c>
      <c r="J459" s="1">
        <v>2023</v>
      </c>
      <c r="K459" s="1" t="s">
        <v>2677</v>
      </c>
      <c r="L459" s="1" t="s">
        <v>2678</v>
      </c>
      <c r="P459" s="1" t="s">
        <v>2679</v>
      </c>
      <c r="Q459" s="1" t="s">
        <v>264</v>
      </c>
      <c r="R459" s="1" t="s">
        <v>265</v>
      </c>
      <c r="S459" s="1" t="s">
        <v>2680</v>
      </c>
      <c r="T459" s="1" t="s">
        <v>2681</v>
      </c>
      <c r="U459" s="1">
        <v>1</v>
      </c>
      <c r="V459" s="1" t="s">
        <v>308</v>
      </c>
      <c r="W459" s="1" t="s">
        <v>2682</v>
      </c>
      <c r="Y459" s="10">
        <v>45462</v>
      </c>
      <c r="Z459" s="1">
        <v>2024</v>
      </c>
      <c r="AA459" s="2">
        <v>3843821.25</v>
      </c>
      <c r="AB459" s="2"/>
      <c r="AC459" s="2">
        <v>927668.72</v>
      </c>
      <c r="AD459" s="1">
        <v>17</v>
      </c>
      <c r="AE459" s="1">
        <v>3</v>
      </c>
      <c r="AG459" s="1" t="s">
        <v>56</v>
      </c>
      <c r="AI459" s="2">
        <v>927668.72</v>
      </c>
    </row>
    <row r="460" spans="1:35" ht="14.45" customHeight="1" x14ac:dyDescent="0.2">
      <c r="A460" s="1" t="s">
        <v>57</v>
      </c>
      <c r="B460" s="9" t="s">
        <v>38</v>
      </c>
      <c r="C460" s="1" t="s">
        <v>58</v>
      </c>
      <c r="D460" s="1" t="s">
        <v>59</v>
      </c>
      <c r="E460" s="1" t="s">
        <v>42</v>
      </c>
      <c r="G460" s="1" t="s">
        <v>105</v>
      </c>
      <c r="H460" s="1" t="s">
        <v>1893</v>
      </c>
      <c r="I460" s="1" t="s">
        <v>2683</v>
      </c>
      <c r="J460" s="1">
        <v>2023</v>
      </c>
      <c r="K460" s="1" t="s">
        <v>2684</v>
      </c>
      <c r="L460" s="1" t="s">
        <v>2685</v>
      </c>
      <c r="P460" s="1" t="s">
        <v>2686</v>
      </c>
      <c r="Q460" s="1" t="s">
        <v>264</v>
      </c>
      <c r="R460" s="1" t="s">
        <v>265</v>
      </c>
      <c r="S460" s="1" t="s">
        <v>2680</v>
      </c>
      <c r="T460" s="1" t="s">
        <v>2681</v>
      </c>
      <c r="U460" s="1">
        <v>1</v>
      </c>
      <c r="V460" s="1" t="s">
        <v>308</v>
      </c>
      <c r="W460" s="1" t="s">
        <v>2687</v>
      </c>
      <c r="Y460" s="10">
        <v>45462</v>
      </c>
      <c r="Z460" s="1">
        <v>2024</v>
      </c>
      <c r="AA460" s="2">
        <v>3241330</v>
      </c>
      <c r="AB460" s="2"/>
      <c r="AC460" s="2">
        <v>619732.75</v>
      </c>
      <c r="AD460" s="1">
        <v>4</v>
      </c>
      <c r="AE460" s="1">
        <v>1</v>
      </c>
      <c r="AG460" s="1" t="s">
        <v>56</v>
      </c>
      <c r="AI460" s="2">
        <v>619732.75</v>
      </c>
    </row>
    <row r="461" spans="1:35" ht="14.45" customHeight="1" x14ac:dyDescent="0.2">
      <c r="A461" s="1" t="s">
        <v>57</v>
      </c>
      <c r="B461" s="9" t="s">
        <v>38</v>
      </c>
      <c r="C461" s="1" t="s">
        <v>58</v>
      </c>
      <c r="D461" s="1" t="s">
        <v>59</v>
      </c>
      <c r="E461" s="1" t="s">
        <v>42</v>
      </c>
      <c r="G461" s="1" t="s">
        <v>105</v>
      </c>
      <c r="H461" s="1" t="s">
        <v>1893</v>
      </c>
      <c r="I461" s="1" t="s">
        <v>2688</v>
      </c>
      <c r="J461" s="1">
        <v>2023</v>
      </c>
      <c r="K461" s="1" t="s">
        <v>2689</v>
      </c>
      <c r="L461" s="1" t="s">
        <v>2690</v>
      </c>
      <c r="P461" s="1" t="s">
        <v>2691</v>
      </c>
      <c r="Q461" s="1" t="s">
        <v>264</v>
      </c>
      <c r="R461" s="1" t="s">
        <v>265</v>
      </c>
      <c r="S461" s="1" t="s">
        <v>935</v>
      </c>
      <c r="T461" s="1" t="s">
        <v>936</v>
      </c>
      <c r="U461" s="1">
        <v>1</v>
      </c>
      <c r="V461" s="1" t="s">
        <v>308</v>
      </c>
      <c r="W461" s="1" t="s">
        <v>2692</v>
      </c>
      <c r="Y461" s="10">
        <v>45462</v>
      </c>
      <c r="Z461" s="1">
        <v>2024</v>
      </c>
      <c r="AA461" s="2">
        <v>1390307.55</v>
      </c>
      <c r="AB461" s="2"/>
      <c r="AC461" s="2">
        <v>318303.82</v>
      </c>
      <c r="AD461" s="1">
        <v>5</v>
      </c>
      <c r="AE461" s="1">
        <v>2</v>
      </c>
      <c r="AG461" s="1" t="s">
        <v>56</v>
      </c>
      <c r="AI461" s="2">
        <v>318303.82</v>
      </c>
    </row>
    <row r="462" spans="1:35" ht="14.45" customHeight="1" x14ac:dyDescent="0.2">
      <c r="A462" s="1" t="s">
        <v>57</v>
      </c>
      <c r="B462" s="9" t="s">
        <v>38</v>
      </c>
      <c r="C462" s="1" t="s">
        <v>58</v>
      </c>
      <c r="D462" s="1" t="s">
        <v>59</v>
      </c>
      <c r="E462" s="1" t="s">
        <v>42</v>
      </c>
      <c r="G462" s="1" t="s">
        <v>122</v>
      </c>
      <c r="H462" s="1" t="s">
        <v>1893</v>
      </c>
      <c r="I462" s="1" t="s">
        <v>2693</v>
      </c>
      <c r="J462" s="1">
        <v>2023</v>
      </c>
      <c r="K462" s="1" t="s">
        <v>2694</v>
      </c>
      <c r="L462" s="1" t="s">
        <v>2695</v>
      </c>
      <c r="P462" s="1" t="s">
        <v>2696</v>
      </c>
      <c r="Q462" s="1" t="s">
        <v>842</v>
      </c>
      <c r="R462" s="1" t="s">
        <v>884</v>
      </c>
      <c r="S462" s="1" t="s">
        <v>1011</v>
      </c>
      <c r="T462" s="1" t="s">
        <v>1012</v>
      </c>
      <c r="V462" s="1" t="s">
        <v>887</v>
      </c>
      <c r="W462" s="1" t="s">
        <v>2697</v>
      </c>
      <c r="Y462" s="10">
        <v>45478</v>
      </c>
      <c r="Z462" s="1">
        <v>2024</v>
      </c>
      <c r="AA462" s="2">
        <v>153626.17000000001</v>
      </c>
      <c r="AB462" s="2"/>
      <c r="AC462" s="2">
        <v>68406.539999999994</v>
      </c>
      <c r="AD462" s="1">
        <v>1</v>
      </c>
      <c r="AE462" s="1">
        <v>1</v>
      </c>
      <c r="AG462" s="1" t="s">
        <v>56</v>
      </c>
      <c r="AI462" s="2">
        <v>68406.539999999994</v>
      </c>
    </row>
    <row r="463" spans="1:35" ht="14.45" customHeight="1" x14ac:dyDescent="0.2">
      <c r="A463" s="1" t="s">
        <v>57</v>
      </c>
      <c r="B463" s="9" t="s">
        <v>38</v>
      </c>
      <c r="C463" s="1" t="s">
        <v>58</v>
      </c>
      <c r="D463" s="1" t="s">
        <v>59</v>
      </c>
      <c r="E463" s="1" t="s">
        <v>42</v>
      </c>
      <c r="G463" s="1" t="s">
        <v>122</v>
      </c>
      <c r="H463" s="1" t="s">
        <v>1893</v>
      </c>
      <c r="I463" s="1" t="s">
        <v>2698</v>
      </c>
      <c r="J463" s="1">
        <v>2023</v>
      </c>
      <c r="K463" s="1" t="s">
        <v>2699</v>
      </c>
      <c r="L463" s="1" t="s">
        <v>2700</v>
      </c>
      <c r="P463" s="1" t="s">
        <v>2701</v>
      </c>
      <c r="Q463" s="1" t="s">
        <v>842</v>
      </c>
      <c r="R463" s="1" t="s">
        <v>884</v>
      </c>
      <c r="S463" s="1" t="s">
        <v>1011</v>
      </c>
      <c r="T463" s="1" t="s">
        <v>1012</v>
      </c>
      <c r="V463" s="1" t="s">
        <v>887</v>
      </c>
      <c r="W463" s="1" t="s">
        <v>2699</v>
      </c>
      <c r="Y463" s="10">
        <v>45478</v>
      </c>
      <c r="Z463" s="1">
        <v>2024</v>
      </c>
      <c r="AA463" s="2">
        <v>64198.559999999998</v>
      </c>
      <c r="AB463" s="2"/>
      <c r="AC463" s="2">
        <v>31049.64</v>
      </c>
      <c r="AD463" s="1">
        <v>1</v>
      </c>
      <c r="AG463" s="1" t="s">
        <v>56</v>
      </c>
      <c r="AI463" s="2">
        <v>31049.64</v>
      </c>
    </row>
    <row r="464" spans="1:35" ht="14.45" customHeight="1" x14ac:dyDescent="0.2">
      <c r="A464" s="1" t="s">
        <v>57</v>
      </c>
      <c r="B464" s="9" t="s">
        <v>38</v>
      </c>
      <c r="C464" s="1" t="s">
        <v>58</v>
      </c>
      <c r="D464" s="1" t="s">
        <v>59</v>
      </c>
      <c r="E464" s="1" t="s">
        <v>42</v>
      </c>
      <c r="G464" s="1" t="s">
        <v>122</v>
      </c>
      <c r="H464" s="1" t="s">
        <v>1893</v>
      </c>
      <c r="I464" s="1" t="s">
        <v>2702</v>
      </c>
      <c r="J464" s="1">
        <v>2023</v>
      </c>
      <c r="K464" s="1" t="s">
        <v>2703</v>
      </c>
      <c r="L464" s="1" t="s">
        <v>2704</v>
      </c>
      <c r="M464" s="1" t="s">
        <v>2705</v>
      </c>
      <c r="P464" s="1" t="s">
        <v>2706</v>
      </c>
      <c r="Q464" s="1" t="s">
        <v>842</v>
      </c>
      <c r="R464" s="1" t="s">
        <v>843</v>
      </c>
      <c r="S464" s="1" t="s">
        <v>2707</v>
      </c>
      <c r="T464" s="1" t="s">
        <v>2708</v>
      </c>
      <c r="V464" s="1" t="s">
        <v>846</v>
      </c>
      <c r="W464" s="1" t="s">
        <v>2703</v>
      </c>
      <c r="Y464" s="10">
        <v>45478</v>
      </c>
      <c r="Z464" s="1">
        <v>2024</v>
      </c>
      <c r="AA464" s="2">
        <v>92795.07</v>
      </c>
      <c r="AB464" s="2"/>
      <c r="AC464" s="2">
        <v>46397.54</v>
      </c>
      <c r="AD464" s="1">
        <v>2</v>
      </c>
      <c r="AG464" s="1" t="s">
        <v>56</v>
      </c>
      <c r="AI464" s="2">
        <v>46397.54</v>
      </c>
    </row>
    <row r="465" spans="1:38" ht="14.45" customHeight="1" x14ac:dyDescent="0.2">
      <c r="A465" s="1" t="s">
        <v>57</v>
      </c>
      <c r="B465" s="9" t="s">
        <v>38</v>
      </c>
      <c r="C465" s="1" t="s">
        <v>58</v>
      </c>
      <c r="D465" s="1" t="s">
        <v>59</v>
      </c>
      <c r="E465" s="1" t="s">
        <v>42</v>
      </c>
      <c r="G465" s="1" t="s">
        <v>122</v>
      </c>
      <c r="H465" s="1" t="s">
        <v>1893</v>
      </c>
      <c r="I465" s="1" t="s">
        <v>2709</v>
      </c>
      <c r="J465" s="1">
        <v>2023</v>
      </c>
      <c r="K465" s="1" t="s">
        <v>2710</v>
      </c>
      <c r="L465" s="1" t="s">
        <v>2711</v>
      </c>
      <c r="N465" s="1" t="s">
        <v>2712</v>
      </c>
      <c r="O465" s="1" t="s">
        <v>2713</v>
      </c>
      <c r="P465" s="1" t="s">
        <v>2714</v>
      </c>
      <c r="Q465" s="1" t="s">
        <v>842</v>
      </c>
      <c r="R465" s="1" t="s">
        <v>843</v>
      </c>
      <c r="S465" s="1" t="s">
        <v>844</v>
      </c>
      <c r="T465" s="1" t="s">
        <v>845</v>
      </c>
      <c r="V465" s="1" t="s">
        <v>846</v>
      </c>
      <c r="W465" s="1" t="s">
        <v>2710</v>
      </c>
      <c r="Y465" s="10">
        <v>45478</v>
      </c>
      <c r="Z465" s="1">
        <v>2024</v>
      </c>
      <c r="AA465" s="2">
        <v>137088.54999999999</v>
      </c>
      <c r="AB465" s="2"/>
      <c r="AC465" s="2">
        <v>64272.14</v>
      </c>
      <c r="AD465" s="1">
        <v>1</v>
      </c>
      <c r="AG465" s="1" t="s">
        <v>56</v>
      </c>
      <c r="AI465" s="2">
        <v>64272.14</v>
      </c>
    </row>
    <row r="466" spans="1:38" ht="14.45" customHeight="1" x14ac:dyDescent="0.2">
      <c r="A466" s="1" t="s">
        <v>57</v>
      </c>
      <c r="B466" s="9" t="s">
        <v>38</v>
      </c>
      <c r="C466" s="1" t="s">
        <v>58</v>
      </c>
      <c r="D466" s="1" t="s">
        <v>59</v>
      </c>
      <c r="E466" s="1" t="s">
        <v>42</v>
      </c>
      <c r="G466" s="1" t="s">
        <v>122</v>
      </c>
      <c r="H466" s="1" t="s">
        <v>1893</v>
      </c>
      <c r="I466" s="1" t="s">
        <v>2715</v>
      </c>
      <c r="J466" s="1">
        <v>2023</v>
      </c>
      <c r="K466" s="1" t="s">
        <v>2716</v>
      </c>
      <c r="L466" s="1" t="s">
        <v>2717</v>
      </c>
      <c r="M466" s="1" t="s">
        <v>2718</v>
      </c>
      <c r="N466" s="1" t="s">
        <v>2719</v>
      </c>
      <c r="O466" s="1" t="s">
        <v>2720</v>
      </c>
      <c r="P466" s="1" t="s">
        <v>2721</v>
      </c>
      <c r="Q466" s="1" t="s">
        <v>842</v>
      </c>
      <c r="R466" s="1" t="s">
        <v>843</v>
      </c>
      <c r="S466" s="1" t="s">
        <v>844</v>
      </c>
      <c r="T466" s="1" t="s">
        <v>845</v>
      </c>
      <c r="V466" s="1" t="s">
        <v>846</v>
      </c>
      <c r="W466" s="1" t="s">
        <v>2716</v>
      </c>
      <c r="Y466" s="10">
        <v>45478</v>
      </c>
      <c r="Z466" s="1">
        <v>2024</v>
      </c>
      <c r="AA466" s="2">
        <v>426490.6</v>
      </c>
      <c r="AB466" s="2"/>
      <c r="AC466" s="2">
        <v>200000</v>
      </c>
      <c r="AD466" s="1">
        <v>4</v>
      </c>
      <c r="AE466" s="1">
        <v>3</v>
      </c>
      <c r="AG466" s="1" t="s">
        <v>56</v>
      </c>
      <c r="AI466" s="2">
        <v>200000</v>
      </c>
    </row>
    <row r="467" spans="1:38" ht="14.45" customHeight="1" x14ac:dyDescent="0.2">
      <c r="A467" s="1" t="s">
        <v>57</v>
      </c>
      <c r="B467" s="9" t="s">
        <v>38</v>
      </c>
      <c r="C467" s="1" t="s">
        <v>58</v>
      </c>
      <c r="D467" s="1" t="s">
        <v>59</v>
      </c>
      <c r="E467" s="1" t="s">
        <v>42</v>
      </c>
      <c r="G467" s="1" t="s">
        <v>122</v>
      </c>
      <c r="H467" s="1" t="s">
        <v>1893</v>
      </c>
      <c r="I467" s="1" t="s">
        <v>2722</v>
      </c>
      <c r="J467" s="1">
        <v>2023</v>
      </c>
      <c r="K467" s="1" t="s">
        <v>2723</v>
      </c>
      <c r="L467" s="1" t="s">
        <v>2724</v>
      </c>
      <c r="P467" s="1" t="s">
        <v>2725</v>
      </c>
      <c r="Q467" s="1" t="s">
        <v>842</v>
      </c>
      <c r="R467" s="1" t="s">
        <v>884</v>
      </c>
      <c r="S467" s="1" t="s">
        <v>2669</v>
      </c>
      <c r="T467" s="1" t="s">
        <v>2670</v>
      </c>
      <c r="V467" s="1" t="s">
        <v>887</v>
      </c>
      <c r="W467" s="1" t="s">
        <v>2723</v>
      </c>
      <c r="Y467" s="10">
        <v>45478</v>
      </c>
      <c r="Z467" s="1">
        <v>2024</v>
      </c>
      <c r="AA467" s="2">
        <v>287206.99</v>
      </c>
      <c r="AB467" s="2"/>
      <c r="AC467" s="2">
        <v>131801.75</v>
      </c>
      <c r="AD467" s="1">
        <v>2</v>
      </c>
      <c r="AE467" s="1">
        <v>2</v>
      </c>
      <c r="AG467" s="1" t="s">
        <v>56</v>
      </c>
      <c r="AI467" s="2">
        <v>131801.75</v>
      </c>
    </row>
    <row r="468" spans="1:38" ht="14.45" customHeight="1" x14ac:dyDescent="0.2">
      <c r="A468" s="1" t="s">
        <v>57</v>
      </c>
      <c r="B468" s="9" t="s">
        <v>38</v>
      </c>
      <c r="C468" s="1" t="s">
        <v>58</v>
      </c>
      <c r="D468" s="1" t="s">
        <v>1409</v>
      </c>
      <c r="E468" s="1" t="s">
        <v>42</v>
      </c>
      <c r="F468" s="1" t="s">
        <v>2145</v>
      </c>
      <c r="G468" s="1" t="s">
        <v>2146</v>
      </c>
      <c r="H468" s="1" t="s">
        <v>2147</v>
      </c>
      <c r="I468" s="1" t="s">
        <v>2726</v>
      </c>
      <c r="J468" s="1">
        <v>2021</v>
      </c>
      <c r="K468" s="1" t="s">
        <v>2149</v>
      </c>
      <c r="L468" s="1" t="s">
        <v>2149</v>
      </c>
      <c r="M468" s="1" t="s">
        <v>2150</v>
      </c>
      <c r="P468" s="1" t="s">
        <v>2151</v>
      </c>
      <c r="Q468" s="1" t="s">
        <v>50</v>
      </c>
      <c r="R468" s="1" t="s">
        <v>68</v>
      </c>
      <c r="S468" s="1" t="s">
        <v>1360</v>
      </c>
      <c r="T468" s="1" t="s">
        <v>1361</v>
      </c>
      <c r="U468" s="1">
        <v>1</v>
      </c>
      <c r="V468" s="1" t="s">
        <v>71</v>
      </c>
      <c r="W468" s="1" t="s">
        <v>2727</v>
      </c>
      <c r="Y468" s="10">
        <v>44363</v>
      </c>
      <c r="Z468" s="1">
        <v>2021</v>
      </c>
      <c r="AA468" s="2">
        <v>1513475.69</v>
      </c>
      <c r="AB468" s="2"/>
      <c r="AC468" s="2">
        <v>1513475.69</v>
      </c>
      <c r="AG468" s="1" t="s">
        <v>2153</v>
      </c>
      <c r="AI468" s="2">
        <v>1513475.69</v>
      </c>
      <c r="AJ468" s="2">
        <v>8.58</v>
      </c>
      <c r="AL468" s="1" t="s">
        <v>2569</v>
      </c>
    </row>
    <row r="469" spans="1:38" ht="14.45" customHeight="1" x14ac:dyDescent="0.2">
      <c r="A469" s="1" t="s">
        <v>57</v>
      </c>
      <c r="B469" s="9" t="s">
        <v>38</v>
      </c>
      <c r="C469" s="1" t="s">
        <v>58</v>
      </c>
      <c r="D469" s="1" t="s">
        <v>59</v>
      </c>
      <c r="E469" s="1" t="s">
        <v>42</v>
      </c>
      <c r="G469" s="1" t="s">
        <v>122</v>
      </c>
      <c r="H469" s="1" t="s">
        <v>1893</v>
      </c>
      <c r="I469" s="1" t="s">
        <v>2728</v>
      </c>
      <c r="J469" s="1">
        <v>2023</v>
      </c>
      <c r="K469" s="1" t="s">
        <v>2729</v>
      </c>
      <c r="L469" s="1" t="s">
        <v>2730</v>
      </c>
      <c r="P469" s="1" t="s">
        <v>2731</v>
      </c>
      <c r="Q469" s="1" t="s">
        <v>1149</v>
      </c>
      <c r="R469" s="1" t="s">
        <v>1150</v>
      </c>
      <c r="S469" s="1" t="s">
        <v>1218</v>
      </c>
      <c r="T469" s="1" t="s">
        <v>1219</v>
      </c>
      <c r="V469" s="1" t="s">
        <v>1153</v>
      </c>
      <c r="W469" s="1" t="s">
        <v>2729</v>
      </c>
      <c r="Y469" s="10">
        <v>45478</v>
      </c>
      <c r="Z469" s="1">
        <v>2024</v>
      </c>
      <c r="AA469" s="2">
        <v>334140.74</v>
      </c>
      <c r="AB469" s="2"/>
      <c r="AC469" s="2">
        <v>167070.37</v>
      </c>
      <c r="AD469" s="1">
        <v>3</v>
      </c>
      <c r="AE469" s="1">
        <v>3</v>
      </c>
      <c r="AG469" s="1" t="s">
        <v>56</v>
      </c>
      <c r="AI469" s="2">
        <v>167070.37</v>
      </c>
    </row>
    <row r="470" spans="1:38" ht="14.45" customHeight="1" x14ac:dyDescent="0.2">
      <c r="A470" s="1" t="s">
        <v>57</v>
      </c>
      <c r="B470" s="9" t="s">
        <v>38</v>
      </c>
      <c r="C470" s="1" t="s">
        <v>58</v>
      </c>
      <c r="D470" s="1" t="s">
        <v>59</v>
      </c>
      <c r="E470" s="1" t="s">
        <v>42</v>
      </c>
      <c r="G470" s="1" t="s">
        <v>122</v>
      </c>
      <c r="H470" s="1" t="s">
        <v>1893</v>
      </c>
      <c r="I470" s="1" t="s">
        <v>2732</v>
      </c>
      <c r="J470" s="1">
        <v>2023</v>
      </c>
      <c r="K470" s="1" t="s">
        <v>2733</v>
      </c>
      <c r="L470" s="1" t="s">
        <v>2734</v>
      </c>
      <c r="P470" s="1" t="s">
        <v>2735</v>
      </c>
      <c r="Q470" s="1" t="s">
        <v>842</v>
      </c>
      <c r="R470" s="1" t="s">
        <v>843</v>
      </c>
      <c r="S470" s="1" t="s">
        <v>844</v>
      </c>
      <c r="T470" s="1" t="s">
        <v>845</v>
      </c>
      <c r="V470" s="1" t="s">
        <v>846</v>
      </c>
      <c r="W470" s="1" t="s">
        <v>2733</v>
      </c>
      <c r="Y470" s="10">
        <v>45478</v>
      </c>
      <c r="Z470" s="1">
        <v>2024</v>
      </c>
      <c r="AA470" s="2">
        <v>206174.17</v>
      </c>
      <c r="AB470" s="2"/>
      <c r="AC470" s="2">
        <v>51543.54</v>
      </c>
      <c r="AD470" s="1">
        <v>0</v>
      </c>
      <c r="AG470" s="1" t="s">
        <v>56</v>
      </c>
      <c r="AI470" s="2">
        <v>51543.54</v>
      </c>
    </row>
    <row r="471" spans="1:38" ht="14.45" customHeight="1" x14ac:dyDescent="0.2">
      <c r="A471" s="1" t="s">
        <v>57</v>
      </c>
      <c r="B471" s="9" t="s">
        <v>38</v>
      </c>
      <c r="C471" s="1" t="s">
        <v>58</v>
      </c>
      <c r="D471" s="1" t="s">
        <v>59</v>
      </c>
      <c r="E471" s="1" t="s">
        <v>42</v>
      </c>
      <c r="G471" s="1" t="s">
        <v>122</v>
      </c>
      <c r="H471" s="1" t="s">
        <v>1893</v>
      </c>
      <c r="I471" s="1" t="s">
        <v>2736</v>
      </c>
      <c r="J471" s="1">
        <v>2023</v>
      </c>
      <c r="K471" s="1" t="s">
        <v>2737</v>
      </c>
      <c r="L471" s="1" t="s">
        <v>2738</v>
      </c>
      <c r="M471" s="1" t="s">
        <v>2739</v>
      </c>
      <c r="P471" s="1" t="s">
        <v>1965</v>
      </c>
      <c r="Q471" s="1" t="s">
        <v>842</v>
      </c>
      <c r="R471" s="1" t="s">
        <v>884</v>
      </c>
      <c r="S471" s="1" t="s">
        <v>1011</v>
      </c>
      <c r="T471" s="1" t="s">
        <v>1012</v>
      </c>
      <c r="V471" s="1" t="s">
        <v>887</v>
      </c>
      <c r="W471" s="1" t="s">
        <v>2737</v>
      </c>
      <c r="Y471" s="10">
        <v>45478</v>
      </c>
      <c r="Z471" s="1">
        <v>2024</v>
      </c>
      <c r="AA471" s="2">
        <v>257541.42</v>
      </c>
      <c r="AB471" s="2"/>
      <c r="AC471" s="2">
        <v>128770.71</v>
      </c>
      <c r="AD471" s="1">
        <v>6</v>
      </c>
      <c r="AE471" s="1">
        <v>2</v>
      </c>
      <c r="AG471" s="1" t="s">
        <v>56</v>
      </c>
      <c r="AI471" s="2">
        <v>128770.71</v>
      </c>
    </row>
    <row r="472" spans="1:38" ht="14.45" customHeight="1" x14ac:dyDescent="0.2">
      <c r="A472" s="1" t="s">
        <v>57</v>
      </c>
      <c r="B472" s="9" t="s">
        <v>38</v>
      </c>
      <c r="C472" s="1" t="s">
        <v>58</v>
      </c>
      <c r="D472" s="1" t="s">
        <v>1409</v>
      </c>
      <c r="E472" s="1" t="s">
        <v>42</v>
      </c>
      <c r="F472" s="1" t="s">
        <v>2145</v>
      </c>
      <c r="G472" s="1" t="s">
        <v>2146</v>
      </c>
      <c r="H472" s="1" t="s">
        <v>2147</v>
      </c>
      <c r="I472" s="1" t="s">
        <v>2740</v>
      </c>
      <c r="J472" s="1">
        <v>2021</v>
      </c>
      <c r="K472" s="1" t="s">
        <v>2741</v>
      </c>
      <c r="L472" s="1" t="s">
        <v>2741</v>
      </c>
      <c r="M472" s="1" t="s">
        <v>2529</v>
      </c>
      <c r="P472" s="1" t="s">
        <v>2151</v>
      </c>
      <c r="Q472" s="1" t="s">
        <v>50</v>
      </c>
      <c r="R472" s="1" t="s">
        <v>77</v>
      </c>
      <c r="S472" s="1" t="s">
        <v>2742</v>
      </c>
      <c r="T472" s="1" t="s">
        <v>2639</v>
      </c>
      <c r="U472" s="1">
        <v>1</v>
      </c>
      <c r="V472" s="1" t="s">
        <v>186</v>
      </c>
      <c r="W472" s="1" t="s">
        <v>2743</v>
      </c>
      <c r="Y472" s="10">
        <v>44363</v>
      </c>
      <c r="Z472" s="1">
        <v>2021</v>
      </c>
      <c r="AA472" s="2">
        <v>2571480.5099999998</v>
      </c>
      <c r="AB472" s="2"/>
      <c r="AC472" s="2">
        <v>2571480.5099999998</v>
      </c>
      <c r="AG472" s="1" t="s">
        <v>2153</v>
      </c>
      <c r="AI472" s="2">
        <v>2571480.5099999998</v>
      </c>
      <c r="AJ472" s="2">
        <v>25.59</v>
      </c>
      <c r="AL472" s="1" t="s">
        <v>2744</v>
      </c>
    </row>
    <row r="473" spans="1:38" ht="14.45" customHeight="1" x14ac:dyDescent="0.2">
      <c r="A473" s="1" t="s">
        <v>57</v>
      </c>
      <c r="B473" s="9" t="s">
        <v>38</v>
      </c>
      <c r="C473" s="1" t="s">
        <v>58</v>
      </c>
      <c r="D473" s="1" t="s">
        <v>59</v>
      </c>
      <c r="E473" s="1" t="s">
        <v>42</v>
      </c>
      <c r="G473" s="1" t="s">
        <v>122</v>
      </c>
      <c r="H473" s="1" t="s">
        <v>1893</v>
      </c>
      <c r="I473" s="1" t="s">
        <v>2745</v>
      </c>
      <c r="J473" s="1">
        <v>2023</v>
      </c>
      <c r="K473" s="1" t="s">
        <v>2746</v>
      </c>
      <c r="L473" s="1" t="s">
        <v>2747</v>
      </c>
      <c r="P473" s="1" t="s">
        <v>2748</v>
      </c>
      <c r="Q473" s="1" t="s">
        <v>1149</v>
      </c>
      <c r="R473" s="1" t="s">
        <v>1150</v>
      </c>
      <c r="S473" s="1" t="s">
        <v>2749</v>
      </c>
      <c r="T473" s="1" t="s">
        <v>2750</v>
      </c>
      <c r="V473" s="1" t="s">
        <v>1537</v>
      </c>
      <c r="W473" s="1" t="s">
        <v>2746</v>
      </c>
      <c r="Y473" s="10">
        <v>45478</v>
      </c>
      <c r="Z473" s="1">
        <v>2024</v>
      </c>
      <c r="AA473" s="2">
        <v>303481.13</v>
      </c>
      <c r="AB473" s="2"/>
      <c r="AC473" s="2">
        <v>120870.28</v>
      </c>
      <c r="AD473" s="1">
        <v>3</v>
      </c>
      <c r="AG473" s="1" t="s">
        <v>56</v>
      </c>
      <c r="AI473" s="2">
        <v>120870.28</v>
      </c>
      <c r="AL473" s="1" t="s">
        <v>2751</v>
      </c>
    </row>
    <row r="474" spans="1:38" ht="14.45" customHeight="1" x14ac:dyDescent="0.2">
      <c r="A474" s="1" t="s">
        <v>57</v>
      </c>
      <c r="B474" s="9" t="s">
        <v>38</v>
      </c>
      <c r="C474" s="1" t="s">
        <v>58</v>
      </c>
      <c r="D474" s="1" t="s">
        <v>59</v>
      </c>
      <c r="E474" s="1" t="s">
        <v>42</v>
      </c>
      <c r="G474" s="1" t="s">
        <v>122</v>
      </c>
      <c r="H474" s="1" t="s">
        <v>1893</v>
      </c>
      <c r="I474" s="1" t="s">
        <v>2752</v>
      </c>
      <c r="J474" s="1">
        <v>2023</v>
      </c>
      <c r="K474" s="1" t="s">
        <v>2753</v>
      </c>
      <c r="L474" s="1" t="s">
        <v>2754</v>
      </c>
      <c r="P474" s="1" t="s">
        <v>2755</v>
      </c>
      <c r="Q474" s="1" t="s">
        <v>1149</v>
      </c>
      <c r="R474" s="1" t="s">
        <v>1150</v>
      </c>
      <c r="S474" s="1" t="s">
        <v>1535</v>
      </c>
      <c r="T474" s="1" t="s">
        <v>1536</v>
      </c>
      <c r="V474" s="1" t="s">
        <v>1537</v>
      </c>
      <c r="W474" s="1" t="s">
        <v>2753</v>
      </c>
      <c r="Y474" s="10">
        <v>45478</v>
      </c>
      <c r="Z474" s="1">
        <v>2024</v>
      </c>
      <c r="AA474" s="2">
        <v>241000</v>
      </c>
      <c r="AB474" s="2"/>
      <c r="AC474" s="2">
        <v>105250</v>
      </c>
      <c r="AD474" s="1">
        <v>2</v>
      </c>
      <c r="AE474" s="1">
        <v>1</v>
      </c>
      <c r="AG474" s="1" t="s">
        <v>56</v>
      </c>
      <c r="AI474" s="2">
        <v>105250</v>
      </c>
      <c r="AL474" s="1" t="s">
        <v>2751</v>
      </c>
    </row>
    <row r="475" spans="1:38" ht="14.45" customHeight="1" x14ac:dyDescent="0.2">
      <c r="A475" s="1" t="s">
        <v>57</v>
      </c>
      <c r="B475" s="9" t="s">
        <v>38</v>
      </c>
      <c r="C475" s="1" t="s">
        <v>58</v>
      </c>
      <c r="D475" s="1" t="s">
        <v>1409</v>
      </c>
      <c r="E475" s="1" t="s">
        <v>42</v>
      </c>
      <c r="F475" s="1" t="s">
        <v>2145</v>
      </c>
      <c r="G475" s="1" t="s">
        <v>2146</v>
      </c>
      <c r="H475" s="1" t="s">
        <v>2147</v>
      </c>
      <c r="I475" s="1" t="s">
        <v>2756</v>
      </c>
      <c r="J475" s="1">
        <v>2021</v>
      </c>
      <c r="K475" s="1" t="s">
        <v>2757</v>
      </c>
      <c r="L475" s="1" t="s">
        <v>2757</v>
      </c>
      <c r="M475" s="1" t="s">
        <v>2150</v>
      </c>
      <c r="P475" s="1" t="s">
        <v>2151</v>
      </c>
      <c r="Q475" s="1" t="s">
        <v>50</v>
      </c>
      <c r="R475" s="1" t="s">
        <v>68</v>
      </c>
      <c r="S475" s="1" t="s">
        <v>2758</v>
      </c>
      <c r="T475" s="1" t="s">
        <v>2759</v>
      </c>
      <c r="U475" s="1">
        <v>1</v>
      </c>
      <c r="V475" s="1" t="s">
        <v>71</v>
      </c>
      <c r="W475" s="1" t="s">
        <v>2760</v>
      </c>
      <c r="Y475" s="10">
        <v>44363</v>
      </c>
      <c r="Z475" s="1">
        <v>2021</v>
      </c>
      <c r="AA475" s="2">
        <v>1042437.31</v>
      </c>
      <c r="AB475" s="2"/>
      <c r="AC475" s="2">
        <v>1042437.31</v>
      </c>
      <c r="AG475" s="1" t="s">
        <v>2153</v>
      </c>
      <c r="AI475" s="2">
        <v>1042437.31</v>
      </c>
      <c r="AJ475" s="2">
        <v>15.87</v>
      </c>
      <c r="AL475" s="1" t="s">
        <v>2569</v>
      </c>
    </row>
    <row r="476" spans="1:38" ht="14.45" customHeight="1" x14ac:dyDescent="0.2">
      <c r="A476" s="1" t="s">
        <v>57</v>
      </c>
      <c r="B476" s="9" t="s">
        <v>38</v>
      </c>
      <c r="C476" s="1" t="s">
        <v>58</v>
      </c>
      <c r="D476" s="1" t="s">
        <v>59</v>
      </c>
      <c r="E476" s="1" t="s">
        <v>42</v>
      </c>
      <c r="G476" s="1" t="s">
        <v>122</v>
      </c>
      <c r="H476" s="1" t="s">
        <v>61</v>
      </c>
      <c r="I476" s="1" t="s">
        <v>2761</v>
      </c>
      <c r="J476" s="1">
        <v>2023</v>
      </c>
      <c r="K476" s="1" t="s">
        <v>2762</v>
      </c>
      <c r="L476" s="1" t="s">
        <v>2763</v>
      </c>
      <c r="N476" s="1" t="s">
        <v>2764</v>
      </c>
      <c r="P476" s="1" t="s">
        <v>2765</v>
      </c>
      <c r="Q476" s="1" t="s">
        <v>101</v>
      </c>
      <c r="R476" s="1" t="s">
        <v>102</v>
      </c>
      <c r="S476" s="1" t="s">
        <v>103</v>
      </c>
      <c r="T476" s="1" t="s">
        <v>104</v>
      </c>
      <c r="U476" s="1">
        <v>1</v>
      </c>
      <c r="V476" s="1" t="s">
        <v>101</v>
      </c>
      <c r="W476" s="1" t="s">
        <v>2762</v>
      </c>
      <c r="Y476" s="10">
        <v>45478</v>
      </c>
      <c r="Z476" s="1">
        <v>2024</v>
      </c>
      <c r="AA476" s="2">
        <v>118094.83</v>
      </c>
      <c r="AB476" s="2"/>
      <c r="AC476" s="2">
        <v>59047.42</v>
      </c>
      <c r="AD476" s="1">
        <v>6</v>
      </c>
      <c r="AE476" s="1">
        <v>3</v>
      </c>
      <c r="AG476" s="1" t="s">
        <v>56</v>
      </c>
      <c r="AI476" s="2">
        <v>59047.42</v>
      </c>
    </row>
    <row r="477" spans="1:38" ht="14.45" customHeight="1" x14ac:dyDescent="0.2">
      <c r="A477" s="1" t="s">
        <v>57</v>
      </c>
      <c r="B477" s="9" t="s">
        <v>38</v>
      </c>
      <c r="C477" s="1" t="s">
        <v>58</v>
      </c>
      <c r="D477" s="1" t="s">
        <v>59</v>
      </c>
      <c r="E477" s="1" t="s">
        <v>42</v>
      </c>
      <c r="G477" s="1" t="s">
        <v>122</v>
      </c>
      <c r="H477" s="1" t="s">
        <v>1893</v>
      </c>
      <c r="I477" s="1" t="s">
        <v>2766</v>
      </c>
      <c r="J477" s="1">
        <v>2023</v>
      </c>
      <c r="K477" s="1" t="s">
        <v>2767</v>
      </c>
      <c r="L477" s="1" t="s">
        <v>2768</v>
      </c>
      <c r="P477" s="1" t="s">
        <v>2769</v>
      </c>
      <c r="Q477" s="1" t="s">
        <v>1149</v>
      </c>
      <c r="R477" s="1" t="s">
        <v>1150</v>
      </c>
      <c r="S477" s="1" t="s">
        <v>1535</v>
      </c>
      <c r="T477" s="1" t="s">
        <v>1536</v>
      </c>
      <c r="V477" s="1" t="s">
        <v>1537</v>
      </c>
      <c r="W477" s="1" t="s">
        <v>2770</v>
      </c>
      <c r="Y477" s="10">
        <v>45478</v>
      </c>
      <c r="Z477" s="1">
        <v>2024</v>
      </c>
      <c r="AA477" s="2">
        <v>366866</v>
      </c>
      <c r="AB477" s="2"/>
      <c r="AC477" s="2">
        <v>136716.5</v>
      </c>
      <c r="AD477" s="1">
        <v>2</v>
      </c>
      <c r="AG477" s="1" t="s">
        <v>56</v>
      </c>
      <c r="AI477" s="2">
        <v>136716.5</v>
      </c>
      <c r="AL477" s="1" t="s">
        <v>2771</v>
      </c>
    </row>
    <row r="478" spans="1:38" ht="14.45" customHeight="1" x14ac:dyDescent="0.2">
      <c r="A478" s="1" t="s">
        <v>57</v>
      </c>
      <c r="B478" s="9" t="s">
        <v>38</v>
      </c>
      <c r="C478" s="1" t="s">
        <v>58</v>
      </c>
      <c r="D478" s="1" t="s">
        <v>59</v>
      </c>
      <c r="E478" s="1" t="s">
        <v>42</v>
      </c>
      <c r="G478" s="1" t="s">
        <v>122</v>
      </c>
      <c r="H478" s="1" t="s">
        <v>61</v>
      </c>
      <c r="I478" s="1" t="s">
        <v>2772</v>
      </c>
      <c r="J478" s="1">
        <v>2023</v>
      </c>
      <c r="K478" s="1" t="s">
        <v>2773</v>
      </c>
      <c r="L478" s="1" t="s">
        <v>2774</v>
      </c>
      <c r="N478" s="1" t="s">
        <v>2775</v>
      </c>
      <c r="P478" s="1" t="s">
        <v>2776</v>
      </c>
      <c r="Q478" s="1" t="s">
        <v>1109</v>
      </c>
      <c r="R478" s="1" t="s">
        <v>1110</v>
      </c>
      <c r="S478" s="1" t="s">
        <v>1111</v>
      </c>
      <c r="T478" s="1" t="s">
        <v>1112</v>
      </c>
      <c r="V478" s="1" t="s">
        <v>54</v>
      </c>
      <c r="W478" s="1" t="s">
        <v>2773</v>
      </c>
      <c r="Y478" s="10">
        <v>45478</v>
      </c>
      <c r="Z478" s="1">
        <v>2024</v>
      </c>
      <c r="AA478" s="2">
        <v>49667.7</v>
      </c>
      <c r="AB478" s="2"/>
      <c r="AC478" s="2">
        <v>24833.85</v>
      </c>
      <c r="AD478" s="1">
        <v>3</v>
      </c>
      <c r="AE478" s="1">
        <v>3</v>
      </c>
      <c r="AG478" s="1" t="s">
        <v>56</v>
      </c>
      <c r="AI478" s="2">
        <v>24833.85</v>
      </c>
    </row>
    <row r="479" spans="1:38" ht="12.6" customHeight="1" x14ac:dyDescent="0.2">
      <c r="A479" s="1" t="s">
        <v>57</v>
      </c>
      <c r="B479" s="9" t="s">
        <v>38</v>
      </c>
      <c r="C479" s="1" t="s">
        <v>58</v>
      </c>
      <c r="D479" s="1" t="s">
        <v>59</v>
      </c>
      <c r="E479" s="1" t="s">
        <v>42</v>
      </c>
      <c r="G479" s="1" t="s">
        <v>122</v>
      </c>
      <c r="H479" s="1" t="s">
        <v>1893</v>
      </c>
      <c r="I479" s="1" t="s">
        <v>2777</v>
      </c>
      <c r="J479" s="1">
        <v>2023</v>
      </c>
      <c r="K479" s="1" t="s">
        <v>2778</v>
      </c>
      <c r="L479" s="1" t="s">
        <v>2779</v>
      </c>
      <c r="M479" s="1" t="s">
        <v>2780</v>
      </c>
      <c r="P479" s="1" t="s">
        <v>807</v>
      </c>
      <c r="Q479" s="1" t="s">
        <v>264</v>
      </c>
      <c r="R479" s="1" t="s">
        <v>265</v>
      </c>
      <c r="S479" s="1" t="s">
        <v>266</v>
      </c>
      <c r="T479" s="1" t="s">
        <v>267</v>
      </c>
      <c r="U479" s="1">
        <v>2</v>
      </c>
      <c r="V479" s="1" t="s">
        <v>268</v>
      </c>
      <c r="W479" s="1" t="s">
        <v>2779</v>
      </c>
      <c r="Y479" s="10">
        <v>45478</v>
      </c>
      <c r="Z479" s="1">
        <v>2024</v>
      </c>
      <c r="AA479" s="2">
        <v>126764.36</v>
      </c>
      <c r="AB479" s="2"/>
      <c r="AC479" s="2">
        <v>31691.09</v>
      </c>
      <c r="AD479" s="1">
        <v>0</v>
      </c>
      <c r="AG479" s="1" t="s">
        <v>56</v>
      </c>
      <c r="AI479" s="2">
        <v>31691.09</v>
      </c>
    </row>
    <row r="480" spans="1:38" ht="14.45" customHeight="1" x14ac:dyDescent="0.2">
      <c r="A480" s="1" t="s">
        <v>57</v>
      </c>
      <c r="B480" s="9" t="s">
        <v>38</v>
      </c>
      <c r="C480" s="1" t="s">
        <v>58</v>
      </c>
      <c r="D480" s="1" t="s">
        <v>59</v>
      </c>
      <c r="E480" s="1" t="s">
        <v>42</v>
      </c>
      <c r="G480" s="1" t="s">
        <v>122</v>
      </c>
      <c r="H480" s="1" t="s">
        <v>1893</v>
      </c>
      <c r="I480" s="1" t="s">
        <v>2781</v>
      </c>
      <c r="J480" s="1">
        <v>2023</v>
      </c>
      <c r="K480" s="1" t="s">
        <v>2782</v>
      </c>
      <c r="L480" s="1" t="s">
        <v>2783</v>
      </c>
      <c r="P480" s="1" t="s">
        <v>2784</v>
      </c>
      <c r="Q480" s="1" t="s">
        <v>264</v>
      </c>
      <c r="R480" s="1" t="s">
        <v>265</v>
      </c>
      <c r="S480" s="1" t="s">
        <v>717</v>
      </c>
      <c r="T480" s="1" t="s">
        <v>718</v>
      </c>
      <c r="U480" s="1">
        <v>1</v>
      </c>
      <c r="V480" s="1" t="s">
        <v>535</v>
      </c>
      <c r="W480" s="1" t="s">
        <v>2783</v>
      </c>
      <c r="Y480" s="10">
        <v>45478</v>
      </c>
      <c r="Z480" s="1">
        <v>2024</v>
      </c>
      <c r="AA480" s="2">
        <v>87663.82</v>
      </c>
      <c r="AB480" s="2"/>
      <c r="AC480" s="2">
        <v>21915.96</v>
      </c>
      <c r="AD480" s="1">
        <v>0</v>
      </c>
      <c r="AG480" s="1" t="s">
        <v>56</v>
      </c>
      <c r="AI480" s="2">
        <v>21915.96</v>
      </c>
    </row>
    <row r="481" spans="1:38" ht="14.45" customHeight="1" x14ac:dyDescent="0.2">
      <c r="A481" s="1" t="s">
        <v>57</v>
      </c>
      <c r="B481" s="9" t="s">
        <v>38</v>
      </c>
      <c r="C481" s="1" t="s">
        <v>58</v>
      </c>
      <c r="D481" s="1" t="s">
        <v>59</v>
      </c>
      <c r="E481" s="1" t="s">
        <v>42</v>
      </c>
      <c r="G481" s="1" t="s">
        <v>122</v>
      </c>
      <c r="H481" s="1" t="s">
        <v>1893</v>
      </c>
      <c r="I481" s="1" t="s">
        <v>2785</v>
      </c>
      <c r="J481" s="1">
        <v>2023</v>
      </c>
      <c r="K481" s="1" t="s">
        <v>1075</v>
      </c>
      <c r="L481" s="1" t="s">
        <v>2786</v>
      </c>
      <c r="P481" s="1" t="s">
        <v>2787</v>
      </c>
      <c r="Q481" s="1" t="s">
        <v>264</v>
      </c>
      <c r="R481" s="1" t="s">
        <v>265</v>
      </c>
      <c r="S481" s="1" t="s">
        <v>299</v>
      </c>
      <c r="T481" s="1" t="s">
        <v>300</v>
      </c>
      <c r="U481" s="1">
        <v>2</v>
      </c>
      <c r="V481" s="1" t="s">
        <v>268</v>
      </c>
      <c r="W481" s="1" t="s">
        <v>2788</v>
      </c>
      <c r="Y481" s="10">
        <v>45478</v>
      </c>
      <c r="Z481" s="1">
        <v>2024</v>
      </c>
      <c r="AA481" s="2">
        <v>499994</v>
      </c>
      <c r="AB481" s="2"/>
      <c r="AC481" s="2">
        <v>130000</v>
      </c>
      <c r="AD481" s="1">
        <v>1</v>
      </c>
      <c r="AG481" s="1" t="s">
        <v>56</v>
      </c>
      <c r="AI481" s="2">
        <v>130000</v>
      </c>
    </row>
    <row r="482" spans="1:38" ht="14.45" customHeight="1" x14ac:dyDescent="0.2">
      <c r="A482" s="1" t="s">
        <v>57</v>
      </c>
      <c r="B482" s="9" t="s">
        <v>38</v>
      </c>
      <c r="C482" s="1" t="s">
        <v>58</v>
      </c>
      <c r="D482" s="1" t="s">
        <v>59</v>
      </c>
      <c r="E482" s="1" t="s">
        <v>42</v>
      </c>
      <c r="G482" s="1" t="s">
        <v>122</v>
      </c>
      <c r="H482" s="1" t="s">
        <v>1893</v>
      </c>
      <c r="I482" s="1" t="s">
        <v>2789</v>
      </c>
      <c r="J482" s="1">
        <v>2023</v>
      </c>
      <c r="K482" s="1" t="s">
        <v>2790</v>
      </c>
      <c r="L482" s="1" t="s">
        <v>2791</v>
      </c>
      <c r="P482" s="1" t="s">
        <v>2792</v>
      </c>
      <c r="Q482" s="1" t="s">
        <v>264</v>
      </c>
      <c r="R482" s="1" t="s">
        <v>265</v>
      </c>
      <c r="S482" s="1" t="s">
        <v>266</v>
      </c>
      <c r="T482" s="1" t="s">
        <v>267</v>
      </c>
      <c r="U482" s="1">
        <v>2</v>
      </c>
      <c r="V482" s="1" t="s">
        <v>268</v>
      </c>
      <c r="W482" s="1" t="s">
        <v>2791</v>
      </c>
      <c r="Y482" s="10">
        <v>45478</v>
      </c>
      <c r="Z482" s="1">
        <v>2024</v>
      </c>
      <c r="AA482" s="2">
        <v>119000</v>
      </c>
      <c r="AB482" s="2"/>
      <c r="AC482" s="2">
        <v>29750</v>
      </c>
      <c r="AD482" s="1">
        <v>0</v>
      </c>
      <c r="AG482" s="1" t="s">
        <v>56</v>
      </c>
      <c r="AI482" s="2">
        <v>29750</v>
      </c>
    </row>
    <row r="483" spans="1:38" ht="14.45" customHeight="1" x14ac:dyDescent="0.2">
      <c r="A483" s="1" t="s">
        <v>57</v>
      </c>
      <c r="B483" s="9" t="s">
        <v>38</v>
      </c>
      <c r="C483" s="1" t="s">
        <v>58</v>
      </c>
      <c r="D483" s="1" t="s">
        <v>1409</v>
      </c>
      <c r="E483" s="1" t="s">
        <v>42</v>
      </c>
      <c r="F483" s="1" t="s">
        <v>2145</v>
      </c>
      <c r="G483" s="1" t="s">
        <v>2146</v>
      </c>
      <c r="H483" s="1" t="s">
        <v>2147</v>
      </c>
      <c r="I483" s="1" t="s">
        <v>2793</v>
      </c>
      <c r="J483" s="1">
        <v>2021</v>
      </c>
      <c r="K483" s="1" t="s">
        <v>2757</v>
      </c>
      <c r="L483" s="1" t="s">
        <v>2757</v>
      </c>
      <c r="M483" s="1" t="s">
        <v>2150</v>
      </c>
      <c r="P483" s="1" t="s">
        <v>2151</v>
      </c>
      <c r="Q483" s="1" t="s">
        <v>50</v>
      </c>
      <c r="R483" s="1" t="s">
        <v>68</v>
      </c>
      <c r="S483" s="1" t="s">
        <v>2758</v>
      </c>
      <c r="T483" s="1" t="s">
        <v>2759</v>
      </c>
      <c r="U483" s="1">
        <v>1</v>
      </c>
      <c r="V483" s="1" t="s">
        <v>71</v>
      </c>
      <c r="W483" s="1" t="s">
        <v>2794</v>
      </c>
      <c r="Y483" s="10">
        <v>44363</v>
      </c>
      <c r="Z483" s="1">
        <v>2021</v>
      </c>
      <c r="AA483" s="2">
        <v>893911.1</v>
      </c>
      <c r="AB483" s="2"/>
      <c r="AC483" s="2">
        <v>893911.1</v>
      </c>
      <c r="AG483" s="1" t="s">
        <v>2153</v>
      </c>
      <c r="AI483" s="2">
        <v>893911.1</v>
      </c>
      <c r="AJ483" s="2">
        <v>19.510000000000002</v>
      </c>
      <c r="AL483" s="1" t="s">
        <v>2569</v>
      </c>
    </row>
    <row r="484" spans="1:38" ht="14.45" customHeight="1" x14ac:dyDescent="0.2">
      <c r="A484" s="1" t="s">
        <v>57</v>
      </c>
      <c r="B484" s="9" t="s">
        <v>38</v>
      </c>
      <c r="C484" s="1" t="s">
        <v>58</v>
      </c>
      <c r="D484" s="1" t="s">
        <v>59</v>
      </c>
      <c r="E484" s="1" t="s">
        <v>42</v>
      </c>
      <c r="G484" s="1" t="s">
        <v>122</v>
      </c>
      <c r="H484" s="1" t="s">
        <v>1893</v>
      </c>
      <c r="I484" s="1" t="s">
        <v>2795</v>
      </c>
      <c r="J484" s="1">
        <v>2023</v>
      </c>
      <c r="K484" s="1" t="s">
        <v>2796</v>
      </c>
      <c r="L484" s="1" t="s">
        <v>2797</v>
      </c>
      <c r="P484" s="1" t="s">
        <v>835</v>
      </c>
      <c r="Q484" s="1" t="s">
        <v>264</v>
      </c>
      <c r="R484" s="1" t="s">
        <v>265</v>
      </c>
      <c r="S484" s="1" t="s">
        <v>533</v>
      </c>
      <c r="T484" s="1" t="s">
        <v>534</v>
      </c>
      <c r="U484" s="1">
        <v>1</v>
      </c>
      <c r="V484" s="1" t="s">
        <v>535</v>
      </c>
      <c r="W484" s="1" t="s">
        <v>2798</v>
      </c>
      <c r="Y484" s="10">
        <v>45478</v>
      </c>
      <c r="Z484" s="1">
        <v>2024</v>
      </c>
      <c r="AA484" s="2">
        <v>215000</v>
      </c>
      <c r="AB484" s="2"/>
      <c r="AC484" s="2">
        <v>83750</v>
      </c>
      <c r="AD484" s="1">
        <v>2</v>
      </c>
      <c r="AG484" s="1" t="s">
        <v>56</v>
      </c>
      <c r="AI484" s="2">
        <v>83750</v>
      </c>
    </row>
    <row r="485" spans="1:38" ht="14.45" customHeight="1" x14ac:dyDescent="0.2">
      <c r="A485" s="1" t="s">
        <v>57</v>
      </c>
      <c r="B485" s="9" t="s">
        <v>38</v>
      </c>
      <c r="C485" s="1" t="s">
        <v>58</v>
      </c>
      <c r="D485" s="1" t="s">
        <v>59</v>
      </c>
      <c r="E485" s="1" t="s">
        <v>42</v>
      </c>
      <c r="G485" s="1" t="s">
        <v>122</v>
      </c>
      <c r="H485" s="1" t="s">
        <v>1893</v>
      </c>
      <c r="I485" s="1" t="s">
        <v>2799</v>
      </c>
      <c r="J485" s="1">
        <v>2023</v>
      </c>
      <c r="K485" s="1" t="s">
        <v>2800</v>
      </c>
      <c r="L485" s="1" t="s">
        <v>2801</v>
      </c>
      <c r="M485" s="1" t="s">
        <v>2802</v>
      </c>
      <c r="P485" s="1" t="s">
        <v>2803</v>
      </c>
      <c r="Q485" s="1" t="s">
        <v>264</v>
      </c>
      <c r="R485" s="1" t="s">
        <v>265</v>
      </c>
      <c r="S485" s="1" t="s">
        <v>379</v>
      </c>
      <c r="T485" s="1" t="s">
        <v>380</v>
      </c>
      <c r="U485" s="1">
        <v>2</v>
      </c>
      <c r="V485" s="1" t="s">
        <v>268</v>
      </c>
      <c r="W485" s="1" t="s">
        <v>2804</v>
      </c>
      <c r="Y485" s="10">
        <v>45478</v>
      </c>
      <c r="Z485" s="1">
        <v>2024</v>
      </c>
      <c r="AA485" s="2">
        <v>125354.89</v>
      </c>
      <c r="AB485" s="2"/>
      <c r="AC485" s="2">
        <v>61338.720000000001</v>
      </c>
      <c r="AD485" s="1">
        <v>1</v>
      </c>
      <c r="AE485" s="1">
        <v>1</v>
      </c>
      <c r="AG485" s="1" t="s">
        <v>56</v>
      </c>
      <c r="AI485" s="2">
        <v>61338.720000000001</v>
      </c>
    </row>
    <row r="486" spans="1:38" ht="14.45" customHeight="1" x14ac:dyDescent="0.2">
      <c r="A486" s="1" t="s">
        <v>57</v>
      </c>
      <c r="B486" s="9" t="s">
        <v>38</v>
      </c>
      <c r="C486" s="1" t="s">
        <v>58</v>
      </c>
      <c r="D486" s="1" t="s">
        <v>59</v>
      </c>
      <c r="E486" s="1" t="s">
        <v>42</v>
      </c>
      <c r="G486" s="1" t="s">
        <v>122</v>
      </c>
      <c r="H486" s="1" t="s">
        <v>1893</v>
      </c>
      <c r="I486" s="1" t="s">
        <v>2805</v>
      </c>
      <c r="J486" s="1">
        <v>2023</v>
      </c>
      <c r="K486" s="1" t="s">
        <v>2806</v>
      </c>
      <c r="L486" s="1" t="s">
        <v>2807</v>
      </c>
      <c r="P486" s="1" t="s">
        <v>2808</v>
      </c>
      <c r="Q486" s="1" t="s">
        <v>1149</v>
      </c>
      <c r="R486" s="1" t="s">
        <v>1150</v>
      </c>
      <c r="S486" s="1" t="s">
        <v>1218</v>
      </c>
      <c r="T486" s="1" t="s">
        <v>1219</v>
      </c>
      <c r="V486" s="1" t="s">
        <v>1153</v>
      </c>
      <c r="W486" s="1" t="s">
        <v>2809</v>
      </c>
      <c r="Y486" s="10">
        <v>45478</v>
      </c>
      <c r="Z486" s="1">
        <v>2024</v>
      </c>
      <c r="AA486" s="2">
        <v>262983.45</v>
      </c>
      <c r="AB486" s="2"/>
      <c r="AC486" s="2">
        <v>95745.86</v>
      </c>
      <c r="AD486" s="1">
        <v>1</v>
      </c>
      <c r="AE486" s="1">
        <v>1</v>
      </c>
      <c r="AG486" s="1" t="s">
        <v>56</v>
      </c>
      <c r="AI486" s="2">
        <v>95745.86</v>
      </c>
    </row>
    <row r="487" spans="1:38" ht="14.45" customHeight="1" x14ac:dyDescent="0.2">
      <c r="A487" s="1" t="s">
        <v>57</v>
      </c>
      <c r="B487" s="9" t="s">
        <v>38</v>
      </c>
      <c r="C487" s="1" t="s">
        <v>58</v>
      </c>
      <c r="D487" s="1" t="s">
        <v>59</v>
      </c>
      <c r="E487" s="1" t="s">
        <v>42</v>
      </c>
      <c r="G487" s="1" t="s">
        <v>122</v>
      </c>
      <c r="H487" s="1" t="s">
        <v>1893</v>
      </c>
      <c r="I487" s="1" t="s">
        <v>2810</v>
      </c>
      <c r="J487" s="1">
        <v>2023</v>
      </c>
      <c r="K487" s="1" t="s">
        <v>2811</v>
      </c>
      <c r="L487" s="1" t="s">
        <v>2812</v>
      </c>
      <c r="P487" s="1" t="s">
        <v>2813</v>
      </c>
      <c r="Q487" s="1" t="s">
        <v>264</v>
      </c>
      <c r="R487" s="1" t="s">
        <v>265</v>
      </c>
      <c r="S487" s="1" t="s">
        <v>266</v>
      </c>
      <c r="T487" s="1" t="s">
        <v>267</v>
      </c>
      <c r="U487" s="1">
        <v>2</v>
      </c>
      <c r="V487" s="1" t="s">
        <v>268</v>
      </c>
      <c r="W487" s="1" t="s">
        <v>2814</v>
      </c>
      <c r="Y487" s="10">
        <v>45478</v>
      </c>
      <c r="Z487" s="1">
        <v>2024</v>
      </c>
      <c r="AA487" s="2">
        <v>133139.82999999999</v>
      </c>
      <c r="AB487" s="2"/>
      <c r="AC487" s="2">
        <v>48284.959999999999</v>
      </c>
      <c r="AD487" s="1">
        <v>0.5</v>
      </c>
      <c r="AE487" s="1">
        <v>0.5</v>
      </c>
      <c r="AG487" s="1" t="s">
        <v>56</v>
      </c>
      <c r="AI487" s="2">
        <v>48284.959999999999</v>
      </c>
    </row>
    <row r="488" spans="1:38" ht="14.45" customHeight="1" x14ac:dyDescent="0.2">
      <c r="A488" s="1" t="s">
        <v>57</v>
      </c>
      <c r="B488" s="9" t="s">
        <v>38</v>
      </c>
      <c r="C488" s="1" t="s">
        <v>58</v>
      </c>
      <c r="D488" s="1" t="s">
        <v>59</v>
      </c>
      <c r="E488" s="1" t="s">
        <v>42</v>
      </c>
      <c r="G488" s="1" t="s">
        <v>122</v>
      </c>
      <c r="H488" s="1" t="s">
        <v>1893</v>
      </c>
      <c r="I488" s="1" t="s">
        <v>2815</v>
      </c>
      <c r="J488" s="1">
        <v>2023</v>
      </c>
      <c r="K488" s="1" t="s">
        <v>2816</v>
      </c>
      <c r="L488" s="1" t="s">
        <v>2817</v>
      </c>
      <c r="P488" s="1" t="s">
        <v>2818</v>
      </c>
      <c r="Q488" s="1" t="s">
        <v>264</v>
      </c>
      <c r="R488" s="1" t="s">
        <v>265</v>
      </c>
      <c r="S488" s="1" t="s">
        <v>299</v>
      </c>
      <c r="T488" s="1" t="s">
        <v>300</v>
      </c>
      <c r="U488" s="1">
        <v>2</v>
      </c>
      <c r="V488" s="1" t="s">
        <v>268</v>
      </c>
      <c r="W488" s="1" t="s">
        <v>2819</v>
      </c>
      <c r="Y488" s="10">
        <v>45478</v>
      </c>
      <c r="Z488" s="1">
        <v>2024</v>
      </c>
      <c r="AA488" s="2">
        <v>148447.5</v>
      </c>
      <c r="AB488" s="2"/>
      <c r="AC488" s="2">
        <v>74223.75</v>
      </c>
      <c r="AD488" s="1">
        <v>5</v>
      </c>
      <c r="AG488" s="1" t="s">
        <v>56</v>
      </c>
      <c r="AI488" s="2">
        <v>74223.75</v>
      </c>
    </row>
    <row r="489" spans="1:38" ht="14.45" customHeight="1" x14ac:dyDescent="0.2">
      <c r="A489" s="1" t="s">
        <v>57</v>
      </c>
      <c r="B489" s="9" t="s">
        <v>38</v>
      </c>
      <c r="C489" s="1" t="s">
        <v>58</v>
      </c>
      <c r="D489" s="1" t="s">
        <v>59</v>
      </c>
      <c r="E489" s="1" t="s">
        <v>42</v>
      </c>
      <c r="G489" s="1" t="s">
        <v>122</v>
      </c>
      <c r="H489" s="1" t="s">
        <v>1893</v>
      </c>
      <c r="I489" s="1" t="s">
        <v>2820</v>
      </c>
      <c r="J489" s="1">
        <v>2023</v>
      </c>
      <c r="K489" s="1" t="s">
        <v>2821</v>
      </c>
      <c r="L489" s="1" t="s">
        <v>2822</v>
      </c>
      <c r="M489" s="1" t="s">
        <v>2823</v>
      </c>
      <c r="P489" s="1" t="s">
        <v>2824</v>
      </c>
      <c r="Q489" s="1" t="s">
        <v>264</v>
      </c>
      <c r="R489" s="1" t="s">
        <v>265</v>
      </c>
      <c r="S489" s="1" t="s">
        <v>299</v>
      </c>
      <c r="T489" s="1" t="s">
        <v>300</v>
      </c>
      <c r="U489" s="1">
        <v>2</v>
      </c>
      <c r="V489" s="1" t="s">
        <v>268</v>
      </c>
      <c r="W489" s="1" t="s">
        <v>1075</v>
      </c>
      <c r="Y489" s="10">
        <v>45478</v>
      </c>
      <c r="Z489" s="1">
        <v>2024</v>
      </c>
      <c r="AA489" s="2">
        <v>447584</v>
      </c>
      <c r="AB489" s="2"/>
      <c r="AC489" s="2">
        <v>104396</v>
      </c>
      <c r="AD489" s="1">
        <v>6</v>
      </c>
      <c r="AG489" s="1" t="s">
        <v>56</v>
      </c>
      <c r="AI489" s="2">
        <v>104396</v>
      </c>
    </row>
    <row r="490" spans="1:38" ht="14.45" customHeight="1" x14ac:dyDescent="0.25">
      <c r="A490" s="1" t="s">
        <v>57</v>
      </c>
      <c r="B490" s="9" t="s">
        <v>38</v>
      </c>
      <c r="C490" s="1" t="s">
        <v>58</v>
      </c>
      <c r="D490" s="1" t="s">
        <v>59</v>
      </c>
      <c r="E490" s="1" t="s">
        <v>42</v>
      </c>
      <c r="G490" s="1" t="s">
        <v>122</v>
      </c>
      <c r="H490" s="1" t="s">
        <v>1893</v>
      </c>
      <c r="I490" s="1" t="s">
        <v>2825</v>
      </c>
      <c r="J490" s="1">
        <v>2023</v>
      </c>
      <c r="K490" s="1" t="s">
        <v>2826</v>
      </c>
      <c r="L490" s="1" t="s">
        <v>2827</v>
      </c>
      <c r="P490" s="1" t="s">
        <v>2429</v>
      </c>
      <c r="Q490" s="1" t="s">
        <v>264</v>
      </c>
      <c r="R490" s="1" t="s">
        <v>265</v>
      </c>
      <c r="S490" s="16" t="s">
        <v>306</v>
      </c>
      <c r="T490" s="1" t="s">
        <v>307</v>
      </c>
      <c r="U490" s="1">
        <v>1</v>
      </c>
      <c r="V490" s="1" t="s">
        <v>308</v>
      </c>
      <c r="W490" s="1" t="s">
        <v>2828</v>
      </c>
      <c r="Y490" s="10">
        <v>45478</v>
      </c>
      <c r="Z490" s="1">
        <v>2024</v>
      </c>
      <c r="AA490" s="2">
        <v>317997.53999999998</v>
      </c>
      <c r="AB490" s="2"/>
      <c r="AC490" s="2">
        <v>127199.01</v>
      </c>
      <c r="AD490" s="1">
        <v>3</v>
      </c>
      <c r="AE490" s="1">
        <v>2</v>
      </c>
      <c r="AG490" s="1" t="s">
        <v>56</v>
      </c>
      <c r="AI490" s="2">
        <v>127199.01</v>
      </c>
    </row>
    <row r="491" spans="1:38" ht="14.45" customHeight="1" x14ac:dyDescent="0.2">
      <c r="A491" s="1" t="s">
        <v>57</v>
      </c>
      <c r="B491" s="9" t="s">
        <v>38</v>
      </c>
      <c r="C491" s="1" t="s">
        <v>58</v>
      </c>
      <c r="D491" s="1" t="s">
        <v>59</v>
      </c>
      <c r="E491" s="1" t="s">
        <v>42</v>
      </c>
      <c r="G491" s="1" t="s">
        <v>122</v>
      </c>
      <c r="H491" s="1" t="s">
        <v>1893</v>
      </c>
      <c r="I491" s="1" t="s">
        <v>2829</v>
      </c>
      <c r="J491" s="1">
        <v>2023</v>
      </c>
      <c r="K491" s="1" t="s">
        <v>2830</v>
      </c>
      <c r="L491" s="1" t="s">
        <v>2831</v>
      </c>
      <c r="P491" s="1" t="s">
        <v>2832</v>
      </c>
      <c r="Q491" s="1" t="s">
        <v>264</v>
      </c>
      <c r="R491" s="1" t="s">
        <v>265</v>
      </c>
      <c r="S491" s="1" t="s">
        <v>935</v>
      </c>
      <c r="T491" s="1" t="s">
        <v>936</v>
      </c>
      <c r="U491" s="1">
        <v>1</v>
      </c>
      <c r="V491" s="1" t="s">
        <v>308</v>
      </c>
      <c r="W491" s="1" t="s">
        <v>2833</v>
      </c>
      <c r="Y491" s="10">
        <v>45478</v>
      </c>
      <c r="Z491" s="1">
        <v>2024</v>
      </c>
      <c r="AA491" s="2">
        <v>64185.01</v>
      </c>
      <c r="AB491" s="2"/>
      <c r="AC491" s="2">
        <v>31046.25</v>
      </c>
      <c r="AD491" s="1">
        <v>1</v>
      </c>
      <c r="AG491" s="1" t="s">
        <v>56</v>
      </c>
      <c r="AI491" s="2">
        <v>31046.25</v>
      </c>
    </row>
    <row r="492" spans="1:38" ht="14.45" customHeight="1" x14ac:dyDescent="0.2">
      <c r="A492" s="1" t="s">
        <v>57</v>
      </c>
      <c r="B492" s="9" t="s">
        <v>38</v>
      </c>
      <c r="C492" s="1" t="s">
        <v>58</v>
      </c>
      <c r="D492" s="1" t="s">
        <v>59</v>
      </c>
      <c r="E492" s="1" t="s">
        <v>42</v>
      </c>
      <c r="G492" s="1" t="s">
        <v>122</v>
      </c>
      <c r="H492" s="1" t="s">
        <v>1893</v>
      </c>
      <c r="I492" s="1" t="s">
        <v>2834</v>
      </c>
      <c r="J492" s="1">
        <v>2023</v>
      </c>
      <c r="K492" s="1" t="s">
        <v>2835</v>
      </c>
      <c r="L492" s="1" t="s">
        <v>2836</v>
      </c>
      <c r="P492" s="1" t="s">
        <v>2837</v>
      </c>
      <c r="Q492" s="1" t="s">
        <v>264</v>
      </c>
      <c r="R492" s="1" t="s">
        <v>265</v>
      </c>
      <c r="S492" s="1" t="s">
        <v>266</v>
      </c>
      <c r="T492" s="1" t="s">
        <v>267</v>
      </c>
      <c r="U492" s="1">
        <v>2</v>
      </c>
      <c r="V492" s="1" t="s">
        <v>268</v>
      </c>
      <c r="W492" s="1" t="s">
        <v>2838</v>
      </c>
      <c r="Y492" s="10">
        <v>45478</v>
      </c>
      <c r="Z492" s="1">
        <v>2024</v>
      </c>
      <c r="AA492" s="2">
        <v>469250</v>
      </c>
      <c r="AB492" s="2"/>
      <c r="AC492" s="2">
        <v>100000</v>
      </c>
      <c r="AD492" s="1">
        <v>0</v>
      </c>
      <c r="AG492" s="1" t="s">
        <v>56</v>
      </c>
      <c r="AI492" s="2">
        <v>100000</v>
      </c>
    </row>
    <row r="493" spans="1:38" ht="14.45" customHeight="1" x14ac:dyDescent="0.2">
      <c r="A493" s="1" t="s">
        <v>57</v>
      </c>
      <c r="B493" s="9" t="s">
        <v>38</v>
      </c>
      <c r="C493" s="1" t="s">
        <v>58</v>
      </c>
      <c r="D493" s="1" t="s">
        <v>59</v>
      </c>
      <c r="E493" s="1" t="s">
        <v>42</v>
      </c>
      <c r="G493" s="1" t="s">
        <v>122</v>
      </c>
      <c r="H493" s="1" t="s">
        <v>1893</v>
      </c>
      <c r="I493" s="1" t="s">
        <v>2839</v>
      </c>
      <c r="J493" s="1">
        <v>2023</v>
      </c>
      <c r="K493" s="1" t="s">
        <v>2840</v>
      </c>
      <c r="L493" s="1" t="s">
        <v>2841</v>
      </c>
      <c r="P493" s="1" t="s">
        <v>2842</v>
      </c>
      <c r="Q493" s="1" t="s">
        <v>264</v>
      </c>
      <c r="R493" s="1" t="s">
        <v>265</v>
      </c>
      <c r="S493" s="1" t="s">
        <v>266</v>
      </c>
      <c r="T493" s="1" t="s">
        <v>267</v>
      </c>
      <c r="U493" s="1">
        <v>2</v>
      </c>
      <c r="V493" s="1" t="s">
        <v>268</v>
      </c>
      <c r="W493" s="1" t="s">
        <v>2843</v>
      </c>
      <c r="Y493" s="10">
        <v>45478</v>
      </c>
      <c r="Z493" s="1">
        <v>2024</v>
      </c>
      <c r="AA493" s="2">
        <v>280341.59999999998</v>
      </c>
      <c r="AB493" s="2"/>
      <c r="AC493" s="2">
        <v>70085.399999999994</v>
      </c>
      <c r="AD493" s="1">
        <v>0</v>
      </c>
      <c r="AG493" s="1" t="s">
        <v>56</v>
      </c>
      <c r="AI493" s="2">
        <v>70085.399999999994</v>
      </c>
    </row>
    <row r="494" spans="1:38" ht="14.45" customHeight="1" x14ac:dyDescent="0.25">
      <c r="A494" s="1" t="s">
        <v>57</v>
      </c>
      <c r="B494" s="9" t="s">
        <v>38</v>
      </c>
      <c r="C494" s="1" t="s">
        <v>58</v>
      </c>
      <c r="D494" s="1" t="s">
        <v>59</v>
      </c>
      <c r="E494" s="1" t="s">
        <v>42</v>
      </c>
      <c r="G494" s="1" t="s">
        <v>122</v>
      </c>
      <c r="H494" s="1" t="s">
        <v>1893</v>
      </c>
      <c r="I494" s="1" t="s">
        <v>2844</v>
      </c>
      <c r="J494" s="1">
        <v>2023</v>
      </c>
      <c r="K494" s="1" t="s">
        <v>2845</v>
      </c>
      <c r="L494" s="1" t="s">
        <v>2846</v>
      </c>
      <c r="P494" s="1" t="s">
        <v>2847</v>
      </c>
      <c r="Q494" s="1" t="s">
        <v>264</v>
      </c>
      <c r="R494" s="1" t="s">
        <v>265</v>
      </c>
      <c r="S494" s="16" t="s">
        <v>306</v>
      </c>
      <c r="T494" s="1" t="s">
        <v>307</v>
      </c>
      <c r="U494" s="1">
        <v>1</v>
      </c>
      <c r="V494" s="1" t="s">
        <v>308</v>
      </c>
      <c r="W494" s="1" t="s">
        <v>2848</v>
      </c>
      <c r="Y494" s="10">
        <v>45478</v>
      </c>
      <c r="Z494" s="1">
        <v>2024</v>
      </c>
      <c r="AA494" s="2">
        <v>33405.4</v>
      </c>
      <c r="AB494" s="2"/>
      <c r="AC494" s="2">
        <v>8351.35</v>
      </c>
      <c r="AD494" s="1">
        <v>0</v>
      </c>
      <c r="AG494" s="1" t="s">
        <v>56</v>
      </c>
      <c r="AI494" s="2">
        <v>8351.35</v>
      </c>
    </row>
    <row r="495" spans="1:38" ht="14.45" customHeight="1" x14ac:dyDescent="0.2">
      <c r="A495" s="1" t="s">
        <v>57</v>
      </c>
      <c r="B495" s="9" t="s">
        <v>38</v>
      </c>
      <c r="C495" s="1" t="s">
        <v>58</v>
      </c>
      <c r="D495" s="1" t="s">
        <v>59</v>
      </c>
      <c r="E495" s="1" t="s">
        <v>42</v>
      </c>
      <c r="G495" s="1" t="s">
        <v>122</v>
      </c>
      <c r="H495" s="1" t="s">
        <v>1893</v>
      </c>
      <c r="I495" s="1" t="s">
        <v>2849</v>
      </c>
      <c r="J495" s="1">
        <v>2023</v>
      </c>
      <c r="K495" s="1" t="s">
        <v>2850</v>
      </c>
      <c r="L495" s="1" t="s">
        <v>2851</v>
      </c>
      <c r="N495" s="1" t="s">
        <v>2852</v>
      </c>
      <c r="P495" s="1" t="s">
        <v>2853</v>
      </c>
      <c r="Q495" s="1" t="s">
        <v>101</v>
      </c>
      <c r="R495" s="1" t="s">
        <v>102</v>
      </c>
      <c r="S495" s="1" t="s">
        <v>637</v>
      </c>
      <c r="T495" s="1" t="s">
        <v>638</v>
      </c>
      <c r="U495" s="1">
        <v>1</v>
      </c>
      <c r="V495" s="1" t="s">
        <v>101</v>
      </c>
      <c r="W495" s="1" t="s">
        <v>2854</v>
      </c>
      <c r="Y495" s="10">
        <v>45478</v>
      </c>
      <c r="Z495" s="1">
        <v>2024</v>
      </c>
      <c r="AA495" s="2">
        <v>79347.19</v>
      </c>
      <c r="AB495" s="2"/>
      <c r="AC495" s="2">
        <v>39673.599999999999</v>
      </c>
      <c r="AD495" s="1">
        <v>4.5</v>
      </c>
      <c r="AG495" s="1" t="s">
        <v>56</v>
      </c>
      <c r="AI495" s="2">
        <v>39673.599999999999</v>
      </c>
    </row>
    <row r="496" spans="1:38" ht="14.45" customHeight="1" x14ac:dyDescent="0.2">
      <c r="A496" s="1" t="s">
        <v>57</v>
      </c>
      <c r="B496" s="9" t="s">
        <v>38</v>
      </c>
      <c r="C496" s="1" t="s">
        <v>58</v>
      </c>
      <c r="D496" s="1" t="s">
        <v>59</v>
      </c>
      <c r="E496" s="1" t="s">
        <v>42</v>
      </c>
      <c r="G496" s="1" t="s">
        <v>122</v>
      </c>
      <c r="H496" s="1" t="s">
        <v>1893</v>
      </c>
      <c r="I496" s="1" t="s">
        <v>2855</v>
      </c>
      <c r="J496" s="1">
        <v>2023</v>
      </c>
      <c r="K496" s="1" t="s">
        <v>2856</v>
      </c>
      <c r="L496" s="1" t="s">
        <v>2857</v>
      </c>
      <c r="P496" s="1" t="s">
        <v>2858</v>
      </c>
      <c r="Q496" s="1" t="s">
        <v>50</v>
      </c>
      <c r="R496" s="1" t="s">
        <v>68</v>
      </c>
      <c r="S496" s="1" t="s">
        <v>2056</v>
      </c>
      <c r="T496" s="1" t="s">
        <v>2057</v>
      </c>
      <c r="U496" s="1">
        <v>1</v>
      </c>
      <c r="V496" s="1" t="s">
        <v>195</v>
      </c>
      <c r="W496" s="1" t="s">
        <v>2856</v>
      </c>
      <c r="Y496" s="10">
        <v>45478</v>
      </c>
      <c r="Z496" s="1">
        <v>2024</v>
      </c>
      <c r="AA496" s="2">
        <v>216245.1</v>
      </c>
      <c r="AB496" s="2"/>
      <c r="AC496" s="2">
        <v>108122.55</v>
      </c>
      <c r="AD496" s="1">
        <v>2.75</v>
      </c>
      <c r="AE496" s="1">
        <v>2</v>
      </c>
      <c r="AG496" s="1" t="s">
        <v>56</v>
      </c>
      <c r="AI496" s="2">
        <v>108122.55</v>
      </c>
    </row>
    <row r="497" spans="1:38" ht="14.45" customHeight="1" x14ac:dyDescent="0.2">
      <c r="A497" s="1" t="s">
        <v>57</v>
      </c>
      <c r="B497" s="9" t="s">
        <v>38</v>
      </c>
      <c r="C497" s="1" t="s">
        <v>58</v>
      </c>
      <c r="D497" s="1" t="s">
        <v>59</v>
      </c>
      <c r="E497" s="1" t="s">
        <v>42</v>
      </c>
      <c r="G497" s="1" t="s">
        <v>122</v>
      </c>
      <c r="H497" s="1" t="s">
        <v>1893</v>
      </c>
      <c r="I497" s="1" t="s">
        <v>2859</v>
      </c>
      <c r="J497" s="1">
        <v>2023</v>
      </c>
      <c r="K497" s="1" t="s">
        <v>2860</v>
      </c>
      <c r="L497" s="1" t="s">
        <v>2861</v>
      </c>
      <c r="P497" s="1" t="s">
        <v>2862</v>
      </c>
      <c r="Q497" s="1" t="s">
        <v>264</v>
      </c>
      <c r="R497" s="1" t="s">
        <v>265</v>
      </c>
      <c r="S497" s="1" t="s">
        <v>266</v>
      </c>
      <c r="T497" s="1" t="s">
        <v>267</v>
      </c>
      <c r="U497" s="1">
        <v>2</v>
      </c>
      <c r="V497" s="1" t="s">
        <v>268</v>
      </c>
      <c r="W497" s="1" t="s">
        <v>2863</v>
      </c>
      <c r="Y497" s="10">
        <v>45478</v>
      </c>
      <c r="Z497" s="1">
        <v>2024</v>
      </c>
      <c r="AA497" s="2">
        <v>196212.32</v>
      </c>
      <c r="AB497" s="2"/>
      <c r="AC497" s="2">
        <v>49053.08</v>
      </c>
      <c r="AD497" s="1">
        <v>0</v>
      </c>
      <c r="AG497" s="1" t="s">
        <v>56</v>
      </c>
      <c r="AI497" s="2">
        <v>49053.08</v>
      </c>
    </row>
    <row r="498" spans="1:38" ht="14.45" customHeight="1" x14ac:dyDescent="0.2">
      <c r="A498" s="1" t="s">
        <v>57</v>
      </c>
      <c r="B498" s="9" t="s">
        <v>38</v>
      </c>
      <c r="C498" s="1" t="s">
        <v>58</v>
      </c>
      <c r="D498" s="1" t="s">
        <v>59</v>
      </c>
      <c r="E498" s="1" t="s">
        <v>42</v>
      </c>
      <c r="G498" s="1" t="s">
        <v>122</v>
      </c>
      <c r="H498" s="1" t="s">
        <v>1893</v>
      </c>
      <c r="I498" s="1" t="s">
        <v>2864</v>
      </c>
      <c r="J498" s="1">
        <v>2023</v>
      </c>
      <c r="K498" s="1" t="s">
        <v>2865</v>
      </c>
      <c r="L498" s="1" t="s">
        <v>2866</v>
      </c>
      <c r="P498" s="1" t="s">
        <v>2867</v>
      </c>
      <c r="Q498" s="1" t="s">
        <v>264</v>
      </c>
      <c r="R498" s="1" t="s">
        <v>265</v>
      </c>
      <c r="S498" s="1" t="s">
        <v>717</v>
      </c>
      <c r="T498" s="1" t="s">
        <v>718</v>
      </c>
      <c r="U498" s="1">
        <v>1</v>
      </c>
      <c r="V498" s="1" t="s">
        <v>535</v>
      </c>
      <c r="W498" s="1" t="s">
        <v>2868</v>
      </c>
      <c r="Y498" s="10">
        <v>45478</v>
      </c>
      <c r="Z498" s="1">
        <v>2024</v>
      </c>
      <c r="AA498" s="2">
        <v>422416.29</v>
      </c>
      <c r="AB498" s="2"/>
      <c r="AC498" s="2">
        <v>190000</v>
      </c>
      <c r="AD498" s="1">
        <v>6</v>
      </c>
      <c r="AG498" s="1" t="s">
        <v>56</v>
      </c>
      <c r="AI498" s="2">
        <v>190000</v>
      </c>
    </row>
    <row r="499" spans="1:38" ht="14.45" customHeight="1" x14ac:dyDescent="0.2">
      <c r="A499" s="1" t="s">
        <v>57</v>
      </c>
      <c r="B499" s="9" t="s">
        <v>38</v>
      </c>
      <c r="C499" s="1" t="s">
        <v>58</v>
      </c>
      <c r="D499" s="1" t="s">
        <v>59</v>
      </c>
      <c r="E499" s="1" t="s">
        <v>42</v>
      </c>
      <c r="G499" s="1" t="s">
        <v>122</v>
      </c>
      <c r="H499" s="1" t="s">
        <v>1893</v>
      </c>
      <c r="I499" s="1" t="s">
        <v>2869</v>
      </c>
      <c r="J499" s="1">
        <v>2023</v>
      </c>
      <c r="K499" s="1" t="s">
        <v>2870</v>
      </c>
      <c r="L499" s="1" t="s">
        <v>2871</v>
      </c>
      <c r="P499" s="1" t="s">
        <v>2872</v>
      </c>
      <c r="Q499" s="1" t="s">
        <v>264</v>
      </c>
      <c r="R499" s="1" t="s">
        <v>265</v>
      </c>
      <c r="S499" s="1" t="s">
        <v>855</v>
      </c>
      <c r="T499" s="1" t="s">
        <v>856</v>
      </c>
      <c r="U499" s="1">
        <v>2</v>
      </c>
      <c r="V499" s="1" t="s">
        <v>308</v>
      </c>
      <c r="W499" s="1" t="s">
        <v>2873</v>
      </c>
      <c r="Y499" s="10">
        <v>45478</v>
      </c>
      <c r="Z499" s="1">
        <v>2024</v>
      </c>
      <c r="AA499" s="2">
        <v>32620.116300000002</v>
      </c>
      <c r="AB499" s="2"/>
      <c r="AC499" s="2">
        <v>16310.06</v>
      </c>
      <c r="AD499" s="1">
        <v>3</v>
      </c>
      <c r="AE499" s="1">
        <v>2</v>
      </c>
      <c r="AG499" s="1" t="s">
        <v>56</v>
      </c>
      <c r="AI499" s="2">
        <v>16310.06</v>
      </c>
    </row>
    <row r="500" spans="1:38" ht="14.45" customHeight="1" x14ac:dyDescent="0.2">
      <c r="A500" s="1" t="s">
        <v>57</v>
      </c>
      <c r="B500" s="9" t="s">
        <v>38</v>
      </c>
      <c r="C500" s="1" t="s">
        <v>58</v>
      </c>
      <c r="D500" s="1" t="s">
        <v>59</v>
      </c>
      <c r="E500" s="1" t="s">
        <v>42</v>
      </c>
      <c r="G500" s="1" t="s">
        <v>122</v>
      </c>
      <c r="H500" s="1" t="s">
        <v>1893</v>
      </c>
      <c r="I500" s="1" t="s">
        <v>2874</v>
      </c>
      <c r="J500" s="1">
        <v>2023</v>
      </c>
      <c r="K500" s="1" t="s">
        <v>2875</v>
      </c>
      <c r="L500" s="1" t="s">
        <v>2876</v>
      </c>
      <c r="P500" s="1" t="s">
        <v>2877</v>
      </c>
      <c r="Q500" s="1" t="s">
        <v>264</v>
      </c>
      <c r="R500" s="1" t="s">
        <v>265</v>
      </c>
      <c r="S500" s="1" t="s">
        <v>855</v>
      </c>
      <c r="T500" s="1" t="s">
        <v>856</v>
      </c>
      <c r="U500" s="1">
        <v>2</v>
      </c>
      <c r="V500" s="1" t="s">
        <v>308</v>
      </c>
      <c r="W500" s="1" t="s">
        <v>2878</v>
      </c>
      <c r="Y500" s="10">
        <v>45478</v>
      </c>
      <c r="Z500" s="1">
        <v>2024</v>
      </c>
      <c r="AA500" s="2">
        <v>386833.85</v>
      </c>
      <c r="AB500" s="2"/>
      <c r="AC500" s="2">
        <v>171708.46</v>
      </c>
      <c r="AD500" s="1">
        <v>3</v>
      </c>
      <c r="AE500" s="1">
        <v>1</v>
      </c>
      <c r="AG500" s="1" t="s">
        <v>56</v>
      </c>
      <c r="AI500" s="2">
        <v>171708.46</v>
      </c>
    </row>
    <row r="501" spans="1:38" ht="14.45" customHeight="1" x14ac:dyDescent="0.2">
      <c r="A501" s="1" t="s">
        <v>57</v>
      </c>
      <c r="B501" s="9" t="s">
        <v>38</v>
      </c>
      <c r="C501" s="1" t="s">
        <v>58</v>
      </c>
      <c r="D501" s="1" t="s">
        <v>59</v>
      </c>
      <c r="E501" s="1" t="s">
        <v>42</v>
      </c>
      <c r="G501" s="1" t="s">
        <v>122</v>
      </c>
      <c r="H501" s="1" t="s">
        <v>1893</v>
      </c>
      <c r="I501" s="1" t="s">
        <v>2879</v>
      </c>
      <c r="J501" s="1">
        <v>2023</v>
      </c>
      <c r="K501" s="1" t="s">
        <v>2880</v>
      </c>
      <c r="L501" s="1" t="s">
        <v>2881</v>
      </c>
      <c r="P501" s="1" t="s">
        <v>2882</v>
      </c>
      <c r="Q501" s="1" t="s">
        <v>264</v>
      </c>
      <c r="R501" s="1" t="s">
        <v>265</v>
      </c>
      <c r="S501" s="1" t="s">
        <v>290</v>
      </c>
      <c r="T501" s="1" t="s">
        <v>291</v>
      </c>
      <c r="U501" s="1">
        <v>1</v>
      </c>
      <c r="V501" s="1" t="s">
        <v>268</v>
      </c>
      <c r="W501" s="1" t="s">
        <v>2883</v>
      </c>
      <c r="Y501" s="10">
        <v>45478</v>
      </c>
      <c r="Z501" s="1">
        <v>2024</v>
      </c>
      <c r="AA501" s="2">
        <v>488976.2</v>
      </c>
      <c r="AB501" s="2"/>
      <c r="AC501" s="2">
        <v>130000</v>
      </c>
      <c r="AD501" s="1">
        <v>1</v>
      </c>
      <c r="AG501" s="1" t="s">
        <v>56</v>
      </c>
      <c r="AI501" s="2">
        <v>130000</v>
      </c>
    </row>
    <row r="502" spans="1:38" ht="14.45" hidden="1" customHeight="1" x14ac:dyDescent="0.2">
      <c r="A502" s="1" t="s">
        <v>57</v>
      </c>
      <c r="B502" s="9" t="s">
        <v>38</v>
      </c>
      <c r="C502" s="1" t="s">
        <v>58</v>
      </c>
      <c r="D502" s="1" t="s">
        <v>146</v>
      </c>
      <c r="E502" s="1" t="s">
        <v>42</v>
      </c>
      <c r="G502" s="1" t="s">
        <v>147</v>
      </c>
      <c r="H502" s="1" t="s">
        <v>148</v>
      </c>
      <c r="I502" s="1" t="s">
        <v>2884</v>
      </c>
      <c r="J502" s="1">
        <v>2020</v>
      </c>
      <c r="K502" s="1" t="s">
        <v>2885</v>
      </c>
      <c r="L502" s="1" t="s">
        <v>2886</v>
      </c>
      <c r="P502" s="1" t="s">
        <v>2887</v>
      </c>
      <c r="Q502" s="1" t="s">
        <v>50</v>
      </c>
      <c r="R502" s="1" t="s">
        <v>68</v>
      </c>
      <c r="S502" s="1" t="s">
        <v>2888</v>
      </c>
      <c r="T502" s="1" t="s">
        <v>2889</v>
      </c>
      <c r="U502" s="1">
        <v>1</v>
      </c>
      <c r="V502" s="1" t="s">
        <v>71</v>
      </c>
      <c r="W502" s="1" t="s">
        <v>2886</v>
      </c>
      <c r="X502" s="1" t="s">
        <v>153</v>
      </c>
      <c r="Y502" s="10">
        <v>44127</v>
      </c>
      <c r="Z502" s="1">
        <v>2020</v>
      </c>
      <c r="AA502" s="2">
        <v>105521</v>
      </c>
      <c r="AB502" s="2"/>
      <c r="AC502" s="2">
        <v>79140.75</v>
      </c>
      <c r="AD502" s="1">
        <v>0</v>
      </c>
      <c r="AG502" s="1" t="s">
        <v>56</v>
      </c>
      <c r="AH502" s="1" t="s">
        <v>1458</v>
      </c>
      <c r="AI502" s="2">
        <v>79140.75</v>
      </c>
      <c r="AL502" s="1" t="s">
        <v>1744</v>
      </c>
    </row>
    <row r="503" spans="1:38" ht="14.45" customHeight="1" x14ac:dyDescent="0.2">
      <c r="A503" s="1" t="s">
        <v>57</v>
      </c>
      <c r="B503" s="9" t="s">
        <v>38</v>
      </c>
      <c r="C503" s="1" t="s">
        <v>58</v>
      </c>
      <c r="D503" s="1" t="s">
        <v>59</v>
      </c>
      <c r="E503" s="1" t="s">
        <v>42</v>
      </c>
      <c r="G503" s="1" t="s">
        <v>122</v>
      </c>
      <c r="H503" s="1" t="s">
        <v>1893</v>
      </c>
      <c r="I503" s="1" t="s">
        <v>2890</v>
      </c>
      <c r="J503" s="1">
        <v>2023</v>
      </c>
      <c r="K503" s="1" t="s">
        <v>2891</v>
      </c>
      <c r="L503" s="1" t="s">
        <v>2892</v>
      </c>
      <c r="P503" s="1" t="s">
        <v>2893</v>
      </c>
      <c r="Q503" s="1" t="s">
        <v>264</v>
      </c>
      <c r="R503" s="1" t="s">
        <v>265</v>
      </c>
      <c r="S503" s="1" t="s">
        <v>266</v>
      </c>
      <c r="T503" s="1" t="s">
        <v>267</v>
      </c>
      <c r="U503" s="1">
        <v>2</v>
      </c>
      <c r="V503" s="1" t="s">
        <v>268</v>
      </c>
      <c r="W503" s="1" t="s">
        <v>2894</v>
      </c>
      <c r="Y503" s="10">
        <v>45478</v>
      </c>
      <c r="Z503" s="1">
        <v>2024</v>
      </c>
      <c r="AA503" s="2">
        <v>412879.14</v>
      </c>
      <c r="AB503" s="2"/>
      <c r="AC503" s="2">
        <v>200000</v>
      </c>
      <c r="AD503" s="1">
        <v>5</v>
      </c>
      <c r="AG503" s="1" t="s">
        <v>56</v>
      </c>
      <c r="AI503" s="2">
        <v>200000</v>
      </c>
    </row>
    <row r="504" spans="1:38" ht="14.45" customHeight="1" x14ac:dyDescent="0.2">
      <c r="A504" s="1" t="s">
        <v>57</v>
      </c>
      <c r="B504" s="9" t="s">
        <v>38</v>
      </c>
      <c r="C504" s="1" t="s">
        <v>58</v>
      </c>
      <c r="D504" s="1" t="s">
        <v>59</v>
      </c>
      <c r="E504" s="1" t="s">
        <v>42</v>
      </c>
      <c r="G504" s="1" t="s">
        <v>122</v>
      </c>
      <c r="H504" s="1" t="s">
        <v>1893</v>
      </c>
      <c r="I504" s="1" t="s">
        <v>2895</v>
      </c>
      <c r="J504" s="1">
        <v>2023</v>
      </c>
      <c r="K504" s="1" t="s">
        <v>2896</v>
      </c>
      <c r="L504" s="1" t="s">
        <v>2897</v>
      </c>
      <c r="P504" s="1" t="s">
        <v>2898</v>
      </c>
      <c r="Q504" s="1" t="s">
        <v>264</v>
      </c>
      <c r="R504" s="1" t="s">
        <v>265</v>
      </c>
      <c r="S504" s="1" t="s">
        <v>266</v>
      </c>
      <c r="T504" s="1" t="s">
        <v>267</v>
      </c>
      <c r="U504" s="1">
        <v>2</v>
      </c>
      <c r="V504" s="1" t="s">
        <v>268</v>
      </c>
      <c r="W504" s="1" t="s">
        <v>2899</v>
      </c>
      <c r="Y504" s="10">
        <v>45478</v>
      </c>
      <c r="Z504" s="1">
        <v>2024</v>
      </c>
      <c r="AA504" s="2">
        <v>77532.2</v>
      </c>
      <c r="AB504" s="2"/>
      <c r="AC504" s="2">
        <v>19383.05</v>
      </c>
      <c r="AD504" s="1">
        <v>0</v>
      </c>
      <c r="AG504" s="1" t="s">
        <v>56</v>
      </c>
      <c r="AI504" s="2">
        <v>19383.05</v>
      </c>
    </row>
    <row r="505" spans="1:38" ht="14.45" customHeight="1" x14ac:dyDescent="0.2">
      <c r="A505" s="1" t="s">
        <v>57</v>
      </c>
      <c r="B505" s="9" t="s">
        <v>38</v>
      </c>
      <c r="C505" s="1" t="s">
        <v>58</v>
      </c>
      <c r="D505" s="1" t="s">
        <v>59</v>
      </c>
      <c r="E505" s="1" t="s">
        <v>42</v>
      </c>
      <c r="G505" s="1" t="s">
        <v>122</v>
      </c>
      <c r="H505" s="1" t="s">
        <v>1893</v>
      </c>
      <c r="I505" s="1" t="s">
        <v>2900</v>
      </c>
      <c r="J505" s="1">
        <v>2023</v>
      </c>
      <c r="K505" s="1" t="s">
        <v>2901</v>
      </c>
      <c r="L505" s="1" t="s">
        <v>2902</v>
      </c>
      <c r="P505" s="1" t="s">
        <v>2903</v>
      </c>
      <c r="Q505" s="1" t="s">
        <v>264</v>
      </c>
      <c r="R505" s="1" t="s">
        <v>265</v>
      </c>
      <c r="S505" s="1" t="s">
        <v>717</v>
      </c>
      <c r="T505" s="1" t="s">
        <v>718</v>
      </c>
      <c r="U505" s="1">
        <v>1</v>
      </c>
      <c r="V505" s="1" t="s">
        <v>535</v>
      </c>
      <c r="W505" s="1" t="s">
        <v>2904</v>
      </c>
      <c r="Y505" s="10">
        <v>45478</v>
      </c>
      <c r="Z505" s="1">
        <v>2024</v>
      </c>
      <c r="AA505" s="2">
        <v>39322.5</v>
      </c>
      <c r="AB505" s="2"/>
      <c r="AC505" s="2">
        <v>9830.6299999999992</v>
      </c>
      <c r="AD505" s="1">
        <v>0</v>
      </c>
      <c r="AG505" s="1" t="s">
        <v>56</v>
      </c>
      <c r="AI505" s="2">
        <v>9830.6299999999992</v>
      </c>
    </row>
    <row r="506" spans="1:38" ht="14.45" customHeight="1" x14ac:dyDescent="0.2">
      <c r="A506" s="1" t="s">
        <v>57</v>
      </c>
      <c r="B506" s="9" t="s">
        <v>38</v>
      </c>
      <c r="C506" s="1" t="s">
        <v>58</v>
      </c>
      <c r="D506" s="1" t="s">
        <v>59</v>
      </c>
      <c r="E506" s="1" t="s">
        <v>42</v>
      </c>
      <c r="G506" s="1" t="s">
        <v>122</v>
      </c>
      <c r="H506" s="1" t="s">
        <v>1893</v>
      </c>
      <c r="I506" s="1" t="s">
        <v>2905</v>
      </c>
      <c r="J506" s="1">
        <v>2023</v>
      </c>
      <c r="K506" s="1" t="s">
        <v>2906</v>
      </c>
      <c r="L506" s="1" t="s">
        <v>2907</v>
      </c>
      <c r="M506" s="1" t="s">
        <v>2908</v>
      </c>
      <c r="P506" s="1" t="s">
        <v>2909</v>
      </c>
      <c r="Q506" s="1" t="s">
        <v>264</v>
      </c>
      <c r="R506" s="1" t="s">
        <v>265</v>
      </c>
      <c r="S506" s="1" t="s">
        <v>266</v>
      </c>
      <c r="T506" s="1" t="s">
        <v>267</v>
      </c>
      <c r="U506" s="1">
        <v>2</v>
      </c>
      <c r="V506" s="1" t="s">
        <v>268</v>
      </c>
      <c r="W506" s="1" t="s">
        <v>2910</v>
      </c>
      <c r="Y506" s="10">
        <v>45478</v>
      </c>
      <c r="Z506" s="1">
        <v>2024</v>
      </c>
      <c r="AA506" s="2">
        <v>455334.54</v>
      </c>
      <c r="AB506" s="2"/>
      <c r="AC506" s="2">
        <v>160000</v>
      </c>
      <c r="AD506" s="1">
        <v>2</v>
      </c>
      <c r="AE506" s="1">
        <v>2</v>
      </c>
      <c r="AG506" s="1" t="s">
        <v>56</v>
      </c>
      <c r="AI506" s="2">
        <v>160000</v>
      </c>
    </row>
    <row r="507" spans="1:38" ht="14.45" customHeight="1" x14ac:dyDescent="0.2">
      <c r="A507" s="1" t="s">
        <v>57</v>
      </c>
      <c r="B507" s="9" t="s">
        <v>38</v>
      </c>
      <c r="C507" s="1" t="s">
        <v>58</v>
      </c>
      <c r="D507" s="1" t="s">
        <v>59</v>
      </c>
      <c r="E507" s="1" t="s">
        <v>42</v>
      </c>
      <c r="G507" s="1" t="s">
        <v>122</v>
      </c>
      <c r="H507" s="1" t="s">
        <v>1893</v>
      </c>
      <c r="I507" s="1" t="s">
        <v>2911</v>
      </c>
      <c r="J507" s="1">
        <v>2023</v>
      </c>
      <c r="K507" s="1" t="s">
        <v>2912</v>
      </c>
      <c r="L507" s="1" t="s">
        <v>2913</v>
      </c>
      <c r="P507" s="1" t="s">
        <v>2914</v>
      </c>
      <c r="Q507" s="1" t="s">
        <v>264</v>
      </c>
      <c r="R507" s="1" t="s">
        <v>265</v>
      </c>
      <c r="S507" s="1" t="s">
        <v>717</v>
      </c>
      <c r="T507" s="1" t="s">
        <v>718</v>
      </c>
      <c r="U507" s="1">
        <v>1</v>
      </c>
      <c r="V507" s="1" t="s">
        <v>535</v>
      </c>
      <c r="W507" s="1" t="s">
        <v>2915</v>
      </c>
      <c r="Y507" s="10">
        <v>45478</v>
      </c>
      <c r="Z507" s="1">
        <v>2024</v>
      </c>
      <c r="AA507" s="2">
        <v>453000</v>
      </c>
      <c r="AB507" s="2"/>
      <c r="AC507" s="2">
        <v>145000</v>
      </c>
      <c r="AD507" s="1">
        <v>3</v>
      </c>
      <c r="AG507" s="1" t="s">
        <v>56</v>
      </c>
      <c r="AI507" s="2">
        <v>145000</v>
      </c>
    </row>
    <row r="508" spans="1:38" ht="14.45" customHeight="1" x14ac:dyDescent="0.2">
      <c r="A508" s="1" t="s">
        <v>57</v>
      </c>
      <c r="B508" s="9" t="s">
        <v>38</v>
      </c>
      <c r="C508" s="1" t="s">
        <v>58</v>
      </c>
      <c r="D508" s="1" t="s">
        <v>59</v>
      </c>
      <c r="E508" s="1" t="s">
        <v>42</v>
      </c>
      <c r="G508" s="1" t="s">
        <v>122</v>
      </c>
      <c r="H508" s="1" t="s">
        <v>1893</v>
      </c>
      <c r="I508" s="1" t="s">
        <v>2916</v>
      </c>
      <c r="J508" s="1">
        <v>2023</v>
      </c>
      <c r="K508" s="1" t="s">
        <v>2917</v>
      </c>
      <c r="L508" s="1" t="s">
        <v>2918</v>
      </c>
      <c r="P508" s="1" t="s">
        <v>892</v>
      </c>
      <c r="Q508" s="1" t="s">
        <v>264</v>
      </c>
      <c r="R508" s="1" t="s">
        <v>265</v>
      </c>
      <c r="S508" s="1" t="s">
        <v>542</v>
      </c>
      <c r="T508" s="1" t="s">
        <v>543</v>
      </c>
      <c r="U508" s="1">
        <v>1</v>
      </c>
      <c r="V508" s="1" t="s">
        <v>268</v>
      </c>
      <c r="W508" s="1" t="s">
        <v>2919</v>
      </c>
      <c r="Y508" s="10">
        <v>45478</v>
      </c>
      <c r="Z508" s="1">
        <v>2024</v>
      </c>
      <c r="AA508" s="2">
        <v>100146.65</v>
      </c>
      <c r="AB508" s="2"/>
      <c r="AC508" s="2">
        <v>40036.660000000003</v>
      </c>
      <c r="AD508" s="1">
        <v>1</v>
      </c>
      <c r="AG508" s="1" t="s">
        <v>56</v>
      </c>
      <c r="AI508" s="2">
        <v>40036.660000000003</v>
      </c>
    </row>
    <row r="509" spans="1:38" ht="14.45" customHeight="1" x14ac:dyDescent="0.2">
      <c r="A509" s="1" t="s">
        <v>57</v>
      </c>
      <c r="B509" s="9" t="s">
        <v>38</v>
      </c>
      <c r="C509" s="1" t="s">
        <v>58</v>
      </c>
      <c r="D509" s="1" t="s">
        <v>59</v>
      </c>
      <c r="E509" s="1" t="s">
        <v>42</v>
      </c>
      <c r="G509" s="1" t="s">
        <v>122</v>
      </c>
      <c r="H509" s="1" t="s">
        <v>1893</v>
      </c>
      <c r="I509" s="1" t="s">
        <v>2920</v>
      </c>
      <c r="J509" s="1">
        <v>2023</v>
      </c>
      <c r="K509" s="1" t="s">
        <v>2921</v>
      </c>
      <c r="L509" s="1" t="s">
        <v>2922</v>
      </c>
      <c r="M509" s="1" t="s">
        <v>2923</v>
      </c>
      <c r="P509" s="1" t="s">
        <v>2924</v>
      </c>
      <c r="Q509" s="1" t="s">
        <v>264</v>
      </c>
      <c r="R509" s="1" t="s">
        <v>265</v>
      </c>
      <c r="S509" s="1" t="s">
        <v>656</v>
      </c>
      <c r="T509" s="1" t="s">
        <v>657</v>
      </c>
      <c r="U509" s="1">
        <v>2</v>
      </c>
      <c r="V509" s="1" t="s">
        <v>268</v>
      </c>
      <c r="W509" s="1" t="s">
        <v>2925</v>
      </c>
      <c r="Y509" s="10">
        <v>45478</v>
      </c>
      <c r="Z509" s="1">
        <v>2024</v>
      </c>
      <c r="AA509" s="2">
        <v>498352.75</v>
      </c>
      <c r="AB509" s="2"/>
      <c r="AC509" s="2">
        <v>130000</v>
      </c>
      <c r="AD509" s="1">
        <v>2</v>
      </c>
      <c r="AE509" s="1">
        <v>1</v>
      </c>
      <c r="AG509" s="1" t="s">
        <v>56</v>
      </c>
      <c r="AI509" s="2">
        <v>130000</v>
      </c>
    </row>
    <row r="510" spans="1:38" ht="14.45" customHeight="1" x14ac:dyDescent="0.2">
      <c r="A510" s="1" t="s">
        <v>57</v>
      </c>
      <c r="B510" s="9" t="s">
        <v>38</v>
      </c>
      <c r="C510" s="1" t="s">
        <v>58</v>
      </c>
      <c r="D510" s="1" t="s">
        <v>59</v>
      </c>
      <c r="E510" s="1" t="s">
        <v>42</v>
      </c>
      <c r="G510" s="1" t="s">
        <v>122</v>
      </c>
      <c r="H510" s="1" t="s">
        <v>1893</v>
      </c>
      <c r="I510" s="1" t="s">
        <v>2926</v>
      </c>
      <c r="J510" s="1">
        <v>2023</v>
      </c>
      <c r="K510" s="1" t="s">
        <v>2927</v>
      </c>
      <c r="L510" s="1" t="s">
        <v>2928</v>
      </c>
      <c r="P510" s="1" t="s">
        <v>2929</v>
      </c>
      <c r="Q510" s="1" t="s">
        <v>264</v>
      </c>
      <c r="R510" s="1" t="s">
        <v>265</v>
      </c>
      <c r="S510" s="1" t="s">
        <v>299</v>
      </c>
      <c r="T510" s="1" t="s">
        <v>300</v>
      </c>
      <c r="U510" s="1">
        <v>2</v>
      </c>
      <c r="V510" s="1" t="s">
        <v>268</v>
      </c>
      <c r="W510" s="1" t="s">
        <v>2930</v>
      </c>
      <c r="Y510" s="10">
        <v>45478</v>
      </c>
      <c r="Z510" s="1">
        <v>2024</v>
      </c>
      <c r="AA510" s="2">
        <v>44512</v>
      </c>
      <c r="AB510" s="2"/>
      <c r="AC510" s="2">
        <v>22256</v>
      </c>
      <c r="AD510" s="1">
        <v>2</v>
      </c>
      <c r="AE510" s="1">
        <v>1</v>
      </c>
      <c r="AG510" s="1" t="s">
        <v>56</v>
      </c>
      <c r="AI510" s="2">
        <v>22256</v>
      </c>
    </row>
    <row r="511" spans="1:38" ht="14.45" customHeight="1" x14ac:dyDescent="0.2">
      <c r="A511" s="1" t="s">
        <v>57</v>
      </c>
      <c r="B511" s="9" t="s">
        <v>38</v>
      </c>
      <c r="C511" s="1" t="s">
        <v>58</v>
      </c>
      <c r="D511" s="1" t="s">
        <v>59</v>
      </c>
      <c r="E511" s="1" t="s">
        <v>42</v>
      </c>
      <c r="G511" s="1" t="s">
        <v>122</v>
      </c>
      <c r="H511" s="1" t="s">
        <v>1893</v>
      </c>
      <c r="I511" s="1" t="s">
        <v>2931</v>
      </c>
      <c r="J511" s="1">
        <v>2023</v>
      </c>
      <c r="K511" s="1" t="s">
        <v>2932</v>
      </c>
      <c r="L511" s="1" t="s">
        <v>2933</v>
      </c>
      <c r="P511" s="1" t="s">
        <v>2934</v>
      </c>
      <c r="Q511" s="1" t="s">
        <v>264</v>
      </c>
      <c r="R511" s="1" t="s">
        <v>265</v>
      </c>
      <c r="S511" s="1" t="s">
        <v>656</v>
      </c>
      <c r="T511" s="1" t="s">
        <v>657</v>
      </c>
      <c r="U511" s="1">
        <v>2</v>
      </c>
      <c r="V511" s="1" t="s">
        <v>268</v>
      </c>
      <c r="W511" s="1" t="s">
        <v>2935</v>
      </c>
      <c r="Y511" s="10">
        <v>45478</v>
      </c>
      <c r="Z511" s="1">
        <v>2024</v>
      </c>
      <c r="AA511" s="2">
        <v>210132.21</v>
      </c>
      <c r="AB511" s="2"/>
      <c r="AC511" s="2">
        <v>67533.05</v>
      </c>
      <c r="AD511" s="1">
        <v>1</v>
      </c>
      <c r="AG511" s="1" t="s">
        <v>56</v>
      </c>
      <c r="AI511" s="2">
        <v>67533.05</v>
      </c>
    </row>
    <row r="512" spans="1:38" ht="14.45" customHeight="1" x14ac:dyDescent="0.2">
      <c r="A512" s="1" t="s">
        <v>57</v>
      </c>
      <c r="B512" s="9" t="s">
        <v>38</v>
      </c>
      <c r="C512" s="1" t="s">
        <v>58</v>
      </c>
      <c r="D512" s="1" t="s">
        <v>59</v>
      </c>
      <c r="E512" s="1" t="s">
        <v>42</v>
      </c>
      <c r="G512" s="1" t="s">
        <v>122</v>
      </c>
      <c r="H512" s="1" t="s">
        <v>1893</v>
      </c>
      <c r="I512" s="1" t="s">
        <v>2936</v>
      </c>
      <c r="J512" s="1">
        <v>2023</v>
      </c>
      <c r="K512" s="1" t="s">
        <v>2937</v>
      </c>
      <c r="L512" s="1" t="s">
        <v>2938</v>
      </c>
      <c r="M512" s="1" t="s">
        <v>2939</v>
      </c>
      <c r="P512" s="1" t="s">
        <v>2940</v>
      </c>
      <c r="Q512" s="1" t="s">
        <v>264</v>
      </c>
      <c r="R512" s="1" t="s">
        <v>265</v>
      </c>
      <c r="S512" s="1" t="s">
        <v>299</v>
      </c>
      <c r="T512" s="1" t="s">
        <v>300</v>
      </c>
      <c r="U512" s="1">
        <v>2</v>
      </c>
      <c r="V512" s="1" t="s">
        <v>268</v>
      </c>
      <c r="W512" s="1" t="s">
        <v>2941</v>
      </c>
      <c r="Y512" s="10">
        <v>45478</v>
      </c>
      <c r="Z512" s="1">
        <v>2024</v>
      </c>
      <c r="AA512" s="2">
        <v>366304.82</v>
      </c>
      <c r="AB512" s="2"/>
      <c r="AC512" s="2">
        <v>181576.21</v>
      </c>
      <c r="AD512" s="1">
        <v>3</v>
      </c>
      <c r="AE512" s="1">
        <v>2</v>
      </c>
      <c r="AG512" s="1" t="s">
        <v>56</v>
      </c>
      <c r="AI512" s="2">
        <v>181576.21</v>
      </c>
    </row>
    <row r="513" spans="1:35" ht="14.45" customHeight="1" x14ac:dyDescent="0.2">
      <c r="A513" s="1" t="s">
        <v>57</v>
      </c>
      <c r="B513" s="9" t="s">
        <v>38</v>
      </c>
      <c r="C513" s="1" t="s">
        <v>58</v>
      </c>
      <c r="D513" s="1" t="s">
        <v>59</v>
      </c>
      <c r="E513" s="1" t="s">
        <v>42</v>
      </c>
      <c r="G513" s="1" t="s">
        <v>122</v>
      </c>
      <c r="H513" s="1" t="s">
        <v>1893</v>
      </c>
      <c r="I513" s="1" t="s">
        <v>2942</v>
      </c>
      <c r="J513" s="1">
        <v>2023</v>
      </c>
      <c r="K513" s="1" t="s">
        <v>2943</v>
      </c>
      <c r="L513" s="1" t="s">
        <v>2944</v>
      </c>
      <c r="P513" s="1" t="s">
        <v>2945</v>
      </c>
      <c r="Q513" s="1" t="s">
        <v>264</v>
      </c>
      <c r="R513" s="1" t="s">
        <v>265</v>
      </c>
      <c r="S513" s="1" t="s">
        <v>656</v>
      </c>
      <c r="T513" s="1" t="s">
        <v>657</v>
      </c>
      <c r="U513" s="1">
        <v>2</v>
      </c>
      <c r="V513" s="1" t="s">
        <v>268</v>
      </c>
      <c r="W513" s="1" t="s">
        <v>2946</v>
      </c>
      <c r="Y513" s="10">
        <v>45478</v>
      </c>
      <c r="Z513" s="1">
        <v>2024</v>
      </c>
      <c r="AA513" s="2">
        <v>379518.08</v>
      </c>
      <c r="AB513" s="2"/>
      <c r="AC513" s="2">
        <v>189759.04</v>
      </c>
      <c r="AD513" s="1">
        <v>7</v>
      </c>
      <c r="AE513" s="1">
        <v>2.4</v>
      </c>
      <c r="AG513" s="1" t="s">
        <v>56</v>
      </c>
      <c r="AI513" s="2">
        <v>189759.04</v>
      </c>
    </row>
    <row r="514" spans="1:35" x14ac:dyDescent="0.2">
      <c r="A514" s="1" t="s">
        <v>57</v>
      </c>
      <c r="B514" s="9" t="s">
        <v>38</v>
      </c>
      <c r="C514" s="1" t="s">
        <v>58</v>
      </c>
      <c r="D514" s="1" t="s">
        <v>59</v>
      </c>
      <c r="E514" s="1" t="s">
        <v>42</v>
      </c>
      <c r="G514" s="1" t="s">
        <v>122</v>
      </c>
      <c r="H514" s="1" t="s">
        <v>1893</v>
      </c>
      <c r="I514" s="1" t="s">
        <v>2947</v>
      </c>
      <c r="J514" s="1">
        <v>2023</v>
      </c>
      <c r="K514" s="1" t="s">
        <v>2948</v>
      </c>
      <c r="L514" s="1" t="s">
        <v>2949</v>
      </c>
      <c r="P514" s="1" t="s">
        <v>2950</v>
      </c>
      <c r="Q514" s="1" t="s">
        <v>264</v>
      </c>
      <c r="R514" s="1" t="s">
        <v>265</v>
      </c>
      <c r="S514" s="1" t="s">
        <v>935</v>
      </c>
      <c r="T514" s="1" t="s">
        <v>936</v>
      </c>
      <c r="U514" s="1">
        <v>1</v>
      </c>
      <c r="V514" s="1" t="s">
        <v>308</v>
      </c>
      <c r="W514" s="1" t="s">
        <v>2951</v>
      </c>
      <c r="Y514" s="10">
        <v>45478</v>
      </c>
      <c r="Z514" s="1">
        <v>2024</v>
      </c>
      <c r="AA514" s="2">
        <v>480876.24</v>
      </c>
      <c r="AB514" s="2"/>
      <c r="AC514" s="2">
        <v>130000</v>
      </c>
      <c r="AD514" s="1">
        <v>1</v>
      </c>
      <c r="AE514" s="1">
        <v>1</v>
      </c>
      <c r="AG514" s="1" t="s">
        <v>56</v>
      </c>
      <c r="AI514" s="2">
        <v>130000</v>
      </c>
    </row>
    <row r="515" spans="1:35" ht="14.45" customHeight="1" x14ac:dyDescent="0.2">
      <c r="A515" s="1" t="s">
        <v>57</v>
      </c>
      <c r="B515" s="9" t="s">
        <v>38</v>
      </c>
      <c r="C515" s="1" t="s">
        <v>58</v>
      </c>
      <c r="D515" s="1" t="s">
        <v>59</v>
      </c>
      <c r="E515" s="1" t="s">
        <v>42</v>
      </c>
      <c r="G515" s="1" t="s">
        <v>122</v>
      </c>
      <c r="H515" s="1" t="s">
        <v>1893</v>
      </c>
      <c r="I515" s="1" t="s">
        <v>2952</v>
      </c>
      <c r="J515" s="1">
        <v>2023</v>
      </c>
      <c r="K515" s="1" t="s">
        <v>2953</v>
      </c>
      <c r="L515" s="1" t="s">
        <v>2954</v>
      </c>
      <c r="P515" s="1" t="s">
        <v>1266</v>
      </c>
      <c r="Q515" s="1" t="s">
        <v>264</v>
      </c>
      <c r="R515" s="1" t="s">
        <v>265</v>
      </c>
      <c r="S515" s="1" t="s">
        <v>379</v>
      </c>
      <c r="T515" s="1" t="s">
        <v>380</v>
      </c>
      <c r="U515" s="1">
        <v>2</v>
      </c>
      <c r="V515" s="1" t="s">
        <v>268</v>
      </c>
      <c r="W515" s="1" t="s">
        <v>2955</v>
      </c>
      <c r="Y515" s="10">
        <v>45478</v>
      </c>
      <c r="Z515" s="1">
        <v>2024</v>
      </c>
      <c r="AA515" s="2">
        <v>87940.23</v>
      </c>
      <c r="AB515" s="2"/>
      <c r="AC515" s="2">
        <v>21985.06</v>
      </c>
      <c r="AD515" s="1">
        <v>0</v>
      </c>
      <c r="AG515" s="1" t="s">
        <v>56</v>
      </c>
      <c r="AI515" s="2">
        <v>21985.06</v>
      </c>
    </row>
    <row r="516" spans="1:35" ht="14.45" customHeight="1" x14ac:dyDescent="0.2">
      <c r="A516" s="1" t="s">
        <v>57</v>
      </c>
      <c r="B516" s="9" t="s">
        <v>38</v>
      </c>
      <c r="C516" s="1" t="s">
        <v>58</v>
      </c>
      <c r="D516" s="1" t="s">
        <v>59</v>
      </c>
      <c r="E516" s="1" t="s">
        <v>42</v>
      </c>
      <c r="G516" s="1" t="s">
        <v>122</v>
      </c>
      <c r="H516" s="1" t="s">
        <v>1893</v>
      </c>
      <c r="I516" s="1" t="s">
        <v>2956</v>
      </c>
      <c r="J516" s="1">
        <v>2023</v>
      </c>
      <c r="K516" s="1" t="s">
        <v>2957</v>
      </c>
      <c r="L516" s="1" t="s">
        <v>2958</v>
      </c>
      <c r="P516" s="1" t="s">
        <v>2959</v>
      </c>
      <c r="Q516" s="1" t="s">
        <v>264</v>
      </c>
      <c r="R516" s="1" t="s">
        <v>265</v>
      </c>
      <c r="S516" s="1" t="s">
        <v>673</v>
      </c>
      <c r="T516" s="1" t="s">
        <v>674</v>
      </c>
      <c r="U516" s="1">
        <v>2</v>
      </c>
      <c r="V516" s="1" t="s">
        <v>268</v>
      </c>
      <c r="W516" s="1" t="s">
        <v>2960</v>
      </c>
      <c r="Y516" s="10">
        <v>45478</v>
      </c>
      <c r="Z516" s="1">
        <v>2024</v>
      </c>
      <c r="AA516" s="2">
        <v>142919.9</v>
      </c>
      <c r="AB516" s="2"/>
      <c r="AC516" s="2">
        <v>35729.980000000003</v>
      </c>
      <c r="AD516" s="1">
        <v>0</v>
      </c>
      <c r="AG516" s="1" t="s">
        <v>56</v>
      </c>
      <c r="AI516" s="2">
        <v>35729.980000000003</v>
      </c>
    </row>
    <row r="517" spans="1:35" ht="14.45" customHeight="1" x14ac:dyDescent="0.2">
      <c r="A517" s="1" t="s">
        <v>57</v>
      </c>
      <c r="B517" s="9" t="s">
        <v>38</v>
      </c>
      <c r="C517" s="1" t="s">
        <v>58</v>
      </c>
      <c r="D517" s="1" t="s">
        <v>59</v>
      </c>
      <c r="E517" s="1" t="s">
        <v>42</v>
      </c>
      <c r="G517" s="1" t="s">
        <v>122</v>
      </c>
      <c r="H517" s="1" t="s">
        <v>1893</v>
      </c>
      <c r="I517" s="1" t="s">
        <v>2961</v>
      </c>
      <c r="J517" s="1">
        <v>2023</v>
      </c>
      <c r="K517" s="1" t="s">
        <v>2962</v>
      </c>
      <c r="L517" s="1" t="s">
        <v>2963</v>
      </c>
      <c r="P517" s="1" t="s">
        <v>2964</v>
      </c>
      <c r="Q517" s="1" t="s">
        <v>264</v>
      </c>
      <c r="R517" s="1" t="s">
        <v>265</v>
      </c>
      <c r="S517" s="1" t="s">
        <v>533</v>
      </c>
      <c r="T517" s="1" t="s">
        <v>534</v>
      </c>
      <c r="U517" s="1">
        <v>1</v>
      </c>
      <c r="V517" s="1" t="s">
        <v>535</v>
      </c>
      <c r="W517" s="1" t="s">
        <v>2965</v>
      </c>
      <c r="Y517" s="10">
        <v>45478</v>
      </c>
      <c r="Z517" s="1">
        <v>2024</v>
      </c>
      <c r="AA517" s="2">
        <v>82629.919999999998</v>
      </c>
      <c r="AB517" s="2"/>
      <c r="AC517" s="2">
        <v>41314.959999999999</v>
      </c>
      <c r="AD517" s="1">
        <v>3</v>
      </c>
      <c r="AG517" s="1" t="s">
        <v>56</v>
      </c>
      <c r="AI517" s="2">
        <v>41314.959999999999</v>
      </c>
    </row>
    <row r="518" spans="1:35" ht="14.45" customHeight="1" x14ac:dyDescent="0.2">
      <c r="A518" s="1" t="s">
        <v>57</v>
      </c>
      <c r="B518" s="9" t="s">
        <v>38</v>
      </c>
      <c r="C518" s="1" t="s">
        <v>58</v>
      </c>
      <c r="D518" s="1" t="s">
        <v>59</v>
      </c>
      <c r="E518" s="1" t="s">
        <v>42</v>
      </c>
      <c r="G518" s="1" t="s">
        <v>122</v>
      </c>
      <c r="H518" s="1" t="s">
        <v>1893</v>
      </c>
      <c r="I518" s="1" t="s">
        <v>2966</v>
      </c>
      <c r="J518" s="1">
        <v>2023</v>
      </c>
      <c r="K518" s="1" t="s">
        <v>2967</v>
      </c>
      <c r="L518" s="1" t="s">
        <v>2968</v>
      </c>
      <c r="P518" s="1" t="s">
        <v>2969</v>
      </c>
      <c r="Q518" s="1" t="s">
        <v>264</v>
      </c>
      <c r="R518" s="1" t="s">
        <v>265</v>
      </c>
      <c r="S518" s="1" t="s">
        <v>656</v>
      </c>
      <c r="T518" s="1" t="s">
        <v>657</v>
      </c>
      <c r="U518" s="1">
        <v>2</v>
      </c>
      <c r="V518" s="1" t="s">
        <v>268</v>
      </c>
      <c r="W518" s="1" t="s">
        <v>2968</v>
      </c>
      <c r="Y518" s="10">
        <v>45478</v>
      </c>
      <c r="Z518" s="1">
        <v>2024</v>
      </c>
      <c r="AA518" s="2">
        <v>338109.03</v>
      </c>
      <c r="AB518" s="2"/>
      <c r="AC518" s="2">
        <v>99527.26</v>
      </c>
      <c r="AD518" s="1">
        <v>0.5</v>
      </c>
      <c r="AE518" s="1">
        <v>0.5</v>
      </c>
      <c r="AG518" s="1" t="s">
        <v>56</v>
      </c>
      <c r="AI518" s="2">
        <v>99527.26</v>
      </c>
    </row>
    <row r="519" spans="1:35" ht="14.45" customHeight="1" x14ac:dyDescent="0.25">
      <c r="A519" s="1" t="s">
        <v>57</v>
      </c>
      <c r="B519" s="9" t="s">
        <v>38</v>
      </c>
      <c r="C519" s="1" t="s">
        <v>58</v>
      </c>
      <c r="D519" s="1" t="s">
        <v>59</v>
      </c>
      <c r="E519" s="1" t="s">
        <v>42</v>
      </c>
      <c r="G519" s="1" t="s">
        <v>122</v>
      </c>
      <c r="H519" s="1" t="s">
        <v>1893</v>
      </c>
      <c r="I519" s="1" t="s">
        <v>2970</v>
      </c>
      <c r="J519" s="1">
        <v>2023</v>
      </c>
      <c r="K519" s="1" t="s">
        <v>2845</v>
      </c>
      <c r="L519" s="1" t="s">
        <v>2971</v>
      </c>
      <c r="P519" s="1" t="s">
        <v>2972</v>
      </c>
      <c r="Q519" s="1" t="s">
        <v>264</v>
      </c>
      <c r="R519" s="1" t="s">
        <v>265</v>
      </c>
      <c r="S519" s="16" t="s">
        <v>306</v>
      </c>
      <c r="T519" s="1" t="s">
        <v>307</v>
      </c>
      <c r="U519" s="1">
        <v>1</v>
      </c>
      <c r="V519" s="1" t="s">
        <v>308</v>
      </c>
      <c r="W519" s="1" t="s">
        <v>2973</v>
      </c>
      <c r="Y519" s="10">
        <v>45478</v>
      </c>
      <c r="Z519" s="1">
        <v>2024</v>
      </c>
      <c r="AA519" s="2">
        <v>348238.97</v>
      </c>
      <c r="AB519" s="2"/>
      <c r="AC519" s="2">
        <v>117059.74</v>
      </c>
      <c r="AD519" s="1">
        <v>1</v>
      </c>
      <c r="AE519" s="1">
        <v>1</v>
      </c>
      <c r="AG519" s="1" t="s">
        <v>56</v>
      </c>
      <c r="AI519" s="2">
        <v>117059.74</v>
      </c>
    </row>
    <row r="520" spans="1:35" ht="12.6" customHeight="1" x14ac:dyDescent="0.2">
      <c r="A520" s="1" t="s">
        <v>57</v>
      </c>
      <c r="B520" s="9" t="s">
        <v>38</v>
      </c>
      <c r="C520" s="1" t="s">
        <v>58</v>
      </c>
      <c r="D520" s="1" t="s">
        <v>59</v>
      </c>
      <c r="E520" s="1" t="s">
        <v>42</v>
      </c>
      <c r="G520" s="1" t="s">
        <v>122</v>
      </c>
      <c r="H520" s="1" t="s">
        <v>1893</v>
      </c>
      <c r="I520" s="1" t="s">
        <v>2974</v>
      </c>
      <c r="J520" s="1">
        <v>2023</v>
      </c>
      <c r="K520" s="1" t="s">
        <v>2975</v>
      </c>
      <c r="L520" s="1" t="s">
        <v>2976</v>
      </c>
      <c r="N520" s="1" t="s">
        <v>2977</v>
      </c>
      <c r="P520" s="1" t="s">
        <v>2978</v>
      </c>
      <c r="Q520" s="1" t="s">
        <v>1149</v>
      </c>
      <c r="R520" s="1" t="s">
        <v>1150</v>
      </c>
      <c r="S520" s="1" t="s">
        <v>2979</v>
      </c>
      <c r="T520" s="1" t="s">
        <v>2980</v>
      </c>
      <c r="V520" s="1" t="s">
        <v>1537</v>
      </c>
      <c r="W520" s="1" t="s">
        <v>2975</v>
      </c>
      <c r="Y520" s="10">
        <v>45478</v>
      </c>
      <c r="Z520" s="1">
        <v>2024</v>
      </c>
      <c r="AA520" s="2">
        <v>499709.89</v>
      </c>
      <c r="AB520" s="2"/>
      <c r="AC520" s="2">
        <v>129941.98</v>
      </c>
      <c r="AD520" s="1">
        <v>2</v>
      </c>
      <c r="AG520" s="1" t="s">
        <v>56</v>
      </c>
      <c r="AI520" s="2">
        <v>129941.98</v>
      </c>
    </row>
    <row r="521" spans="1:35" ht="14.45" customHeight="1" x14ac:dyDescent="0.2">
      <c r="A521" s="1" t="s">
        <v>57</v>
      </c>
      <c r="B521" s="9" t="s">
        <v>38</v>
      </c>
      <c r="C521" s="1" t="s">
        <v>58</v>
      </c>
      <c r="D521" s="1" t="s">
        <v>59</v>
      </c>
      <c r="E521" s="1" t="s">
        <v>42</v>
      </c>
      <c r="G521" s="1" t="s">
        <v>122</v>
      </c>
      <c r="H521" s="1" t="s">
        <v>61</v>
      </c>
      <c r="I521" s="1" t="s">
        <v>2981</v>
      </c>
      <c r="J521" s="1">
        <v>2023</v>
      </c>
      <c r="K521" s="1" t="s">
        <v>2982</v>
      </c>
      <c r="L521" s="1" t="s">
        <v>2983</v>
      </c>
      <c r="N521" s="1" t="s">
        <v>2984</v>
      </c>
      <c r="P521" s="1" t="s">
        <v>2985</v>
      </c>
      <c r="Q521" s="1" t="s">
        <v>50</v>
      </c>
      <c r="R521" s="1" t="s">
        <v>68</v>
      </c>
      <c r="S521" s="1" t="s">
        <v>2986</v>
      </c>
      <c r="T521" s="1" t="s">
        <v>2987</v>
      </c>
      <c r="U521" s="1">
        <v>2</v>
      </c>
      <c r="V521" s="1" t="s">
        <v>195</v>
      </c>
      <c r="W521" s="1" t="s">
        <v>2988</v>
      </c>
      <c r="Y521" s="10">
        <v>45478</v>
      </c>
      <c r="Z521" s="1">
        <v>2024</v>
      </c>
      <c r="AA521" s="2">
        <v>289780.25</v>
      </c>
      <c r="AB521" s="2"/>
      <c r="AC521" s="2">
        <v>132445.06</v>
      </c>
      <c r="AD521" s="1">
        <v>2</v>
      </c>
      <c r="AE521" s="1">
        <v>1</v>
      </c>
      <c r="AG521" s="1" t="s">
        <v>56</v>
      </c>
      <c r="AI521" s="2">
        <v>132445.06</v>
      </c>
    </row>
    <row r="522" spans="1:35" ht="14.45" customHeight="1" x14ac:dyDescent="0.2">
      <c r="A522" s="1" t="s">
        <v>57</v>
      </c>
      <c r="B522" s="9" t="s">
        <v>38</v>
      </c>
      <c r="C522" s="1" t="s">
        <v>58</v>
      </c>
      <c r="D522" s="1" t="s">
        <v>59</v>
      </c>
      <c r="E522" s="1" t="s">
        <v>42</v>
      </c>
      <c r="G522" s="1" t="s">
        <v>122</v>
      </c>
      <c r="H522" s="1" t="s">
        <v>1893</v>
      </c>
      <c r="I522" s="1" t="s">
        <v>2989</v>
      </c>
      <c r="J522" s="1">
        <v>2023</v>
      </c>
      <c r="K522" s="1" t="s">
        <v>2990</v>
      </c>
      <c r="L522" s="1" t="s">
        <v>2990</v>
      </c>
      <c r="M522" s="1" t="s">
        <v>2991</v>
      </c>
      <c r="N522" s="1" t="s">
        <v>2992</v>
      </c>
      <c r="P522" s="1" t="s">
        <v>2993</v>
      </c>
      <c r="Q522" s="1" t="s">
        <v>50</v>
      </c>
      <c r="R522" s="1" t="s">
        <v>68</v>
      </c>
      <c r="S522" s="1" t="s">
        <v>425</v>
      </c>
      <c r="T522" s="1" t="s">
        <v>426</v>
      </c>
      <c r="U522" s="1">
        <v>1</v>
      </c>
      <c r="V522" s="1" t="s">
        <v>195</v>
      </c>
      <c r="W522" s="1" t="s">
        <v>2990</v>
      </c>
      <c r="Y522" s="10">
        <v>45478</v>
      </c>
      <c r="Z522" s="1">
        <v>2024</v>
      </c>
      <c r="AA522" s="2">
        <v>101812.22</v>
      </c>
      <c r="AB522" s="2"/>
      <c r="AC522" s="2">
        <v>50906.11</v>
      </c>
      <c r="AD522" s="1">
        <v>2</v>
      </c>
      <c r="AE522" s="1">
        <v>1</v>
      </c>
      <c r="AG522" s="1" t="s">
        <v>56</v>
      </c>
      <c r="AI522" s="2">
        <v>50906.11</v>
      </c>
    </row>
    <row r="523" spans="1:35" ht="14.45" customHeight="1" x14ac:dyDescent="0.2">
      <c r="A523" s="1" t="s">
        <v>57</v>
      </c>
      <c r="B523" s="9" t="s">
        <v>38</v>
      </c>
      <c r="C523" s="1" t="s">
        <v>58</v>
      </c>
      <c r="D523" s="1" t="s">
        <v>59</v>
      </c>
      <c r="E523" s="1" t="s">
        <v>42</v>
      </c>
      <c r="G523" s="1" t="s">
        <v>105</v>
      </c>
      <c r="H523" s="1" t="s">
        <v>1893</v>
      </c>
      <c r="I523" s="1" t="s">
        <v>2994</v>
      </c>
      <c r="J523" s="1">
        <v>2023</v>
      </c>
      <c r="K523" s="1" t="s">
        <v>2995</v>
      </c>
      <c r="L523" s="1" t="s">
        <v>2996</v>
      </c>
      <c r="P523" s="1" t="s">
        <v>2997</v>
      </c>
      <c r="Q523" s="1" t="s">
        <v>101</v>
      </c>
      <c r="R523" s="1" t="s">
        <v>102</v>
      </c>
      <c r="S523" s="1" t="s">
        <v>2998</v>
      </c>
      <c r="T523" s="1" t="s">
        <v>2999</v>
      </c>
      <c r="U523" s="1">
        <v>2</v>
      </c>
      <c r="V523" s="1" t="s">
        <v>101</v>
      </c>
      <c r="W523" s="1" t="s">
        <v>3000</v>
      </c>
      <c r="Y523" s="10">
        <v>45462</v>
      </c>
      <c r="Z523" s="1">
        <v>2024</v>
      </c>
      <c r="AA523" s="2">
        <v>318162.36</v>
      </c>
      <c r="AB523" s="2"/>
      <c r="AC523" s="2">
        <v>108632.47</v>
      </c>
      <c r="AD523" s="1">
        <v>3</v>
      </c>
      <c r="AE523" s="1">
        <v>3</v>
      </c>
      <c r="AG523" s="1" t="s">
        <v>56</v>
      </c>
      <c r="AI523" s="2">
        <v>108632.47</v>
      </c>
    </row>
    <row r="524" spans="1:35" ht="14.45" customHeight="1" x14ac:dyDescent="0.2">
      <c r="A524" s="1" t="s">
        <v>57</v>
      </c>
      <c r="B524" s="9" t="s">
        <v>38</v>
      </c>
      <c r="C524" s="1" t="s">
        <v>58</v>
      </c>
      <c r="D524" s="1" t="s">
        <v>59</v>
      </c>
      <c r="E524" s="1" t="s">
        <v>42</v>
      </c>
      <c r="G524" s="1" t="s">
        <v>105</v>
      </c>
      <c r="H524" s="1" t="s">
        <v>1893</v>
      </c>
      <c r="I524" s="1" t="s">
        <v>3001</v>
      </c>
      <c r="J524" s="1">
        <v>2023</v>
      </c>
      <c r="K524" s="1" t="s">
        <v>3002</v>
      </c>
      <c r="L524" s="1" t="s">
        <v>3003</v>
      </c>
      <c r="P524" s="1" t="s">
        <v>2505</v>
      </c>
      <c r="Q524" s="1" t="s">
        <v>101</v>
      </c>
      <c r="R524" s="1" t="s">
        <v>102</v>
      </c>
      <c r="S524" s="1" t="s">
        <v>637</v>
      </c>
      <c r="T524" s="1" t="s">
        <v>638</v>
      </c>
      <c r="U524" s="1">
        <v>1</v>
      </c>
      <c r="V524" s="1" t="s">
        <v>101</v>
      </c>
      <c r="W524" s="1" t="s">
        <v>3002</v>
      </c>
      <c r="Y524" s="10">
        <v>45462</v>
      </c>
      <c r="Z524" s="1">
        <v>2024</v>
      </c>
      <c r="AA524" s="2">
        <v>1275000</v>
      </c>
      <c r="AB524" s="2"/>
      <c r="AC524" s="2">
        <v>360000</v>
      </c>
      <c r="AD524" s="1">
        <v>7</v>
      </c>
      <c r="AE524" s="1">
        <v>1</v>
      </c>
      <c r="AG524" s="1" t="s">
        <v>56</v>
      </c>
      <c r="AI524" s="2">
        <v>360000</v>
      </c>
    </row>
    <row r="525" spans="1:35" ht="14.45" customHeight="1" x14ac:dyDescent="0.2">
      <c r="A525" s="1" t="s">
        <v>57</v>
      </c>
      <c r="B525" s="9" t="s">
        <v>38</v>
      </c>
      <c r="C525" s="1" t="s">
        <v>58</v>
      </c>
      <c r="D525" s="1" t="s">
        <v>59</v>
      </c>
      <c r="E525" s="1" t="s">
        <v>42</v>
      </c>
      <c r="G525" s="1" t="s">
        <v>122</v>
      </c>
      <c r="H525" s="1" t="s">
        <v>1893</v>
      </c>
      <c r="I525" s="1" t="s">
        <v>3004</v>
      </c>
      <c r="J525" s="1">
        <v>2023</v>
      </c>
      <c r="K525" s="1" t="s">
        <v>3005</v>
      </c>
      <c r="L525" s="1" t="s">
        <v>3006</v>
      </c>
      <c r="P525" s="1" t="s">
        <v>3007</v>
      </c>
      <c r="Q525" s="1" t="s">
        <v>101</v>
      </c>
      <c r="R525" s="1" t="s">
        <v>102</v>
      </c>
      <c r="S525" s="1" t="s">
        <v>562</v>
      </c>
      <c r="T525" s="1" t="s">
        <v>563</v>
      </c>
      <c r="U525" s="1">
        <v>1</v>
      </c>
      <c r="V525" s="1" t="s">
        <v>101</v>
      </c>
      <c r="W525" s="1" t="s">
        <v>3005</v>
      </c>
      <c r="Y525" s="10">
        <v>45478</v>
      </c>
      <c r="Z525" s="1">
        <v>2024</v>
      </c>
      <c r="AA525" s="2">
        <v>182791.06</v>
      </c>
      <c r="AB525" s="2"/>
      <c r="AC525" s="2">
        <v>45697.77</v>
      </c>
      <c r="AD525" s="1">
        <v>0</v>
      </c>
      <c r="AG525" s="1" t="s">
        <v>56</v>
      </c>
      <c r="AI525" s="2">
        <v>45697.77</v>
      </c>
    </row>
    <row r="526" spans="1:35" ht="14.45" customHeight="1" x14ac:dyDescent="0.25">
      <c r="A526" s="1" t="s">
        <v>57</v>
      </c>
      <c r="B526" s="20" t="s">
        <v>38</v>
      </c>
      <c r="C526" s="3" t="s">
        <v>58</v>
      </c>
      <c r="D526" s="1" t="s">
        <v>146</v>
      </c>
      <c r="E526" s="1" t="s">
        <v>42</v>
      </c>
      <c r="G526" s="1" t="s">
        <v>1673</v>
      </c>
      <c r="H526" s="1" t="s">
        <v>156</v>
      </c>
      <c r="I526" s="3" t="s">
        <v>3008</v>
      </c>
      <c r="J526" s="1">
        <v>2024</v>
      </c>
      <c r="K526" s="1" t="s">
        <v>3009</v>
      </c>
      <c r="L526" s="1" t="s">
        <v>3010</v>
      </c>
      <c r="M526" s="1" t="s">
        <v>1240</v>
      </c>
      <c r="N526" s="3" t="s">
        <v>3011</v>
      </c>
      <c r="P526" s="1" t="s">
        <v>3012</v>
      </c>
      <c r="Q526" s="1" t="s">
        <v>50</v>
      </c>
      <c r="R526" s="1" t="s">
        <v>51</v>
      </c>
      <c r="S526" s="3" t="s">
        <v>3013</v>
      </c>
      <c r="T526" s="3" t="s">
        <v>3014</v>
      </c>
      <c r="U526" s="24"/>
      <c r="V526" s="3" t="s">
        <v>54</v>
      </c>
      <c r="W526" s="3" t="s">
        <v>3015</v>
      </c>
      <c r="X526" s="3" t="s">
        <v>1396</v>
      </c>
      <c r="Y526" s="21">
        <v>45799</v>
      </c>
      <c r="Z526" s="3">
        <v>2025</v>
      </c>
      <c r="AA526" s="22">
        <v>603156.12</v>
      </c>
      <c r="AB526" s="22"/>
      <c r="AC526" s="22">
        <v>603156.12</v>
      </c>
      <c r="AD526" s="2"/>
      <c r="AG526" s="1" t="s">
        <v>56</v>
      </c>
      <c r="AI526" s="22">
        <v>603156.12</v>
      </c>
    </row>
    <row r="527" spans="1:35" ht="14.45" customHeight="1" x14ac:dyDescent="0.25">
      <c r="A527" s="1" t="s">
        <v>57</v>
      </c>
      <c r="B527" s="20" t="s">
        <v>38</v>
      </c>
      <c r="C527" s="3" t="s">
        <v>58</v>
      </c>
      <c r="D527" s="1" t="s">
        <v>146</v>
      </c>
      <c r="E527" s="1" t="s">
        <v>42</v>
      </c>
      <c r="G527" s="1" t="s">
        <v>1673</v>
      </c>
      <c r="H527" s="1" t="s">
        <v>156</v>
      </c>
      <c r="I527" s="3" t="s">
        <v>3016</v>
      </c>
      <c r="J527" s="1">
        <v>2024</v>
      </c>
      <c r="K527" s="1" t="s">
        <v>3017</v>
      </c>
      <c r="L527" s="1" t="s">
        <v>3018</v>
      </c>
      <c r="M527" s="1" t="s">
        <v>1240</v>
      </c>
      <c r="N527" s="3" t="s">
        <v>3019</v>
      </c>
      <c r="P527" s="1" t="s">
        <v>3012</v>
      </c>
      <c r="Q527" s="1" t="s">
        <v>50</v>
      </c>
      <c r="R527" s="1" t="s">
        <v>51</v>
      </c>
      <c r="S527" s="3" t="s">
        <v>3013</v>
      </c>
      <c r="T527" s="3" t="s">
        <v>3014</v>
      </c>
      <c r="U527" s="24"/>
      <c r="V527" s="3" t="s">
        <v>54</v>
      </c>
      <c r="W527" s="3" t="s">
        <v>3020</v>
      </c>
      <c r="X527" s="3" t="s">
        <v>1396</v>
      </c>
      <c r="Y527" s="21">
        <v>45799</v>
      </c>
      <c r="Z527" s="3">
        <v>2025</v>
      </c>
      <c r="AA527" s="22">
        <v>1051459.6599999999</v>
      </c>
      <c r="AB527" s="22"/>
      <c r="AC527" s="22">
        <v>1051459.6599999999</v>
      </c>
      <c r="AD527" s="2"/>
      <c r="AG527" s="1" t="s">
        <v>56</v>
      </c>
      <c r="AI527" s="22">
        <v>1051459.6599999999</v>
      </c>
    </row>
    <row r="528" spans="1:35" ht="14.45" customHeight="1" x14ac:dyDescent="0.2">
      <c r="A528" s="1" t="s">
        <v>57</v>
      </c>
      <c r="B528" s="9" t="s">
        <v>38</v>
      </c>
      <c r="C528" s="1" t="s">
        <v>58</v>
      </c>
      <c r="D528" s="1" t="s">
        <v>59</v>
      </c>
      <c r="E528" s="1" t="s">
        <v>42</v>
      </c>
      <c r="G528" s="1" t="s">
        <v>122</v>
      </c>
      <c r="H528" s="1" t="s">
        <v>1893</v>
      </c>
      <c r="I528" s="1" t="s">
        <v>3021</v>
      </c>
      <c r="J528" s="1">
        <v>2023</v>
      </c>
      <c r="K528" s="1" t="s">
        <v>3022</v>
      </c>
      <c r="L528" s="1" t="s">
        <v>3023</v>
      </c>
      <c r="P528" s="1" t="s">
        <v>3024</v>
      </c>
      <c r="Q528" s="1" t="s">
        <v>101</v>
      </c>
      <c r="R528" s="1" t="s">
        <v>102</v>
      </c>
      <c r="S528" s="1" t="s">
        <v>3025</v>
      </c>
      <c r="T528" s="1" t="s">
        <v>3026</v>
      </c>
      <c r="U528" s="1">
        <v>1</v>
      </c>
      <c r="V528" s="1" t="s">
        <v>101</v>
      </c>
      <c r="W528" s="1" t="s">
        <v>3027</v>
      </c>
      <c r="Y528" s="10">
        <v>45478</v>
      </c>
      <c r="Z528" s="1">
        <v>2024</v>
      </c>
      <c r="AA528" s="2">
        <v>168160.34</v>
      </c>
      <c r="AB528" s="2"/>
      <c r="AC528" s="2">
        <v>72040.09</v>
      </c>
      <c r="AD528" s="1">
        <v>1</v>
      </c>
      <c r="AG528" s="1" t="s">
        <v>56</v>
      </c>
      <c r="AI528" s="2">
        <v>72040.09</v>
      </c>
    </row>
    <row r="529" spans="1:38" ht="14.45" customHeight="1" x14ac:dyDescent="0.25">
      <c r="A529" s="1" t="s">
        <v>57</v>
      </c>
      <c r="B529" s="20" t="s">
        <v>38</v>
      </c>
      <c r="C529" s="3" t="s">
        <v>58</v>
      </c>
      <c r="D529" s="1" t="s">
        <v>146</v>
      </c>
      <c r="E529" s="1" t="s">
        <v>42</v>
      </c>
      <c r="G529" s="1" t="s">
        <v>1673</v>
      </c>
      <c r="H529" s="1" t="s">
        <v>156</v>
      </c>
      <c r="I529" s="3" t="s">
        <v>3028</v>
      </c>
      <c r="J529" s="1">
        <v>2023</v>
      </c>
      <c r="K529" s="1" t="s">
        <v>3029</v>
      </c>
      <c r="L529" s="1" t="s">
        <v>3030</v>
      </c>
      <c r="M529" s="1" t="s">
        <v>3031</v>
      </c>
      <c r="N529" s="1" t="s">
        <v>3032</v>
      </c>
      <c r="P529" s="1" t="s">
        <v>3033</v>
      </c>
      <c r="Q529" s="1" t="s">
        <v>1149</v>
      </c>
      <c r="R529" s="1" t="s">
        <v>1150</v>
      </c>
      <c r="S529" s="1" t="s">
        <v>1218</v>
      </c>
      <c r="T529" s="1" t="s">
        <v>1219</v>
      </c>
      <c r="U529" s="24"/>
      <c r="V529" s="3" t="s">
        <v>1153</v>
      </c>
      <c r="W529" s="3" t="s">
        <v>3034</v>
      </c>
      <c r="X529" s="3" t="s">
        <v>3035</v>
      </c>
      <c r="Y529" s="21">
        <v>45799</v>
      </c>
      <c r="Z529" s="3">
        <v>2025</v>
      </c>
      <c r="AA529" s="22">
        <v>1553053.94</v>
      </c>
      <c r="AB529" s="22"/>
      <c r="AC529" s="22">
        <v>1553053.94</v>
      </c>
      <c r="AD529" s="2"/>
      <c r="AG529" s="1" t="s">
        <v>56</v>
      </c>
      <c r="AI529" s="22">
        <v>1553053.94</v>
      </c>
    </row>
    <row r="530" spans="1:38" ht="14.45" customHeight="1" x14ac:dyDescent="0.25">
      <c r="A530" s="1" t="s">
        <v>57</v>
      </c>
      <c r="B530" s="20" t="s">
        <v>38</v>
      </c>
      <c r="C530" s="3" t="s">
        <v>58</v>
      </c>
      <c r="D530" s="1" t="s">
        <v>146</v>
      </c>
      <c r="E530" s="1" t="s">
        <v>42</v>
      </c>
      <c r="G530" s="1" t="s">
        <v>1673</v>
      </c>
      <c r="H530" s="1" t="s">
        <v>156</v>
      </c>
      <c r="I530" s="3" t="s">
        <v>3036</v>
      </c>
      <c r="J530" s="1">
        <v>2023</v>
      </c>
      <c r="K530" s="1" t="s">
        <v>3037</v>
      </c>
      <c r="L530" s="1" t="s">
        <v>3038</v>
      </c>
      <c r="M530" s="1" t="s">
        <v>3039</v>
      </c>
      <c r="N530" s="3" t="s">
        <v>3040</v>
      </c>
      <c r="P530" s="1" t="s">
        <v>3041</v>
      </c>
      <c r="Q530" s="1" t="s">
        <v>50</v>
      </c>
      <c r="R530" s="1" t="s">
        <v>68</v>
      </c>
      <c r="S530" s="3" t="s">
        <v>692</v>
      </c>
      <c r="T530" s="3" t="s">
        <v>693</v>
      </c>
      <c r="U530" s="24">
        <v>2</v>
      </c>
      <c r="V530" s="3" t="s">
        <v>71</v>
      </c>
      <c r="W530" s="3" t="s">
        <v>3038</v>
      </c>
      <c r="X530" s="3" t="s">
        <v>1396</v>
      </c>
      <c r="Y530" s="21">
        <v>45799</v>
      </c>
      <c r="Z530" s="3">
        <v>2025</v>
      </c>
      <c r="AA530" s="22">
        <v>3282087.09</v>
      </c>
      <c r="AB530" s="22"/>
      <c r="AC530" s="22">
        <v>3282087.09</v>
      </c>
      <c r="AD530" s="2"/>
      <c r="AG530" s="1" t="s">
        <v>56</v>
      </c>
      <c r="AI530" s="22">
        <v>3282087.09</v>
      </c>
    </row>
    <row r="531" spans="1:38" ht="14.45" customHeight="1" x14ac:dyDescent="0.25">
      <c r="A531" s="1" t="s">
        <v>57</v>
      </c>
      <c r="B531" s="20" t="s">
        <v>38</v>
      </c>
      <c r="C531" s="3" t="s">
        <v>58</v>
      </c>
      <c r="D531" s="1" t="s">
        <v>146</v>
      </c>
      <c r="E531" s="1" t="s">
        <v>42</v>
      </c>
      <c r="G531" s="1" t="s">
        <v>1673</v>
      </c>
      <c r="H531" s="1" t="s">
        <v>156</v>
      </c>
      <c r="I531" s="3" t="s">
        <v>3042</v>
      </c>
      <c r="J531" s="1">
        <v>2023</v>
      </c>
      <c r="K531" s="1" t="s">
        <v>3043</v>
      </c>
      <c r="L531" s="1" t="s">
        <v>3044</v>
      </c>
      <c r="M531" s="1" t="s">
        <v>3045</v>
      </c>
      <c r="N531" s="3" t="s">
        <v>3046</v>
      </c>
      <c r="P531" s="1" t="s">
        <v>3047</v>
      </c>
      <c r="Q531" s="1" t="s">
        <v>50</v>
      </c>
      <c r="R531" s="1" t="s">
        <v>77</v>
      </c>
      <c r="S531" s="3" t="s">
        <v>1096</v>
      </c>
      <c r="T531" s="3" t="s">
        <v>1097</v>
      </c>
      <c r="U531" s="1">
        <v>1</v>
      </c>
      <c r="V531" s="3" t="s">
        <v>186</v>
      </c>
      <c r="W531" s="3" t="s">
        <v>3043</v>
      </c>
      <c r="X531" s="3" t="s">
        <v>3035</v>
      </c>
      <c r="Y531" s="21">
        <v>45799</v>
      </c>
      <c r="Z531" s="3">
        <v>2025</v>
      </c>
      <c r="AA531" s="22">
        <v>656985.59</v>
      </c>
      <c r="AB531" s="22"/>
      <c r="AC531" s="22">
        <v>656985.59</v>
      </c>
      <c r="AD531" s="2"/>
      <c r="AG531" s="1" t="s">
        <v>56</v>
      </c>
      <c r="AI531" s="22">
        <v>656985.59</v>
      </c>
    </row>
    <row r="532" spans="1:38" ht="14.45" customHeight="1" x14ac:dyDescent="0.2">
      <c r="A532" s="1" t="s">
        <v>57</v>
      </c>
      <c r="B532" s="9" t="s">
        <v>38</v>
      </c>
      <c r="C532" s="1" t="s">
        <v>58</v>
      </c>
      <c r="D532" s="1" t="s">
        <v>59</v>
      </c>
      <c r="E532" s="1" t="s">
        <v>42</v>
      </c>
      <c r="G532" s="1" t="s">
        <v>122</v>
      </c>
      <c r="H532" s="1" t="s">
        <v>1893</v>
      </c>
      <c r="I532" s="1" t="s">
        <v>3048</v>
      </c>
      <c r="J532" s="1">
        <v>2023</v>
      </c>
      <c r="K532" s="1" t="s">
        <v>3049</v>
      </c>
      <c r="L532" s="1" t="s">
        <v>3050</v>
      </c>
      <c r="P532" s="1" t="s">
        <v>3051</v>
      </c>
      <c r="Q532" s="1" t="s">
        <v>101</v>
      </c>
      <c r="R532" s="1" t="s">
        <v>102</v>
      </c>
      <c r="S532" s="1" t="s">
        <v>372</v>
      </c>
      <c r="T532" s="1" t="s">
        <v>373</v>
      </c>
      <c r="U532" s="1">
        <v>1</v>
      </c>
      <c r="V532" s="1" t="s">
        <v>101</v>
      </c>
      <c r="W532" s="1" t="s">
        <v>3052</v>
      </c>
      <c r="Y532" s="10">
        <v>45478</v>
      </c>
      <c r="Z532" s="1">
        <v>2024</v>
      </c>
      <c r="AA532" s="2">
        <v>291017.11</v>
      </c>
      <c r="AB532" s="2"/>
      <c r="AC532" s="2">
        <v>102754.28</v>
      </c>
      <c r="AD532" s="1">
        <v>1</v>
      </c>
      <c r="AE532" s="1">
        <v>1</v>
      </c>
      <c r="AG532" s="1" t="s">
        <v>56</v>
      </c>
      <c r="AI532" s="2">
        <v>102754.28</v>
      </c>
    </row>
    <row r="533" spans="1:38" ht="14.45" customHeight="1" x14ac:dyDescent="0.2">
      <c r="A533" s="1" t="s">
        <v>57</v>
      </c>
      <c r="B533" s="9" t="s">
        <v>38</v>
      </c>
      <c r="C533" s="1" t="s">
        <v>58</v>
      </c>
      <c r="D533" s="1" t="s">
        <v>59</v>
      </c>
      <c r="E533" s="1" t="s">
        <v>42</v>
      </c>
      <c r="G533" s="1" t="s">
        <v>122</v>
      </c>
      <c r="H533" s="1" t="s">
        <v>1893</v>
      </c>
      <c r="I533" s="1" t="s">
        <v>3053</v>
      </c>
      <c r="J533" s="1">
        <v>2023</v>
      </c>
      <c r="K533" s="1" t="s">
        <v>3054</v>
      </c>
      <c r="L533" s="1" t="s">
        <v>3055</v>
      </c>
      <c r="P533" s="1" t="s">
        <v>2997</v>
      </c>
      <c r="Q533" s="1" t="s">
        <v>101</v>
      </c>
      <c r="R533" s="1" t="s">
        <v>102</v>
      </c>
      <c r="S533" s="1" t="s">
        <v>3056</v>
      </c>
      <c r="T533" s="1" t="s">
        <v>3057</v>
      </c>
      <c r="U533" s="1">
        <v>2</v>
      </c>
      <c r="V533" s="1" t="s">
        <v>101</v>
      </c>
      <c r="W533" s="1" t="s">
        <v>3054</v>
      </c>
      <c r="Y533" s="10">
        <v>45478</v>
      </c>
      <c r="Z533" s="1">
        <v>2024</v>
      </c>
      <c r="AA533" s="2">
        <v>65471.53</v>
      </c>
      <c r="AB533" s="2"/>
      <c r="AC533" s="2">
        <v>32735.77</v>
      </c>
      <c r="AD533" s="1">
        <v>3</v>
      </c>
      <c r="AE533" s="1">
        <v>3</v>
      </c>
      <c r="AG533" s="1" t="s">
        <v>56</v>
      </c>
      <c r="AI533" s="2">
        <v>32735.77</v>
      </c>
    </row>
    <row r="534" spans="1:38" ht="14.45" customHeight="1" x14ac:dyDescent="0.2">
      <c r="A534" s="1" t="s">
        <v>57</v>
      </c>
      <c r="B534" s="9" t="s">
        <v>38</v>
      </c>
      <c r="C534" s="1" t="s">
        <v>58</v>
      </c>
      <c r="D534" s="1" t="s">
        <v>59</v>
      </c>
      <c r="E534" s="1" t="s">
        <v>42</v>
      </c>
      <c r="G534" s="1" t="s">
        <v>122</v>
      </c>
      <c r="H534" s="1" t="s">
        <v>1893</v>
      </c>
      <c r="I534" s="1" t="s">
        <v>3058</v>
      </c>
      <c r="J534" s="1">
        <v>2023</v>
      </c>
      <c r="K534" s="1" t="s">
        <v>3059</v>
      </c>
      <c r="L534" s="1" t="s">
        <v>3060</v>
      </c>
      <c r="P534" s="1" t="s">
        <v>1085</v>
      </c>
      <c r="Q534" s="1" t="s">
        <v>101</v>
      </c>
      <c r="R534" s="1" t="s">
        <v>102</v>
      </c>
      <c r="S534" s="1" t="s">
        <v>562</v>
      </c>
      <c r="T534" s="1" t="s">
        <v>563</v>
      </c>
      <c r="U534" s="1">
        <v>1</v>
      </c>
      <c r="V534" s="1" t="s">
        <v>101</v>
      </c>
      <c r="W534" s="1" t="s">
        <v>3059</v>
      </c>
      <c r="Y534" s="10">
        <v>45478</v>
      </c>
      <c r="Z534" s="1">
        <v>2024</v>
      </c>
      <c r="AA534" s="2">
        <v>258963.61</v>
      </c>
      <c r="AB534" s="2"/>
      <c r="AC534" s="2">
        <v>64740.9</v>
      </c>
      <c r="AD534" s="1">
        <v>0</v>
      </c>
      <c r="AG534" s="1" t="s">
        <v>56</v>
      </c>
      <c r="AI534" s="2">
        <v>64740.9</v>
      </c>
    </row>
    <row r="535" spans="1:38" ht="14.45" customHeight="1" x14ac:dyDescent="0.2">
      <c r="A535" s="1" t="s">
        <v>57</v>
      </c>
      <c r="B535" s="9" t="s">
        <v>38</v>
      </c>
      <c r="C535" s="1" t="s">
        <v>58</v>
      </c>
      <c r="D535" s="1" t="s">
        <v>59</v>
      </c>
      <c r="E535" s="1" t="s">
        <v>42</v>
      </c>
      <c r="G535" s="1" t="s">
        <v>122</v>
      </c>
      <c r="H535" s="1" t="s">
        <v>1893</v>
      </c>
      <c r="I535" s="1" t="s">
        <v>3061</v>
      </c>
      <c r="J535" s="1">
        <v>2023</v>
      </c>
      <c r="K535" s="1" t="s">
        <v>3062</v>
      </c>
      <c r="L535" s="1" t="s">
        <v>3063</v>
      </c>
      <c r="P535" s="1" t="s">
        <v>3064</v>
      </c>
      <c r="Q535" s="1" t="s">
        <v>101</v>
      </c>
      <c r="R535" s="1" t="s">
        <v>102</v>
      </c>
      <c r="S535" s="1" t="s">
        <v>3065</v>
      </c>
      <c r="T535" s="1" t="s">
        <v>3066</v>
      </c>
      <c r="U535" s="1">
        <v>1</v>
      </c>
      <c r="V535" s="1" t="s">
        <v>101</v>
      </c>
      <c r="W535" s="1" t="s">
        <v>3062</v>
      </c>
      <c r="Y535" s="10">
        <v>45478</v>
      </c>
      <c r="Z535" s="1">
        <v>2024</v>
      </c>
      <c r="AA535" s="2">
        <v>210531.9</v>
      </c>
      <c r="AB535" s="2"/>
      <c r="AC535" s="2">
        <v>105265.95</v>
      </c>
      <c r="AD535" s="1">
        <v>2</v>
      </c>
      <c r="AE535" s="1">
        <v>2</v>
      </c>
      <c r="AG535" s="1" t="s">
        <v>56</v>
      </c>
      <c r="AI535" s="2">
        <v>105265.95</v>
      </c>
    </row>
    <row r="536" spans="1:38" ht="14.45" customHeight="1" x14ac:dyDescent="0.2">
      <c r="A536" s="1" t="s">
        <v>57</v>
      </c>
      <c r="B536" s="9" t="s">
        <v>38</v>
      </c>
      <c r="C536" s="1" t="s">
        <v>58</v>
      </c>
      <c r="D536" s="1" t="s">
        <v>59</v>
      </c>
      <c r="E536" s="1" t="s">
        <v>42</v>
      </c>
      <c r="G536" s="1" t="s">
        <v>122</v>
      </c>
      <c r="H536" s="1" t="s">
        <v>1893</v>
      </c>
      <c r="I536" s="1" t="s">
        <v>3067</v>
      </c>
      <c r="J536" s="1">
        <v>2023</v>
      </c>
      <c r="K536" s="1" t="s">
        <v>3068</v>
      </c>
      <c r="L536" s="1" t="s">
        <v>3069</v>
      </c>
      <c r="P536" s="1" t="s">
        <v>3070</v>
      </c>
      <c r="Q536" s="1" t="s">
        <v>101</v>
      </c>
      <c r="R536" s="1" t="s">
        <v>102</v>
      </c>
      <c r="S536" s="1" t="s">
        <v>1917</v>
      </c>
      <c r="T536" s="1" t="s">
        <v>1918</v>
      </c>
      <c r="U536" s="1">
        <v>2</v>
      </c>
      <c r="V536" s="1" t="s">
        <v>101</v>
      </c>
      <c r="W536" s="1" t="s">
        <v>3071</v>
      </c>
      <c r="Y536" s="10">
        <v>45478</v>
      </c>
      <c r="Z536" s="1">
        <v>2024</v>
      </c>
      <c r="AA536" s="2">
        <v>426860.3</v>
      </c>
      <c r="AB536" s="2"/>
      <c r="AC536" s="2">
        <v>130000</v>
      </c>
      <c r="AD536" s="1">
        <v>2</v>
      </c>
      <c r="AG536" s="1" t="s">
        <v>56</v>
      </c>
      <c r="AI536" s="2">
        <v>130000</v>
      </c>
    </row>
    <row r="537" spans="1:38" ht="14.45" customHeight="1" x14ac:dyDescent="0.2">
      <c r="A537" s="1" t="s">
        <v>57</v>
      </c>
      <c r="B537" s="9" t="s">
        <v>38</v>
      </c>
      <c r="C537" s="1" t="s">
        <v>58</v>
      </c>
      <c r="D537" s="1" t="s">
        <v>146</v>
      </c>
      <c r="E537" s="1" t="s">
        <v>42</v>
      </c>
      <c r="G537" s="1" t="s">
        <v>155</v>
      </c>
      <c r="H537" s="1" t="s">
        <v>156</v>
      </c>
      <c r="I537" s="1" t="s">
        <v>3072</v>
      </c>
      <c r="J537" s="1">
        <v>2022</v>
      </c>
      <c r="K537" s="1" t="s">
        <v>3073</v>
      </c>
      <c r="L537" s="1" t="s">
        <v>3074</v>
      </c>
      <c r="P537" s="1" t="s">
        <v>2655</v>
      </c>
      <c r="Q537" s="1" t="s">
        <v>264</v>
      </c>
      <c r="R537" s="1" t="s">
        <v>265</v>
      </c>
      <c r="S537" s="1" t="s">
        <v>923</v>
      </c>
      <c r="T537" s="1" t="s">
        <v>924</v>
      </c>
      <c r="U537" s="1">
        <v>1</v>
      </c>
      <c r="V537" s="1" t="s">
        <v>268</v>
      </c>
      <c r="W537" s="1" t="s">
        <v>3075</v>
      </c>
      <c r="Y537" s="10">
        <v>45112</v>
      </c>
      <c r="Z537" s="1">
        <v>2023</v>
      </c>
      <c r="AA537" s="2">
        <v>1498631.85</v>
      </c>
      <c r="AB537" s="2"/>
      <c r="AC537" s="2">
        <v>1498631.85</v>
      </c>
      <c r="AG537" s="1" t="s">
        <v>56</v>
      </c>
      <c r="AI537" s="2">
        <v>1498631.85</v>
      </c>
    </row>
    <row r="538" spans="1:38" ht="14.45" hidden="1" customHeight="1" x14ac:dyDescent="0.2">
      <c r="A538" s="1" t="s">
        <v>57</v>
      </c>
      <c r="B538" s="9" t="s">
        <v>38</v>
      </c>
      <c r="C538" s="1" t="s">
        <v>58</v>
      </c>
      <c r="D538" s="1" t="s">
        <v>146</v>
      </c>
      <c r="E538" s="1" t="s">
        <v>42</v>
      </c>
      <c r="G538" s="1" t="s">
        <v>147</v>
      </c>
      <c r="H538" s="1" t="s">
        <v>148</v>
      </c>
      <c r="I538" s="1" t="s">
        <v>2884</v>
      </c>
      <c r="J538" s="1">
        <v>2020</v>
      </c>
      <c r="K538" s="1" t="s">
        <v>2885</v>
      </c>
      <c r="L538" s="1" t="s">
        <v>2886</v>
      </c>
      <c r="P538" s="1" t="s">
        <v>3076</v>
      </c>
      <c r="Q538" s="1" t="s">
        <v>50</v>
      </c>
      <c r="R538" s="1" t="s">
        <v>68</v>
      </c>
      <c r="S538" s="8" t="s">
        <v>3077</v>
      </c>
      <c r="T538" s="1" t="s">
        <v>3078</v>
      </c>
      <c r="U538" s="1">
        <v>1</v>
      </c>
      <c r="V538" s="1" t="s">
        <v>71</v>
      </c>
      <c r="W538" s="1" t="s">
        <v>2886</v>
      </c>
      <c r="X538" s="1" t="s">
        <v>153</v>
      </c>
      <c r="Y538" s="10">
        <v>44127</v>
      </c>
      <c r="Z538" s="1">
        <v>2020</v>
      </c>
      <c r="AA538" s="2">
        <v>76414.05</v>
      </c>
      <c r="AB538" s="2"/>
      <c r="AC538" s="2">
        <v>57310.537500000006</v>
      </c>
      <c r="AD538" s="1">
        <v>0</v>
      </c>
      <c r="AG538" s="1" t="s">
        <v>56</v>
      </c>
      <c r="AH538" s="1" t="s">
        <v>1458</v>
      </c>
      <c r="AI538" s="2">
        <v>57310.537500000006</v>
      </c>
      <c r="AL538" s="1" t="s">
        <v>1744</v>
      </c>
    </row>
    <row r="539" spans="1:38" ht="14.45" customHeight="1" x14ac:dyDescent="0.2">
      <c r="A539" s="1" t="s">
        <v>57</v>
      </c>
      <c r="B539" s="9" t="s">
        <v>38</v>
      </c>
      <c r="C539" s="1" t="s">
        <v>58</v>
      </c>
      <c r="D539" s="1" t="s">
        <v>146</v>
      </c>
      <c r="E539" s="1" t="s">
        <v>42</v>
      </c>
      <c r="G539" s="1" t="s">
        <v>155</v>
      </c>
      <c r="H539" s="1" t="s">
        <v>156</v>
      </c>
      <c r="I539" s="1" t="s">
        <v>3079</v>
      </c>
      <c r="J539" s="1">
        <v>2022</v>
      </c>
      <c r="K539" s="1" t="s">
        <v>3080</v>
      </c>
      <c r="L539" s="1" t="s">
        <v>3081</v>
      </c>
      <c r="M539" s="1" t="s">
        <v>3082</v>
      </c>
      <c r="P539" s="1" t="s">
        <v>3083</v>
      </c>
      <c r="Q539" s="1" t="s">
        <v>50</v>
      </c>
      <c r="R539" s="1" t="s">
        <v>68</v>
      </c>
      <c r="S539" s="1" t="s">
        <v>1440</v>
      </c>
      <c r="T539" s="1" t="s">
        <v>1441</v>
      </c>
      <c r="U539" s="1">
        <v>1</v>
      </c>
      <c r="V539" s="1" t="s">
        <v>71</v>
      </c>
      <c r="W539" s="1" t="s">
        <v>3084</v>
      </c>
      <c r="Y539" s="10">
        <v>45112</v>
      </c>
      <c r="Z539" s="1">
        <v>2023</v>
      </c>
      <c r="AA539" s="2">
        <v>3246023.59</v>
      </c>
      <c r="AB539" s="2"/>
      <c r="AC539" s="2">
        <v>3246023.59</v>
      </c>
      <c r="AG539" s="1" t="s">
        <v>56</v>
      </c>
      <c r="AI539" s="2">
        <v>3246023.59</v>
      </c>
    </row>
    <row r="540" spans="1:38" ht="14.45" customHeight="1" x14ac:dyDescent="0.25">
      <c r="A540" s="1" t="s">
        <v>57</v>
      </c>
      <c r="B540" s="20" t="s">
        <v>38</v>
      </c>
      <c r="C540" s="3" t="s">
        <v>58</v>
      </c>
      <c r="D540" s="1" t="s">
        <v>146</v>
      </c>
      <c r="E540" s="1" t="s">
        <v>42</v>
      </c>
      <c r="G540" s="1" t="s">
        <v>1673</v>
      </c>
      <c r="H540" s="1" t="s">
        <v>156</v>
      </c>
      <c r="I540" s="3" t="s">
        <v>3085</v>
      </c>
      <c r="J540" s="1">
        <v>2023</v>
      </c>
      <c r="K540" s="1" t="s">
        <v>3086</v>
      </c>
      <c r="L540" s="1" t="s">
        <v>3087</v>
      </c>
      <c r="M540" s="1" t="s">
        <v>3088</v>
      </c>
      <c r="N540" s="3" t="s">
        <v>3089</v>
      </c>
      <c r="P540" s="1" t="s">
        <v>3090</v>
      </c>
      <c r="Q540" s="1" t="s">
        <v>50</v>
      </c>
      <c r="R540" s="1" t="s">
        <v>68</v>
      </c>
      <c r="S540" s="3" t="s">
        <v>430</v>
      </c>
      <c r="T540" s="3" t="s">
        <v>431</v>
      </c>
      <c r="U540" s="24">
        <v>1</v>
      </c>
      <c r="V540" s="3" t="s">
        <v>71</v>
      </c>
      <c r="W540" s="3" t="s">
        <v>3091</v>
      </c>
      <c r="X540" s="3" t="s">
        <v>3035</v>
      </c>
      <c r="Y540" s="21">
        <v>45799</v>
      </c>
      <c r="Z540" s="3">
        <v>2025</v>
      </c>
      <c r="AA540" s="22">
        <v>808769.52</v>
      </c>
      <c r="AB540" s="22"/>
      <c r="AC540" s="22">
        <v>808769.52</v>
      </c>
      <c r="AD540" s="2"/>
      <c r="AG540" s="1" t="s">
        <v>56</v>
      </c>
      <c r="AI540" s="22">
        <v>808769.52</v>
      </c>
    </row>
    <row r="541" spans="1:38" ht="14.45" customHeight="1" x14ac:dyDescent="0.25">
      <c r="A541" s="1" t="s">
        <v>57</v>
      </c>
      <c r="B541" s="20" t="s">
        <v>38</v>
      </c>
      <c r="C541" s="3" t="s">
        <v>58</v>
      </c>
      <c r="D541" s="1" t="s">
        <v>146</v>
      </c>
      <c r="E541" s="1" t="s">
        <v>42</v>
      </c>
      <c r="G541" s="1" t="s">
        <v>1673</v>
      </c>
      <c r="H541" s="1" t="s">
        <v>156</v>
      </c>
      <c r="I541" s="3" t="s">
        <v>3092</v>
      </c>
      <c r="J541" s="1">
        <v>2023</v>
      </c>
      <c r="K541" s="1" t="s">
        <v>3093</v>
      </c>
      <c r="L541" s="1" t="s">
        <v>3094</v>
      </c>
      <c r="M541" s="1" t="s">
        <v>3045</v>
      </c>
      <c r="N541" s="3" t="s">
        <v>3095</v>
      </c>
      <c r="P541" s="1" t="s">
        <v>3047</v>
      </c>
      <c r="Q541" s="1" t="s">
        <v>50</v>
      </c>
      <c r="R541" s="1" t="s">
        <v>77</v>
      </c>
      <c r="S541" s="3" t="s">
        <v>1096</v>
      </c>
      <c r="T541" s="3" t="s">
        <v>1097</v>
      </c>
      <c r="U541" s="1">
        <v>1</v>
      </c>
      <c r="V541" s="3" t="s">
        <v>186</v>
      </c>
      <c r="W541" s="3" t="s">
        <v>3096</v>
      </c>
      <c r="X541" s="3" t="s">
        <v>3097</v>
      </c>
      <c r="Y541" s="21">
        <v>45799</v>
      </c>
      <c r="Z541" s="3">
        <v>2025</v>
      </c>
      <c r="AA541" s="22">
        <v>1249225.55</v>
      </c>
      <c r="AB541" s="22"/>
      <c r="AC541" s="22">
        <v>1249225.55</v>
      </c>
      <c r="AD541" s="2"/>
      <c r="AG541" s="1" t="s">
        <v>56</v>
      </c>
      <c r="AI541" s="22">
        <v>1249225.55</v>
      </c>
    </row>
    <row r="542" spans="1:38" ht="14.45" customHeight="1" x14ac:dyDescent="0.2">
      <c r="A542" s="1" t="s">
        <v>57</v>
      </c>
      <c r="B542" s="9" t="s">
        <v>38</v>
      </c>
      <c r="C542" s="1" t="s">
        <v>58</v>
      </c>
      <c r="D542" s="1" t="s">
        <v>59</v>
      </c>
      <c r="E542" s="1" t="s">
        <v>42</v>
      </c>
      <c r="G542" s="1" t="s">
        <v>122</v>
      </c>
      <c r="H542" s="1" t="s">
        <v>1893</v>
      </c>
      <c r="I542" s="1" t="s">
        <v>3098</v>
      </c>
      <c r="J542" s="1">
        <v>2023</v>
      </c>
      <c r="K542" s="1" t="s">
        <v>3099</v>
      </c>
      <c r="L542" s="1" t="s">
        <v>3100</v>
      </c>
      <c r="P542" s="1" t="s">
        <v>3101</v>
      </c>
      <c r="Q542" s="1" t="s">
        <v>50</v>
      </c>
      <c r="R542" s="1" t="s">
        <v>68</v>
      </c>
      <c r="S542" s="1" t="s">
        <v>69</v>
      </c>
      <c r="T542" s="1" t="s">
        <v>70</v>
      </c>
      <c r="U542" s="1">
        <v>1</v>
      </c>
      <c r="V542" s="1" t="s">
        <v>71</v>
      </c>
      <c r="W542" s="1" t="s">
        <v>3099</v>
      </c>
      <c r="Y542" s="10">
        <v>45478</v>
      </c>
      <c r="Z542" s="1">
        <v>2024</v>
      </c>
      <c r="AA542" s="2">
        <v>490000</v>
      </c>
      <c r="AB542" s="2"/>
      <c r="AC542" s="2">
        <v>130000</v>
      </c>
      <c r="AD542" s="1">
        <v>1</v>
      </c>
      <c r="AG542" s="1" t="s">
        <v>56</v>
      </c>
      <c r="AI542" s="2">
        <v>130000</v>
      </c>
    </row>
    <row r="543" spans="1:38" ht="14.45" customHeight="1" x14ac:dyDescent="0.2">
      <c r="A543" s="1" t="s">
        <v>57</v>
      </c>
      <c r="B543" s="9" t="s">
        <v>38</v>
      </c>
      <c r="C543" s="1" t="s">
        <v>58</v>
      </c>
      <c r="D543" s="1" t="s">
        <v>146</v>
      </c>
      <c r="E543" s="1" t="s">
        <v>42</v>
      </c>
      <c r="G543" s="1" t="s">
        <v>147</v>
      </c>
      <c r="H543" s="1" t="s">
        <v>148</v>
      </c>
      <c r="I543" s="1" t="s">
        <v>3102</v>
      </c>
      <c r="J543" s="1">
        <v>2020</v>
      </c>
      <c r="K543" s="1" t="s">
        <v>3103</v>
      </c>
      <c r="L543" s="1" t="s">
        <v>3104</v>
      </c>
      <c r="N543" s="1" t="s">
        <v>3105</v>
      </c>
      <c r="P543" s="1" t="s">
        <v>2050</v>
      </c>
      <c r="Q543" s="1" t="s">
        <v>101</v>
      </c>
      <c r="R543" s="1" t="s">
        <v>102</v>
      </c>
      <c r="S543" s="1" t="s">
        <v>1917</v>
      </c>
      <c r="T543" s="1" t="s">
        <v>1918</v>
      </c>
      <c r="U543" s="1">
        <v>1</v>
      </c>
      <c r="V543" s="1" t="s">
        <v>101</v>
      </c>
      <c r="W543" s="1" t="s">
        <v>3106</v>
      </c>
      <c r="X543" s="1" t="s">
        <v>153</v>
      </c>
      <c r="Y543" s="10">
        <v>44127</v>
      </c>
      <c r="Z543" s="1">
        <v>2020</v>
      </c>
      <c r="AA543" s="2">
        <v>1065000</v>
      </c>
      <c r="AB543" s="2"/>
      <c r="AC543" s="2">
        <v>798750</v>
      </c>
      <c r="AD543" s="1">
        <v>0</v>
      </c>
      <c r="AF543" s="1">
        <v>0</v>
      </c>
      <c r="AG543" s="1" t="s">
        <v>56</v>
      </c>
      <c r="AH543" s="1" t="s">
        <v>154</v>
      </c>
      <c r="AI543" s="2">
        <v>798750</v>
      </c>
      <c r="AK543" s="1" t="s">
        <v>600</v>
      </c>
      <c r="AL543" s="1" t="s">
        <v>1744</v>
      </c>
    </row>
    <row r="544" spans="1:38" ht="14.45" customHeight="1" x14ac:dyDescent="0.2">
      <c r="A544" s="1" t="s">
        <v>57</v>
      </c>
      <c r="B544" s="9" t="s">
        <v>38</v>
      </c>
      <c r="C544" s="1" t="s">
        <v>58</v>
      </c>
      <c r="D544" s="1" t="s">
        <v>146</v>
      </c>
      <c r="E544" s="1" t="s">
        <v>42</v>
      </c>
      <c r="G544" s="1" t="s">
        <v>155</v>
      </c>
      <c r="H544" s="1" t="s">
        <v>156</v>
      </c>
      <c r="I544" s="1" t="s">
        <v>3107</v>
      </c>
      <c r="J544" s="1">
        <v>2022</v>
      </c>
      <c r="K544" s="1" t="s">
        <v>3108</v>
      </c>
      <c r="L544" s="1" t="s">
        <v>3109</v>
      </c>
      <c r="P544" s="1" t="s">
        <v>3110</v>
      </c>
      <c r="Q544" s="1" t="s">
        <v>101</v>
      </c>
      <c r="R544" s="1" t="s">
        <v>102</v>
      </c>
      <c r="S544" s="1" t="s">
        <v>1950</v>
      </c>
      <c r="T544" s="1" t="s">
        <v>1951</v>
      </c>
      <c r="V544" s="1" t="s">
        <v>101</v>
      </c>
      <c r="W544" s="1" t="s">
        <v>3111</v>
      </c>
      <c r="Y544" s="10">
        <v>45112</v>
      </c>
      <c r="Z544" s="1">
        <v>2023</v>
      </c>
      <c r="AA544" s="2">
        <v>250000</v>
      </c>
      <c r="AB544" s="2"/>
      <c r="AC544" s="2">
        <v>250000</v>
      </c>
      <c r="AG544" s="1" t="s">
        <v>56</v>
      </c>
      <c r="AI544" s="2">
        <v>250000</v>
      </c>
    </row>
    <row r="545" spans="1:38" ht="12.6" customHeight="1" x14ac:dyDescent="0.2">
      <c r="A545" s="1" t="s">
        <v>57</v>
      </c>
      <c r="B545" s="9" t="s">
        <v>38</v>
      </c>
      <c r="C545" s="1" t="s">
        <v>58</v>
      </c>
      <c r="D545" s="1" t="s">
        <v>146</v>
      </c>
      <c r="E545" s="1" t="s">
        <v>42</v>
      </c>
      <c r="G545" s="1" t="s">
        <v>147</v>
      </c>
      <c r="H545" s="1" t="s">
        <v>148</v>
      </c>
      <c r="I545" s="1" t="s">
        <v>3112</v>
      </c>
      <c r="J545" s="1">
        <v>2020</v>
      </c>
      <c r="K545" s="1" t="s">
        <v>3113</v>
      </c>
      <c r="L545" s="1" t="s">
        <v>3114</v>
      </c>
      <c r="N545" s="1" t="s">
        <v>3115</v>
      </c>
      <c r="P545" s="1" t="s">
        <v>3116</v>
      </c>
      <c r="Q545" s="1" t="s">
        <v>101</v>
      </c>
      <c r="R545" s="1" t="s">
        <v>102</v>
      </c>
      <c r="S545" s="1" t="s">
        <v>3025</v>
      </c>
      <c r="T545" s="1" t="s">
        <v>3026</v>
      </c>
      <c r="U545" s="1">
        <v>1</v>
      </c>
      <c r="V545" s="1" t="s">
        <v>101</v>
      </c>
      <c r="W545" s="1" t="s">
        <v>3117</v>
      </c>
      <c r="X545" s="1" t="s">
        <v>153</v>
      </c>
      <c r="Y545" s="10">
        <v>44127</v>
      </c>
      <c r="Z545" s="1">
        <v>2020</v>
      </c>
      <c r="AA545" s="2">
        <v>235000</v>
      </c>
      <c r="AB545" s="2"/>
      <c r="AC545" s="2">
        <v>176250</v>
      </c>
      <c r="AD545" s="1">
        <v>0</v>
      </c>
      <c r="AF545" s="1">
        <v>0</v>
      </c>
      <c r="AG545" s="1" t="s">
        <v>56</v>
      </c>
      <c r="AH545" s="1" t="s">
        <v>154</v>
      </c>
      <c r="AI545" s="2">
        <v>176023.4</v>
      </c>
      <c r="AK545" s="1" t="s">
        <v>418</v>
      </c>
    </row>
    <row r="546" spans="1:38" ht="14.45" customHeight="1" x14ac:dyDescent="0.25">
      <c r="A546" s="1" t="s">
        <v>57</v>
      </c>
      <c r="B546" s="9" t="s">
        <v>38</v>
      </c>
      <c r="C546" s="1" t="s">
        <v>58</v>
      </c>
      <c r="D546" s="1" t="s">
        <v>146</v>
      </c>
      <c r="E546" s="1" t="s">
        <v>42</v>
      </c>
      <c r="G546" s="1" t="s">
        <v>155</v>
      </c>
      <c r="H546" s="1" t="s">
        <v>156</v>
      </c>
      <c r="I546" s="1" t="s">
        <v>3118</v>
      </c>
      <c r="J546" s="1">
        <v>2022</v>
      </c>
      <c r="K546" s="1" t="s">
        <v>1605</v>
      </c>
      <c r="L546" s="1" t="s">
        <v>3119</v>
      </c>
      <c r="M546" s="1" t="s">
        <v>3120</v>
      </c>
      <c r="P546" s="1" t="s">
        <v>3121</v>
      </c>
      <c r="Q546" s="1" t="s">
        <v>50</v>
      </c>
      <c r="R546" s="1" t="s">
        <v>68</v>
      </c>
      <c r="S546" s="16" t="s">
        <v>2758</v>
      </c>
      <c r="T546" s="1" t="s">
        <v>2759</v>
      </c>
      <c r="U546" s="1">
        <v>1</v>
      </c>
      <c r="V546" s="1" t="s">
        <v>71</v>
      </c>
      <c r="W546" s="1" t="s">
        <v>3122</v>
      </c>
      <c r="Y546" s="10">
        <v>45112</v>
      </c>
      <c r="Z546" s="1">
        <v>2023</v>
      </c>
      <c r="AA546" s="2">
        <v>621708.07999999996</v>
      </c>
      <c r="AB546" s="2"/>
      <c r="AC546" s="2">
        <v>621708.07999999996</v>
      </c>
      <c r="AG546" s="1" t="s">
        <v>56</v>
      </c>
      <c r="AI546" s="2">
        <v>621708.07999999996</v>
      </c>
    </row>
    <row r="547" spans="1:38" ht="14.45" customHeight="1" x14ac:dyDescent="0.2">
      <c r="A547" s="1" t="s">
        <v>57</v>
      </c>
      <c r="B547" s="9" t="s">
        <v>38</v>
      </c>
      <c r="C547" s="1" t="s">
        <v>58</v>
      </c>
      <c r="D547" s="1" t="s">
        <v>146</v>
      </c>
      <c r="E547" s="1" t="s">
        <v>42</v>
      </c>
      <c r="G547" s="1" t="s">
        <v>155</v>
      </c>
      <c r="H547" s="1" t="s">
        <v>156</v>
      </c>
      <c r="I547" s="1" t="s">
        <v>3123</v>
      </c>
      <c r="J547" s="1">
        <v>2022</v>
      </c>
      <c r="K547" s="1" t="s">
        <v>3124</v>
      </c>
      <c r="L547" s="1" t="s">
        <v>3125</v>
      </c>
      <c r="P547" s="1" t="s">
        <v>1715</v>
      </c>
      <c r="Q547" s="1" t="s">
        <v>264</v>
      </c>
      <c r="R547" s="1" t="s">
        <v>265</v>
      </c>
      <c r="S547" s="1" t="s">
        <v>542</v>
      </c>
      <c r="T547" s="1" t="s">
        <v>543</v>
      </c>
      <c r="U547" s="1">
        <v>1</v>
      </c>
      <c r="V547" s="1" t="s">
        <v>268</v>
      </c>
      <c r="W547" s="1" t="s">
        <v>3126</v>
      </c>
      <c r="Y547" s="10">
        <v>45112</v>
      </c>
      <c r="Z547" s="1">
        <v>2023</v>
      </c>
      <c r="AA547" s="2">
        <v>440109.33</v>
      </c>
      <c r="AB547" s="2"/>
      <c r="AC547" s="2">
        <v>440109.33</v>
      </c>
      <c r="AG547" s="1" t="s">
        <v>56</v>
      </c>
      <c r="AI547" s="2">
        <v>440109.33</v>
      </c>
    </row>
    <row r="548" spans="1:38" ht="14.45" customHeight="1" x14ac:dyDescent="0.25">
      <c r="A548" s="1" t="s">
        <v>57</v>
      </c>
      <c r="B548" s="9" t="s">
        <v>39</v>
      </c>
      <c r="C548" s="1" t="s">
        <v>58</v>
      </c>
      <c r="D548" s="1" t="s">
        <v>146</v>
      </c>
      <c r="E548" s="1" t="s">
        <v>42</v>
      </c>
      <c r="G548" s="1" t="s">
        <v>155</v>
      </c>
      <c r="H548" s="1" t="s">
        <v>156</v>
      </c>
      <c r="I548" s="1" t="s">
        <v>3127</v>
      </c>
      <c r="J548" s="1">
        <v>2022</v>
      </c>
      <c r="K548" s="14" t="s">
        <v>3128</v>
      </c>
      <c r="P548" s="1" t="s">
        <v>2637</v>
      </c>
      <c r="Q548" s="1" t="s">
        <v>50</v>
      </c>
      <c r="R548" s="1" t="s">
        <v>77</v>
      </c>
      <c r="S548" s="16" t="s">
        <v>2638</v>
      </c>
      <c r="T548" s="1" t="s">
        <v>2639</v>
      </c>
      <c r="U548" s="1">
        <v>1</v>
      </c>
      <c r="V548" s="1" t="s">
        <v>186</v>
      </c>
      <c r="W548" s="1" t="s">
        <v>3129</v>
      </c>
      <c r="Y548" s="10">
        <v>45174</v>
      </c>
      <c r="Z548" s="1">
        <v>2023</v>
      </c>
      <c r="AA548" s="2">
        <v>2630232</v>
      </c>
      <c r="AB548" s="2"/>
      <c r="AC548" s="2">
        <v>1296718.3500000001</v>
      </c>
      <c r="AG548" s="1" t="s">
        <v>432</v>
      </c>
      <c r="AH548" s="1" t="s">
        <v>492</v>
      </c>
      <c r="AI548" s="2">
        <v>0</v>
      </c>
    </row>
    <row r="549" spans="1:38" ht="14.45" customHeight="1" x14ac:dyDescent="0.2">
      <c r="A549" s="1" t="s">
        <v>57</v>
      </c>
      <c r="B549" s="9" t="s">
        <v>38</v>
      </c>
      <c r="C549" s="1" t="s">
        <v>58</v>
      </c>
      <c r="D549" s="1" t="s">
        <v>146</v>
      </c>
      <c r="E549" s="1" t="s">
        <v>42</v>
      </c>
      <c r="G549" s="1" t="s">
        <v>147</v>
      </c>
      <c r="H549" s="1" t="s">
        <v>148</v>
      </c>
      <c r="I549" s="1" t="s">
        <v>3130</v>
      </c>
      <c r="J549" s="1">
        <v>2020</v>
      </c>
      <c r="K549" s="1" t="s">
        <v>3131</v>
      </c>
      <c r="L549" s="1" t="s">
        <v>3132</v>
      </c>
      <c r="N549" s="1" t="s">
        <v>3133</v>
      </c>
      <c r="P549" s="1" t="s">
        <v>2050</v>
      </c>
      <c r="Q549" s="1" t="s">
        <v>101</v>
      </c>
      <c r="R549" s="1" t="s">
        <v>102</v>
      </c>
      <c r="S549" s="1" t="s">
        <v>1917</v>
      </c>
      <c r="T549" s="1" t="s">
        <v>1918</v>
      </c>
      <c r="U549" s="1">
        <v>1</v>
      </c>
      <c r="V549" s="1" t="s">
        <v>101</v>
      </c>
      <c r="W549" s="1" t="s">
        <v>3134</v>
      </c>
      <c r="X549" s="1" t="s">
        <v>153</v>
      </c>
      <c r="Y549" s="10">
        <v>44127</v>
      </c>
      <c r="Z549" s="1">
        <v>2020</v>
      </c>
      <c r="AA549" s="2">
        <v>99888</v>
      </c>
      <c r="AB549" s="2"/>
      <c r="AC549" s="2">
        <v>74916</v>
      </c>
      <c r="AD549" s="1">
        <v>0</v>
      </c>
      <c r="AF549" s="1">
        <v>3</v>
      </c>
      <c r="AG549" s="1" t="s">
        <v>56</v>
      </c>
      <c r="AH549" s="1" t="s">
        <v>154</v>
      </c>
      <c r="AI549" s="2">
        <v>50411.59</v>
      </c>
      <c r="AK549" s="1" t="s">
        <v>418</v>
      </c>
      <c r="AL549" s="1" t="s">
        <v>503</v>
      </c>
    </row>
    <row r="550" spans="1:38" ht="14.45" customHeight="1" x14ac:dyDescent="0.2">
      <c r="A550" s="1" t="s">
        <v>57</v>
      </c>
      <c r="B550" s="9" t="s">
        <v>38</v>
      </c>
      <c r="C550" s="1" t="s">
        <v>58</v>
      </c>
      <c r="D550" s="1" t="s">
        <v>146</v>
      </c>
      <c r="E550" s="1" t="s">
        <v>42</v>
      </c>
      <c r="G550" s="1" t="s">
        <v>147</v>
      </c>
      <c r="H550" s="1" t="s">
        <v>148</v>
      </c>
      <c r="I550" s="1" t="s">
        <v>3135</v>
      </c>
      <c r="J550" s="1">
        <v>2020</v>
      </c>
      <c r="K550" s="1" t="s">
        <v>3136</v>
      </c>
      <c r="L550" s="1" t="s">
        <v>3137</v>
      </c>
      <c r="N550" s="1" t="s">
        <v>3138</v>
      </c>
      <c r="P550" s="1" t="s">
        <v>2050</v>
      </c>
      <c r="Q550" s="1" t="s">
        <v>101</v>
      </c>
      <c r="R550" s="1" t="s">
        <v>102</v>
      </c>
      <c r="S550" s="1" t="s">
        <v>1917</v>
      </c>
      <c r="T550" s="1" t="s">
        <v>1918</v>
      </c>
      <c r="U550" s="1">
        <v>1</v>
      </c>
      <c r="V550" s="1" t="s">
        <v>101</v>
      </c>
      <c r="W550" s="1" t="s">
        <v>3139</v>
      </c>
      <c r="X550" s="1" t="s">
        <v>153</v>
      </c>
      <c r="Y550" s="10">
        <v>44127</v>
      </c>
      <c r="Z550" s="1">
        <v>2020</v>
      </c>
      <c r="AA550" s="2">
        <v>86673</v>
      </c>
      <c r="AB550" s="2"/>
      <c r="AC550" s="2">
        <v>65004.75</v>
      </c>
      <c r="AD550" s="1">
        <v>0</v>
      </c>
      <c r="AF550" s="1">
        <v>3</v>
      </c>
      <c r="AG550" s="1" t="s">
        <v>56</v>
      </c>
      <c r="AH550" s="1" t="s">
        <v>154</v>
      </c>
      <c r="AI550" s="2">
        <v>43457.45</v>
      </c>
      <c r="AK550" s="1" t="s">
        <v>418</v>
      </c>
      <c r="AL550" s="1" t="s">
        <v>503</v>
      </c>
    </row>
    <row r="551" spans="1:38" ht="14.45" customHeight="1" x14ac:dyDescent="0.2">
      <c r="A551" s="1" t="s">
        <v>57</v>
      </c>
      <c r="B551" s="9" t="s">
        <v>38</v>
      </c>
      <c r="C551" s="1" t="s">
        <v>58</v>
      </c>
      <c r="D551" s="1" t="s">
        <v>146</v>
      </c>
      <c r="E551" s="1" t="s">
        <v>42</v>
      </c>
      <c r="G551" s="1" t="s">
        <v>147</v>
      </c>
      <c r="H551" s="1" t="s">
        <v>148</v>
      </c>
      <c r="I551" s="1" t="s">
        <v>3140</v>
      </c>
      <c r="J551" s="1">
        <v>2020</v>
      </c>
      <c r="K551" s="1" t="s">
        <v>3141</v>
      </c>
      <c r="L551" s="1" t="s">
        <v>3142</v>
      </c>
      <c r="N551" s="1" t="s">
        <v>3143</v>
      </c>
      <c r="P551" s="1" t="s">
        <v>254</v>
      </c>
      <c r="Q551" s="1" t="s">
        <v>101</v>
      </c>
      <c r="R551" s="1" t="s">
        <v>102</v>
      </c>
      <c r="S551" s="1" t="s">
        <v>255</v>
      </c>
      <c r="T551" s="1" t="s">
        <v>256</v>
      </c>
      <c r="U551" s="1">
        <v>1</v>
      </c>
      <c r="V551" s="1" t="s">
        <v>101</v>
      </c>
      <c r="W551" s="1" t="s">
        <v>3144</v>
      </c>
      <c r="X551" s="1" t="s">
        <v>153</v>
      </c>
      <c r="Y551" s="10">
        <v>44127</v>
      </c>
      <c r="Z551" s="1">
        <v>2020</v>
      </c>
      <c r="AA551" s="2">
        <v>485759</v>
      </c>
      <c r="AB551" s="2"/>
      <c r="AC551" s="2">
        <v>364319.25</v>
      </c>
      <c r="AD551" s="1">
        <v>0</v>
      </c>
      <c r="AF551" s="1">
        <v>3</v>
      </c>
      <c r="AG551" s="1" t="s">
        <v>56</v>
      </c>
      <c r="AH551" s="1" t="s">
        <v>154</v>
      </c>
      <c r="AI551" s="2">
        <f>VLOOKUP(Tabla35[[#This Row],[Ref. Proyecto]],[4]revITJ!$B$2:$BG$67,2,FALSE)</f>
        <v>338851.78</v>
      </c>
      <c r="AK551" s="1" t="s">
        <v>600</v>
      </c>
      <c r="AL551" s="1" t="s">
        <v>2100</v>
      </c>
    </row>
    <row r="552" spans="1:38" ht="14.45" customHeight="1" x14ac:dyDescent="0.2">
      <c r="A552" s="1" t="s">
        <v>57</v>
      </c>
      <c r="B552" s="9" t="s">
        <v>38</v>
      </c>
      <c r="C552" s="1" t="s">
        <v>58</v>
      </c>
      <c r="D552" s="1" t="s">
        <v>146</v>
      </c>
      <c r="E552" s="1" t="s">
        <v>42</v>
      </c>
      <c r="G552" s="1" t="s">
        <v>155</v>
      </c>
      <c r="H552" s="1" t="s">
        <v>156</v>
      </c>
      <c r="I552" s="1" t="s">
        <v>3145</v>
      </c>
      <c r="J552" s="1">
        <v>2022</v>
      </c>
      <c r="K552" s="1" t="s">
        <v>3146</v>
      </c>
      <c r="L552" s="1" t="s">
        <v>3147</v>
      </c>
      <c r="P552" s="1" t="s">
        <v>3148</v>
      </c>
      <c r="Q552" s="1" t="s">
        <v>101</v>
      </c>
      <c r="R552" s="1" t="s">
        <v>102</v>
      </c>
      <c r="S552" s="1" t="s">
        <v>3149</v>
      </c>
      <c r="T552" s="1" t="s">
        <v>3150</v>
      </c>
      <c r="U552" s="1">
        <v>1</v>
      </c>
      <c r="V552" s="1" t="s">
        <v>101</v>
      </c>
      <c r="W552" s="1" t="s">
        <v>3151</v>
      </c>
      <c r="Y552" s="10">
        <v>45112</v>
      </c>
      <c r="Z552" s="1">
        <v>2023</v>
      </c>
      <c r="AA552" s="2">
        <v>531300</v>
      </c>
      <c r="AB552" s="2"/>
      <c r="AC552" s="2">
        <v>531300</v>
      </c>
      <c r="AG552" s="1" t="s">
        <v>56</v>
      </c>
      <c r="AI552" s="2">
        <v>531300</v>
      </c>
    </row>
    <row r="553" spans="1:38" ht="14.45" customHeight="1" x14ac:dyDescent="0.2">
      <c r="A553" s="1" t="s">
        <v>57</v>
      </c>
      <c r="B553" s="9" t="s">
        <v>38</v>
      </c>
      <c r="C553" s="1" t="s">
        <v>58</v>
      </c>
      <c r="D553" s="1" t="s">
        <v>146</v>
      </c>
      <c r="E553" s="1" t="s">
        <v>42</v>
      </c>
      <c r="G553" s="1" t="s">
        <v>147</v>
      </c>
      <c r="H553" s="1" t="s">
        <v>148</v>
      </c>
      <c r="I553" s="1" t="s">
        <v>3152</v>
      </c>
      <c r="J553" s="1">
        <v>2020</v>
      </c>
      <c r="K553" s="1" t="s">
        <v>3153</v>
      </c>
      <c r="L553" s="1" t="s">
        <v>3154</v>
      </c>
      <c r="N553" s="1" t="s">
        <v>3155</v>
      </c>
      <c r="P553" s="1" t="s">
        <v>3156</v>
      </c>
      <c r="Q553" s="1" t="s">
        <v>101</v>
      </c>
      <c r="R553" s="1" t="s">
        <v>102</v>
      </c>
      <c r="S553" s="1" t="s">
        <v>3149</v>
      </c>
      <c r="T553" s="1" t="s">
        <v>3150</v>
      </c>
      <c r="U553" s="1">
        <v>1</v>
      </c>
      <c r="V553" s="1" t="s">
        <v>101</v>
      </c>
      <c r="W553" s="1" t="s">
        <v>3157</v>
      </c>
      <c r="X553" s="1" t="s">
        <v>153</v>
      </c>
      <c r="Y553" s="10">
        <v>44127</v>
      </c>
      <c r="Z553" s="1">
        <v>2020</v>
      </c>
      <c r="AA553" s="2">
        <v>130380</v>
      </c>
      <c r="AB553" s="2"/>
      <c r="AC553" s="2">
        <v>97785</v>
      </c>
      <c r="AD553" s="1">
        <v>0</v>
      </c>
      <c r="AF553" s="1">
        <v>5</v>
      </c>
      <c r="AG553" s="1" t="s">
        <v>56</v>
      </c>
      <c r="AH553" s="1" t="s">
        <v>154</v>
      </c>
      <c r="AI553" s="2">
        <v>97785</v>
      </c>
      <c r="AK553" s="1" t="s">
        <v>600</v>
      </c>
    </row>
    <row r="554" spans="1:38" ht="14.45" customHeight="1" x14ac:dyDescent="0.2">
      <c r="A554" s="1" t="s">
        <v>57</v>
      </c>
      <c r="B554" s="9" t="s">
        <v>38</v>
      </c>
      <c r="C554" s="1" t="s">
        <v>58</v>
      </c>
      <c r="D554" s="1" t="s">
        <v>59</v>
      </c>
      <c r="E554" s="1" t="s">
        <v>42</v>
      </c>
      <c r="G554" s="1" t="s">
        <v>122</v>
      </c>
      <c r="H554" s="1" t="s">
        <v>61</v>
      </c>
      <c r="I554" s="1" t="s">
        <v>3158</v>
      </c>
      <c r="J554" s="1">
        <v>2023</v>
      </c>
      <c r="K554" s="1" t="s">
        <v>3159</v>
      </c>
      <c r="L554" s="1" t="s">
        <v>3160</v>
      </c>
      <c r="M554" s="1" t="s">
        <v>3161</v>
      </c>
      <c r="P554" s="1" t="s">
        <v>1971</v>
      </c>
      <c r="Q554" s="1" t="s">
        <v>50</v>
      </c>
      <c r="R554" s="1" t="s">
        <v>77</v>
      </c>
      <c r="S554" s="1" t="s">
        <v>198</v>
      </c>
      <c r="T554" s="1" t="s">
        <v>199</v>
      </c>
      <c r="U554" s="1">
        <v>1</v>
      </c>
      <c r="V554" s="1" t="s">
        <v>186</v>
      </c>
      <c r="W554" s="1" t="s">
        <v>3159</v>
      </c>
      <c r="Y554" s="10">
        <v>45478</v>
      </c>
      <c r="Z554" s="1">
        <v>2024</v>
      </c>
      <c r="AA554" s="2">
        <v>107852</v>
      </c>
      <c r="AB554" s="2"/>
      <c r="AC554" s="2">
        <v>21570.400000000001</v>
      </c>
      <c r="AD554" s="1">
        <v>0</v>
      </c>
      <c r="AG554" s="1" t="s">
        <v>56</v>
      </c>
      <c r="AI554" s="2">
        <v>21570.400000000001</v>
      </c>
    </row>
    <row r="555" spans="1:38" ht="14.45" customHeight="1" x14ac:dyDescent="0.2">
      <c r="A555" s="1" t="s">
        <v>57</v>
      </c>
      <c r="B555" s="9" t="s">
        <v>38</v>
      </c>
      <c r="C555" s="1" t="s">
        <v>58</v>
      </c>
      <c r="D555" s="1" t="s">
        <v>146</v>
      </c>
      <c r="E555" s="1" t="s">
        <v>42</v>
      </c>
      <c r="G555" s="1" t="s">
        <v>155</v>
      </c>
      <c r="H555" s="1" t="s">
        <v>156</v>
      </c>
      <c r="I555" s="1" t="s">
        <v>3162</v>
      </c>
      <c r="J555" s="1">
        <v>2022</v>
      </c>
      <c r="K555" s="1" t="s">
        <v>3163</v>
      </c>
      <c r="L555" s="1" t="s">
        <v>3164</v>
      </c>
      <c r="M555" s="1" t="s">
        <v>3165</v>
      </c>
      <c r="P555" s="1" t="s">
        <v>3166</v>
      </c>
      <c r="Q555" s="1" t="s">
        <v>50</v>
      </c>
      <c r="R555" s="1" t="s">
        <v>68</v>
      </c>
      <c r="S555" s="1" t="s">
        <v>2888</v>
      </c>
      <c r="T555" s="1" t="s">
        <v>2889</v>
      </c>
      <c r="U555" s="1">
        <v>1</v>
      </c>
      <c r="V555" s="1" t="s">
        <v>71</v>
      </c>
      <c r="W555" s="1" t="s">
        <v>3167</v>
      </c>
      <c r="Y555" s="10">
        <v>45112</v>
      </c>
      <c r="Z555" s="1">
        <v>2023</v>
      </c>
      <c r="AA555" s="2">
        <v>100000</v>
      </c>
      <c r="AB555" s="2"/>
      <c r="AC555" s="2">
        <v>100000</v>
      </c>
      <c r="AG555" s="1" t="s">
        <v>56</v>
      </c>
      <c r="AI555" s="2">
        <v>100000</v>
      </c>
    </row>
    <row r="556" spans="1:38" ht="14.45" customHeight="1" x14ac:dyDescent="0.2">
      <c r="A556" s="1" t="s">
        <v>57</v>
      </c>
      <c r="B556" s="9" t="s">
        <v>38</v>
      </c>
      <c r="C556" s="1" t="s">
        <v>58</v>
      </c>
      <c r="D556" s="1" t="s">
        <v>146</v>
      </c>
      <c r="E556" s="1" t="s">
        <v>42</v>
      </c>
      <c r="G556" s="1" t="s">
        <v>147</v>
      </c>
      <c r="H556" s="1" t="s">
        <v>148</v>
      </c>
      <c r="I556" s="1" t="s">
        <v>3168</v>
      </c>
      <c r="J556" s="1">
        <v>2020</v>
      </c>
      <c r="K556" s="1" t="s">
        <v>3169</v>
      </c>
      <c r="L556" s="1" t="s">
        <v>3170</v>
      </c>
      <c r="N556" s="1" t="s">
        <v>3171</v>
      </c>
      <c r="P556" s="1" t="s">
        <v>2050</v>
      </c>
      <c r="Q556" s="1" t="s">
        <v>101</v>
      </c>
      <c r="R556" s="1" t="s">
        <v>102</v>
      </c>
      <c r="S556" s="1" t="s">
        <v>1917</v>
      </c>
      <c r="T556" s="1" t="s">
        <v>1918</v>
      </c>
      <c r="U556" s="1">
        <v>1</v>
      </c>
      <c r="V556" s="1" t="s">
        <v>101</v>
      </c>
      <c r="W556" s="1" t="s">
        <v>3172</v>
      </c>
      <c r="X556" s="1" t="s">
        <v>138</v>
      </c>
      <c r="Y556" s="10">
        <v>44127</v>
      </c>
      <c r="Z556" s="1">
        <v>2020</v>
      </c>
      <c r="AA556" s="2">
        <v>120000</v>
      </c>
      <c r="AB556" s="2"/>
      <c r="AC556" s="2">
        <v>90000</v>
      </c>
      <c r="AD556" s="1">
        <v>0</v>
      </c>
      <c r="AF556" s="1">
        <v>12</v>
      </c>
      <c r="AG556" s="1" t="s">
        <v>56</v>
      </c>
      <c r="AH556" s="1" t="s">
        <v>154</v>
      </c>
      <c r="AI556" s="2">
        <v>89999.99</v>
      </c>
      <c r="AK556" s="1" t="s">
        <v>600</v>
      </c>
    </row>
    <row r="557" spans="1:38" ht="14.45" customHeight="1" x14ac:dyDescent="0.2">
      <c r="A557" s="1" t="s">
        <v>57</v>
      </c>
      <c r="B557" s="9" t="s">
        <v>38</v>
      </c>
      <c r="C557" s="1" t="s">
        <v>58</v>
      </c>
      <c r="D557" s="1" t="s">
        <v>146</v>
      </c>
      <c r="E557" s="1" t="s">
        <v>42</v>
      </c>
      <c r="G557" s="1" t="s">
        <v>155</v>
      </c>
      <c r="H557" s="1" t="s">
        <v>156</v>
      </c>
      <c r="I557" s="1" t="s">
        <v>3173</v>
      </c>
      <c r="J557" s="1">
        <v>2022</v>
      </c>
      <c r="K557" s="1" t="s">
        <v>3174</v>
      </c>
      <c r="L557" s="1" t="s">
        <v>3175</v>
      </c>
      <c r="P557" s="1" t="s">
        <v>3176</v>
      </c>
      <c r="Q557" s="1" t="s">
        <v>110</v>
      </c>
      <c r="R557" s="1" t="s">
        <v>111</v>
      </c>
      <c r="S557" s="1" t="s">
        <v>3177</v>
      </c>
      <c r="T557" s="1" t="s">
        <v>3178</v>
      </c>
      <c r="V557" s="1" t="s">
        <v>114</v>
      </c>
      <c r="W557" s="1" t="s">
        <v>3179</v>
      </c>
      <c r="Y557" s="10">
        <v>45112</v>
      </c>
      <c r="Z557" s="1">
        <v>2023</v>
      </c>
      <c r="AA557" s="2">
        <v>225928.27</v>
      </c>
      <c r="AB557" s="2"/>
      <c r="AC557" s="2">
        <v>225928.27</v>
      </c>
      <c r="AG557" s="1" t="s">
        <v>56</v>
      </c>
      <c r="AI557" s="2">
        <v>225928.27</v>
      </c>
    </row>
    <row r="558" spans="1:38" ht="12.6" customHeight="1" x14ac:dyDescent="0.2">
      <c r="A558" s="1" t="s">
        <v>57</v>
      </c>
      <c r="B558" s="9" t="s">
        <v>38</v>
      </c>
      <c r="C558" s="1" t="s">
        <v>58</v>
      </c>
      <c r="D558" s="1" t="s">
        <v>146</v>
      </c>
      <c r="E558" s="1" t="s">
        <v>42</v>
      </c>
      <c r="G558" s="1" t="s">
        <v>147</v>
      </c>
      <c r="H558" s="1" t="s">
        <v>148</v>
      </c>
      <c r="I558" s="1" t="s">
        <v>3180</v>
      </c>
      <c r="J558" s="1">
        <v>2020</v>
      </c>
      <c r="K558" s="1" t="s">
        <v>3181</v>
      </c>
      <c r="L558" s="1" t="s">
        <v>3182</v>
      </c>
      <c r="M558" s="1" t="s">
        <v>3183</v>
      </c>
      <c r="N558" s="1" t="s">
        <v>3184</v>
      </c>
      <c r="P558" s="1" t="s">
        <v>1782</v>
      </c>
      <c r="Q558" s="1" t="s">
        <v>264</v>
      </c>
      <c r="R558" s="1" t="s">
        <v>265</v>
      </c>
      <c r="S558" s="1" t="s">
        <v>1783</v>
      </c>
      <c r="T558" s="1" t="s">
        <v>1784</v>
      </c>
      <c r="U558" s="1">
        <v>1</v>
      </c>
      <c r="V558" s="1" t="s">
        <v>535</v>
      </c>
      <c r="W558" s="1" t="s">
        <v>3185</v>
      </c>
      <c r="X558" s="1" t="s">
        <v>153</v>
      </c>
      <c r="Y558" s="10">
        <v>44127</v>
      </c>
      <c r="Z558" s="1">
        <v>2020</v>
      </c>
      <c r="AA558" s="2">
        <v>3420000</v>
      </c>
      <c r="AB558" s="2"/>
      <c r="AC558" s="2">
        <v>2565000</v>
      </c>
      <c r="AD558" s="1">
        <v>0</v>
      </c>
      <c r="AF558" s="1">
        <v>0</v>
      </c>
      <c r="AG558" s="1" t="s">
        <v>56</v>
      </c>
      <c r="AH558" s="1" t="s">
        <v>154</v>
      </c>
      <c r="AI558" s="2">
        <v>1985352.03</v>
      </c>
    </row>
    <row r="559" spans="1:38" ht="14.45" customHeight="1" x14ac:dyDescent="0.2">
      <c r="A559" s="1" t="s">
        <v>57</v>
      </c>
      <c r="B559" s="9" t="s">
        <v>38</v>
      </c>
      <c r="C559" s="1" t="s">
        <v>58</v>
      </c>
      <c r="D559" s="1" t="s">
        <v>146</v>
      </c>
      <c r="E559" s="1" t="s">
        <v>42</v>
      </c>
      <c r="G559" s="1" t="s">
        <v>155</v>
      </c>
      <c r="H559" s="1" t="s">
        <v>156</v>
      </c>
      <c r="I559" s="1" t="s">
        <v>3186</v>
      </c>
      <c r="J559" s="1">
        <v>2022</v>
      </c>
      <c r="K559" s="1" t="s">
        <v>3187</v>
      </c>
      <c r="L559" s="1" t="s">
        <v>3188</v>
      </c>
      <c r="P559" s="1" t="s">
        <v>3189</v>
      </c>
      <c r="Q559" s="1" t="s">
        <v>264</v>
      </c>
      <c r="R559" s="1" t="s">
        <v>265</v>
      </c>
      <c r="S559" s="1" t="s">
        <v>935</v>
      </c>
      <c r="T559" s="1" t="s">
        <v>936</v>
      </c>
      <c r="U559" s="1">
        <v>1</v>
      </c>
      <c r="V559" s="1" t="s">
        <v>308</v>
      </c>
      <c r="W559" s="1" t="s">
        <v>3190</v>
      </c>
      <c r="Y559" s="10">
        <v>45112</v>
      </c>
      <c r="Z559" s="1">
        <v>2023</v>
      </c>
      <c r="AA559" s="2">
        <v>829841.3</v>
      </c>
      <c r="AB559" s="2"/>
      <c r="AC559" s="2">
        <v>829841.3</v>
      </c>
      <c r="AG559" s="1" t="s">
        <v>56</v>
      </c>
      <c r="AI559" s="2">
        <v>829841.3</v>
      </c>
    </row>
    <row r="560" spans="1:38" ht="14.45" customHeight="1" x14ac:dyDescent="0.25">
      <c r="A560" s="1" t="s">
        <v>57</v>
      </c>
      <c r="B560" s="9" t="s">
        <v>38</v>
      </c>
      <c r="C560" s="1" t="s">
        <v>58</v>
      </c>
      <c r="D560" s="1" t="s">
        <v>146</v>
      </c>
      <c r="E560" s="1" t="s">
        <v>42</v>
      </c>
      <c r="G560" s="1" t="s">
        <v>155</v>
      </c>
      <c r="H560" s="1" t="s">
        <v>156</v>
      </c>
      <c r="I560" s="1" t="s">
        <v>3191</v>
      </c>
      <c r="J560" s="1">
        <v>2022</v>
      </c>
      <c r="K560" s="1" t="s">
        <v>3192</v>
      </c>
      <c r="L560" s="1" t="s">
        <v>3193</v>
      </c>
      <c r="M560" s="1" t="s">
        <v>3194</v>
      </c>
      <c r="P560" s="1" t="s">
        <v>3195</v>
      </c>
      <c r="Q560" s="1" t="s">
        <v>50</v>
      </c>
      <c r="R560" s="1" t="s">
        <v>68</v>
      </c>
      <c r="S560" s="16" t="s">
        <v>814</v>
      </c>
      <c r="T560" s="1" t="s">
        <v>815</v>
      </c>
      <c r="U560" s="1">
        <v>2</v>
      </c>
      <c r="V560" s="1" t="s">
        <v>71</v>
      </c>
      <c r="W560" s="1" t="s">
        <v>3196</v>
      </c>
      <c r="Y560" s="10">
        <v>45112</v>
      </c>
      <c r="Z560" s="1">
        <v>2023</v>
      </c>
      <c r="AA560" s="2">
        <v>622711.23</v>
      </c>
      <c r="AB560" s="2"/>
      <c r="AC560" s="2">
        <v>622711.23</v>
      </c>
      <c r="AG560" s="1" t="s">
        <v>56</v>
      </c>
      <c r="AI560" s="2">
        <v>622711.23</v>
      </c>
    </row>
    <row r="561" spans="1:38" ht="14.45" customHeight="1" x14ac:dyDescent="0.2">
      <c r="A561" s="1" t="s">
        <v>57</v>
      </c>
      <c r="B561" s="9" t="s">
        <v>38</v>
      </c>
      <c r="C561" s="1" t="s">
        <v>58</v>
      </c>
      <c r="D561" s="1" t="s">
        <v>146</v>
      </c>
      <c r="E561" s="1" t="s">
        <v>42</v>
      </c>
      <c r="G561" s="1" t="s">
        <v>147</v>
      </c>
      <c r="H561" s="1" t="s">
        <v>148</v>
      </c>
      <c r="I561" s="1" t="s">
        <v>3197</v>
      </c>
      <c r="J561" s="1">
        <v>2020</v>
      </c>
      <c r="K561" s="1" t="s">
        <v>3198</v>
      </c>
      <c r="L561" s="1" t="s">
        <v>3199</v>
      </c>
      <c r="M561" s="1" t="s">
        <v>3200</v>
      </c>
      <c r="N561" s="1" t="s">
        <v>3201</v>
      </c>
      <c r="P561" s="1" t="s">
        <v>1715</v>
      </c>
      <c r="Q561" s="1" t="s">
        <v>264</v>
      </c>
      <c r="R561" s="1" t="s">
        <v>265</v>
      </c>
      <c r="S561" s="1" t="s">
        <v>542</v>
      </c>
      <c r="T561" s="1" t="s">
        <v>543</v>
      </c>
      <c r="U561" s="1">
        <v>1</v>
      </c>
      <c r="V561" s="1" t="s">
        <v>268</v>
      </c>
      <c r="W561" s="29" t="s">
        <v>1712</v>
      </c>
      <c r="X561" s="1" t="s">
        <v>153</v>
      </c>
      <c r="Y561" s="10">
        <v>44127</v>
      </c>
      <c r="Z561" s="1">
        <v>2020</v>
      </c>
      <c r="AA561" s="2">
        <v>3300000</v>
      </c>
      <c r="AB561" s="2"/>
      <c r="AC561" s="2">
        <v>2475000</v>
      </c>
      <c r="AD561" s="1">
        <v>0</v>
      </c>
      <c r="AF561" s="1">
        <v>0</v>
      </c>
      <c r="AG561" s="1" t="s">
        <v>56</v>
      </c>
      <c r="AH561" s="1" t="s">
        <v>154</v>
      </c>
      <c r="AI561" s="2">
        <v>2475000</v>
      </c>
      <c r="AL561" s="1" t="s">
        <v>1744</v>
      </c>
    </row>
    <row r="562" spans="1:38" ht="14.45" customHeight="1" x14ac:dyDescent="0.2">
      <c r="A562" s="1" t="s">
        <v>57</v>
      </c>
      <c r="B562" s="9" t="s">
        <v>38</v>
      </c>
      <c r="C562" s="1" t="s">
        <v>58</v>
      </c>
      <c r="D562" s="1" t="s">
        <v>146</v>
      </c>
      <c r="E562" s="1" t="s">
        <v>42</v>
      </c>
      <c r="G562" s="1" t="s">
        <v>155</v>
      </c>
      <c r="H562" s="1" t="s">
        <v>156</v>
      </c>
      <c r="I562" s="1" t="s">
        <v>3202</v>
      </c>
      <c r="J562" s="1">
        <v>2022</v>
      </c>
      <c r="K562" s="1" t="s">
        <v>3203</v>
      </c>
      <c r="L562" s="1" t="s">
        <v>3204</v>
      </c>
      <c r="P562" s="1" t="s">
        <v>3205</v>
      </c>
      <c r="Q562" s="1" t="s">
        <v>110</v>
      </c>
      <c r="R562" s="1" t="s">
        <v>111</v>
      </c>
      <c r="S562" s="1" t="s">
        <v>3206</v>
      </c>
      <c r="T562" s="1" t="s">
        <v>3207</v>
      </c>
      <c r="V562" s="1" t="s">
        <v>114</v>
      </c>
      <c r="W562" s="1" t="s">
        <v>3208</v>
      </c>
      <c r="Y562" s="10">
        <v>45112</v>
      </c>
      <c r="Z562" s="1">
        <v>2023</v>
      </c>
      <c r="AA562" s="2">
        <v>173556.37</v>
      </c>
      <c r="AB562" s="2"/>
      <c r="AC562" s="2">
        <v>173556.37</v>
      </c>
      <c r="AG562" s="1" t="s">
        <v>56</v>
      </c>
      <c r="AI562" s="2">
        <v>173556.37</v>
      </c>
    </row>
    <row r="563" spans="1:38" ht="14.45" customHeight="1" x14ac:dyDescent="0.2">
      <c r="A563" s="1" t="s">
        <v>57</v>
      </c>
      <c r="B563" s="9" t="s">
        <v>39</v>
      </c>
      <c r="C563" s="1" t="s">
        <v>58</v>
      </c>
      <c r="D563" s="1" t="s">
        <v>146</v>
      </c>
      <c r="E563" s="1" t="s">
        <v>42</v>
      </c>
      <c r="G563" s="1" t="s">
        <v>155</v>
      </c>
      <c r="H563" s="1" t="s">
        <v>156</v>
      </c>
      <c r="I563" s="1" t="s">
        <v>3209</v>
      </c>
      <c r="J563" s="1">
        <v>2022</v>
      </c>
      <c r="K563" s="14" t="s">
        <v>3210</v>
      </c>
      <c r="P563" s="1" t="s">
        <v>3211</v>
      </c>
      <c r="Q563" s="1" t="s">
        <v>1149</v>
      </c>
      <c r="R563" s="1" t="s">
        <v>1449</v>
      </c>
      <c r="S563" s="1" t="s">
        <v>3212</v>
      </c>
      <c r="T563" s="1" t="s">
        <v>3213</v>
      </c>
      <c r="V563" s="1" t="s">
        <v>1153</v>
      </c>
      <c r="W563" s="1" t="s">
        <v>3214</v>
      </c>
      <c r="Y563" s="10">
        <v>45195</v>
      </c>
      <c r="Z563" s="1">
        <v>2023</v>
      </c>
      <c r="AA563" s="2">
        <v>499605.93</v>
      </c>
      <c r="AB563" s="2"/>
      <c r="AC563" s="2">
        <v>148624.89846153959</v>
      </c>
      <c r="AG563" s="1" t="s">
        <v>432</v>
      </c>
      <c r="AH563" s="1" t="s">
        <v>492</v>
      </c>
      <c r="AI563" s="2">
        <v>0</v>
      </c>
    </row>
    <row r="564" spans="1:38" ht="14.45" customHeight="1" x14ac:dyDescent="0.25">
      <c r="A564" s="1" t="s">
        <v>57</v>
      </c>
      <c r="B564" s="20" t="s">
        <v>38</v>
      </c>
      <c r="C564" s="3" t="s">
        <v>58</v>
      </c>
      <c r="D564" s="1" t="s">
        <v>146</v>
      </c>
      <c r="E564" s="1" t="s">
        <v>42</v>
      </c>
      <c r="F564" s="1" t="s">
        <v>1236</v>
      </c>
      <c r="G564" s="1" t="s">
        <v>155</v>
      </c>
      <c r="H564" s="1" t="s">
        <v>156</v>
      </c>
      <c r="I564" s="3" t="s">
        <v>3215</v>
      </c>
      <c r="J564" s="1">
        <v>2022</v>
      </c>
      <c r="K564" s="1" t="s">
        <v>3216</v>
      </c>
      <c r="L564" s="1" t="s">
        <v>3217</v>
      </c>
      <c r="M564" s="1" t="s">
        <v>1240</v>
      </c>
      <c r="P564" s="1" t="s">
        <v>3218</v>
      </c>
      <c r="Q564" s="1" t="s">
        <v>264</v>
      </c>
      <c r="R564" s="1" t="s">
        <v>265</v>
      </c>
      <c r="S564" s="30" t="s">
        <v>379</v>
      </c>
      <c r="T564" s="3" t="s">
        <v>380</v>
      </c>
      <c r="U564" s="1">
        <v>2</v>
      </c>
      <c r="V564" s="3" t="s">
        <v>268</v>
      </c>
      <c r="W564" s="3" t="s">
        <v>3219</v>
      </c>
      <c r="X564" s="3"/>
      <c r="Y564" s="21"/>
      <c r="Z564" s="3">
        <v>2025</v>
      </c>
      <c r="AA564" s="22">
        <v>1026759.82</v>
      </c>
      <c r="AB564" s="22"/>
      <c r="AC564" s="22">
        <v>1026759.82</v>
      </c>
      <c r="AD564" s="2"/>
      <c r="AG564" s="1" t="s">
        <v>56</v>
      </c>
      <c r="AI564" s="22">
        <v>1026759.82</v>
      </c>
    </row>
    <row r="565" spans="1:38" ht="14.45" customHeight="1" x14ac:dyDescent="0.2">
      <c r="A565" s="1" t="s">
        <v>57</v>
      </c>
      <c r="B565" s="9" t="s">
        <v>38</v>
      </c>
      <c r="C565" s="1" t="s">
        <v>58</v>
      </c>
      <c r="D565" s="1" t="s">
        <v>146</v>
      </c>
      <c r="E565" s="1" t="s">
        <v>42</v>
      </c>
      <c r="G565" s="1" t="s">
        <v>155</v>
      </c>
      <c r="H565" s="1" t="s">
        <v>156</v>
      </c>
      <c r="I565" s="1" t="s">
        <v>3220</v>
      </c>
      <c r="J565" s="1">
        <v>2022</v>
      </c>
      <c r="K565" s="1" t="s">
        <v>3221</v>
      </c>
      <c r="L565" s="1" t="s">
        <v>3222</v>
      </c>
      <c r="P565" s="1" t="s">
        <v>3223</v>
      </c>
      <c r="Q565" s="1" t="s">
        <v>264</v>
      </c>
      <c r="R565" s="1" t="s">
        <v>265</v>
      </c>
      <c r="S565" s="1" t="s">
        <v>740</v>
      </c>
      <c r="T565" s="1" t="s">
        <v>741</v>
      </c>
      <c r="U565" s="1">
        <v>1</v>
      </c>
      <c r="V565" s="1" t="s">
        <v>535</v>
      </c>
      <c r="W565" s="1" t="s">
        <v>3224</v>
      </c>
      <c r="Y565" s="10">
        <v>45112</v>
      </c>
      <c r="Z565" s="1">
        <v>2023</v>
      </c>
      <c r="AA565" s="2">
        <v>1491688.67</v>
      </c>
      <c r="AB565" s="2"/>
      <c r="AC565" s="2">
        <v>1491688.67</v>
      </c>
      <c r="AG565" s="1" t="s">
        <v>56</v>
      </c>
      <c r="AI565" s="2">
        <v>1491688.67</v>
      </c>
    </row>
    <row r="566" spans="1:38" ht="14.45" customHeight="1" x14ac:dyDescent="0.2">
      <c r="A566" s="1" t="s">
        <v>57</v>
      </c>
      <c r="B566" s="9" t="s">
        <v>38</v>
      </c>
      <c r="C566" s="1" t="s">
        <v>58</v>
      </c>
      <c r="D566" s="1" t="s">
        <v>146</v>
      </c>
      <c r="E566" s="1" t="s">
        <v>42</v>
      </c>
      <c r="G566" s="1" t="s">
        <v>147</v>
      </c>
      <c r="H566" s="1" t="s">
        <v>148</v>
      </c>
      <c r="I566" s="1" t="s">
        <v>3225</v>
      </c>
      <c r="J566" s="1">
        <v>2020</v>
      </c>
      <c r="K566" s="1" t="s">
        <v>3226</v>
      </c>
      <c r="L566" s="1" t="s">
        <v>3227</v>
      </c>
      <c r="N566" s="1" t="s">
        <v>3228</v>
      </c>
      <c r="P566" s="1" t="s">
        <v>1721</v>
      </c>
      <c r="Q566" s="1" t="s">
        <v>264</v>
      </c>
      <c r="R566" s="1" t="s">
        <v>265</v>
      </c>
      <c r="S566" s="1" t="s">
        <v>533</v>
      </c>
      <c r="T566" s="1" t="s">
        <v>534</v>
      </c>
      <c r="U566" s="1">
        <v>1</v>
      </c>
      <c r="V566" s="1" t="s">
        <v>535</v>
      </c>
      <c r="W566" s="1" t="s">
        <v>3227</v>
      </c>
      <c r="X566" s="1" t="s">
        <v>153</v>
      </c>
      <c r="Y566" s="10">
        <v>44127</v>
      </c>
      <c r="Z566" s="1">
        <v>2020</v>
      </c>
      <c r="AA566" s="2">
        <v>9900000</v>
      </c>
      <c r="AB566" s="2"/>
      <c r="AC566" s="2">
        <v>7425000</v>
      </c>
      <c r="AD566" s="1">
        <v>0</v>
      </c>
      <c r="AF566" s="1">
        <v>0</v>
      </c>
      <c r="AG566" s="1" t="s">
        <v>56</v>
      </c>
      <c r="AH566" s="1" t="s">
        <v>1458</v>
      </c>
      <c r="AI566" s="2">
        <v>7425000</v>
      </c>
      <c r="AL566" s="1" t="s">
        <v>1744</v>
      </c>
    </row>
    <row r="567" spans="1:38" ht="14.45" customHeight="1" x14ac:dyDescent="0.2">
      <c r="A567" s="1" t="s">
        <v>57</v>
      </c>
      <c r="B567" s="9" t="s">
        <v>38</v>
      </c>
      <c r="C567" s="1" t="s">
        <v>58</v>
      </c>
      <c r="D567" s="1" t="s">
        <v>146</v>
      </c>
      <c r="E567" s="1" t="s">
        <v>42</v>
      </c>
      <c r="G567" s="1" t="s">
        <v>155</v>
      </c>
      <c r="H567" s="1" t="s">
        <v>156</v>
      </c>
      <c r="I567" s="1" t="s">
        <v>3229</v>
      </c>
      <c r="J567" s="1">
        <v>2022</v>
      </c>
      <c r="K567" s="1" t="s">
        <v>3230</v>
      </c>
      <c r="L567" s="1" t="s">
        <v>3231</v>
      </c>
      <c r="M567" s="1" t="s">
        <v>3232</v>
      </c>
      <c r="P567" s="1" t="s">
        <v>3233</v>
      </c>
      <c r="Q567" s="1" t="s">
        <v>50</v>
      </c>
      <c r="R567" s="1" t="s">
        <v>51</v>
      </c>
      <c r="S567" s="1" t="s">
        <v>3234</v>
      </c>
      <c r="T567" s="1" t="s">
        <v>3235</v>
      </c>
      <c r="V567" s="1" t="s">
        <v>54</v>
      </c>
      <c r="W567" s="1" t="s">
        <v>3236</v>
      </c>
      <c r="Y567" s="10">
        <v>45112</v>
      </c>
      <c r="Z567" s="1">
        <v>2023</v>
      </c>
      <c r="AA567" s="2">
        <v>114361.51</v>
      </c>
      <c r="AB567" s="2"/>
      <c r="AC567" s="2">
        <v>114361.51</v>
      </c>
      <c r="AG567" s="1" t="s">
        <v>56</v>
      </c>
      <c r="AI567" s="2">
        <v>114361.51</v>
      </c>
    </row>
    <row r="568" spans="1:38" ht="14.45" customHeight="1" x14ac:dyDescent="0.2">
      <c r="A568" s="1" t="s">
        <v>57</v>
      </c>
      <c r="B568" s="9" t="s">
        <v>38</v>
      </c>
      <c r="C568" s="1" t="s">
        <v>58</v>
      </c>
      <c r="D568" s="1" t="s">
        <v>146</v>
      </c>
      <c r="E568" s="1" t="s">
        <v>42</v>
      </c>
      <c r="G568" s="1" t="s">
        <v>155</v>
      </c>
      <c r="H568" s="1" t="s">
        <v>156</v>
      </c>
      <c r="I568" s="1" t="s">
        <v>3237</v>
      </c>
      <c r="J568" s="1">
        <v>2022</v>
      </c>
      <c r="K568" s="1" t="s">
        <v>3238</v>
      </c>
      <c r="L568" s="1" t="s">
        <v>3239</v>
      </c>
      <c r="M568" s="1" t="s">
        <v>3240</v>
      </c>
      <c r="P568" s="1" t="s">
        <v>3241</v>
      </c>
      <c r="Q568" s="1" t="s">
        <v>1149</v>
      </c>
      <c r="R568" s="1" t="s">
        <v>1150</v>
      </c>
      <c r="S568" s="1" t="s">
        <v>1959</v>
      </c>
      <c r="T568" s="1" t="s">
        <v>1960</v>
      </c>
      <c r="V568" s="1" t="s">
        <v>1153</v>
      </c>
      <c r="W568" s="1" t="s">
        <v>3242</v>
      </c>
      <c r="Y568" s="10">
        <v>45112</v>
      </c>
      <c r="Z568" s="1">
        <v>2023</v>
      </c>
      <c r="AA568" s="2">
        <v>971824.35</v>
      </c>
      <c r="AB568" s="2"/>
      <c r="AC568" s="2">
        <v>971824.35</v>
      </c>
      <c r="AG568" s="1" t="s">
        <v>56</v>
      </c>
      <c r="AI568" s="2">
        <v>971824.35</v>
      </c>
    </row>
    <row r="569" spans="1:38" ht="14.45" customHeight="1" x14ac:dyDescent="0.2">
      <c r="A569" s="1" t="s">
        <v>57</v>
      </c>
      <c r="B569" s="9" t="s">
        <v>38</v>
      </c>
      <c r="C569" s="1" t="s">
        <v>58</v>
      </c>
      <c r="D569" s="1" t="s">
        <v>146</v>
      </c>
      <c r="E569" s="1" t="s">
        <v>42</v>
      </c>
      <c r="G569" s="1" t="s">
        <v>155</v>
      </c>
      <c r="H569" s="1" t="s">
        <v>156</v>
      </c>
      <c r="I569" s="1" t="s">
        <v>3243</v>
      </c>
      <c r="J569" s="1">
        <v>2022</v>
      </c>
      <c r="K569" s="1" t="s">
        <v>3244</v>
      </c>
      <c r="L569" s="1" t="s">
        <v>3245</v>
      </c>
      <c r="P569" s="1" t="s">
        <v>3223</v>
      </c>
      <c r="Q569" s="1" t="s">
        <v>264</v>
      </c>
      <c r="R569" s="1" t="s">
        <v>265</v>
      </c>
      <c r="S569" s="1" t="s">
        <v>740</v>
      </c>
      <c r="T569" s="1" t="s">
        <v>741</v>
      </c>
      <c r="U569" s="1">
        <v>1</v>
      </c>
      <c r="V569" s="1" t="s">
        <v>535</v>
      </c>
      <c r="W569" s="1" t="s">
        <v>3246</v>
      </c>
      <c r="Y569" s="10">
        <v>45112</v>
      </c>
      <c r="Z569" s="1">
        <v>2023</v>
      </c>
      <c r="AA569" s="2">
        <v>498316.09</v>
      </c>
      <c r="AB569" s="2"/>
      <c r="AC569" s="2">
        <v>498316.09</v>
      </c>
      <c r="AG569" s="1" t="s">
        <v>56</v>
      </c>
      <c r="AI569" s="2">
        <v>498316.09</v>
      </c>
    </row>
    <row r="570" spans="1:38" ht="14.45" customHeight="1" x14ac:dyDescent="0.2">
      <c r="A570" s="1" t="s">
        <v>57</v>
      </c>
      <c r="B570" s="9" t="s">
        <v>38</v>
      </c>
      <c r="C570" s="1" t="s">
        <v>58</v>
      </c>
      <c r="D570" s="1" t="s">
        <v>146</v>
      </c>
      <c r="E570" s="1" t="s">
        <v>42</v>
      </c>
      <c r="G570" s="1" t="s">
        <v>147</v>
      </c>
      <c r="H570" s="1" t="s">
        <v>148</v>
      </c>
      <c r="I570" s="1" t="s">
        <v>3247</v>
      </c>
      <c r="J570" s="1">
        <v>2020</v>
      </c>
      <c r="K570" s="1" t="s">
        <v>3248</v>
      </c>
      <c r="L570" s="1" t="s">
        <v>3249</v>
      </c>
      <c r="M570" s="1" t="s">
        <v>3250</v>
      </c>
      <c r="N570" s="1" t="s">
        <v>3251</v>
      </c>
      <c r="P570" s="1" t="s">
        <v>3252</v>
      </c>
      <c r="Q570" s="1" t="s">
        <v>264</v>
      </c>
      <c r="R570" s="1" t="s">
        <v>265</v>
      </c>
      <c r="S570" s="1" t="s">
        <v>266</v>
      </c>
      <c r="T570" s="1" t="s">
        <v>267</v>
      </c>
      <c r="U570" s="1">
        <v>2</v>
      </c>
      <c r="V570" s="1" t="s">
        <v>268</v>
      </c>
      <c r="W570" s="1" t="s">
        <v>3253</v>
      </c>
      <c r="X570" s="1" t="s">
        <v>321</v>
      </c>
      <c r="Y570" s="10">
        <v>44127</v>
      </c>
      <c r="Z570" s="1">
        <v>2020</v>
      </c>
      <c r="AA570" s="2">
        <v>1500000</v>
      </c>
      <c r="AB570" s="2"/>
      <c r="AC570" s="2">
        <v>1125000</v>
      </c>
      <c r="AD570" s="1">
        <v>1</v>
      </c>
      <c r="AF570" s="1">
        <v>0</v>
      </c>
      <c r="AG570" s="1" t="s">
        <v>56</v>
      </c>
      <c r="AH570" s="1" t="s">
        <v>1458</v>
      </c>
      <c r="AI570" s="2">
        <v>1125000</v>
      </c>
      <c r="AL570" s="1" t="s">
        <v>3254</v>
      </c>
    </row>
    <row r="571" spans="1:38" ht="14.45" customHeight="1" x14ac:dyDescent="0.2">
      <c r="A571" s="1" t="s">
        <v>57</v>
      </c>
      <c r="B571" s="9" t="s">
        <v>38</v>
      </c>
      <c r="C571" s="1" t="s">
        <v>58</v>
      </c>
      <c r="D571" s="1" t="s">
        <v>146</v>
      </c>
      <c r="E571" s="1" t="s">
        <v>42</v>
      </c>
      <c r="G571" s="1" t="s">
        <v>155</v>
      </c>
      <c r="H571" s="1" t="s">
        <v>156</v>
      </c>
      <c r="I571" s="1" t="s">
        <v>3255</v>
      </c>
      <c r="J571" s="1">
        <v>2022</v>
      </c>
      <c r="K571" s="1" t="s">
        <v>3256</v>
      </c>
      <c r="L571" s="1" t="s">
        <v>3257</v>
      </c>
      <c r="P571" s="1" t="s">
        <v>3189</v>
      </c>
      <c r="Q571" s="1" t="s">
        <v>264</v>
      </c>
      <c r="R571" s="1" t="s">
        <v>265</v>
      </c>
      <c r="S571" s="1" t="s">
        <v>935</v>
      </c>
      <c r="T571" s="1" t="s">
        <v>936</v>
      </c>
      <c r="U571" s="1">
        <v>1</v>
      </c>
      <c r="V571" s="1" t="s">
        <v>308</v>
      </c>
      <c r="W571" s="1" t="s">
        <v>3258</v>
      </c>
      <c r="Y571" s="10">
        <v>45112</v>
      </c>
      <c r="Z571" s="1">
        <v>2023</v>
      </c>
      <c r="AA571" s="2">
        <v>3500000</v>
      </c>
      <c r="AB571" s="2"/>
      <c r="AC571" s="2">
        <v>3500000</v>
      </c>
      <c r="AG571" s="1" t="s">
        <v>56</v>
      </c>
      <c r="AI571" s="2">
        <v>3500000</v>
      </c>
    </row>
    <row r="572" spans="1:38" ht="14.45" customHeight="1" x14ac:dyDescent="0.2">
      <c r="A572" s="1" t="s">
        <v>57</v>
      </c>
      <c r="B572" s="9" t="s">
        <v>38</v>
      </c>
      <c r="C572" s="1" t="s">
        <v>58</v>
      </c>
      <c r="D572" s="1" t="s">
        <v>146</v>
      </c>
      <c r="E572" s="1" t="s">
        <v>42</v>
      </c>
      <c r="G572" s="1" t="s">
        <v>155</v>
      </c>
      <c r="H572" s="1" t="s">
        <v>156</v>
      </c>
      <c r="I572" s="1" t="s">
        <v>3259</v>
      </c>
      <c r="J572" s="1">
        <v>2022</v>
      </c>
      <c r="K572" s="1" t="s">
        <v>3260</v>
      </c>
      <c r="L572" s="1" t="s">
        <v>3261</v>
      </c>
      <c r="P572" s="1" t="s">
        <v>3262</v>
      </c>
      <c r="Q572" s="1" t="s">
        <v>264</v>
      </c>
      <c r="R572" s="1" t="s">
        <v>265</v>
      </c>
      <c r="S572" s="1" t="s">
        <v>1046</v>
      </c>
      <c r="T572" s="1" t="s">
        <v>1047</v>
      </c>
      <c r="U572" s="1">
        <v>1</v>
      </c>
      <c r="V572" s="1" t="s">
        <v>535</v>
      </c>
      <c r="W572" s="1" t="s">
        <v>3263</v>
      </c>
      <c r="Y572" s="10">
        <v>45112</v>
      </c>
      <c r="Z572" s="1">
        <v>2023</v>
      </c>
      <c r="AA572" s="2">
        <v>1474462.03</v>
      </c>
      <c r="AB572" s="2"/>
      <c r="AC572" s="2">
        <v>1474462.03</v>
      </c>
      <c r="AG572" s="1" t="s">
        <v>56</v>
      </c>
      <c r="AI572" s="2">
        <v>1474462.03</v>
      </c>
    </row>
    <row r="573" spans="1:38" ht="14.45" customHeight="1" x14ac:dyDescent="0.2">
      <c r="A573" s="1" t="s">
        <v>57</v>
      </c>
      <c r="B573" s="9" t="s">
        <v>38</v>
      </c>
      <c r="C573" s="1" t="s">
        <v>58</v>
      </c>
      <c r="D573" s="1" t="s">
        <v>146</v>
      </c>
      <c r="E573" s="1" t="s">
        <v>42</v>
      </c>
      <c r="G573" s="1" t="s">
        <v>155</v>
      </c>
      <c r="H573" s="1" t="s">
        <v>156</v>
      </c>
      <c r="I573" s="1" t="s">
        <v>3264</v>
      </c>
      <c r="J573" s="1">
        <v>2022</v>
      </c>
      <c r="K573" s="1" t="s">
        <v>3265</v>
      </c>
      <c r="L573" s="1" t="s">
        <v>3266</v>
      </c>
      <c r="P573" s="1" t="s">
        <v>3267</v>
      </c>
      <c r="Q573" s="1" t="s">
        <v>264</v>
      </c>
      <c r="R573" s="1" t="s">
        <v>265</v>
      </c>
      <c r="S573" s="1" t="s">
        <v>315</v>
      </c>
      <c r="T573" s="1" t="s">
        <v>316</v>
      </c>
      <c r="U573" s="1">
        <v>1</v>
      </c>
      <c r="V573" s="1" t="s">
        <v>268</v>
      </c>
      <c r="W573" s="1" t="s">
        <v>3268</v>
      </c>
      <c r="Y573" s="10">
        <v>45112</v>
      </c>
      <c r="Z573" s="1">
        <v>2023</v>
      </c>
      <c r="AA573" s="2">
        <v>500000</v>
      </c>
      <c r="AB573" s="2"/>
      <c r="AC573" s="2">
        <v>500000</v>
      </c>
      <c r="AG573" s="1" t="s">
        <v>56</v>
      </c>
      <c r="AI573" s="2">
        <v>500000</v>
      </c>
    </row>
    <row r="574" spans="1:38" ht="14.45" customHeight="1" x14ac:dyDescent="0.25">
      <c r="A574" s="1" t="s">
        <v>57</v>
      </c>
      <c r="B574" s="9" t="s">
        <v>38</v>
      </c>
      <c r="C574" s="1" t="s">
        <v>58</v>
      </c>
      <c r="D574" s="1" t="s">
        <v>146</v>
      </c>
      <c r="E574" s="1" t="s">
        <v>42</v>
      </c>
      <c r="G574" s="1" t="s">
        <v>147</v>
      </c>
      <c r="H574" s="1" t="s">
        <v>148</v>
      </c>
      <c r="I574" s="1" t="s">
        <v>3269</v>
      </c>
      <c r="J574" s="1">
        <v>2020</v>
      </c>
      <c r="K574" s="1" t="s">
        <v>3270</v>
      </c>
      <c r="L574" s="1" t="s">
        <v>3271</v>
      </c>
      <c r="M574" s="1" t="s">
        <v>3272</v>
      </c>
      <c r="N574" s="1" t="s">
        <v>3273</v>
      </c>
      <c r="P574" s="1" t="s">
        <v>3274</v>
      </c>
      <c r="Q574" s="1" t="s">
        <v>264</v>
      </c>
      <c r="R574" s="1" t="s">
        <v>265</v>
      </c>
      <c r="S574" s="16" t="s">
        <v>306</v>
      </c>
      <c r="T574" s="1" t="s">
        <v>307</v>
      </c>
      <c r="U574" s="1">
        <v>1</v>
      </c>
      <c r="V574" s="1" t="s">
        <v>308</v>
      </c>
      <c r="W574" s="1" t="s">
        <v>3275</v>
      </c>
      <c r="X574" s="1" t="s">
        <v>153</v>
      </c>
      <c r="Y574" s="10">
        <v>44127</v>
      </c>
      <c r="Z574" s="1">
        <v>2020</v>
      </c>
      <c r="AA574" s="2">
        <v>795000</v>
      </c>
      <c r="AB574" s="2"/>
      <c r="AC574" s="2">
        <v>596250</v>
      </c>
      <c r="AD574" s="1">
        <v>0</v>
      </c>
      <c r="AF574" s="1" t="s">
        <v>1768</v>
      </c>
      <c r="AG574" s="1" t="s">
        <v>56</v>
      </c>
      <c r="AH574" s="1" t="s">
        <v>154</v>
      </c>
      <c r="AI574" s="2">
        <v>529578.64</v>
      </c>
      <c r="AL574" s="1" t="s">
        <v>3276</v>
      </c>
    </row>
    <row r="575" spans="1:38" ht="12.6" customHeight="1" x14ac:dyDescent="0.25">
      <c r="A575" s="1" t="s">
        <v>57</v>
      </c>
      <c r="B575" s="9" t="s">
        <v>38</v>
      </c>
      <c r="C575" s="1" t="s">
        <v>58</v>
      </c>
      <c r="D575" s="1" t="s">
        <v>59</v>
      </c>
      <c r="E575" s="1" t="s">
        <v>42</v>
      </c>
      <c r="G575" s="1" t="s">
        <v>122</v>
      </c>
      <c r="H575" s="1" t="s">
        <v>1893</v>
      </c>
      <c r="I575" s="1" t="s">
        <v>3277</v>
      </c>
      <c r="J575" s="1">
        <v>2023</v>
      </c>
      <c r="K575" s="1" t="s">
        <v>3278</v>
      </c>
      <c r="L575" s="1" t="s">
        <v>3279</v>
      </c>
      <c r="P575" s="1" t="s">
        <v>3280</v>
      </c>
      <c r="Q575" s="1" t="s">
        <v>50</v>
      </c>
      <c r="R575" s="1" t="s">
        <v>68</v>
      </c>
      <c r="S575" s="16" t="s">
        <v>814</v>
      </c>
      <c r="T575" s="1" t="s">
        <v>815</v>
      </c>
      <c r="U575" s="1">
        <v>2</v>
      </c>
      <c r="V575" s="1" t="s">
        <v>71</v>
      </c>
      <c r="W575" s="1" t="s">
        <v>3278</v>
      </c>
      <c r="Y575" s="10">
        <v>45478</v>
      </c>
      <c r="Z575" s="1">
        <v>2024</v>
      </c>
      <c r="AA575" s="2">
        <v>465272</v>
      </c>
      <c r="AB575" s="2"/>
      <c r="AC575" s="2">
        <v>100000</v>
      </c>
      <c r="AD575" s="1">
        <v>0</v>
      </c>
      <c r="AG575" s="1" t="s">
        <v>56</v>
      </c>
      <c r="AI575" s="2">
        <v>100000</v>
      </c>
    </row>
    <row r="576" spans="1:38" ht="14.45" customHeight="1" x14ac:dyDescent="0.2">
      <c r="A576" s="1" t="s">
        <v>57</v>
      </c>
      <c r="B576" s="9" t="s">
        <v>38</v>
      </c>
      <c r="C576" s="1" t="s">
        <v>58</v>
      </c>
      <c r="D576" s="1" t="s">
        <v>146</v>
      </c>
      <c r="E576" s="1" t="s">
        <v>42</v>
      </c>
      <c r="G576" s="1" t="s">
        <v>147</v>
      </c>
      <c r="H576" s="1" t="s">
        <v>2155</v>
      </c>
      <c r="I576" s="1" t="s">
        <v>3281</v>
      </c>
      <c r="J576" s="1">
        <v>2020</v>
      </c>
      <c r="K576" s="1" t="s">
        <v>3282</v>
      </c>
      <c r="L576" s="1" t="s">
        <v>3283</v>
      </c>
      <c r="M576" s="1" t="s">
        <v>3284</v>
      </c>
      <c r="N576" s="1" t="s">
        <v>3285</v>
      </c>
      <c r="P576" s="1" t="s">
        <v>2655</v>
      </c>
      <c r="Q576" s="1" t="s">
        <v>264</v>
      </c>
      <c r="R576" s="1" t="s">
        <v>265</v>
      </c>
      <c r="S576" s="1" t="s">
        <v>923</v>
      </c>
      <c r="T576" s="1" t="s">
        <v>924</v>
      </c>
      <c r="U576" s="1">
        <v>1</v>
      </c>
      <c r="V576" s="1" t="s">
        <v>268</v>
      </c>
      <c r="W576" s="1" t="s">
        <v>3282</v>
      </c>
      <c r="X576" s="1" t="s">
        <v>153</v>
      </c>
      <c r="Y576" s="10">
        <v>44127</v>
      </c>
      <c r="Z576" s="1">
        <v>2020</v>
      </c>
      <c r="AA576" s="2">
        <v>1174767.47</v>
      </c>
      <c r="AB576" s="2"/>
      <c r="AC576" s="2">
        <v>881075.60250000004</v>
      </c>
      <c r="AD576" s="1">
        <v>0</v>
      </c>
      <c r="AF576" s="1">
        <v>10</v>
      </c>
      <c r="AG576" s="1" t="s">
        <v>56</v>
      </c>
      <c r="AH576" s="1" t="s">
        <v>1458</v>
      </c>
      <c r="AI576" s="2">
        <v>881075.60250000004</v>
      </c>
      <c r="AL576" s="1" t="s">
        <v>3286</v>
      </c>
    </row>
    <row r="577" spans="1:38" ht="14.45" customHeight="1" x14ac:dyDescent="0.2">
      <c r="A577" s="1" t="s">
        <v>57</v>
      </c>
      <c r="B577" s="9" t="s">
        <v>38</v>
      </c>
      <c r="C577" s="1" t="s">
        <v>58</v>
      </c>
      <c r="D577" s="1" t="s">
        <v>146</v>
      </c>
      <c r="E577" s="1" t="s">
        <v>42</v>
      </c>
      <c r="G577" s="1" t="s">
        <v>147</v>
      </c>
      <c r="H577" s="1" t="s">
        <v>148</v>
      </c>
      <c r="I577" s="1" t="s">
        <v>3287</v>
      </c>
      <c r="J577" s="1">
        <v>2020</v>
      </c>
      <c r="K577" s="1" t="s">
        <v>3288</v>
      </c>
      <c r="L577" s="1" t="s">
        <v>3289</v>
      </c>
      <c r="M577" s="1" t="s">
        <v>3290</v>
      </c>
      <c r="N577" s="1" t="s">
        <v>3291</v>
      </c>
      <c r="P577" s="1" t="s">
        <v>3223</v>
      </c>
      <c r="Q577" s="1" t="s">
        <v>264</v>
      </c>
      <c r="R577" s="1" t="s">
        <v>265</v>
      </c>
      <c r="S577" s="1" t="s">
        <v>740</v>
      </c>
      <c r="T577" s="1" t="s">
        <v>741</v>
      </c>
      <c r="U577" s="1">
        <v>1</v>
      </c>
      <c r="V577" s="1" t="s">
        <v>535</v>
      </c>
      <c r="W577" s="1" t="s">
        <v>3292</v>
      </c>
      <c r="X577" s="1" t="s">
        <v>153</v>
      </c>
      <c r="Y577" s="10">
        <v>44127</v>
      </c>
      <c r="Z577" s="1">
        <v>2020</v>
      </c>
      <c r="AA577" s="2">
        <v>694000</v>
      </c>
      <c r="AB577" s="2"/>
      <c r="AC577" s="2">
        <v>520500</v>
      </c>
      <c r="AD577" s="1">
        <v>0</v>
      </c>
      <c r="AF577" s="1">
        <v>8</v>
      </c>
      <c r="AG577" s="1" t="s">
        <v>56</v>
      </c>
      <c r="AH577" s="1" t="s">
        <v>154</v>
      </c>
      <c r="AI577" s="2">
        <v>379845.48</v>
      </c>
      <c r="AL577" s="1" t="s">
        <v>3293</v>
      </c>
    </row>
    <row r="578" spans="1:38" ht="14.45" customHeight="1" x14ac:dyDescent="0.2">
      <c r="A578" s="1" t="s">
        <v>57</v>
      </c>
      <c r="B578" s="9" t="s">
        <v>38</v>
      </c>
      <c r="C578" s="1" t="s">
        <v>58</v>
      </c>
      <c r="D578" s="1" t="s">
        <v>146</v>
      </c>
      <c r="E578" s="1" t="s">
        <v>42</v>
      </c>
      <c r="G578" s="1" t="s">
        <v>147</v>
      </c>
      <c r="H578" s="1" t="s">
        <v>148</v>
      </c>
      <c r="I578" s="1" t="s">
        <v>3294</v>
      </c>
      <c r="J578" s="1">
        <v>2020</v>
      </c>
      <c r="K578" s="1" t="s">
        <v>3295</v>
      </c>
      <c r="L578" s="1" t="s">
        <v>3296</v>
      </c>
      <c r="M578" s="1" t="s">
        <v>3297</v>
      </c>
      <c r="N578" s="1" t="s">
        <v>3298</v>
      </c>
      <c r="P578" s="1" t="s">
        <v>3299</v>
      </c>
      <c r="Q578" s="1" t="s">
        <v>264</v>
      </c>
      <c r="R578" s="1" t="s">
        <v>265</v>
      </c>
      <c r="S578" s="1" t="s">
        <v>2680</v>
      </c>
      <c r="T578" s="1" t="s">
        <v>2681</v>
      </c>
      <c r="U578" s="1">
        <v>1</v>
      </c>
      <c r="V578" s="1" t="s">
        <v>308</v>
      </c>
      <c r="W578" s="1" t="s">
        <v>3300</v>
      </c>
      <c r="X578" s="1" t="s">
        <v>153</v>
      </c>
      <c r="Y578" s="10">
        <v>44127</v>
      </c>
      <c r="Z578" s="1">
        <v>2020</v>
      </c>
      <c r="AA578" s="2">
        <v>668000</v>
      </c>
      <c r="AB578" s="2"/>
      <c r="AC578" s="2">
        <v>501000</v>
      </c>
      <c r="AD578" s="1">
        <v>0</v>
      </c>
      <c r="AF578" s="1">
        <v>8</v>
      </c>
      <c r="AG578" s="1" t="s">
        <v>56</v>
      </c>
      <c r="AH578" s="1" t="s">
        <v>154</v>
      </c>
      <c r="AI578" s="2">
        <v>479056.2</v>
      </c>
    </row>
    <row r="579" spans="1:38" ht="14.45" customHeight="1" x14ac:dyDescent="0.2">
      <c r="A579" s="1" t="s">
        <v>57</v>
      </c>
      <c r="B579" s="9" t="s">
        <v>38</v>
      </c>
      <c r="C579" s="1" t="s">
        <v>58</v>
      </c>
      <c r="D579" s="1" t="s">
        <v>146</v>
      </c>
      <c r="E579" s="1" t="s">
        <v>42</v>
      </c>
      <c r="G579" s="1" t="s">
        <v>147</v>
      </c>
      <c r="H579" s="1" t="s">
        <v>2155</v>
      </c>
      <c r="I579" s="1" t="s">
        <v>3301</v>
      </c>
      <c r="J579" s="1">
        <v>2020</v>
      </c>
      <c r="K579" s="1" t="s">
        <v>3302</v>
      </c>
      <c r="L579" s="1" t="s">
        <v>3303</v>
      </c>
      <c r="N579" s="1" t="s">
        <v>3304</v>
      </c>
      <c r="P579" s="1" t="s">
        <v>3305</v>
      </c>
      <c r="Q579" s="1" t="s">
        <v>264</v>
      </c>
      <c r="R579" s="1" t="s">
        <v>265</v>
      </c>
      <c r="S579" s="1" t="s">
        <v>3306</v>
      </c>
      <c r="T579" s="1" t="s">
        <v>3307</v>
      </c>
      <c r="U579" s="1">
        <v>1</v>
      </c>
      <c r="V579" s="1" t="s">
        <v>535</v>
      </c>
      <c r="W579" s="1" t="s">
        <v>3308</v>
      </c>
      <c r="X579" s="1" t="s">
        <v>153</v>
      </c>
      <c r="Y579" s="10">
        <v>44127</v>
      </c>
      <c r="Z579" s="1">
        <v>2020</v>
      </c>
      <c r="AA579" s="2">
        <v>1031595.72</v>
      </c>
      <c r="AB579" s="2"/>
      <c r="AC579" s="2">
        <v>773696.79</v>
      </c>
      <c r="AD579" s="1">
        <v>1</v>
      </c>
      <c r="AF579" s="1">
        <v>3</v>
      </c>
      <c r="AG579" s="1" t="s">
        <v>56</v>
      </c>
      <c r="AH579" s="1" t="s">
        <v>1458</v>
      </c>
      <c r="AI579" s="2">
        <v>773696.79</v>
      </c>
      <c r="AL579" s="1" t="s">
        <v>2170</v>
      </c>
    </row>
    <row r="580" spans="1:38" ht="14.45" customHeight="1" x14ac:dyDescent="0.2">
      <c r="A580" s="1" t="s">
        <v>57</v>
      </c>
      <c r="B580" s="9" t="s">
        <v>38</v>
      </c>
      <c r="C580" s="1" t="s">
        <v>58</v>
      </c>
      <c r="D580" s="1" t="s">
        <v>146</v>
      </c>
      <c r="E580" s="1" t="s">
        <v>42</v>
      </c>
      <c r="G580" s="1" t="s">
        <v>155</v>
      </c>
      <c r="H580" s="1" t="s">
        <v>156</v>
      </c>
      <c r="I580" s="1" t="s">
        <v>3309</v>
      </c>
      <c r="J580" s="1">
        <v>2022</v>
      </c>
      <c r="K580" s="1" t="s">
        <v>3310</v>
      </c>
      <c r="L580" s="1" t="s">
        <v>3311</v>
      </c>
      <c r="P580" s="1" t="s">
        <v>3262</v>
      </c>
      <c r="Q580" s="1" t="s">
        <v>264</v>
      </c>
      <c r="R580" s="1" t="s">
        <v>265</v>
      </c>
      <c r="S580" s="1" t="s">
        <v>1046</v>
      </c>
      <c r="T580" s="1" t="s">
        <v>1047</v>
      </c>
      <c r="U580" s="1">
        <v>1</v>
      </c>
      <c r="V580" s="1" t="s">
        <v>535</v>
      </c>
      <c r="W580" s="1" t="s">
        <v>3312</v>
      </c>
      <c r="Y580" s="10">
        <v>45112</v>
      </c>
      <c r="Z580" s="1">
        <v>2023</v>
      </c>
      <c r="AA580" s="2">
        <v>497280.79</v>
      </c>
      <c r="AB580" s="2"/>
      <c r="AC580" s="2">
        <v>497280.79</v>
      </c>
      <c r="AG580" s="1" t="s">
        <v>56</v>
      </c>
      <c r="AI580" s="2">
        <v>497280.79</v>
      </c>
    </row>
    <row r="581" spans="1:38" ht="14.45" hidden="1" customHeight="1" x14ac:dyDescent="0.2">
      <c r="A581" s="1" t="s">
        <v>57</v>
      </c>
      <c r="B581" s="9" t="s">
        <v>38</v>
      </c>
      <c r="C581" s="1" t="s">
        <v>58</v>
      </c>
      <c r="D581" s="1" t="s">
        <v>146</v>
      </c>
      <c r="E581" s="1" t="s">
        <v>42</v>
      </c>
      <c r="G581" s="1" t="s">
        <v>147</v>
      </c>
      <c r="H581" s="1" t="s">
        <v>148</v>
      </c>
      <c r="I581" s="1" t="s">
        <v>2884</v>
      </c>
      <c r="J581" s="1">
        <v>2020</v>
      </c>
      <c r="K581" s="1" t="s">
        <v>2885</v>
      </c>
      <c r="L581" s="1" t="s">
        <v>2886</v>
      </c>
      <c r="P581" s="1" t="s">
        <v>3047</v>
      </c>
      <c r="Q581" s="1" t="s">
        <v>50</v>
      </c>
      <c r="R581" s="1" t="s">
        <v>77</v>
      </c>
      <c r="S581" s="1" t="s">
        <v>1096</v>
      </c>
      <c r="T581" s="1" t="s">
        <v>1097</v>
      </c>
      <c r="U581" s="1">
        <v>1</v>
      </c>
      <c r="V581" s="1" t="s">
        <v>186</v>
      </c>
      <c r="W581" s="1" t="s">
        <v>2886</v>
      </c>
      <c r="X581" s="1" t="s">
        <v>153</v>
      </c>
      <c r="Y581" s="10">
        <v>44127</v>
      </c>
      <c r="Z581" s="1">
        <v>2020</v>
      </c>
      <c r="AA581" s="2">
        <v>555885.76</v>
      </c>
      <c r="AB581" s="2"/>
      <c r="AC581" s="2">
        <v>416914.32</v>
      </c>
      <c r="AD581" s="1">
        <v>0</v>
      </c>
      <c r="AG581" s="1" t="s">
        <v>56</v>
      </c>
      <c r="AH581" s="1" t="s">
        <v>1458</v>
      </c>
      <c r="AI581" s="2">
        <v>416914.32</v>
      </c>
      <c r="AL581" s="1" t="s">
        <v>1744</v>
      </c>
    </row>
    <row r="582" spans="1:38" ht="14.45" hidden="1" customHeight="1" x14ac:dyDescent="0.2">
      <c r="A582" s="1" t="s">
        <v>57</v>
      </c>
      <c r="B582" s="9" t="s">
        <v>38</v>
      </c>
      <c r="C582" s="1" t="s">
        <v>58</v>
      </c>
      <c r="D582" s="1" t="s">
        <v>146</v>
      </c>
      <c r="E582" s="1" t="s">
        <v>42</v>
      </c>
      <c r="G582" s="1" t="s">
        <v>147</v>
      </c>
      <c r="H582" s="1" t="s">
        <v>148</v>
      </c>
      <c r="I582" s="1" t="s">
        <v>2884</v>
      </c>
      <c r="J582" s="1">
        <v>2020</v>
      </c>
      <c r="K582" s="1" t="s">
        <v>2885</v>
      </c>
      <c r="L582" s="1" t="s">
        <v>2886</v>
      </c>
      <c r="P582" s="1" t="s">
        <v>192</v>
      </c>
      <c r="Q582" s="1" t="s">
        <v>50</v>
      </c>
      <c r="R582" s="1" t="s">
        <v>68</v>
      </c>
      <c r="S582" s="1" t="s">
        <v>193</v>
      </c>
      <c r="T582" s="1" t="s">
        <v>194</v>
      </c>
      <c r="U582" s="1">
        <v>1</v>
      </c>
      <c r="V582" s="1" t="s">
        <v>195</v>
      </c>
      <c r="W582" s="1" t="s">
        <v>2886</v>
      </c>
      <c r="X582" s="1" t="s">
        <v>153</v>
      </c>
      <c r="Y582" s="10">
        <v>44127</v>
      </c>
      <c r="Z582" s="1">
        <v>2020</v>
      </c>
      <c r="AA582" s="2">
        <v>666751.29</v>
      </c>
      <c r="AB582" s="2"/>
      <c r="AC582" s="2">
        <v>500063.46750000003</v>
      </c>
      <c r="AD582" s="1">
        <v>0</v>
      </c>
      <c r="AG582" s="1" t="s">
        <v>56</v>
      </c>
      <c r="AH582" s="1" t="s">
        <v>1458</v>
      </c>
      <c r="AI582" s="2">
        <v>500063.46750000003</v>
      </c>
      <c r="AL582" s="1" t="s">
        <v>1744</v>
      </c>
    </row>
    <row r="583" spans="1:38" ht="14.45" customHeight="1" x14ac:dyDescent="0.2">
      <c r="A583" s="1" t="s">
        <v>57</v>
      </c>
      <c r="B583" s="9" t="s">
        <v>38</v>
      </c>
      <c r="C583" s="1" t="s">
        <v>58</v>
      </c>
      <c r="D583" s="1" t="s">
        <v>146</v>
      </c>
      <c r="E583" s="1" t="s">
        <v>42</v>
      </c>
      <c r="G583" s="1" t="s">
        <v>155</v>
      </c>
      <c r="H583" s="1" t="s">
        <v>156</v>
      </c>
      <c r="I583" s="1" t="s">
        <v>3313</v>
      </c>
      <c r="J583" s="1">
        <v>2022</v>
      </c>
      <c r="K583" s="1" t="s">
        <v>3314</v>
      </c>
      <c r="L583" s="1" t="s">
        <v>3315</v>
      </c>
      <c r="P583" s="1" t="s">
        <v>1721</v>
      </c>
      <c r="Q583" s="1" t="s">
        <v>264</v>
      </c>
      <c r="R583" s="1" t="s">
        <v>265</v>
      </c>
      <c r="S583" s="1" t="s">
        <v>533</v>
      </c>
      <c r="T583" s="1" t="s">
        <v>534</v>
      </c>
      <c r="U583" s="1">
        <v>1</v>
      </c>
      <c r="V583" s="1" t="s">
        <v>535</v>
      </c>
      <c r="W583" s="1" t="s">
        <v>3316</v>
      </c>
      <c r="Y583" s="10">
        <v>45112</v>
      </c>
      <c r="Z583" s="1">
        <v>2023</v>
      </c>
      <c r="AA583" s="2">
        <v>491581.59</v>
      </c>
      <c r="AB583" s="2"/>
      <c r="AC583" s="2">
        <v>491581.59</v>
      </c>
      <c r="AG583" s="1" t="s">
        <v>56</v>
      </c>
      <c r="AI583" s="2">
        <v>491581.59</v>
      </c>
    </row>
    <row r="584" spans="1:38" ht="14.45" customHeight="1" x14ac:dyDescent="0.2">
      <c r="A584" s="1" t="s">
        <v>57</v>
      </c>
      <c r="B584" s="9" t="s">
        <v>38</v>
      </c>
      <c r="C584" s="1" t="s">
        <v>58</v>
      </c>
      <c r="D584" s="1" t="s">
        <v>146</v>
      </c>
      <c r="E584" s="1" t="s">
        <v>42</v>
      </c>
      <c r="G584" s="1" t="s">
        <v>147</v>
      </c>
      <c r="H584" s="1" t="s">
        <v>148</v>
      </c>
      <c r="I584" s="1" t="s">
        <v>3317</v>
      </c>
      <c r="J584" s="1">
        <v>2020</v>
      </c>
      <c r="K584" s="1" t="s">
        <v>3318</v>
      </c>
      <c r="L584" s="1" t="s">
        <v>3319</v>
      </c>
      <c r="M584" s="1" t="s">
        <v>3320</v>
      </c>
      <c r="N584" s="1" t="s">
        <v>3321</v>
      </c>
      <c r="P584" s="1" t="s">
        <v>2655</v>
      </c>
      <c r="Q584" s="1" t="s">
        <v>264</v>
      </c>
      <c r="R584" s="1" t="s">
        <v>265</v>
      </c>
      <c r="S584" s="1" t="s">
        <v>923</v>
      </c>
      <c r="T584" s="1" t="s">
        <v>924</v>
      </c>
      <c r="U584" s="1">
        <v>1</v>
      </c>
      <c r="V584" s="1" t="s">
        <v>268</v>
      </c>
      <c r="W584" s="1" t="s">
        <v>3318</v>
      </c>
      <c r="X584" s="1" t="s">
        <v>321</v>
      </c>
      <c r="Y584" s="10">
        <v>44127</v>
      </c>
      <c r="Z584" s="1">
        <v>2020</v>
      </c>
      <c r="AA584" s="2">
        <v>170000</v>
      </c>
      <c r="AB584" s="2"/>
      <c r="AC584" s="2">
        <v>127500</v>
      </c>
      <c r="AD584" s="1">
        <v>0.5</v>
      </c>
      <c r="AF584" s="1">
        <v>5</v>
      </c>
      <c r="AG584" s="1" t="s">
        <v>56</v>
      </c>
      <c r="AH584" s="1" t="s">
        <v>154</v>
      </c>
      <c r="AI584" s="2">
        <v>127500</v>
      </c>
      <c r="AL584" s="1" t="s">
        <v>3322</v>
      </c>
    </row>
    <row r="585" spans="1:38" ht="14.45" customHeight="1" x14ac:dyDescent="0.2">
      <c r="A585" s="1" t="s">
        <v>57</v>
      </c>
      <c r="B585" s="9" t="s">
        <v>38</v>
      </c>
      <c r="C585" s="1" t="s">
        <v>58</v>
      </c>
      <c r="D585" s="1" t="s">
        <v>146</v>
      </c>
      <c r="E585" s="1" t="s">
        <v>42</v>
      </c>
      <c r="G585" s="1" t="s">
        <v>155</v>
      </c>
      <c r="H585" s="1" t="s">
        <v>156</v>
      </c>
      <c r="I585" s="1" t="s">
        <v>3323</v>
      </c>
      <c r="J585" s="1">
        <v>2022</v>
      </c>
      <c r="K585" s="1" t="s">
        <v>3324</v>
      </c>
      <c r="L585" s="1" t="s">
        <v>3325</v>
      </c>
      <c r="M585" s="1" t="s">
        <v>3326</v>
      </c>
      <c r="P585" s="1" t="s">
        <v>3327</v>
      </c>
      <c r="Q585" s="1" t="s">
        <v>1149</v>
      </c>
      <c r="R585" s="1" t="s">
        <v>1150</v>
      </c>
      <c r="S585" s="1" t="s">
        <v>3328</v>
      </c>
      <c r="T585" s="1" t="s">
        <v>3329</v>
      </c>
      <c r="V585" s="1" t="s">
        <v>1153</v>
      </c>
      <c r="W585" s="1" t="s">
        <v>3330</v>
      </c>
      <c r="Y585" s="10">
        <v>45112</v>
      </c>
      <c r="Z585" s="1">
        <v>2023</v>
      </c>
      <c r="AA585" s="2">
        <v>493280.97</v>
      </c>
      <c r="AB585" s="2"/>
      <c r="AC585" s="2">
        <v>493280.97</v>
      </c>
      <c r="AG585" s="1" t="s">
        <v>56</v>
      </c>
      <c r="AI585" s="2">
        <v>493280.97</v>
      </c>
    </row>
    <row r="586" spans="1:38" ht="14.45" customHeight="1" x14ac:dyDescent="0.2">
      <c r="A586" s="1" t="s">
        <v>57</v>
      </c>
      <c r="B586" s="9" t="s">
        <v>38</v>
      </c>
      <c r="C586" s="1" t="s">
        <v>58</v>
      </c>
      <c r="D586" s="1" t="s">
        <v>59</v>
      </c>
      <c r="E586" s="1" t="s">
        <v>42</v>
      </c>
      <c r="G586" s="1" t="s">
        <v>122</v>
      </c>
      <c r="H586" s="1" t="s">
        <v>1893</v>
      </c>
      <c r="I586" s="1" t="s">
        <v>3331</v>
      </c>
      <c r="J586" s="1">
        <v>2023</v>
      </c>
      <c r="K586" s="1" t="s">
        <v>3332</v>
      </c>
      <c r="L586" s="1" t="s">
        <v>3333</v>
      </c>
      <c r="M586" s="1" t="s">
        <v>3334</v>
      </c>
      <c r="P586" s="1" t="s">
        <v>3335</v>
      </c>
      <c r="Q586" s="1" t="s">
        <v>50</v>
      </c>
      <c r="R586" s="1" t="s">
        <v>68</v>
      </c>
      <c r="S586" s="1" t="s">
        <v>2986</v>
      </c>
      <c r="T586" s="1" t="s">
        <v>2987</v>
      </c>
      <c r="U586" s="1">
        <v>2</v>
      </c>
      <c r="V586" s="1" t="s">
        <v>195</v>
      </c>
      <c r="W586" s="1" t="s">
        <v>3332</v>
      </c>
      <c r="Y586" s="10">
        <v>45478</v>
      </c>
      <c r="Z586" s="1">
        <v>2024</v>
      </c>
      <c r="AA586" s="2">
        <v>143214.79999999999</v>
      </c>
      <c r="AB586" s="2"/>
      <c r="AC586" s="2">
        <v>71607.399999999994</v>
      </c>
      <c r="AD586" s="1">
        <v>2</v>
      </c>
      <c r="AE586" s="1">
        <v>1</v>
      </c>
      <c r="AG586" s="1" t="s">
        <v>56</v>
      </c>
      <c r="AI586" s="2">
        <v>71607.399999999994</v>
      </c>
    </row>
    <row r="587" spans="1:38" ht="14.45" hidden="1" customHeight="1" x14ac:dyDescent="0.2">
      <c r="A587" s="1" t="s">
        <v>57</v>
      </c>
      <c r="B587" s="9" t="s">
        <v>38</v>
      </c>
      <c r="C587" s="1" t="s">
        <v>58</v>
      </c>
      <c r="D587" s="1" t="s">
        <v>146</v>
      </c>
      <c r="E587" s="1" t="s">
        <v>42</v>
      </c>
      <c r="G587" s="1" t="s">
        <v>147</v>
      </c>
      <c r="H587" s="1" t="s">
        <v>148</v>
      </c>
      <c r="I587" s="1" t="s">
        <v>2884</v>
      </c>
      <c r="J587" s="1">
        <v>2020</v>
      </c>
      <c r="K587" s="1" t="s">
        <v>2885</v>
      </c>
      <c r="L587" s="1" t="s">
        <v>2886</v>
      </c>
      <c r="P587" s="1" t="s">
        <v>1359</v>
      </c>
      <c r="Q587" s="1" t="s">
        <v>50</v>
      </c>
      <c r="R587" s="1" t="s">
        <v>68</v>
      </c>
      <c r="S587" s="1" t="s">
        <v>1360</v>
      </c>
      <c r="T587" s="1" t="s">
        <v>1361</v>
      </c>
      <c r="U587" s="1">
        <v>1</v>
      </c>
      <c r="V587" s="1" t="s">
        <v>71</v>
      </c>
      <c r="W587" s="1" t="s">
        <v>2886</v>
      </c>
      <c r="X587" s="1" t="s">
        <v>153</v>
      </c>
      <c r="Y587" s="10">
        <v>44127</v>
      </c>
      <c r="Z587" s="1">
        <v>2020</v>
      </c>
      <c r="AA587" s="2">
        <v>409351.73</v>
      </c>
      <c r="AB587" s="2"/>
      <c r="AC587" s="2">
        <v>307013.79749999999</v>
      </c>
      <c r="AD587" s="1">
        <v>0</v>
      </c>
      <c r="AG587" s="1" t="s">
        <v>56</v>
      </c>
      <c r="AH587" s="1" t="s">
        <v>1458</v>
      </c>
      <c r="AI587" s="2">
        <v>307013.79749999999</v>
      </c>
      <c r="AL587" s="1" t="s">
        <v>1744</v>
      </c>
    </row>
    <row r="588" spans="1:38" ht="14.45" customHeight="1" x14ac:dyDescent="0.2">
      <c r="A588" s="1" t="s">
        <v>57</v>
      </c>
      <c r="B588" s="9" t="s">
        <v>38</v>
      </c>
      <c r="C588" s="1" t="s">
        <v>58</v>
      </c>
      <c r="D588" s="1" t="s">
        <v>146</v>
      </c>
      <c r="E588" s="1" t="s">
        <v>42</v>
      </c>
      <c r="G588" s="1" t="s">
        <v>147</v>
      </c>
      <c r="H588" s="1" t="s">
        <v>148</v>
      </c>
      <c r="I588" s="1" t="s">
        <v>3336</v>
      </c>
      <c r="J588" s="1">
        <v>2020</v>
      </c>
      <c r="K588" s="1" t="s">
        <v>3337</v>
      </c>
      <c r="L588" s="1" t="s">
        <v>3338</v>
      </c>
      <c r="M588" s="1" t="s">
        <v>3339</v>
      </c>
      <c r="N588" s="1" t="s">
        <v>3340</v>
      </c>
      <c r="P588" s="1" t="s">
        <v>3299</v>
      </c>
      <c r="Q588" s="1" t="s">
        <v>264</v>
      </c>
      <c r="R588" s="1" t="s">
        <v>265</v>
      </c>
      <c r="S588" s="1" t="s">
        <v>2680</v>
      </c>
      <c r="T588" s="1" t="s">
        <v>2681</v>
      </c>
      <c r="U588" s="1">
        <v>1</v>
      </c>
      <c r="V588" s="1" t="s">
        <v>308</v>
      </c>
      <c r="W588" s="1" t="s">
        <v>3341</v>
      </c>
      <c r="X588" s="1" t="s">
        <v>153</v>
      </c>
      <c r="Y588" s="10">
        <v>44127</v>
      </c>
      <c r="Z588" s="1">
        <v>2020</v>
      </c>
      <c r="AA588" s="2">
        <v>150000</v>
      </c>
      <c r="AB588" s="2"/>
      <c r="AC588" s="2">
        <v>112500</v>
      </c>
      <c r="AD588" s="1">
        <v>0</v>
      </c>
      <c r="AF588" s="1">
        <v>9</v>
      </c>
      <c r="AG588" s="1" t="s">
        <v>56</v>
      </c>
      <c r="AH588" s="1" t="s">
        <v>1458</v>
      </c>
      <c r="AI588" s="2">
        <v>112500</v>
      </c>
      <c r="AL588" s="1" t="s">
        <v>3342</v>
      </c>
    </row>
    <row r="589" spans="1:38" ht="14.45" customHeight="1" x14ac:dyDescent="0.2">
      <c r="A589" s="1" t="s">
        <v>57</v>
      </c>
      <c r="B589" s="9" t="s">
        <v>38</v>
      </c>
      <c r="C589" s="1" t="s">
        <v>58</v>
      </c>
      <c r="D589" s="1" t="s">
        <v>146</v>
      </c>
      <c r="E589" s="1" t="s">
        <v>42</v>
      </c>
      <c r="G589" s="1" t="s">
        <v>147</v>
      </c>
      <c r="H589" s="1" t="s">
        <v>148</v>
      </c>
      <c r="I589" s="1" t="s">
        <v>3343</v>
      </c>
      <c r="J589" s="1">
        <v>2020</v>
      </c>
      <c r="K589" s="1" t="s">
        <v>3344</v>
      </c>
      <c r="L589" s="1" t="s">
        <v>3345</v>
      </c>
      <c r="M589" s="1" t="s">
        <v>3346</v>
      </c>
      <c r="N589" s="1" t="s">
        <v>3347</v>
      </c>
      <c r="P589" s="1" t="s">
        <v>3348</v>
      </c>
      <c r="Q589" s="1" t="s">
        <v>264</v>
      </c>
      <c r="R589" s="1" t="s">
        <v>265</v>
      </c>
      <c r="S589" s="1" t="s">
        <v>3349</v>
      </c>
      <c r="T589" s="1" t="s">
        <v>3350</v>
      </c>
      <c r="U589" s="1">
        <v>1</v>
      </c>
      <c r="V589" s="1" t="s">
        <v>535</v>
      </c>
      <c r="W589" s="1" t="s">
        <v>3351</v>
      </c>
      <c r="X589" s="1" t="s">
        <v>153</v>
      </c>
      <c r="Y589" s="10">
        <v>44127</v>
      </c>
      <c r="Z589" s="1">
        <v>2020</v>
      </c>
      <c r="AA589" s="2">
        <v>40000</v>
      </c>
      <c r="AB589" s="2"/>
      <c r="AC589" s="2">
        <v>30000</v>
      </c>
      <c r="AD589" s="1">
        <v>0</v>
      </c>
      <c r="AF589" s="1" t="s">
        <v>1768</v>
      </c>
      <c r="AG589" s="1" t="s">
        <v>56</v>
      </c>
      <c r="AH589" s="1" t="s">
        <v>154</v>
      </c>
      <c r="AI589" s="2">
        <v>23449.87</v>
      </c>
      <c r="AL589" s="1" t="s">
        <v>3352</v>
      </c>
    </row>
    <row r="590" spans="1:38" ht="14.45" customHeight="1" x14ac:dyDescent="0.2">
      <c r="A590" s="1" t="s">
        <v>57</v>
      </c>
      <c r="B590" s="9" t="s">
        <v>38</v>
      </c>
      <c r="C590" s="1" t="s">
        <v>58</v>
      </c>
      <c r="D590" s="1" t="s">
        <v>146</v>
      </c>
      <c r="E590" s="1" t="s">
        <v>42</v>
      </c>
      <c r="G590" s="1" t="s">
        <v>147</v>
      </c>
      <c r="H590" s="1" t="s">
        <v>148</v>
      </c>
      <c r="I590" s="1" t="s">
        <v>3353</v>
      </c>
      <c r="J590" s="1">
        <v>2020</v>
      </c>
      <c r="K590" s="1" t="s">
        <v>3354</v>
      </c>
      <c r="L590" s="1" t="s">
        <v>3355</v>
      </c>
      <c r="M590" s="1" t="s">
        <v>3356</v>
      </c>
      <c r="N590" s="1" t="s">
        <v>3357</v>
      </c>
      <c r="P590" s="1" t="s">
        <v>1721</v>
      </c>
      <c r="Q590" s="1" t="s">
        <v>264</v>
      </c>
      <c r="R590" s="1" t="s">
        <v>265</v>
      </c>
      <c r="S590" s="1" t="s">
        <v>533</v>
      </c>
      <c r="T590" s="1" t="s">
        <v>534</v>
      </c>
      <c r="U590" s="1">
        <v>1</v>
      </c>
      <c r="V590" s="1" t="s">
        <v>535</v>
      </c>
      <c r="W590" s="1" t="s">
        <v>3358</v>
      </c>
      <c r="X590" s="1" t="s">
        <v>153</v>
      </c>
      <c r="Y590" s="10">
        <v>44127</v>
      </c>
      <c r="Z590" s="1">
        <v>2020</v>
      </c>
      <c r="AA590" s="2">
        <v>7000000</v>
      </c>
      <c r="AB590" s="2"/>
      <c r="AC590" s="2">
        <v>5250000</v>
      </c>
      <c r="AD590" s="1">
        <v>0</v>
      </c>
      <c r="AF590" s="1">
        <v>0</v>
      </c>
      <c r="AG590" s="1" t="s">
        <v>56</v>
      </c>
      <c r="AH590" s="1" t="s">
        <v>154</v>
      </c>
      <c r="AI590" s="2">
        <v>5243132.41</v>
      </c>
      <c r="AL590" s="1" t="s">
        <v>3359</v>
      </c>
    </row>
    <row r="591" spans="1:38" ht="14.45" hidden="1" customHeight="1" x14ac:dyDescent="0.2">
      <c r="A591" s="1" t="s">
        <v>57</v>
      </c>
      <c r="B591" s="9" t="s">
        <v>38</v>
      </c>
      <c r="C591" s="1" t="s">
        <v>58</v>
      </c>
      <c r="D591" s="1" t="s">
        <v>146</v>
      </c>
      <c r="E591" s="1" t="s">
        <v>42</v>
      </c>
      <c r="G591" s="1" t="s">
        <v>147</v>
      </c>
      <c r="H591" s="1" t="s">
        <v>148</v>
      </c>
      <c r="I591" s="1" t="s">
        <v>2884</v>
      </c>
      <c r="J591" s="1">
        <v>2020</v>
      </c>
      <c r="K591" s="1" t="s">
        <v>2885</v>
      </c>
      <c r="L591" s="1" t="s">
        <v>2886</v>
      </c>
      <c r="P591" s="1" t="s">
        <v>3360</v>
      </c>
      <c r="Q591" s="1" t="s">
        <v>50</v>
      </c>
      <c r="R591" s="1" t="s">
        <v>77</v>
      </c>
      <c r="S591" s="1" t="s">
        <v>198</v>
      </c>
      <c r="T591" s="1" t="s">
        <v>199</v>
      </c>
      <c r="U591" s="1">
        <v>1</v>
      </c>
      <c r="V591" s="1" t="s">
        <v>186</v>
      </c>
      <c r="W591" s="1" t="s">
        <v>2886</v>
      </c>
      <c r="X591" s="1" t="s">
        <v>153</v>
      </c>
      <c r="Y591" s="10">
        <v>44127</v>
      </c>
      <c r="Z591" s="1">
        <v>2020</v>
      </c>
      <c r="AA591" s="2">
        <v>944286.25</v>
      </c>
      <c r="AB591" s="2"/>
      <c r="AC591" s="2">
        <v>708214.6875</v>
      </c>
      <c r="AD591" s="1">
        <v>0</v>
      </c>
      <c r="AG591" s="1" t="s">
        <v>56</v>
      </c>
      <c r="AH591" s="1" t="s">
        <v>1458</v>
      </c>
      <c r="AI591" s="2">
        <v>708214.6875</v>
      </c>
      <c r="AL591" s="1" t="s">
        <v>1744</v>
      </c>
    </row>
    <row r="592" spans="1:38" ht="14.45" customHeight="1" x14ac:dyDescent="0.2">
      <c r="A592" s="1" t="s">
        <v>57</v>
      </c>
      <c r="B592" s="9" t="s">
        <v>38</v>
      </c>
      <c r="C592" s="1" t="s">
        <v>58</v>
      </c>
      <c r="D592" s="1" t="s">
        <v>146</v>
      </c>
      <c r="E592" s="1" t="s">
        <v>42</v>
      </c>
      <c r="G592" s="1" t="s">
        <v>155</v>
      </c>
      <c r="H592" s="1" t="s">
        <v>156</v>
      </c>
      <c r="I592" s="1" t="s">
        <v>3361</v>
      </c>
      <c r="J592" s="1">
        <v>2022</v>
      </c>
      <c r="K592" s="1" t="s">
        <v>3362</v>
      </c>
      <c r="L592" s="1" t="s">
        <v>3363</v>
      </c>
      <c r="P592" s="1" t="s">
        <v>3364</v>
      </c>
      <c r="Q592" s="1" t="s">
        <v>264</v>
      </c>
      <c r="R592" s="1" t="s">
        <v>265</v>
      </c>
      <c r="S592" s="1" t="s">
        <v>656</v>
      </c>
      <c r="T592" s="1" t="s">
        <v>657</v>
      </c>
      <c r="U592" s="1">
        <v>2</v>
      </c>
      <c r="V592" s="1" t="s">
        <v>268</v>
      </c>
      <c r="W592" s="1" t="s">
        <v>3365</v>
      </c>
      <c r="Y592" s="10">
        <v>45112</v>
      </c>
      <c r="Z592" s="1">
        <v>2023</v>
      </c>
      <c r="AA592" s="2">
        <v>498668.89</v>
      </c>
      <c r="AB592" s="2"/>
      <c r="AC592" s="2">
        <v>498668.89</v>
      </c>
      <c r="AG592" s="1" t="s">
        <v>56</v>
      </c>
      <c r="AI592" s="2">
        <v>498668.89</v>
      </c>
    </row>
    <row r="593" spans="1:38" ht="14.45" customHeight="1" x14ac:dyDescent="0.2">
      <c r="A593" s="1" t="s">
        <v>57</v>
      </c>
      <c r="B593" s="9" t="s">
        <v>38</v>
      </c>
      <c r="C593" s="1" t="s">
        <v>58</v>
      </c>
      <c r="D593" s="1" t="s">
        <v>146</v>
      </c>
      <c r="E593" s="1" t="s">
        <v>42</v>
      </c>
      <c r="G593" s="1" t="s">
        <v>147</v>
      </c>
      <c r="H593" s="1" t="s">
        <v>148</v>
      </c>
      <c r="I593" s="1" t="s">
        <v>3366</v>
      </c>
      <c r="J593" s="1">
        <v>2020</v>
      </c>
      <c r="K593" s="1" t="s">
        <v>3367</v>
      </c>
      <c r="L593" s="1" t="s">
        <v>3368</v>
      </c>
      <c r="N593" s="1" t="s">
        <v>3369</v>
      </c>
      <c r="P593" s="1" t="s">
        <v>3189</v>
      </c>
      <c r="Q593" s="1" t="s">
        <v>264</v>
      </c>
      <c r="R593" s="1" t="s">
        <v>265</v>
      </c>
      <c r="S593" s="1" t="s">
        <v>935</v>
      </c>
      <c r="T593" s="1" t="s">
        <v>936</v>
      </c>
      <c r="U593" s="1">
        <v>1</v>
      </c>
      <c r="V593" s="1" t="s">
        <v>308</v>
      </c>
      <c r="W593" s="1" t="s">
        <v>3370</v>
      </c>
      <c r="Y593" s="10">
        <v>44127</v>
      </c>
      <c r="Z593" s="1">
        <v>2020</v>
      </c>
      <c r="AA593" s="2">
        <v>1436000</v>
      </c>
      <c r="AB593" s="2"/>
      <c r="AC593" s="2">
        <v>1077000</v>
      </c>
      <c r="AD593" s="1">
        <v>20</v>
      </c>
      <c r="AF593" s="1">
        <v>0</v>
      </c>
      <c r="AG593" s="1" t="s">
        <v>56</v>
      </c>
      <c r="AH593" s="1" t="s">
        <v>1458</v>
      </c>
      <c r="AI593" s="2">
        <v>1077000</v>
      </c>
      <c r="AL593" s="1" t="s">
        <v>1744</v>
      </c>
    </row>
    <row r="594" spans="1:38" ht="14.45" hidden="1" customHeight="1" x14ac:dyDescent="0.2">
      <c r="A594" s="1" t="s">
        <v>57</v>
      </c>
      <c r="B594" s="9" t="s">
        <v>38</v>
      </c>
      <c r="C594" s="1" t="s">
        <v>58</v>
      </c>
      <c r="D594" s="1" t="s">
        <v>146</v>
      </c>
      <c r="E594" s="1" t="s">
        <v>42</v>
      </c>
      <c r="G594" s="1" t="s">
        <v>147</v>
      </c>
      <c r="H594" s="1" t="s">
        <v>148</v>
      </c>
      <c r="I594" s="1" t="s">
        <v>2884</v>
      </c>
      <c r="J594" s="1">
        <v>2020</v>
      </c>
      <c r="K594" s="1" t="s">
        <v>2885</v>
      </c>
      <c r="L594" s="1" t="s">
        <v>2886</v>
      </c>
      <c r="P594" s="1" t="s">
        <v>3371</v>
      </c>
      <c r="Q594" s="1" t="s">
        <v>50</v>
      </c>
      <c r="R594" s="1" t="s">
        <v>68</v>
      </c>
      <c r="S594" s="1" t="s">
        <v>1479</v>
      </c>
      <c r="T594" s="1" t="s">
        <v>1480</v>
      </c>
      <c r="U594" s="1">
        <v>1</v>
      </c>
      <c r="V594" s="1" t="s">
        <v>71</v>
      </c>
      <c r="W594" s="1" t="s">
        <v>2886</v>
      </c>
      <c r="X594" s="1" t="s">
        <v>153</v>
      </c>
      <c r="Y594" s="10">
        <v>44127</v>
      </c>
      <c r="Z594" s="1">
        <v>2020</v>
      </c>
      <c r="AA594" s="2">
        <v>332746.88</v>
      </c>
      <c r="AB594" s="2"/>
      <c r="AC594" s="2">
        <v>249560.16</v>
      </c>
      <c r="AD594" s="1">
        <v>0</v>
      </c>
      <c r="AG594" s="1" t="s">
        <v>56</v>
      </c>
      <c r="AH594" s="1" t="s">
        <v>1458</v>
      </c>
      <c r="AI594" s="2">
        <v>249560.16</v>
      </c>
      <c r="AL594" s="1" t="s">
        <v>1744</v>
      </c>
    </row>
    <row r="595" spans="1:38" ht="14.45" customHeight="1" x14ac:dyDescent="0.2">
      <c r="A595" s="1" t="s">
        <v>57</v>
      </c>
      <c r="B595" s="9" t="s">
        <v>38</v>
      </c>
      <c r="C595" s="1" t="s">
        <v>58</v>
      </c>
      <c r="D595" s="1" t="s">
        <v>146</v>
      </c>
      <c r="E595" s="1" t="s">
        <v>42</v>
      </c>
      <c r="G595" s="1" t="s">
        <v>147</v>
      </c>
      <c r="H595" s="1" t="s">
        <v>148</v>
      </c>
      <c r="I595" s="1" t="s">
        <v>3372</v>
      </c>
      <c r="J595" s="1">
        <v>2020</v>
      </c>
      <c r="K595" s="1" t="s">
        <v>3373</v>
      </c>
      <c r="L595" s="1" t="s">
        <v>3374</v>
      </c>
      <c r="N595" s="1" t="s">
        <v>3375</v>
      </c>
      <c r="P595" s="1" t="s">
        <v>3376</v>
      </c>
      <c r="Q595" s="1" t="s">
        <v>264</v>
      </c>
      <c r="R595" s="1" t="s">
        <v>265</v>
      </c>
      <c r="S595" s="1" t="s">
        <v>3377</v>
      </c>
      <c r="T595" s="1" t="s">
        <v>3378</v>
      </c>
      <c r="U595" s="1">
        <v>1</v>
      </c>
      <c r="V595" s="1" t="s">
        <v>308</v>
      </c>
      <c r="W595" s="1" t="s">
        <v>3379</v>
      </c>
      <c r="X595" s="1" t="s">
        <v>153</v>
      </c>
      <c r="Y595" s="10">
        <v>44127</v>
      </c>
      <c r="Z595" s="1">
        <v>2020</v>
      </c>
      <c r="AA595" s="2">
        <v>500000</v>
      </c>
      <c r="AB595" s="2"/>
      <c r="AC595" s="2">
        <v>375000</v>
      </c>
      <c r="AD595" s="1">
        <v>1</v>
      </c>
      <c r="AF595" s="1">
        <v>11</v>
      </c>
      <c r="AG595" s="1" t="s">
        <v>56</v>
      </c>
      <c r="AH595" s="1" t="s">
        <v>1458</v>
      </c>
      <c r="AI595" s="2">
        <v>375000</v>
      </c>
      <c r="AL595" s="1" t="s">
        <v>3380</v>
      </c>
    </row>
    <row r="596" spans="1:38" ht="14.45" hidden="1" customHeight="1" x14ac:dyDescent="0.2">
      <c r="A596" s="1" t="s">
        <v>57</v>
      </c>
      <c r="B596" s="9" t="s">
        <v>38</v>
      </c>
      <c r="C596" s="1" t="s">
        <v>58</v>
      </c>
      <c r="D596" s="1" t="s">
        <v>146</v>
      </c>
      <c r="E596" s="1" t="s">
        <v>42</v>
      </c>
      <c r="G596" s="1" t="s">
        <v>147</v>
      </c>
      <c r="H596" s="1" t="s">
        <v>148</v>
      </c>
      <c r="I596" s="1" t="s">
        <v>2884</v>
      </c>
      <c r="J596" s="1">
        <v>2020</v>
      </c>
      <c r="K596" s="1" t="s">
        <v>2885</v>
      </c>
      <c r="L596" s="1" t="s">
        <v>2886</v>
      </c>
      <c r="P596" s="1" t="s">
        <v>3381</v>
      </c>
      <c r="Q596" s="1" t="s">
        <v>50</v>
      </c>
      <c r="R596" s="1" t="s">
        <v>68</v>
      </c>
      <c r="S596" s="1" t="s">
        <v>1203</v>
      </c>
      <c r="T596" s="1" t="s">
        <v>1204</v>
      </c>
      <c r="U596" s="1">
        <v>1</v>
      </c>
      <c r="V596" s="1" t="s">
        <v>195</v>
      </c>
      <c r="W596" s="1" t="s">
        <v>2886</v>
      </c>
      <c r="X596" s="1" t="s">
        <v>153</v>
      </c>
      <c r="Y596" s="10">
        <v>44127</v>
      </c>
      <c r="Z596" s="1">
        <v>2020</v>
      </c>
      <c r="AA596" s="2">
        <v>119709.6</v>
      </c>
      <c r="AB596" s="2"/>
      <c r="AC596" s="2">
        <v>89782.200000000012</v>
      </c>
      <c r="AD596" s="1">
        <v>0</v>
      </c>
      <c r="AG596" s="1" t="s">
        <v>56</v>
      </c>
      <c r="AH596" s="1" t="s">
        <v>1458</v>
      </c>
      <c r="AI596" s="2">
        <v>89782.200000000012</v>
      </c>
      <c r="AL596" s="1" t="s">
        <v>1744</v>
      </c>
    </row>
    <row r="597" spans="1:38" ht="14.45" customHeight="1" x14ac:dyDescent="0.2">
      <c r="A597" s="1" t="s">
        <v>57</v>
      </c>
      <c r="B597" s="9" t="s">
        <v>39</v>
      </c>
      <c r="C597" s="1" t="s">
        <v>58</v>
      </c>
      <c r="D597" s="1" t="s">
        <v>146</v>
      </c>
      <c r="E597" s="1" t="s">
        <v>42</v>
      </c>
      <c r="G597" s="1" t="s">
        <v>155</v>
      </c>
      <c r="H597" s="1" t="s">
        <v>156</v>
      </c>
      <c r="I597" s="1" t="s">
        <v>3382</v>
      </c>
      <c r="J597" s="1">
        <v>2022</v>
      </c>
      <c r="K597" s="14" t="s">
        <v>3383</v>
      </c>
      <c r="P597" s="1" t="s">
        <v>3384</v>
      </c>
      <c r="Q597" s="1" t="s">
        <v>842</v>
      </c>
      <c r="R597" s="1" t="s">
        <v>884</v>
      </c>
      <c r="S597" s="1" t="s">
        <v>3385</v>
      </c>
      <c r="T597" s="1" t="s">
        <v>3386</v>
      </c>
      <c r="V597" s="1" t="s">
        <v>887</v>
      </c>
      <c r="W597" s="1" t="s">
        <v>3387</v>
      </c>
      <c r="Y597" s="10">
        <v>45112</v>
      </c>
      <c r="Z597" s="1">
        <v>2023</v>
      </c>
      <c r="AA597" s="2">
        <v>610425.86</v>
      </c>
      <c r="AB597" s="2"/>
      <c r="AC597" s="2">
        <v>610425.86</v>
      </c>
      <c r="AG597" s="1" t="s">
        <v>432</v>
      </c>
      <c r="AH597" s="1" t="s">
        <v>492</v>
      </c>
      <c r="AI597" s="2">
        <v>0</v>
      </c>
    </row>
    <row r="598" spans="1:38" ht="14.45" customHeight="1" x14ac:dyDescent="0.25">
      <c r="A598" s="1" t="s">
        <v>57</v>
      </c>
      <c r="B598" s="9" t="s">
        <v>38</v>
      </c>
      <c r="C598" s="1" t="s">
        <v>58</v>
      </c>
      <c r="D598" s="1" t="s">
        <v>146</v>
      </c>
      <c r="E598" s="1" t="s">
        <v>42</v>
      </c>
      <c r="G598" s="1" t="s">
        <v>147</v>
      </c>
      <c r="H598" s="1" t="s">
        <v>148</v>
      </c>
      <c r="I598" s="1" t="s">
        <v>3388</v>
      </c>
      <c r="J598" s="1">
        <v>2020</v>
      </c>
      <c r="K598" s="1" t="s">
        <v>3389</v>
      </c>
      <c r="L598" s="1" t="s">
        <v>3390</v>
      </c>
      <c r="M598" s="1" t="s">
        <v>3391</v>
      </c>
      <c r="N598" s="1" t="s">
        <v>3392</v>
      </c>
      <c r="P598" s="1" t="s">
        <v>3274</v>
      </c>
      <c r="Q598" s="1" t="s">
        <v>264</v>
      </c>
      <c r="R598" s="1" t="s">
        <v>265</v>
      </c>
      <c r="S598" s="16" t="s">
        <v>306</v>
      </c>
      <c r="T598" s="1" t="s">
        <v>307</v>
      </c>
      <c r="U598" s="1">
        <v>1</v>
      </c>
      <c r="V598" s="1" t="s">
        <v>308</v>
      </c>
      <c r="W598" s="1" t="s">
        <v>3393</v>
      </c>
      <c r="X598" s="1" t="s">
        <v>153</v>
      </c>
      <c r="Y598" s="10">
        <v>44127</v>
      </c>
      <c r="Z598" s="1">
        <v>2020</v>
      </c>
      <c r="AA598" s="2">
        <v>55000</v>
      </c>
      <c r="AB598" s="2"/>
      <c r="AC598" s="2">
        <v>41250</v>
      </c>
      <c r="AD598" s="1">
        <v>0</v>
      </c>
      <c r="AF598" s="1">
        <v>0</v>
      </c>
      <c r="AG598" s="1" t="s">
        <v>56</v>
      </c>
      <c r="AH598" s="1" t="s">
        <v>154</v>
      </c>
      <c r="AI598" s="2">
        <v>29135.33</v>
      </c>
      <c r="AL598" s="1" t="s">
        <v>3394</v>
      </c>
    </row>
    <row r="599" spans="1:38" ht="14.45" customHeight="1" x14ac:dyDescent="0.25">
      <c r="A599" s="1" t="s">
        <v>57</v>
      </c>
      <c r="B599" s="20" t="s">
        <v>38</v>
      </c>
      <c r="C599" s="3" t="s">
        <v>58</v>
      </c>
      <c r="D599" s="1" t="s">
        <v>146</v>
      </c>
      <c r="E599" s="1" t="s">
        <v>42</v>
      </c>
      <c r="F599" s="1" t="s">
        <v>1236</v>
      </c>
      <c r="G599" s="1" t="s">
        <v>155</v>
      </c>
      <c r="H599" s="1" t="s">
        <v>156</v>
      </c>
      <c r="I599" s="3" t="s">
        <v>3395</v>
      </c>
      <c r="J599" s="1">
        <v>2022</v>
      </c>
      <c r="K599" s="1" t="s">
        <v>3396</v>
      </c>
      <c r="L599" s="23" t="s">
        <v>3397</v>
      </c>
      <c r="M599" s="1" t="s">
        <v>1240</v>
      </c>
      <c r="P599" s="1" t="s">
        <v>2189</v>
      </c>
      <c r="Q599" s="1" t="s">
        <v>101</v>
      </c>
      <c r="R599" s="1" t="s">
        <v>102</v>
      </c>
      <c r="S599" s="3" t="s">
        <v>2190</v>
      </c>
      <c r="T599" s="3" t="s">
        <v>2191</v>
      </c>
      <c r="U599" s="24">
        <v>1</v>
      </c>
      <c r="V599" s="3" t="s">
        <v>101</v>
      </c>
      <c r="W599" s="3" t="s">
        <v>3397</v>
      </c>
      <c r="X599" s="3"/>
      <c r="Y599" s="21"/>
      <c r="Z599" s="3">
        <v>2025</v>
      </c>
      <c r="AA599" s="22">
        <v>540684.64</v>
      </c>
      <c r="AB599" s="22"/>
      <c r="AC599" s="22">
        <v>540684.64</v>
      </c>
      <c r="AD599" s="2"/>
      <c r="AG599" s="1" t="s">
        <v>56</v>
      </c>
      <c r="AI599" s="22">
        <v>540684.64</v>
      </c>
    </row>
    <row r="600" spans="1:38" ht="14.45" hidden="1" customHeight="1" x14ac:dyDescent="0.2">
      <c r="A600" s="1" t="s">
        <v>57</v>
      </c>
      <c r="B600" s="9" t="s">
        <v>38</v>
      </c>
      <c r="C600" s="1" t="s">
        <v>58</v>
      </c>
      <c r="D600" s="1" t="s">
        <v>146</v>
      </c>
      <c r="E600" s="1" t="s">
        <v>42</v>
      </c>
      <c r="G600" s="1" t="s">
        <v>147</v>
      </c>
      <c r="H600" s="1" t="s">
        <v>148</v>
      </c>
      <c r="I600" s="1" t="s">
        <v>2884</v>
      </c>
      <c r="J600" s="1">
        <v>2020</v>
      </c>
      <c r="K600" s="1" t="s">
        <v>2885</v>
      </c>
      <c r="L600" s="1" t="s">
        <v>2886</v>
      </c>
      <c r="P600" s="1" t="s">
        <v>3398</v>
      </c>
      <c r="Q600" s="1" t="s">
        <v>50</v>
      </c>
      <c r="R600" s="1" t="s">
        <v>68</v>
      </c>
      <c r="S600" s="1" t="s">
        <v>1368</v>
      </c>
      <c r="T600" s="1" t="s">
        <v>1369</v>
      </c>
      <c r="U600" s="1">
        <v>1</v>
      </c>
      <c r="V600" s="1" t="s">
        <v>195</v>
      </c>
      <c r="W600" s="1" t="s">
        <v>2886</v>
      </c>
      <c r="X600" s="1" t="s">
        <v>153</v>
      </c>
      <c r="Y600" s="10">
        <v>44127</v>
      </c>
      <c r="Z600" s="1">
        <v>2020</v>
      </c>
      <c r="AA600" s="2">
        <v>590075.06000000006</v>
      </c>
      <c r="AB600" s="2"/>
      <c r="AC600" s="2">
        <v>442556.29500000004</v>
      </c>
      <c r="AD600" s="1">
        <v>0</v>
      </c>
      <c r="AG600" s="1" t="s">
        <v>56</v>
      </c>
      <c r="AH600" s="1" t="s">
        <v>1458</v>
      </c>
      <c r="AI600" s="2">
        <v>442556.29500000004</v>
      </c>
      <c r="AL600" s="1" t="s">
        <v>1744</v>
      </c>
    </row>
    <row r="601" spans="1:38" ht="14.45" hidden="1" customHeight="1" x14ac:dyDescent="0.2">
      <c r="A601" s="1" t="s">
        <v>57</v>
      </c>
      <c r="B601" s="9" t="s">
        <v>38</v>
      </c>
      <c r="C601" s="1" t="s">
        <v>58</v>
      </c>
      <c r="D601" s="1" t="s">
        <v>146</v>
      </c>
      <c r="E601" s="1" t="s">
        <v>42</v>
      </c>
      <c r="G601" s="1" t="s">
        <v>147</v>
      </c>
      <c r="H601" s="1" t="s">
        <v>148</v>
      </c>
      <c r="I601" s="1" t="s">
        <v>2884</v>
      </c>
      <c r="J601" s="1">
        <v>2020</v>
      </c>
      <c r="K601" s="1" t="s">
        <v>2885</v>
      </c>
      <c r="L601" s="1" t="s">
        <v>2886</v>
      </c>
      <c r="P601" s="1" t="s">
        <v>3121</v>
      </c>
      <c r="Q601" s="1" t="s">
        <v>50</v>
      </c>
      <c r="R601" s="1" t="s">
        <v>68</v>
      </c>
      <c r="S601" s="1" t="s">
        <v>2758</v>
      </c>
      <c r="T601" s="1" t="s">
        <v>2759</v>
      </c>
      <c r="U601" s="1">
        <v>1</v>
      </c>
      <c r="V601" s="1" t="s">
        <v>71</v>
      </c>
      <c r="W601" s="1" t="s">
        <v>2886</v>
      </c>
      <c r="X601" s="1" t="s">
        <v>153</v>
      </c>
      <c r="Y601" s="10">
        <v>44127</v>
      </c>
      <c r="Z601" s="1">
        <v>2020</v>
      </c>
      <c r="AA601" s="2">
        <v>82324.25</v>
      </c>
      <c r="AB601" s="2"/>
      <c r="AC601" s="2">
        <v>61743.1875</v>
      </c>
      <c r="AD601" s="1">
        <v>0</v>
      </c>
      <c r="AG601" s="1" t="s">
        <v>56</v>
      </c>
      <c r="AH601" s="1" t="s">
        <v>1458</v>
      </c>
      <c r="AI601" s="2">
        <v>61743.1875</v>
      </c>
      <c r="AL601" s="1" t="s">
        <v>1744</v>
      </c>
    </row>
    <row r="602" spans="1:38" ht="14.45" hidden="1" customHeight="1" x14ac:dyDescent="0.2">
      <c r="A602" s="1" t="s">
        <v>57</v>
      </c>
      <c r="B602" s="9" t="s">
        <v>38</v>
      </c>
      <c r="C602" s="1" t="s">
        <v>58</v>
      </c>
      <c r="D602" s="1" t="s">
        <v>146</v>
      </c>
      <c r="E602" s="1" t="s">
        <v>42</v>
      </c>
      <c r="G602" s="1" t="s">
        <v>147</v>
      </c>
      <c r="H602" s="1" t="s">
        <v>148</v>
      </c>
      <c r="I602" s="1" t="s">
        <v>2884</v>
      </c>
      <c r="J602" s="1">
        <v>2020</v>
      </c>
      <c r="K602" s="1" t="s">
        <v>2885</v>
      </c>
      <c r="L602" s="1" t="s">
        <v>2886</v>
      </c>
      <c r="P602" s="1" t="s">
        <v>3399</v>
      </c>
      <c r="Q602" s="1" t="s">
        <v>50</v>
      </c>
      <c r="R602" s="1" t="s">
        <v>68</v>
      </c>
      <c r="S602" s="1" t="s">
        <v>3400</v>
      </c>
      <c r="T602" s="1" t="s">
        <v>3401</v>
      </c>
      <c r="U602" s="1">
        <v>1</v>
      </c>
      <c r="V602" s="1" t="s">
        <v>71</v>
      </c>
      <c r="W602" s="1" t="s">
        <v>2886</v>
      </c>
      <c r="X602" s="1" t="s">
        <v>153</v>
      </c>
      <c r="Y602" s="10">
        <v>44127</v>
      </c>
      <c r="Z602" s="1">
        <v>2020</v>
      </c>
      <c r="AA602" s="2">
        <v>41816.53</v>
      </c>
      <c r="AB602" s="2"/>
      <c r="AC602" s="2">
        <v>31362.397499999999</v>
      </c>
      <c r="AD602" s="1">
        <v>0</v>
      </c>
      <c r="AG602" s="1" t="s">
        <v>56</v>
      </c>
      <c r="AH602" s="1" t="s">
        <v>1458</v>
      </c>
      <c r="AI602" s="2">
        <v>31362.397499999999</v>
      </c>
      <c r="AL602" s="1" t="s">
        <v>1744</v>
      </c>
    </row>
    <row r="603" spans="1:38" ht="14.45" hidden="1" customHeight="1" x14ac:dyDescent="0.2">
      <c r="A603" s="1" t="s">
        <v>57</v>
      </c>
      <c r="B603" s="9" t="s">
        <v>38</v>
      </c>
      <c r="C603" s="1" t="s">
        <v>58</v>
      </c>
      <c r="D603" s="1" t="s">
        <v>146</v>
      </c>
      <c r="E603" s="1" t="s">
        <v>42</v>
      </c>
      <c r="G603" s="1" t="s">
        <v>147</v>
      </c>
      <c r="H603" s="1" t="s">
        <v>148</v>
      </c>
      <c r="I603" s="1" t="s">
        <v>2884</v>
      </c>
      <c r="J603" s="1">
        <v>2020</v>
      </c>
      <c r="K603" s="1" t="s">
        <v>2885</v>
      </c>
      <c r="L603" s="1" t="s">
        <v>2886</v>
      </c>
      <c r="P603" s="1" t="s">
        <v>3402</v>
      </c>
      <c r="Q603" s="1" t="s">
        <v>50</v>
      </c>
      <c r="R603" s="1" t="s">
        <v>77</v>
      </c>
      <c r="S603" s="11" t="s">
        <v>1212</v>
      </c>
      <c r="T603" s="1" t="s">
        <v>1213</v>
      </c>
      <c r="U603" s="1">
        <v>1</v>
      </c>
      <c r="V603" s="1" t="s">
        <v>186</v>
      </c>
      <c r="W603" s="1" t="s">
        <v>2886</v>
      </c>
      <c r="X603" s="1" t="s">
        <v>153</v>
      </c>
      <c r="Y603" s="10">
        <v>44127</v>
      </c>
      <c r="Z603" s="1">
        <v>2020</v>
      </c>
      <c r="AA603" s="2">
        <v>203934.52</v>
      </c>
      <c r="AB603" s="2"/>
      <c r="AC603" s="2">
        <v>152950.88999999998</v>
      </c>
      <c r="AD603" s="1">
        <v>0</v>
      </c>
      <c r="AG603" s="1" t="s">
        <v>56</v>
      </c>
      <c r="AH603" s="1" t="s">
        <v>1458</v>
      </c>
      <c r="AI603" s="2">
        <v>152950.88999999998</v>
      </c>
      <c r="AL603" s="1" t="s">
        <v>1744</v>
      </c>
    </row>
    <row r="604" spans="1:38" ht="14.45" hidden="1" customHeight="1" x14ac:dyDescent="0.2">
      <c r="A604" s="1" t="s">
        <v>57</v>
      </c>
      <c r="B604" s="9" t="s">
        <v>38</v>
      </c>
      <c r="C604" s="1" t="s">
        <v>58</v>
      </c>
      <c r="D604" s="1" t="s">
        <v>146</v>
      </c>
      <c r="E604" s="1" t="s">
        <v>42</v>
      </c>
      <c r="G604" s="1" t="s">
        <v>147</v>
      </c>
      <c r="H604" s="1" t="s">
        <v>148</v>
      </c>
      <c r="I604" s="1" t="s">
        <v>2884</v>
      </c>
      <c r="J604" s="1">
        <v>2020</v>
      </c>
      <c r="K604" s="1" t="s">
        <v>2885</v>
      </c>
      <c r="L604" s="1" t="s">
        <v>2886</v>
      </c>
      <c r="P604" s="1" t="s">
        <v>3090</v>
      </c>
      <c r="Q604" s="1" t="s">
        <v>50</v>
      </c>
      <c r="R604" s="1" t="s">
        <v>68</v>
      </c>
      <c r="S604" s="1" t="s">
        <v>430</v>
      </c>
      <c r="T604" s="1" t="s">
        <v>431</v>
      </c>
      <c r="U604" s="1">
        <v>1</v>
      </c>
      <c r="V604" s="1" t="s">
        <v>71</v>
      </c>
      <c r="W604" s="1" t="s">
        <v>2886</v>
      </c>
      <c r="X604" s="1" t="s">
        <v>153</v>
      </c>
      <c r="Y604" s="10">
        <v>44127</v>
      </c>
      <c r="Z604" s="1">
        <v>2020</v>
      </c>
      <c r="AA604" s="2">
        <v>361997.34</v>
      </c>
      <c r="AB604" s="2"/>
      <c r="AC604" s="2">
        <v>271498.005</v>
      </c>
      <c r="AD604" s="1">
        <v>0</v>
      </c>
      <c r="AG604" s="1" t="s">
        <v>56</v>
      </c>
      <c r="AH604" s="1" t="s">
        <v>1458</v>
      </c>
      <c r="AI604" s="2">
        <v>271498.005</v>
      </c>
      <c r="AL604" s="1" t="s">
        <v>1744</v>
      </c>
    </row>
    <row r="605" spans="1:38" ht="14.45" hidden="1" customHeight="1" x14ac:dyDescent="0.2">
      <c r="A605" s="1" t="s">
        <v>57</v>
      </c>
      <c r="B605" s="9" t="s">
        <v>38</v>
      </c>
      <c r="C605" s="1" t="s">
        <v>58</v>
      </c>
      <c r="D605" s="1" t="s">
        <v>146</v>
      </c>
      <c r="E605" s="1" t="s">
        <v>42</v>
      </c>
      <c r="G605" s="1" t="s">
        <v>147</v>
      </c>
      <c r="H605" s="1" t="s">
        <v>148</v>
      </c>
      <c r="I605" s="1" t="s">
        <v>2884</v>
      </c>
      <c r="J605" s="1">
        <v>2020</v>
      </c>
      <c r="K605" s="1" t="s">
        <v>2885</v>
      </c>
      <c r="L605" s="1" t="s">
        <v>2886</v>
      </c>
      <c r="P605" s="1" t="s">
        <v>3403</v>
      </c>
      <c r="Q605" s="1" t="s">
        <v>50</v>
      </c>
      <c r="R605" s="1" t="s">
        <v>68</v>
      </c>
      <c r="S605" s="1" t="s">
        <v>1596</v>
      </c>
      <c r="T605" s="1" t="s">
        <v>1597</v>
      </c>
      <c r="U605" s="1">
        <v>1</v>
      </c>
      <c r="V605" s="1" t="s">
        <v>71</v>
      </c>
      <c r="W605" s="1" t="s">
        <v>2886</v>
      </c>
      <c r="X605" s="1" t="s">
        <v>153</v>
      </c>
      <c r="Y605" s="10">
        <v>44127</v>
      </c>
      <c r="Z605" s="1">
        <v>2020</v>
      </c>
      <c r="AA605" s="2">
        <v>210834.23</v>
      </c>
      <c r="AB605" s="2"/>
      <c r="AC605" s="2">
        <v>158125.67250000002</v>
      </c>
      <c r="AD605" s="1">
        <v>0</v>
      </c>
      <c r="AG605" s="1" t="s">
        <v>56</v>
      </c>
      <c r="AH605" s="1" t="s">
        <v>1458</v>
      </c>
      <c r="AI605" s="2">
        <v>158125.67250000002</v>
      </c>
      <c r="AL605" s="1" t="s">
        <v>1744</v>
      </c>
    </row>
    <row r="606" spans="1:38" ht="14.45" customHeight="1" x14ac:dyDescent="0.25">
      <c r="A606" s="1" t="s">
        <v>57</v>
      </c>
      <c r="B606" s="9" t="s">
        <v>38</v>
      </c>
      <c r="C606" s="1" t="s">
        <v>58</v>
      </c>
      <c r="D606" s="1" t="s">
        <v>146</v>
      </c>
      <c r="E606" s="1" t="s">
        <v>42</v>
      </c>
      <c r="G606" s="1" t="s">
        <v>147</v>
      </c>
      <c r="H606" s="1" t="s">
        <v>148</v>
      </c>
      <c r="I606" s="1" t="s">
        <v>3404</v>
      </c>
      <c r="J606" s="1">
        <v>2020</v>
      </c>
      <c r="K606" s="1" t="s">
        <v>3405</v>
      </c>
      <c r="L606" s="1" t="s">
        <v>3406</v>
      </c>
      <c r="N606" s="1" t="s">
        <v>3407</v>
      </c>
      <c r="P606" s="1" t="s">
        <v>3274</v>
      </c>
      <c r="Q606" s="1" t="s">
        <v>264</v>
      </c>
      <c r="R606" s="1" t="s">
        <v>265</v>
      </c>
      <c r="S606" s="16" t="s">
        <v>306</v>
      </c>
      <c r="T606" s="1" t="s">
        <v>307</v>
      </c>
      <c r="U606" s="1">
        <v>1</v>
      </c>
      <c r="V606" s="1" t="s">
        <v>308</v>
      </c>
      <c r="W606" s="1" t="s">
        <v>3408</v>
      </c>
      <c r="X606" s="1" t="s">
        <v>153</v>
      </c>
      <c r="Y606" s="10">
        <v>44127</v>
      </c>
      <c r="Z606" s="1">
        <v>2020</v>
      </c>
      <c r="AA606" s="2">
        <v>21000</v>
      </c>
      <c r="AB606" s="2"/>
      <c r="AC606" s="2">
        <v>15750</v>
      </c>
      <c r="AD606" s="1">
        <v>0</v>
      </c>
      <c r="AF606" s="1">
        <v>0</v>
      </c>
      <c r="AG606" s="1" t="s">
        <v>56</v>
      </c>
      <c r="AH606" s="1" t="s">
        <v>154</v>
      </c>
      <c r="AI606" s="2">
        <v>13379.95</v>
      </c>
      <c r="AL606" s="1" t="s">
        <v>3409</v>
      </c>
    </row>
    <row r="607" spans="1:38" ht="14.45" customHeight="1" x14ac:dyDescent="0.2">
      <c r="A607" s="1" t="s">
        <v>57</v>
      </c>
      <c r="B607" s="9" t="s">
        <v>38</v>
      </c>
      <c r="C607" s="1" t="s">
        <v>58</v>
      </c>
      <c r="D607" s="1" t="s">
        <v>146</v>
      </c>
      <c r="E607" s="1" t="s">
        <v>42</v>
      </c>
      <c r="G607" s="1" t="s">
        <v>147</v>
      </c>
      <c r="H607" s="1" t="s">
        <v>148</v>
      </c>
      <c r="I607" s="1" t="s">
        <v>3410</v>
      </c>
      <c r="J607" s="1">
        <v>2020</v>
      </c>
      <c r="K607" s="1" t="s">
        <v>3411</v>
      </c>
      <c r="L607" s="1" t="s">
        <v>3412</v>
      </c>
      <c r="M607" s="1" t="s">
        <v>3413</v>
      </c>
      <c r="N607" s="1" t="s">
        <v>3414</v>
      </c>
      <c r="P607" s="1" t="s">
        <v>3415</v>
      </c>
      <c r="Q607" s="1" t="s">
        <v>264</v>
      </c>
      <c r="R607" s="1" t="s">
        <v>265</v>
      </c>
      <c r="S607" s="1" t="s">
        <v>2680</v>
      </c>
      <c r="T607" s="1" t="s">
        <v>2681</v>
      </c>
      <c r="U607" s="1">
        <v>1</v>
      </c>
      <c r="V607" s="1" t="s">
        <v>308</v>
      </c>
      <c r="W607" s="1" t="s">
        <v>3416</v>
      </c>
      <c r="X607" s="1" t="s">
        <v>153</v>
      </c>
      <c r="Y607" s="10">
        <v>44127</v>
      </c>
      <c r="Z607" s="1">
        <v>2020</v>
      </c>
      <c r="AA607" s="2">
        <v>300000</v>
      </c>
      <c r="AB607" s="2"/>
      <c r="AC607" s="2">
        <v>225000</v>
      </c>
      <c r="AD607" s="1">
        <v>0</v>
      </c>
      <c r="AF607" s="1">
        <v>10</v>
      </c>
      <c r="AG607" s="1" t="s">
        <v>56</v>
      </c>
      <c r="AH607" s="1" t="s">
        <v>1458</v>
      </c>
      <c r="AI607" s="2">
        <v>225000</v>
      </c>
      <c r="AL607" s="1" t="s">
        <v>3417</v>
      </c>
    </row>
    <row r="608" spans="1:38" ht="14.45" customHeight="1" x14ac:dyDescent="0.2">
      <c r="A608" s="1" t="s">
        <v>57</v>
      </c>
      <c r="B608" s="9" t="s">
        <v>38</v>
      </c>
      <c r="C608" s="1" t="s">
        <v>58</v>
      </c>
      <c r="D608" s="1" t="s">
        <v>146</v>
      </c>
      <c r="E608" s="1" t="s">
        <v>42</v>
      </c>
      <c r="G608" s="1" t="s">
        <v>147</v>
      </c>
      <c r="H608" s="1" t="s">
        <v>148</v>
      </c>
      <c r="I608" s="1" t="s">
        <v>3418</v>
      </c>
      <c r="J608" s="1">
        <v>2020</v>
      </c>
      <c r="K608" s="1" t="s">
        <v>3419</v>
      </c>
      <c r="L608" s="1" t="s">
        <v>3420</v>
      </c>
      <c r="M608" s="1" t="s">
        <v>3421</v>
      </c>
      <c r="N608" s="1" t="s">
        <v>3422</v>
      </c>
      <c r="P608" s="1" t="s">
        <v>1718</v>
      </c>
      <c r="Q608" s="1" t="s">
        <v>264</v>
      </c>
      <c r="R608" s="1" t="s">
        <v>265</v>
      </c>
      <c r="S608" s="1" t="s">
        <v>717</v>
      </c>
      <c r="T608" s="1" t="s">
        <v>718</v>
      </c>
      <c r="U608" s="1">
        <v>1</v>
      </c>
      <c r="V608" s="1" t="s">
        <v>535</v>
      </c>
      <c r="W608" s="1" t="s">
        <v>3419</v>
      </c>
      <c r="Y608" s="10">
        <v>44127</v>
      </c>
      <c r="Z608" s="1">
        <v>2020</v>
      </c>
      <c r="AA608" s="2">
        <v>10463665</v>
      </c>
      <c r="AB608" s="2"/>
      <c r="AC608" s="2">
        <v>7847748.75</v>
      </c>
      <c r="AD608" s="1">
        <v>12</v>
      </c>
      <c r="AF608" s="1">
        <v>60</v>
      </c>
      <c r="AG608" s="1" t="s">
        <v>56</v>
      </c>
      <c r="AH608" s="1" t="s">
        <v>1458</v>
      </c>
      <c r="AI608" s="2">
        <v>7847748.75</v>
      </c>
      <c r="AL608" s="1" t="s">
        <v>3423</v>
      </c>
    </row>
    <row r="609" spans="1:38" ht="14.45" customHeight="1" x14ac:dyDescent="0.2">
      <c r="A609" s="1" t="s">
        <v>57</v>
      </c>
      <c r="B609" s="9" t="s">
        <v>38</v>
      </c>
      <c r="C609" s="1" t="s">
        <v>58</v>
      </c>
      <c r="D609" s="1" t="s">
        <v>146</v>
      </c>
      <c r="E609" s="1" t="s">
        <v>42</v>
      </c>
      <c r="G609" s="1" t="s">
        <v>155</v>
      </c>
      <c r="H609" s="1" t="s">
        <v>156</v>
      </c>
      <c r="I609" s="1" t="s">
        <v>3424</v>
      </c>
      <c r="J609" s="1">
        <v>2022</v>
      </c>
      <c r="K609" s="1" t="s">
        <v>3425</v>
      </c>
      <c r="L609" s="1" t="s">
        <v>3426</v>
      </c>
      <c r="P609" s="1" t="s">
        <v>1721</v>
      </c>
      <c r="Q609" s="1" t="s">
        <v>264</v>
      </c>
      <c r="R609" s="1" t="s">
        <v>265</v>
      </c>
      <c r="S609" s="1" t="s">
        <v>533</v>
      </c>
      <c r="T609" s="1" t="s">
        <v>534</v>
      </c>
      <c r="U609" s="1">
        <v>1</v>
      </c>
      <c r="V609" s="1" t="s">
        <v>535</v>
      </c>
      <c r="W609" s="1" t="s">
        <v>3427</v>
      </c>
      <c r="Y609" s="10">
        <v>45112</v>
      </c>
      <c r="Z609" s="1">
        <v>2023</v>
      </c>
      <c r="AA609" s="2">
        <v>422653.86</v>
      </c>
      <c r="AB609" s="2"/>
      <c r="AC609" s="2">
        <v>422653.86</v>
      </c>
      <c r="AG609" s="1" t="s">
        <v>56</v>
      </c>
      <c r="AI609" s="2">
        <v>422653.86</v>
      </c>
    </row>
    <row r="610" spans="1:38" ht="14.45" customHeight="1" x14ac:dyDescent="0.2">
      <c r="A610" s="1" t="s">
        <v>57</v>
      </c>
      <c r="B610" s="9" t="s">
        <v>38</v>
      </c>
      <c r="C610" s="1" t="s">
        <v>58</v>
      </c>
      <c r="D610" s="1" t="s">
        <v>146</v>
      </c>
      <c r="E610" s="1" t="s">
        <v>42</v>
      </c>
      <c r="F610" s="1" t="s">
        <v>1236</v>
      </c>
      <c r="G610" s="1" t="s">
        <v>155</v>
      </c>
      <c r="H610" s="1" t="s">
        <v>156</v>
      </c>
      <c r="I610" s="1" t="s">
        <v>3428</v>
      </c>
      <c r="J610" s="1">
        <v>2022</v>
      </c>
      <c r="K610" s="1" t="s">
        <v>3429</v>
      </c>
      <c r="L610" s="1" t="s">
        <v>3430</v>
      </c>
      <c r="M610" s="1" t="s">
        <v>3431</v>
      </c>
      <c r="P610" s="1" t="s">
        <v>3432</v>
      </c>
      <c r="Q610" s="1" t="s">
        <v>1149</v>
      </c>
      <c r="R610" s="1" t="s">
        <v>1150</v>
      </c>
      <c r="S610" s="1" t="s">
        <v>3433</v>
      </c>
      <c r="T610" s="1" t="s">
        <v>3434</v>
      </c>
      <c r="V610" s="1" t="s">
        <v>1153</v>
      </c>
      <c r="W610" s="1" t="s">
        <v>3435</v>
      </c>
      <c r="X610" s="1" t="s">
        <v>3097</v>
      </c>
      <c r="Y610" s="2"/>
      <c r="Z610" s="1">
        <v>2025</v>
      </c>
      <c r="AA610" s="2">
        <v>490845.18</v>
      </c>
      <c r="AB610" s="2"/>
      <c r="AC610" s="1">
        <v>490845.18</v>
      </c>
      <c r="AE610" s="2"/>
      <c r="AG610" s="1" t="s">
        <v>56</v>
      </c>
      <c r="AI610" s="2">
        <v>490845.18</v>
      </c>
    </row>
    <row r="611" spans="1:38" ht="14.45" hidden="1" customHeight="1" x14ac:dyDescent="0.2">
      <c r="A611" s="1" t="s">
        <v>57</v>
      </c>
      <c r="B611" s="9" t="s">
        <v>38</v>
      </c>
      <c r="C611" s="1" t="s">
        <v>58</v>
      </c>
      <c r="D611" s="1" t="s">
        <v>146</v>
      </c>
      <c r="E611" s="1" t="s">
        <v>42</v>
      </c>
      <c r="G611" s="1" t="s">
        <v>147</v>
      </c>
      <c r="H611" s="1" t="s">
        <v>148</v>
      </c>
      <c r="I611" s="1" t="s">
        <v>2884</v>
      </c>
      <c r="J611" s="1">
        <v>2020</v>
      </c>
      <c r="K611" s="1" t="s">
        <v>2885</v>
      </c>
      <c r="L611" s="1" t="s">
        <v>2886</v>
      </c>
      <c r="P611" s="1" t="s">
        <v>3436</v>
      </c>
      <c r="Q611" s="1" t="s">
        <v>50</v>
      </c>
      <c r="R611" s="1" t="s">
        <v>68</v>
      </c>
      <c r="S611" s="1" t="s">
        <v>3437</v>
      </c>
      <c r="T611" s="1" t="s">
        <v>3438</v>
      </c>
      <c r="U611" s="1">
        <v>1</v>
      </c>
      <c r="V611" s="1" t="s">
        <v>195</v>
      </c>
      <c r="W611" s="1" t="s">
        <v>2886</v>
      </c>
      <c r="X611" s="1" t="s">
        <v>153</v>
      </c>
      <c r="Y611" s="10">
        <v>44127</v>
      </c>
      <c r="Z611" s="1">
        <v>2020</v>
      </c>
      <c r="AA611" s="2">
        <v>1527930.23</v>
      </c>
      <c r="AB611" s="2"/>
      <c r="AC611" s="2">
        <v>1145947.6724999999</v>
      </c>
      <c r="AD611" s="1">
        <v>0</v>
      </c>
      <c r="AG611" s="1" t="s">
        <v>56</v>
      </c>
      <c r="AH611" s="1" t="s">
        <v>1458</v>
      </c>
      <c r="AI611" s="2">
        <v>1145947.6724999999</v>
      </c>
      <c r="AL611" s="1" t="s">
        <v>1744</v>
      </c>
    </row>
    <row r="612" spans="1:38" ht="14.45" customHeight="1" x14ac:dyDescent="0.2">
      <c r="A612" s="1" t="s">
        <v>57</v>
      </c>
      <c r="B612" s="9" t="s">
        <v>39</v>
      </c>
      <c r="C612" s="1" t="s">
        <v>58</v>
      </c>
      <c r="D612" s="1" t="s">
        <v>146</v>
      </c>
      <c r="E612" s="1" t="s">
        <v>42</v>
      </c>
      <c r="G612" s="1" t="s">
        <v>155</v>
      </c>
      <c r="H612" s="1" t="s">
        <v>156</v>
      </c>
      <c r="I612" s="1" t="s">
        <v>3439</v>
      </c>
      <c r="J612" s="1">
        <v>2022</v>
      </c>
      <c r="K612" s="14" t="s">
        <v>3440</v>
      </c>
      <c r="P612" s="1" t="s">
        <v>3441</v>
      </c>
      <c r="Q612" s="1" t="s">
        <v>842</v>
      </c>
      <c r="R612" s="1" t="s">
        <v>884</v>
      </c>
      <c r="S612" s="1" t="s">
        <v>3442</v>
      </c>
      <c r="T612" s="1" t="s">
        <v>3443</v>
      </c>
      <c r="V612" s="1" t="s">
        <v>887</v>
      </c>
      <c r="W612" s="1" t="s">
        <v>3444</v>
      </c>
      <c r="Y612" s="10">
        <v>45202</v>
      </c>
      <c r="Z612" s="1">
        <v>2023</v>
      </c>
      <c r="AA612" s="2">
        <v>649810.64</v>
      </c>
      <c r="AB612" s="2"/>
      <c r="AC612" s="2">
        <v>649810.64</v>
      </c>
      <c r="AG612" s="1" t="s">
        <v>432</v>
      </c>
      <c r="AH612" s="1" t="s">
        <v>492</v>
      </c>
      <c r="AI612" s="2">
        <v>0</v>
      </c>
    </row>
    <row r="613" spans="1:38" ht="14.45" customHeight="1" x14ac:dyDescent="0.2">
      <c r="A613" s="1" t="s">
        <v>57</v>
      </c>
      <c r="B613" s="9" t="s">
        <v>38</v>
      </c>
      <c r="C613" s="1" t="s">
        <v>58</v>
      </c>
      <c r="D613" s="1" t="s">
        <v>146</v>
      </c>
      <c r="E613" s="1" t="s">
        <v>42</v>
      </c>
      <c r="G613" s="1" t="s">
        <v>155</v>
      </c>
      <c r="H613" s="1" t="s">
        <v>156</v>
      </c>
      <c r="I613" s="1" t="s">
        <v>3445</v>
      </c>
      <c r="J613" s="1">
        <v>2022</v>
      </c>
      <c r="K613" s="1" t="s">
        <v>3446</v>
      </c>
      <c r="L613" s="1" t="s">
        <v>3447</v>
      </c>
      <c r="P613" s="1" t="s">
        <v>3448</v>
      </c>
      <c r="Q613" s="1" t="s">
        <v>50</v>
      </c>
      <c r="R613" s="1" t="s">
        <v>51</v>
      </c>
      <c r="S613" s="1" t="s">
        <v>3449</v>
      </c>
      <c r="T613" s="1" t="s">
        <v>3450</v>
      </c>
      <c r="V613" s="1" t="s">
        <v>54</v>
      </c>
      <c r="W613" s="1" t="s">
        <v>3451</v>
      </c>
      <c r="Y613" s="10">
        <v>45112</v>
      </c>
      <c r="Z613" s="1">
        <v>2023</v>
      </c>
      <c r="AA613" s="2">
        <v>80757.289999999994</v>
      </c>
      <c r="AB613" s="2"/>
      <c r="AC613" s="2">
        <v>80757.289999999994</v>
      </c>
      <c r="AG613" s="1" t="s">
        <v>56</v>
      </c>
      <c r="AI613" s="2">
        <v>80757.289999999994</v>
      </c>
    </row>
    <row r="614" spans="1:38" ht="14.45" customHeight="1" x14ac:dyDescent="0.2">
      <c r="A614" s="1" t="s">
        <v>57</v>
      </c>
      <c r="B614" s="9" t="s">
        <v>38</v>
      </c>
      <c r="C614" s="1" t="s">
        <v>58</v>
      </c>
      <c r="D614" s="1" t="s">
        <v>146</v>
      </c>
      <c r="E614" s="1" t="s">
        <v>42</v>
      </c>
      <c r="G614" s="1" t="s">
        <v>147</v>
      </c>
      <c r="H614" s="1" t="s">
        <v>148</v>
      </c>
      <c r="I614" s="1" t="s">
        <v>3452</v>
      </c>
      <c r="J614" s="1">
        <v>2020</v>
      </c>
      <c r="K614" s="1" t="s">
        <v>3453</v>
      </c>
      <c r="L614" s="1" t="s">
        <v>3454</v>
      </c>
      <c r="M614" s="1" t="s">
        <v>3455</v>
      </c>
      <c r="N614" s="1" t="s">
        <v>3456</v>
      </c>
      <c r="P614" s="1" t="s">
        <v>3262</v>
      </c>
      <c r="Q614" s="1" t="s">
        <v>264</v>
      </c>
      <c r="R614" s="1" t="s">
        <v>265</v>
      </c>
      <c r="S614" s="1" t="s">
        <v>1046</v>
      </c>
      <c r="T614" s="1" t="s">
        <v>1047</v>
      </c>
      <c r="U614" s="1">
        <v>1</v>
      </c>
      <c r="V614" s="1" t="s">
        <v>535</v>
      </c>
      <c r="W614" s="1" t="s">
        <v>3457</v>
      </c>
      <c r="X614" s="1" t="s">
        <v>400</v>
      </c>
      <c r="Y614" s="10">
        <v>44127</v>
      </c>
      <c r="Z614" s="1">
        <v>2020</v>
      </c>
      <c r="AA614" s="2">
        <v>1900000</v>
      </c>
      <c r="AB614" s="2"/>
      <c r="AC614" s="2">
        <v>1425000</v>
      </c>
      <c r="AD614" s="1">
        <v>3</v>
      </c>
      <c r="AF614" s="1">
        <v>7</v>
      </c>
      <c r="AG614" s="1" t="s">
        <v>56</v>
      </c>
      <c r="AH614" s="1" t="s">
        <v>154</v>
      </c>
      <c r="AI614" s="2">
        <v>1425000</v>
      </c>
      <c r="AL614" s="1" t="s">
        <v>3458</v>
      </c>
    </row>
    <row r="615" spans="1:38" ht="14.45" customHeight="1" x14ac:dyDescent="0.2">
      <c r="A615" s="1" t="s">
        <v>57</v>
      </c>
      <c r="B615" s="9" t="s">
        <v>38</v>
      </c>
      <c r="C615" s="1" t="s">
        <v>58</v>
      </c>
      <c r="D615" s="1" t="s">
        <v>146</v>
      </c>
      <c r="E615" s="1" t="s">
        <v>42</v>
      </c>
      <c r="G615" s="1" t="s">
        <v>155</v>
      </c>
      <c r="H615" s="1" t="s">
        <v>156</v>
      </c>
      <c r="I615" s="1" t="s">
        <v>3459</v>
      </c>
      <c r="J615" s="1">
        <v>2022</v>
      </c>
      <c r="K615" s="1" t="s">
        <v>3460</v>
      </c>
      <c r="L615" s="1" t="s">
        <v>3461</v>
      </c>
      <c r="M615" s="1" t="s">
        <v>3462</v>
      </c>
      <c r="P615" s="1" t="s">
        <v>3463</v>
      </c>
      <c r="Q615" s="1" t="s">
        <v>842</v>
      </c>
      <c r="R615" s="1" t="s">
        <v>884</v>
      </c>
      <c r="S615" s="1" t="s">
        <v>2669</v>
      </c>
      <c r="T615" s="1" t="s">
        <v>2670</v>
      </c>
      <c r="V615" s="1" t="s">
        <v>887</v>
      </c>
      <c r="W615" s="1" t="s">
        <v>3464</v>
      </c>
      <c r="Y615" s="10">
        <v>45112</v>
      </c>
      <c r="Z615" s="1">
        <v>2023</v>
      </c>
      <c r="AA615" s="2">
        <v>458991.75</v>
      </c>
      <c r="AB615" s="2"/>
      <c r="AC615" s="2">
        <v>458991.75</v>
      </c>
      <c r="AG615" s="1" t="s">
        <v>56</v>
      </c>
      <c r="AI615" s="2">
        <v>458991.75</v>
      </c>
    </row>
    <row r="616" spans="1:38" ht="14.45" hidden="1" customHeight="1" x14ac:dyDescent="0.2">
      <c r="A616" s="1" t="s">
        <v>57</v>
      </c>
      <c r="B616" s="9" t="s">
        <v>38</v>
      </c>
      <c r="C616" s="1" t="s">
        <v>58</v>
      </c>
      <c r="D616" s="1" t="s">
        <v>146</v>
      </c>
      <c r="E616" s="1" t="s">
        <v>42</v>
      </c>
      <c r="G616" s="1" t="s">
        <v>147</v>
      </c>
      <c r="H616" s="1" t="s">
        <v>148</v>
      </c>
      <c r="I616" s="1" t="s">
        <v>2884</v>
      </c>
      <c r="J616" s="1">
        <v>2020</v>
      </c>
      <c r="K616" s="1" t="s">
        <v>2885</v>
      </c>
      <c r="L616" s="1" t="s">
        <v>2886</v>
      </c>
      <c r="P616" s="1" t="s">
        <v>3465</v>
      </c>
      <c r="Q616" s="1" t="s">
        <v>50</v>
      </c>
      <c r="R616" s="1" t="s">
        <v>77</v>
      </c>
      <c r="S616" s="1" t="s">
        <v>2638</v>
      </c>
      <c r="T616" s="1" t="s">
        <v>2639</v>
      </c>
      <c r="U616" s="1">
        <v>1</v>
      </c>
      <c r="V616" s="1" t="s">
        <v>186</v>
      </c>
      <c r="W616" s="1" t="s">
        <v>2886</v>
      </c>
      <c r="X616" s="1" t="s">
        <v>153</v>
      </c>
      <c r="Y616" s="10">
        <v>44127</v>
      </c>
      <c r="Z616" s="1">
        <v>2020</v>
      </c>
      <c r="AA616" s="2">
        <v>140282.76999999999</v>
      </c>
      <c r="AB616" s="2"/>
      <c r="AC616" s="2">
        <v>105212.07749999998</v>
      </c>
      <c r="AD616" s="1">
        <v>0</v>
      </c>
      <c r="AG616" s="1" t="s">
        <v>56</v>
      </c>
      <c r="AH616" s="1" t="s">
        <v>1458</v>
      </c>
      <c r="AI616" s="2">
        <v>105212.07749999998</v>
      </c>
      <c r="AL616" s="1" t="s">
        <v>1744</v>
      </c>
    </row>
    <row r="617" spans="1:38" ht="14.45" customHeight="1" x14ac:dyDescent="0.2">
      <c r="A617" s="1" t="s">
        <v>57</v>
      </c>
      <c r="B617" s="9" t="s">
        <v>38</v>
      </c>
      <c r="C617" s="1" t="s">
        <v>58</v>
      </c>
      <c r="D617" s="1" t="s">
        <v>146</v>
      </c>
      <c r="E617" s="1" t="s">
        <v>42</v>
      </c>
      <c r="G617" s="1" t="s">
        <v>147</v>
      </c>
      <c r="H617" s="1" t="s">
        <v>148</v>
      </c>
      <c r="I617" s="1" t="s">
        <v>3466</v>
      </c>
      <c r="J617" s="1">
        <v>2020</v>
      </c>
      <c r="K617" s="1" t="s">
        <v>3467</v>
      </c>
      <c r="L617" s="1" t="s">
        <v>3468</v>
      </c>
      <c r="M617" s="1" t="s">
        <v>3469</v>
      </c>
      <c r="N617" s="1" t="s">
        <v>3470</v>
      </c>
      <c r="P617" s="1" t="s">
        <v>3348</v>
      </c>
      <c r="Q617" s="1" t="s">
        <v>264</v>
      </c>
      <c r="R617" s="1" t="s">
        <v>265</v>
      </c>
      <c r="S617" s="1" t="s">
        <v>3349</v>
      </c>
      <c r="T617" s="1" t="s">
        <v>3350</v>
      </c>
      <c r="U617" s="1">
        <v>1</v>
      </c>
      <c r="V617" s="1" t="s">
        <v>535</v>
      </c>
      <c r="W617" s="1" t="s">
        <v>3467</v>
      </c>
      <c r="X617" s="1" t="s">
        <v>153</v>
      </c>
      <c r="Y617" s="10">
        <v>44127</v>
      </c>
      <c r="Z617" s="1">
        <v>2020</v>
      </c>
      <c r="AA617" s="2">
        <v>700000</v>
      </c>
      <c r="AB617" s="2"/>
      <c r="AC617" s="2">
        <v>525000</v>
      </c>
      <c r="AD617" s="1">
        <v>0</v>
      </c>
      <c r="AF617" s="1" t="s">
        <v>1768</v>
      </c>
      <c r="AG617" s="1" t="s">
        <v>56</v>
      </c>
      <c r="AH617" s="1" t="s">
        <v>1458</v>
      </c>
      <c r="AI617" s="2">
        <v>525000</v>
      </c>
      <c r="AL617" s="1" t="s">
        <v>3471</v>
      </c>
    </row>
    <row r="618" spans="1:38" ht="14.45" customHeight="1" x14ac:dyDescent="0.2">
      <c r="A618" s="1" t="s">
        <v>57</v>
      </c>
      <c r="B618" s="9" t="s">
        <v>39</v>
      </c>
      <c r="C618" s="1" t="s">
        <v>58</v>
      </c>
      <c r="D618" s="1" t="s">
        <v>146</v>
      </c>
      <c r="E618" s="1" t="s">
        <v>42</v>
      </c>
      <c r="G618" s="1" t="s">
        <v>155</v>
      </c>
      <c r="H618" s="1" t="s">
        <v>156</v>
      </c>
      <c r="I618" s="1" t="s">
        <v>3472</v>
      </c>
      <c r="J618" s="1">
        <v>2022</v>
      </c>
      <c r="K618" s="1" t="s">
        <v>3473</v>
      </c>
      <c r="P618" s="1" t="s">
        <v>3474</v>
      </c>
      <c r="Q618" s="1" t="s">
        <v>842</v>
      </c>
      <c r="R618" s="1" t="s">
        <v>884</v>
      </c>
      <c r="S618" s="1" t="s">
        <v>3475</v>
      </c>
      <c r="T618" s="1" t="s">
        <v>3476</v>
      </c>
      <c r="V618" s="1" t="s">
        <v>887</v>
      </c>
      <c r="W618" s="1" t="s">
        <v>3477</v>
      </c>
      <c r="Y618" s="10">
        <v>45142</v>
      </c>
      <c r="Z618" s="1">
        <v>2023</v>
      </c>
      <c r="AA618" s="2">
        <v>849885.17</v>
      </c>
      <c r="AB618" s="2"/>
      <c r="AC618" s="2">
        <v>849885.17</v>
      </c>
      <c r="AG618" s="1" t="s">
        <v>432</v>
      </c>
      <c r="AH618" s="1" t="s">
        <v>492</v>
      </c>
      <c r="AI618" s="2">
        <v>0</v>
      </c>
    </row>
    <row r="619" spans="1:38" ht="14.45" customHeight="1" x14ac:dyDescent="0.25">
      <c r="A619" s="1" t="s">
        <v>57</v>
      </c>
      <c r="B619" s="31" t="s">
        <v>38</v>
      </c>
      <c r="C619" s="32" t="s">
        <v>58</v>
      </c>
      <c r="D619" s="1" t="s">
        <v>146</v>
      </c>
      <c r="E619" s="1" t="s">
        <v>42</v>
      </c>
      <c r="F619" s="1" t="s">
        <v>1236</v>
      </c>
      <c r="G619" s="1" t="s">
        <v>155</v>
      </c>
      <c r="H619" s="1" t="s">
        <v>156</v>
      </c>
      <c r="I619" s="1" t="s">
        <v>3478</v>
      </c>
      <c r="J619" s="1">
        <v>2022</v>
      </c>
      <c r="K619" s="1" t="s">
        <v>3479</v>
      </c>
      <c r="L619" s="1" t="s">
        <v>3480</v>
      </c>
      <c r="M619" s="1" t="s">
        <v>1240</v>
      </c>
      <c r="P619" s="1" t="s">
        <v>3481</v>
      </c>
      <c r="Q619" s="25" t="s">
        <v>842</v>
      </c>
      <c r="R619" s="3" t="s">
        <v>884</v>
      </c>
      <c r="S619" s="33" t="s">
        <v>1017</v>
      </c>
      <c r="T619" s="3" t="s">
        <v>1018</v>
      </c>
      <c r="U619" s="24"/>
      <c r="V619" s="25" t="s">
        <v>887</v>
      </c>
      <c r="W619" s="3" t="s">
        <v>3482</v>
      </c>
      <c r="X619" s="3" t="s">
        <v>1396</v>
      </c>
      <c r="Y619" s="21"/>
      <c r="Z619" s="3">
        <v>2025</v>
      </c>
      <c r="AA619" s="2">
        <v>693171</v>
      </c>
      <c r="AB619" s="22"/>
      <c r="AC619" s="22">
        <v>693171</v>
      </c>
      <c r="AD619" s="2"/>
      <c r="AG619" s="1" t="s">
        <v>56</v>
      </c>
      <c r="AI619" s="22">
        <v>693171</v>
      </c>
    </row>
    <row r="620" spans="1:38" ht="14.45" customHeight="1" x14ac:dyDescent="0.2">
      <c r="A620" s="1" t="s">
        <v>57</v>
      </c>
      <c r="B620" s="9" t="s">
        <v>38</v>
      </c>
      <c r="C620" s="1" t="s">
        <v>58</v>
      </c>
      <c r="D620" s="1" t="s">
        <v>146</v>
      </c>
      <c r="E620" s="1" t="s">
        <v>42</v>
      </c>
      <c r="G620" s="1" t="s">
        <v>147</v>
      </c>
      <c r="H620" s="1" t="s">
        <v>148</v>
      </c>
      <c r="I620" s="1" t="s">
        <v>3483</v>
      </c>
      <c r="J620" s="1">
        <v>2020</v>
      </c>
      <c r="K620" s="1" t="s">
        <v>3484</v>
      </c>
      <c r="L620" s="1" t="s">
        <v>3485</v>
      </c>
      <c r="M620" s="1" t="s">
        <v>3486</v>
      </c>
      <c r="N620" s="1" t="s">
        <v>3487</v>
      </c>
      <c r="P620" s="1" t="s">
        <v>1715</v>
      </c>
      <c r="Q620" s="1" t="s">
        <v>264</v>
      </c>
      <c r="R620" s="1" t="s">
        <v>265</v>
      </c>
      <c r="S620" s="1" t="s">
        <v>542</v>
      </c>
      <c r="T620" s="1" t="s">
        <v>543</v>
      </c>
      <c r="U620" s="1">
        <v>1</v>
      </c>
      <c r="V620" s="1" t="s">
        <v>268</v>
      </c>
      <c r="W620" s="1" t="s">
        <v>3488</v>
      </c>
      <c r="X620" s="1" t="s">
        <v>153</v>
      </c>
      <c r="Y620" s="10">
        <v>44127</v>
      </c>
      <c r="Z620" s="1">
        <v>2020</v>
      </c>
      <c r="AA620" s="2">
        <v>151000</v>
      </c>
      <c r="AB620" s="2"/>
      <c r="AC620" s="2">
        <v>113250</v>
      </c>
      <c r="AD620" s="1">
        <v>0</v>
      </c>
      <c r="AF620" s="1">
        <v>0</v>
      </c>
      <c r="AG620" s="1" t="s">
        <v>56</v>
      </c>
      <c r="AH620" s="1" t="s">
        <v>154</v>
      </c>
      <c r="AI620" s="2">
        <v>84429.18</v>
      </c>
      <c r="AL620" s="1" t="s">
        <v>503</v>
      </c>
    </row>
    <row r="621" spans="1:38" ht="14.45" customHeight="1" x14ac:dyDescent="0.2">
      <c r="A621" s="1" t="s">
        <v>57</v>
      </c>
      <c r="B621" s="9" t="s">
        <v>38</v>
      </c>
      <c r="C621" s="1" t="s">
        <v>58</v>
      </c>
      <c r="D621" s="1" t="s">
        <v>146</v>
      </c>
      <c r="E621" s="1" t="s">
        <v>42</v>
      </c>
      <c r="G621" s="1" t="s">
        <v>147</v>
      </c>
      <c r="H621" s="1" t="s">
        <v>148</v>
      </c>
      <c r="I621" s="1" t="s">
        <v>3489</v>
      </c>
      <c r="J621" s="1">
        <v>2020</v>
      </c>
      <c r="K621" s="1" t="s">
        <v>3490</v>
      </c>
      <c r="L621" s="1" t="s">
        <v>3491</v>
      </c>
      <c r="M621" s="1" t="s">
        <v>3492</v>
      </c>
      <c r="N621" s="1" t="s">
        <v>3493</v>
      </c>
      <c r="P621" s="1" t="s">
        <v>1715</v>
      </c>
      <c r="Q621" s="1" t="s">
        <v>264</v>
      </c>
      <c r="R621" s="1" t="s">
        <v>265</v>
      </c>
      <c r="S621" s="1" t="s">
        <v>542</v>
      </c>
      <c r="T621" s="1" t="s">
        <v>543</v>
      </c>
      <c r="U621" s="1">
        <v>1</v>
      </c>
      <c r="V621" s="1" t="s">
        <v>268</v>
      </c>
      <c r="W621" s="1" t="s">
        <v>3494</v>
      </c>
      <c r="X621" s="1" t="s">
        <v>153</v>
      </c>
      <c r="Y621" s="10">
        <v>44127</v>
      </c>
      <c r="Z621" s="1">
        <v>2020</v>
      </c>
      <c r="AA621" s="2">
        <v>651000</v>
      </c>
      <c r="AB621" s="2"/>
      <c r="AC621" s="2">
        <v>488250</v>
      </c>
      <c r="AD621" s="1">
        <v>0</v>
      </c>
      <c r="AF621" s="1">
        <v>0</v>
      </c>
      <c r="AG621" s="1" t="s">
        <v>56</v>
      </c>
      <c r="AH621" s="1" t="s">
        <v>154</v>
      </c>
      <c r="AI621" s="2">
        <v>433079.07</v>
      </c>
      <c r="AL621" s="1" t="s">
        <v>503</v>
      </c>
    </row>
    <row r="622" spans="1:38" ht="14.45" hidden="1" customHeight="1" x14ac:dyDescent="0.2">
      <c r="A622" s="1" t="s">
        <v>57</v>
      </c>
      <c r="B622" s="9" t="s">
        <v>38</v>
      </c>
      <c r="C622" s="1" t="s">
        <v>58</v>
      </c>
      <c r="D622" s="1" t="s">
        <v>146</v>
      </c>
      <c r="E622" s="1" t="s">
        <v>42</v>
      </c>
      <c r="G622" s="1" t="s">
        <v>147</v>
      </c>
      <c r="H622" s="1" t="s">
        <v>148</v>
      </c>
      <c r="I622" s="1" t="s">
        <v>2884</v>
      </c>
      <c r="J622" s="1">
        <v>2020</v>
      </c>
      <c r="K622" s="1" t="s">
        <v>2885</v>
      </c>
      <c r="L622" s="1" t="s">
        <v>2886</v>
      </c>
      <c r="P622" s="1" t="s">
        <v>188</v>
      </c>
      <c r="Q622" s="1" t="s">
        <v>50</v>
      </c>
      <c r="R622" s="1" t="s">
        <v>68</v>
      </c>
      <c r="S622" s="1" t="s">
        <v>189</v>
      </c>
      <c r="T622" s="1" t="s">
        <v>190</v>
      </c>
      <c r="U622" s="1">
        <v>1</v>
      </c>
      <c r="V622" s="1" t="s">
        <v>71</v>
      </c>
      <c r="W622" s="1" t="s">
        <v>2886</v>
      </c>
      <c r="X622" s="1" t="s">
        <v>153</v>
      </c>
      <c r="Y622" s="10">
        <v>44127</v>
      </c>
      <c r="Z622" s="1">
        <v>2020</v>
      </c>
      <c r="AA622" s="2">
        <v>1320652</v>
      </c>
      <c r="AB622" s="2"/>
      <c r="AC622" s="2">
        <v>990489</v>
      </c>
      <c r="AD622" s="1">
        <v>0</v>
      </c>
      <c r="AG622" s="1" t="s">
        <v>56</v>
      </c>
      <c r="AH622" s="1" t="s">
        <v>1458</v>
      </c>
      <c r="AI622" s="2">
        <v>990489</v>
      </c>
      <c r="AL622" s="1" t="s">
        <v>1744</v>
      </c>
    </row>
    <row r="623" spans="1:38" ht="14.45" hidden="1" customHeight="1" x14ac:dyDescent="0.2">
      <c r="A623" s="1" t="s">
        <v>57</v>
      </c>
      <c r="B623" s="9" t="s">
        <v>38</v>
      </c>
      <c r="C623" s="1" t="s">
        <v>58</v>
      </c>
      <c r="D623" s="1" t="s">
        <v>146</v>
      </c>
      <c r="E623" s="1" t="s">
        <v>42</v>
      </c>
      <c r="G623" s="1" t="s">
        <v>147</v>
      </c>
      <c r="H623" s="1" t="s">
        <v>148</v>
      </c>
      <c r="I623" s="1" t="s">
        <v>2884</v>
      </c>
      <c r="J623" s="1">
        <v>2020</v>
      </c>
      <c r="K623" s="1" t="s">
        <v>2885</v>
      </c>
      <c r="L623" s="1" t="s">
        <v>2886</v>
      </c>
      <c r="P623" s="1" t="s">
        <v>3495</v>
      </c>
      <c r="Q623" s="1" t="s">
        <v>50</v>
      </c>
      <c r="R623" s="1" t="s">
        <v>68</v>
      </c>
      <c r="S623" s="1" t="s">
        <v>1876</v>
      </c>
      <c r="T623" s="1" t="s">
        <v>1877</v>
      </c>
      <c r="U623" s="1">
        <v>1</v>
      </c>
      <c r="V623" s="1" t="s">
        <v>71</v>
      </c>
      <c r="W623" s="1" t="s">
        <v>2886</v>
      </c>
      <c r="X623" s="1" t="s">
        <v>153</v>
      </c>
      <c r="Y623" s="10">
        <v>44127</v>
      </c>
      <c r="Z623" s="1">
        <v>2020</v>
      </c>
      <c r="AA623" s="2">
        <v>131187.78</v>
      </c>
      <c r="AB623" s="2"/>
      <c r="AC623" s="2">
        <v>98390.834999999992</v>
      </c>
      <c r="AD623" s="1">
        <v>0</v>
      </c>
      <c r="AG623" s="1" t="s">
        <v>56</v>
      </c>
      <c r="AH623" s="1" t="s">
        <v>1458</v>
      </c>
      <c r="AI623" s="2">
        <v>98390.834999999992</v>
      </c>
      <c r="AL623" s="1" t="s">
        <v>1744</v>
      </c>
    </row>
    <row r="624" spans="1:38" ht="14.45" customHeight="1" x14ac:dyDescent="0.2">
      <c r="A624" s="1" t="s">
        <v>57</v>
      </c>
      <c r="B624" s="9" t="s">
        <v>38</v>
      </c>
      <c r="C624" s="1" t="s">
        <v>58</v>
      </c>
      <c r="D624" s="1" t="s">
        <v>146</v>
      </c>
      <c r="E624" s="1" t="s">
        <v>42</v>
      </c>
      <c r="G624" s="1" t="s">
        <v>147</v>
      </c>
      <c r="H624" s="1" t="s">
        <v>148</v>
      </c>
      <c r="I624" s="1" t="s">
        <v>3496</v>
      </c>
      <c r="J624" s="1">
        <v>2020</v>
      </c>
      <c r="K624" s="1" t="s">
        <v>3497</v>
      </c>
      <c r="L624" s="1" t="s">
        <v>3498</v>
      </c>
      <c r="M624" s="1" t="s">
        <v>3499</v>
      </c>
      <c r="N624" s="1" t="s">
        <v>3500</v>
      </c>
      <c r="P624" s="1" t="s">
        <v>1715</v>
      </c>
      <c r="Q624" s="1" t="s">
        <v>264</v>
      </c>
      <c r="R624" s="1" t="s">
        <v>265</v>
      </c>
      <c r="S624" s="1" t="s">
        <v>542</v>
      </c>
      <c r="T624" s="1" t="s">
        <v>543</v>
      </c>
      <c r="U624" s="1">
        <v>1</v>
      </c>
      <c r="V624" s="1" t="s">
        <v>268</v>
      </c>
      <c r="W624" s="1" t="s">
        <v>3501</v>
      </c>
      <c r="X624" s="1" t="s">
        <v>153</v>
      </c>
      <c r="Y624" s="10">
        <v>44127</v>
      </c>
      <c r="Z624" s="1">
        <v>2020</v>
      </c>
      <c r="AA624" s="2">
        <v>590000</v>
      </c>
      <c r="AB624" s="2"/>
      <c r="AC624" s="2">
        <v>442500</v>
      </c>
      <c r="AD624" s="1">
        <v>0</v>
      </c>
      <c r="AF624" s="1">
        <v>0</v>
      </c>
      <c r="AG624" s="1" t="s">
        <v>56</v>
      </c>
      <c r="AH624" s="1" t="s">
        <v>154</v>
      </c>
      <c r="AI624" s="2">
        <v>429371.24</v>
      </c>
      <c r="AL624" s="1" t="s">
        <v>1744</v>
      </c>
    </row>
    <row r="625" spans="1:38" ht="14.45" customHeight="1" x14ac:dyDescent="0.25">
      <c r="A625" s="1" t="s">
        <v>57</v>
      </c>
      <c r="B625" s="20" t="s">
        <v>38</v>
      </c>
      <c r="C625" s="3" t="s">
        <v>58</v>
      </c>
      <c r="D625" s="1" t="s">
        <v>146</v>
      </c>
      <c r="E625" s="1" t="s">
        <v>42</v>
      </c>
      <c r="G625" s="1" t="s">
        <v>1673</v>
      </c>
      <c r="H625" s="1" t="s">
        <v>156</v>
      </c>
      <c r="I625" s="3" t="s">
        <v>3502</v>
      </c>
      <c r="J625" s="1">
        <v>2023</v>
      </c>
      <c r="K625" s="1" t="s">
        <v>3503</v>
      </c>
      <c r="L625" s="1" t="s">
        <v>3504</v>
      </c>
      <c r="M625" s="1" t="s">
        <v>3505</v>
      </c>
      <c r="P625" s="1" t="s">
        <v>3506</v>
      </c>
      <c r="Q625" s="1" t="s">
        <v>1149</v>
      </c>
      <c r="R625" s="1" t="s">
        <v>1150</v>
      </c>
      <c r="S625" s="1" t="s">
        <v>3507</v>
      </c>
      <c r="T625" s="1" t="s">
        <v>3508</v>
      </c>
      <c r="U625" s="24"/>
      <c r="V625" s="3" t="s">
        <v>1537</v>
      </c>
      <c r="W625" s="3" t="s">
        <v>3509</v>
      </c>
      <c r="X625" s="3" t="s">
        <v>3097</v>
      </c>
      <c r="Y625" s="21">
        <v>45799</v>
      </c>
      <c r="Z625" s="3">
        <v>2025</v>
      </c>
      <c r="AA625" s="22">
        <v>1382311.45</v>
      </c>
      <c r="AB625" s="22"/>
      <c r="AC625" s="22">
        <v>1382311.45</v>
      </c>
      <c r="AD625" s="2"/>
      <c r="AG625" s="1" t="s">
        <v>56</v>
      </c>
      <c r="AI625" s="22">
        <v>1382311.45</v>
      </c>
    </row>
    <row r="626" spans="1:38" ht="14.45" customHeight="1" x14ac:dyDescent="0.2">
      <c r="A626" s="1" t="s">
        <v>57</v>
      </c>
      <c r="B626" s="9" t="s">
        <v>38</v>
      </c>
      <c r="C626" s="1" t="s">
        <v>58</v>
      </c>
      <c r="D626" s="1" t="s">
        <v>146</v>
      </c>
      <c r="E626" s="1" t="s">
        <v>42</v>
      </c>
      <c r="G626" s="1" t="s">
        <v>147</v>
      </c>
      <c r="H626" s="1" t="s">
        <v>148</v>
      </c>
      <c r="I626" s="1" t="s">
        <v>3510</v>
      </c>
      <c r="J626" s="1">
        <v>2020</v>
      </c>
      <c r="K626" s="1" t="s">
        <v>3511</v>
      </c>
      <c r="L626" s="1" t="s">
        <v>3512</v>
      </c>
      <c r="M626" s="1" t="s">
        <v>3513</v>
      </c>
      <c r="N626" s="1" t="s">
        <v>3514</v>
      </c>
      <c r="P626" s="1" t="s">
        <v>1715</v>
      </c>
      <c r="Q626" s="1" t="s">
        <v>264</v>
      </c>
      <c r="R626" s="1" t="s">
        <v>265</v>
      </c>
      <c r="S626" s="1" t="s">
        <v>542</v>
      </c>
      <c r="T626" s="1" t="s">
        <v>543</v>
      </c>
      <c r="U626" s="1">
        <v>1</v>
      </c>
      <c r="V626" s="1" t="s">
        <v>268</v>
      </c>
      <c r="W626" s="1" t="s">
        <v>3515</v>
      </c>
      <c r="X626" s="1" t="s">
        <v>153</v>
      </c>
      <c r="Y626" s="10">
        <v>44127</v>
      </c>
      <c r="Z626" s="1">
        <v>2020</v>
      </c>
      <c r="AA626" s="2">
        <v>150000</v>
      </c>
      <c r="AB626" s="2"/>
      <c r="AC626" s="2">
        <v>112500</v>
      </c>
      <c r="AD626" s="1">
        <v>0</v>
      </c>
      <c r="AF626" s="1">
        <v>0</v>
      </c>
      <c r="AG626" s="1" t="s">
        <v>56</v>
      </c>
      <c r="AH626" s="1" t="s">
        <v>154</v>
      </c>
      <c r="AI626" s="2">
        <v>112060.1</v>
      </c>
      <c r="AL626" s="1" t="s">
        <v>503</v>
      </c>
    </row>
    <row r="627" spans="1:38" ht="14.45" hidden="1" customHeight="1" x14ac:dyDescent="0.2">
      <c r="A627" s="1" t="s">
        <v>57</v>
      </c>
      <c r="B627" s="9" t="s">
        <v>38</v>
      </c>
      <c r="C627" s="1" t="s">
        <v>58</v>
      </c>
      <c r="D627" s="1" t="s">
        <v>146</v>
      </c>
      <c r="E627" s="1" t="s">
        <v>42</v>
      </c>
      <c r="G627" s="1" t="s">
        <v>147</v>
      </c>
      <c r="H627" s="1" t="s">
        <v>148</v>
      </c>
      <c r="I627" s="1" t="s">
        <v>3516</v>
      </c>
      <c r="J627" s="1">
        <v>2020</v>
      </c>
      <c r="K627" s="1" t="s">
        <v>3517</v>
      </c>
      <c r="L627" s="1" t="s">
        <v>3518</v>
      </c>
      <c r="P627" s="1" t="s">
        <v>3381</v>
      </c>
      <c r="Q627" s="1" t="s">
        <v>50</v>
      </c>
      <c r="R627" s="1" t="s">
        <v>68</v>
      </c>
      <c r="S627" s="1" t="s">
        <v>1203</v>
      </c>
      <c r="T627" s="1" t="str">
        <f>VLOOKUP(S627,[5]CON_INE_2024!$H$5:$I$8135,2,FALSE)</f>
        <v>24134</v>
      </c>
      <c r="U627" s="1">
        <v>1</v>
      </c>
      <c r="V627" s="1" t="s">
        <v>195</v>
      </c>
      <c r="W627" s="1" t="s">
        <v>3517</v>
      </c>
      <c r="X627" s="1" t="s">
        <v>153</v>
      </c>
      <c r="Y627" s="10">
        <v>44127</v>
      </c>
      <c r="Z627" s="1">
        <v>2020</v>
      </c>
      <c r="AA627" s="2">
        <v>131139.99</v>
      </c>
      <c r="AB627" s="2"/>
      <c r="AC627" s="2">
        <v>98354.992499999993</v>
      </c>
      <c r="AD627" s="1">
        <v>0</v>
      </c>
      <c r="AG627" s="1" t="s">
        <v>56</v>
      </c>
      <c r="AH627" s="1" t="s">
        <v>154</v>
      </c>
      <c r="AI627" s="2">
        <v>98354.992499999993</v>
      </c>
      <c r="AL627" s="1" t="s">
        <v>503</v>
      </c>
    </row>
    <row r="628" spans="1:38" ht="14.45" hidden="1" customHeight="1" x14ac:dyDescent="0.2">
      <c r="A628" s="1" t="s">
        <v>57</v>
      </c>
      <c r="B628" s="9" t="s">
        <v>38</v>
      </c>
      <c r="C628" s="1" t="s">
        <v>58</v>
      </c>
      <c r="D628" s="1" t="s">
        <v>146</v>
      </c>
      <c r="E628" s="1" t="s">
        <v>42</v>
      </c>
      <c r="G628" s="1" t="s">
        <v>147</v>
      </c>
      <c r="H628" s="1" t="s">
        <v>148</v>
      </c>
      <c r="I628" s="1" t="s">
        <v>3516</v>
      </c>
      <c r="J628" s="1">
        <v>2020</v>
      </c>
      <c r="K628" s="1" t="s">
        <v>3517</v>
      </c>
      <c r="L628" s="1" t="s">
        <v>3519</v>
      </c>
      <c r="P628" s="1" t="s">
        <v>188</v>
      </c>
      <c r="Q628" s="1" t="s">
        <v>50</v>
      </c>
      <c r="R628" s="1" t="s">
        <v>68</v>
      </c>
      <c r="S628" s="1" t="s">
        <v>189</v>
      </c>
      <c r="T628" s="1" t="str">
        <f>VLOOKUP(S628,[5]CON_INE_2024!$H$5:$I$8135,2,FALSE)</f>
        <v>24202</v>
      </c>
      <c r="U628" s="1">
        <v>1</v>
      </c>
      <c r="V628" s="1" t="s">
        <v>71</v>
      </c>
      <c r="W628" s="1" t="s">
        <v>3517</v>
      </c>
      <c r="X628" s="1" t="s">
        <v>153</v>
      </c>
      <c r="Y628" s="10">
        <v>44127</v>
      </c>
      <c r="Z628" s="1">
        <v>2020</v>
      </c>
      <c r="AA628" s="2">
        <v>131139.99</v>
      </c>
      <c r="AB628" s="2"/>
      <c r="AC628" s="2">
        <v>98354.992499999993</v>
      </c>
      <c r="AD628" s="1">
        <v>0</v>
      </c>
      <c r="AG628" s="1" t="s">
        <v>56</v>
      </c>
      <c r="AH628" s="1" t="s">
        <v>154</v>
      </c>
      <c r="AI628" s="2">
        <v>98354.992499999993</v>
      </c>
      <c r="AL628" s="1" t="s">
        <v>503</v>
      </c>
    </row>
    <row r="629" spans="1:38" ht="12.6" hidden="1" customHeight="1" x14ac:dyDescent="0.2">
      <c r="A629" s="1" t="s">
        <v>57</v>
      </c>
      <c r="B629" s="9" t="s">
        <v>38</v>
      </c>
      <c r="C629" s="1" t="s">
        <v>58</v>
      </c>
      <c r="D629" s="1" t="s">
        <v>146</v>
      </c>
      <c r="E629" s="1" t="s">
        <v>42</v>
      </c>
      <c r="G629" s="1" t="s">
        <v>147</v>
      </c>
      <c r="H629" s="1" t="s">
        <v>148</v>
      </c>
      <c r="I629" s="1" t="s">
        <v>3516</v>
      </c>
      <c r="J629" s="1">
        <v>2020</v>
      </c>
      <c r="K629" s="1" t="s">
        <v>3517</v>
      </c>
      <c r="L629" s="1" t="s">
        <v>3520</v>
      </c>
      <c r="P629" s="1" t="s">
        <v>3360</v>
      </c>
      <c r="Q629" s="1" t="s">
        <v>50</v>
      </c>
      <c r="R629" s="1" t="s">
        <v>77</v>
      </c>
      <c r="S629" s="1" t="s">
        <v>198</v>
      </c>
      <c r="T629" s="1" t="str">
        <f>VLOOKUP(S629,[5]CON_INE_2024!$H$5:$I$8135,2,FALSE)</f>
        <v>34080</v>
      </c>
      <c r="U629" s="1">
        <v>1</v>
      </c>
      <c r="V629" s="1" t="s">
        <v>186</v>
      </c>
      <c r="W629" s="1" t="s">
        <v>3517</v>
      </c>
      <c r="X629" s="1" t="s">
        <v>153</v>
      </c>
      <c r="Y629" s="10">
        <v>44127</v>
      </c>
      <c r="Z629" s="1">
        <v>2020</v>
      </c>
      <c r="AA629" s="2">
        <v>117176.18</v>
      </c>
      <c r="AB629" s="2"/>
      <c r="AC629" s="2">
        <v>87882.134999999995</v>
      </c>
      <c r="AD629" s="1">
        <v>0</v>
      </c>
      <c r="AG629" s="1" t="s">
        <v>56</v>
      </c>
      <c r="AH629" s="1" t="s">
        <v>154</v>
      </c>
      <c r="AI629" s="2">
        <v>87882.134999999995</v>
      </c>
      <c r="AL629" s="1" t="s">
        <v>503</v>
      </c>
    </row>
    <row r="630" spans="1:38" ht="12.6" customHeight="1" x14ac:dyDescent="0.2">
      <c r="A630" s="1" t="s">
        <v>57</v>
      </c>
      <c r="B630" s="9" t="s">
        <v>38</v>
      </c>
      <c r="C630" s="1" t="s">
        <v>58</v>
      </c>
      <c r="D630" s="1" t="s">
        <v>146</v>
      </c>
      <c r="E630" s="1" t="s">
        <v>42</v>
      </c>
      <c r="G630" s="1" t="s">
        <v>147</v>
      </c>
      <c r="H630" s="1" t="s">
        <v>148</v>
      </c>
      <c r="I630" s="1" t="s">
        <v>3521</v>
      </c>
      <c r="J630" s="1">
        <v>2020</v>
      </c>
      <c r="K630" s="1" t="s">
        <v>3522</v>
      </c>
      <c r="L630" s="1" t="s">
        <v>3523</v>
      </c>
      <c r="M630" s="1" t="s">
        <v>3524</v>
      </c>
      <c r="N630" s="1" t="s">
        <v>3525</v>
      </c>
      <c r="P630" s="1" t="s">
        <v>1715</v>
      </c>
      <c r="Q630" s="1" t="s">
        <v>264</v>
      </c>
      <c r="R630" s="1" t="s">
        <v>265</v>
      </c>
      <c r="S630" s="1" t="s">
        <v>542</v>
      </c>
      <c r="T630" s="1" t="s">
        <v>543</v>
      </c>
      <c r="U630" s="1">
        <v>1</v>
      </c>
      <c r="V630" s="1" t="s">
        <v>268</v>
      </c>
      <c r="W630" s="1" t="s">
        <v>3526</v>
      </c>
      <c r="X630" s="1" t="s">
        <v>153</v>
      </c>
      <c r="Y630" s="10">
        <v>44127</v>
      </c>
      <c r="Z630" s="1">
        <v>2020</v>
      </c>
      <c r="AA630" s="2">
        <v>150000</v>
      </c>
      <c r="AB630" s="2"/>
      <c r="AC630" s="2">
        <v>112500</v>
      </c>
      <c r="AD630" s="1">
        <v>0</v>
      </c>
      <c r="AF630" s="1">
        <v>0</v>
      </c>
      <c r="AG630" s="1" t="s">
        <v>56</v>
      </c>
      <c r="AH630" s="1" t="s">
        <v>154</v>
      </c>
      <c r="AI630" s="2">
        <v>105176.27</v>
      </c>
      <c r="AL630" s="1" t="s">
        <v>503</v>
      </c>
    </row>
    <row r="631" spans="1:38" ht="12.6" customHeight="1" x14ac:dyDescent="0.25">
      <c r="A631" s="1" t="s">
        <v>57</v>
      </c>
      <c r="B631" s="20" t="s">
        <v>38</v>
      </c>
      <c r="C631" s="3" t="s">
        <v>58</v>
      </c>
      <c r="D631" s="1" t="s">
        <v>146</v>
      </c>
      <c r="E631" s="1" t="s">
        <v>42</v>
      </c>
      <c r="G631" s="1" t="s">
        <v>1673</v>
      </c>
      <c r="H631" s="1" t="s">
        <v>156</v>
      </c>
      <c r="I631" s="3" t="s">
        <v>3527</v>
      </c>
      <c r="J631" s="1">
        <v>2023</v>
      </c>
      <c r="K631" s="1" t="s">
        <v>3528</v>
      </c>
      <c r="L631" s="1" t="s">
        <v>3529</v>
      </c>
      <c r="M631" s="1" t="s">
        <v>1240</v>
      </c>
      <c r="P631" s="1" t="s">
        <v>3530</v>
      </c>
      <c r="Q631" s="1" t="s">
        <v>842</v>
      </c>
      <c r="R631" s="1" t="s">
        <v>884</v>
      </c>
      <c r="S631" s="3" t="s">
        <v>1793</v>
      </c>
      <c r="T631" s="3" t="s">
        <v>1794</v>
      </c>
      <c r="U631" s="24"/>
      <c r="V631" s="3" t="s">
        <v>887</v>
      </c>
      <c r="W631" s="3" t="s">
        <v>3531</v>
      </c>
      <c r="X631" s="3" t="s">
        <v>1396</v>
      </c>
      <c r="Y631" s="21">
        <v>45800</v>
      </c>
      <c r="Z631" s="3">
        <v>2025</v>
      </c>
      <c r="AA631" s="22">
        <v>2081977.71</v>
      </c>
      <c r="AB631" s="22"/>
      <c r="AC631" s="22">
        <v>2081977.71</v>
      </c>
      <c r="AD631" s="2"/>
      <c r="AG631" s="1" t="s">
        <v>56</v>
      </c>
      <c r="AI631" s="22">
        <v>2081977.71</v>
      </c>
    </row>
    <row r="632" spans="1:38" ht="14.45" customHeight="1" x14ac:dyDescent="0.25">
      <c r="A632" s="1" t="s">
        <v>57</v>
      </c>
      <c r="B632" s="20" t="s">
        <v>38</v>
      </c>
      <c r="C632" s="3" t="s">
        <v>58</v>
      </c>
      <c r="D632" s="1" t="s">
        <v>146</v>
      </c>
      <c r="E632" s="1" t="s">
        <v>42</v>
      </c>
      <c r="G632" s="1" t="s">
        <v>1673</v>
      </c>
      <c r="H632" s="1" t="s">
        <v>156</v>
      </c>
      <c r="I632" s="3" t="s">
        <v>3532</v>
      </c>
      <c r="J632" s="1">
        <v>2023</v>
      </c>
      <c r="K632" s="1" t="s">
        <v>3533</v>
      </c>
      <c r="L632" s="1" t="s">
        <v>3534</v>
      </c>
      <c r="M632" s="1" t="s">
        <v>1240</v>
      </c>
      <c r="P632" s="1" t="s">
        <v>3535</v>
      </c>
      <c r="Q632" s="1" t="s">
        <v>842</v>
      </c>
      <c r="R632" s="1" t="s">
        <v>884</v>
      </c>
      <c r="S632" s="3" t="s">
        <v>1926</v>
      </c>
      <c r="T632" s="3" t="s">
        <v>1927</v>
      </c>
      <c r="U632" s="24"/>
      <c r="V632" s="3" t="s">
        <v>887</v>
      </c>
      <c r="W632" s="3" t="s">
        <v>3536</v>
      </c>
      <c r="X632" s="3" t="s">
        <v>1396</v>
      </c>
      <c r="Y632" s="21">
        <v>45799</v>
      </c>
      <c r="Z632" s="3">
        <v>2025</v>
      </c>
      <c r="AA632" s="22">
        <v>956754.63</v>
      </c>
      <c r="AB632" s="22"/>
      <c r="AC632" s="22">
        <v>956754.63</v>
      </c>
      <c r="AD632" s="2"/>
      <c r="AG632" s="1" t="s">
        <v>56</v>
      </c>
      <c r="AI632" s="22">
        <v>956754.63</v>
      </c>
    </row>
    <row r="633" spans="1:38" ht="14.45" customHeight="1" x14ac:dyDescent="0.2">
      <c r="A633" s="1" t="s">
        <v>57</v>
      </c>
      <c r="B633" s="9" t="s">
        <v>38</v>
      </c>
      <c r="C633" s="1" t="s">
        <v>58</v>
      </c>
      <c r="D633" s="1" t="s">
        <v>146</v>
      </c>
      <c r="E633" s="1" t="s">
        <v>42</v>
      </c>
      <c r="G633" s="1" t="s">
        <v>155</v>
      </c>
      <c r="H633" s="1" t="s">
        <v>156</v>
      </c>
      <c r="I633" s="1" t="s">
        <v>3537</v>
      </c>
      <c r="J633" s="1">
        <v>2022</v>
      </c>
      <c r="K633" s="1" t="s">
        <v>3538</v>
      </c>
      <c r="L633" s="1" t="s">
        <v>3539</v>
      </c>
      <c r="M633" s="1" t="s">
        <v>3540</v>
      </c>
      <c r="P633" s="1" t="s">
        <v>3463</v>
      </c>
      <c r="Q633" s="1" t="s">
        <v>842</v>
      </c>
      <c r="R633" s="1" t="s">
        <v>884</v>
      </c>
      <c r="S633" s="1" t="s">
        <v>2669</v>
      </c>
      <c r="T633" s="1" t="s">
        <v>2670</v>
      </c>
      <c r="V633" s="1" t="s">
        <v>887</v>
      </c>
      <c r="W633" s="1" t="s">
        <v>3541</v>
      </c>
      <c r="Y633" s="10">
        <v>45112</v>
      </c>
      <c r="Z633" s="1">
        <v>2023</v>
      </c>
      <c r="AA633" s="2">
        <v>1683750.17</v>
      </c>
      <c r="AB633" s="2"/>
      <c r="AC633" s="2">
        <v>1683750.17</v>
      </c>
      <c r="AG633" s="1" t="s">
        <v>56</v>
      </c>
      <c r="AI633" s="2">
        <v>1683750.17</v>
      </c>
    </row>
    <row r="634" spans="1:38" ht="14.45" customHeight="1" x14ac:dyDescent="0.2">
      <c r="A634" s="1" t="s">
        <v>57</v>
      </c>
      <c r="B634" s="9" t="s">
        <v>38</v>
      </c>
      <c r="C634" s="1" t="s">
        <v>58</v>
      </c>
      <c r="D634" s="1" t="s">
        <v>146</v>
      </c>
      <c r="E634" s="1" t="s">
        <v>42</v>
      </c>
      <c r="G634" s="1" t="s">
        <v>155</v>
      </c>
      <c r="H634" s="1" t="s">
        <v>156</v>
      </c>
      <c r="I634" s="1" t="s">
        <v>3542</v>
      </c>
      <c r="J634" s="1">
        <v>2022</v>
      </c>
      <c r="K634" s="1" t="s">
        <v>3543</v>
      </c>
      <c r="L634" s="1" t="s">
        <v>3544</v>
      </c>
      <c r="P634" s="1" t="s">
        <v>3364</v>
      </c>
      <c r="Q634" s="1" t="s">
        <v>264</v>
      </c>
      <c r="R634" s="1" t="s">
        <v>265</v>
      </c>
      <c r="S634" s="1" t="s">
        <v>656</v>
      </c>
      <c r="T634" s="1" t="s">
        <v>657</v>
      </c>
      <c r="U634" s="1">
        <v>2</v>
      </c>
      <c r="V634" s="1" t="s">
        <v>268</v>
      </c>
      <c r="W634" s="1" t="s">
        <v>3545</v>
      </c>
      <c r="Y634" s="10">
        <v>45112</v>
      </c>
      <c r="Z634" s="1">
        <v>2023</v>
      </c>
      <c r="AA634" s="2">
        <v>1289185.69</v>
      </c>
      <c r="AB634" s="2"/>
      <c r="AC634" s="2">
        <v>1289185.69</v>
      </c>
      <c r="AG634" s="1" t="s">
        <v>56</v>
      </c>
      <c r="AI634" s="2">
        <v>1289185.69</v>
      </c>
    </row>
    <row r="635" spans="1:38" ht="14.45" customHeight="1" x14ac:dyDescent="0.25">
      <c r="A635" s="1" t="s">
        <v>57</v>
      </c>
      <c r="B635" s="20" t="s">
        <v>38</v>
      </c>
      <c r="C635" s="3" t="s">
        <v>58</v>
      </c>
      <c r="D635" s="1" t="s">
        <v>146</v>
      </c>
      <c r="E635" s="1" t="s">
        <v>42</v>
      </c>
      <c r="G635" s="1" t="s">
        <v>1673</v>
      </c>
      <c r="H635" s="1" t="s">
        <v>156</v>
      </c>
      <c r="I635" s="3" t="s">
        <v>3546</v>
      </c>
      <c r="J635" s="1">
        <v>2024</v>
      </c>
      <c r="K635" s="1" t="s">
        <v>3547</v>
      </c>
      <c r="L635" s="1" t="s">
        <v>3548</v>
      </c>
      <c r="M635" s="1" t="s">
        <v>1240</v>
      </c>
      <c r="P635" s="1" t="s">
        <v>3549</v>
      </c>
      <c r="Q635" s="1" t="s">
        <v>110</v>
      </c>
      <c r="R635" s="1" t="s">
        <v>111</v>
      </c>
      <c r="S635" s="3" t="s">
        <v>3550</v>
      </c>
      <c r="T635" s="3" t="s">
        <v>3551</v>
      </c>
      <c r="U635" s="24"/>
      <c r="V635" s="3" t="s">
        <v>114</v>
      </c>
      <c r="W635" s="3" t="s">
        <v>3552</v>
      </c>
      <c r="X635" s="3" t="s">
        <v>1396</v>
      </c>
      <c r="Y635" s="21">
        <v>45799</v>
      </c>
      <c r="Z635" s="3">
        <v>2025</v>
      </c>
      <c r="AA635" s="22">
        <v>756422.46</v>
      </c>
      <c r="AB635" s="22"/>
      <c r="AC635" s="22">
        <v>756422.46</v>
      </c>
      <c r="AD635" s="2"/>
      <c r="AG635" s="1" t="s">
        <v>56</v>
      </c>
      <c r="AI635" s="22">
        <v>756422.46</v>
      </c>
    </row>
    <row r="636" spans="1:38" ht="14.45" customHeight="1" x14ac:dyDescent="0.2">
      <c r="A636" s="1" t="s">
        <v>57</v>
      </c>
      <c r="B636" s="9" t="s">
        <v>38</v>
      </c>
      <c r="C636" s="1" t="s">
        <v>58</v>
      </c>
      <c r="D636" s="1" t="s">
        <v>146</v>
      </c>
      <c r="E636" s="1" t="s">
        <v>42</v>
      </c>
      <c r="G636" s="1" t="s">
        <v>155</v>
      </c>
      <c r="H636" s="1" t="s">
        <v>156</v>
      </c>
      <c r="I636" s="1" t="s">
        <v>3553</v>
      </c>
      <c r="J636" s="1">
        <v>2022</v>
      </c>
      <c r="K636" s="1" t="s">
        <v>3554</v>
      </c>
      <c r="L636" s="1" t="s">
        <v>3555</v>
      </c>
      <c r="M636" s="1" t="s">
        <v>3540</v>
      </c>
      <c r="P636" s="1" t="s">
        <v>3556</v>
      </c>
      <c r="Q636" s="1" t="s">
        <v>842</v>
      </c>
      <c r="R636" s="1" t="s">
        <v>884</v>
      </c>
      <c r="S636" s="1" t="s">
        <v>1017</v>
      </c>
      <c r="T636" s="1" t="s">
        <v>1018</v>
      </c>
      <c r="V636" s="1" t="s">
        <v>887</v>
      </c>
      <c r="W636" s="1" t="s">
        <v>3557</v>
      </c>
      <c r="Y636" s="10">
        <v>45112</v>
      </c>
      <c r="Z636" s="1">
        <v>2023</v>
      </c>
      <c r="AA636" s="2">
        <v>495669.27</v>
      </c>
      <c r="AB636" s="2"/>
      <c r="AC636" s="2">
        <v>495669.27</v>
      </c>
      <c r="AG636" s="1" t="s">
        <v>56</v>
      </c>
      <c r="AI636" s="2">
        <v>495669.27</v>
      </c>
    </row>
    <row r="637" spans="1:38" ht="14.45" customHeight="1" x14ac:dyDescent="0.2">
      <c r="A637" s="1" t="s">
        <v>57</v>
      </c>
      <c r="B637" s="9" t="s">
        <v>38</v>
      </c>
      <c r="C637" s="1" t="s">
        <v>58</v>
      </c>
      <c r="D637" s="1" t="s">
        <v>146</v>
      </c>
      <c r="E637" s="1" t="s">
        <v>42</v>
      </c>
      <c r="G637" s="1" t="s">
        <v>147</v>
      </c>
      <c r="H637" s="1" t="s">
        <v>148</v>
      </c>
      <c r="I637" s="1" t="s">
        <v>3558</v>
      </c>
      <c r="J637" s="1">
        <v>2020</v>
      </c>
      <c r="K637" s="1" t="s">
        <v>3559</v>
      </c>
      <c r="L637" s="1" t="s">
        <v>3560</v>
      </c>
      <c r="M637" s="1" t="s">
        <v>3561</v>
      </c>
      <c r="N637" s="1" t="s">
        <v>3562</v>
      </c>
      <c r="P637" s="1" t="s">
        <v>1715</v>
      </c>
      <c r="Q637" s="1" t="s">
        <v>264</v>
      </c>
      <c r="R637" s="1" t="s">
        <v>265</v>
      </c>
      <c r="S637" s="1" t="s">
        <v>542</v>
      </c>
      <c r="T637" s="1" t="s">
        <v>543</v>
      </c>
      <c r="U637" s="1">
        <v>1</v>
      </c>
      <c r="V637" s="1" t="s">
        <v>268</v>
      </c>
      <c r="W637" s="1" t="s">
        <v>3563</v>
      </c>
      <c r="X637" s="1" t="s">
        <v>153</v>
      </c>
      <c r="Y637" s="10">
        <v>44127</v>
      </c>
      <c r="Z637" s="1">
        <v>2020</v>
      </c>
      <c r="AA637" s="2">
        <v>150000</v>
      </c>
      <c r="AB637" s="2"/>
      <c r="AC637" s="2">
        <v>112500</v>
      </c>
      <c r="AD637" s="1">
        <v>0</v>
      </c>
      <c r="AF637" s="1">
        <v>0</v>
      </c>
      <c r="AG637" s="1" t="s">
        <v>56</v>
      </c>
      <c r="AH637" s="1" t="s">
        <v>154</v>
      </c>
      <c r="AI637" s="2">
        <v>111443.36</v>
      </c>
      <c r="AL637" s="1" t="s">
        <v>503</v>
      </c>
    </row>
    <row r="638" spans="1:38" ht="14.45" customHeight="1" x14ac:dyDescent="0.2">
      <c r="A638" s="1" t="s">
        <v>57</v>
      </c>
      <c r="B638" s="9" t="s">
        <v>38</v>
      </c>
      <c r="C638" s="1" t="s">
        <v>58</v>
      </c>
      <c r="D638" s="1" t="s">
        <v>146</v>
      </c>
      <c r="E638" s="1" t="s">
        <v>42</v>
      </c>
      <c r="G638" s="1" t="s">
        <v>147</v>
      </c>
      <c r="H638" s="1" t="s">
        <v>148</v>
      </c>
      <c r="I638" s="1" t="s">
        <v>3564</v>
      </c>
      <c r="J638" s="1">
        <v>2020</v>
      </c>
      <c r="K638" s="1" t="s">
        <v>3565</v>
      </c>
      <c r="L638" s="1" t="s">
        <v>3566</v>
      </c>
      <c r="M638" s="1" t="s">
        <v>3567</v>
      </c>
      <c r="N638" s="1" t="s">
        <v>3568</v>
      </c>
      <c r="P638" s="1" t="s">
        <v>1715</v>
      </c>
      <c r="Q638" s="1" t="s">
        <v>264</v>
      </c>
      <c r="R638" s="1" t="s">
        <v>265</v>
      </c>
      <c r="S638" s="1" t="s">
        <v>542</v>
      </c>
      <c r="T638" s="1" t="s">
        <v>543</v>
      </c>
      <c r="U638" s="1">
        <v>1</v>
      </c>
      <c r="V638" s="1" t="s">
        <v>268</v>
      </c>
      <c r="W638" s="1" t="s">
        <v>3569</v>
      </c>
      <c r="X638" s="1" t="s">
        <v>153</v>
      </c>
      <c r="Y638" s="10">
        <v>44127</v>
      </c>
      <c r="Z638" s="1">
        <v>2020</v>
      </c>
      <c r="AA638" s="2">
        <v>150000</v>
      </c>
      <c r="AB638" s="2"/>
      <c r="AC638" s="2">
        <v>112500</v>
      </c>
      <c r="AD638" s="1">
        <v>0</v>
      </c>
      <c r="AF638" s="1">
        <v>0</v>
      </c>
      <c r="AG638" s="1" t="s">
        <v>56</v>
      </c>
      <c r="AH638" s="1" t="s">
        <v>154</v>
      </c>
      <c r="AI638" s="2">
        <v>104491.9</v>
      </c>
      <c r="AL638" s="1" t="s">
        <v>503</v>
      </c>
    </row>
    <row r="639" spans="1:38" ht="14.45" customHeight="1" x14ac:dyDescent="0.2">
      <c r="A639" s="1" t="s">
        <v>57</v>
      </c>
      <c r="B639" s="9" t="s">
        <v>38</v>
      </c>
      <c r="C639" s="1" t="s">
        <v>58</v>
      </c>
      <c r="D639" s="1" t="s">
        <v>146</v>
      </c>
      <c r="E639" s="1" t="s">
        <v>42</v>
      </c>
      <c r="G639" s="1" t="s">
        <v>147</v>
      </c>
      <c r="H639" s="1" t="s">
        <v>148</v>
      </c>
      <c r="I639" s="1" t="s">
        <v>3570</v>
      </c>
      <c r="J639" s="1">
        <v>2020</v>
      </c>
      <c r="K639" s="1" t="s">
        <v>3571</v>
      </c>
      <c r="L639" s="1" t="s">
        <v>3572</v>
      </c>
      <c r="M639" s="1" t="s">
        <v>3573</v>
      </c>
      <c r="N639" s="1" t="s">
        <v>3574</v>
      </c>
      <c r="P639" s="1" t="s">
        <v>1721</v>
      </c>
      <c r="Q639" s="1" t="s">
        <v>264</v>
      </c>
      <c r="R639" s="1" t="s">
        <v>265</v>
      </c>
      <c r="S639" s="1" t="s">
        <v>533</v>
      </c>
      <c r="T639" s="1" t="s">
        <v>534</v>
      </c>
      <c r="U639" s="1">
        <v>1</v>
      </c>
      <c r="V639" s="1" t="s">
        <v>535</v>
      </c>
      <c r="W639" s="1" t="s">
        <v>3572</v>
      </c>
      <c r="X639" s="1" t="s">
        <v>153</v>
      </c>
      <c r="Y639" s="10">
        <v>44127</v>
      </c>
      <c r="Z639" s="1">
        <v>2020</v>
      </c>
      <c r="AA639" s="2">
        <v>2630000</v>
      </c>
      <c r="AB639" s="2"/>
      <c r="AC639" s="2">
        <v>1972500</v>
      </c>
      <c r="AD639" s="1">
        <v>0</v>
      </c>
      <c r="AF639" s="1">
        <v>15</v>
      </c>
      <c r="AG639" s="1" t="s">
        <v>56</v>
      </c>
      <c r="AH639" s="1" t="s">
        <v>154</v>
      </c>
      <c r="AI639" s="2">
        <v>1972500</v>
      </c>
      <c r="AL639" s="1" t="s">
        <v>3575</v>
      </c>
    </row>
    <row r="640" spans="1:38" ht="14.45" customHeight="1" x14ac:dyDescent="0.2">
      <c r="A640" s="1" t="s">
        <v>57</v>
      </c>
      <c r="B640" s="9" t="s">
        <v>38</v>
      </c>
      <c r="C640" s="1" t="s">
        <v>58</v>
      </c>
      <c r="D640" s="1" t="s">
        <v>146</v>
      </c>
      <c r="E640" s="1" t="s">
        <v>42</v>
      </c>
      <c r="G640" s="1" t="s">
        <v>155</v>
      </c>
      <c r="H640" s="1" t="s">
        <v>156</v>
      </c>
      <c r="I640" s="1" t="s">
        <v>3576</v>
      </c>
      <c r="J640" s="1">
        <v>2022</v>
      </c>
      <c r="K640" s="1" t="s">
        <v>3577</v>
      </c>
      <c r="L640" s="1" t="s">
        <v>3578</v>
      </c>
      <c r="M640" s="1" t="s">
        <v>3579</v>
      </c>
      <c r="P640" s="1" t="s">
        <v>3580</v>
      </c>
      <c r="Q640" s="1" t="s">
        <v>1149</v>
      </c>
      <c r="R640" s="1" t="s">
        <v>1150</v>
      </c>
      <c r="S640" s="1" t="s">
        <v>2014</v>
      </c>
      <c r="T640" s="1" t="s">
        <v>2015</v>
      </c>
      <c r="V640" s="1" t="s">
        <v>1153</v>
      </c>
      <c r="W640" s="1" t="s">
        <v>3581</v>
      </c>
      <c r="Y640" s="10">
        <v>45112</v>
      </c>
      <c r="Z640" s="1">
        <v>2023</v>
      </c>
      <c r="AA640" s="2">
        <v>461243</v>
      </c>
      <c r="AB640" s="2"/>
      <c r="AC640" s="2">
        <v>461243</v>
      </c>
      <c r="AG640" s="1" t="s">
        <v>56</v>
      </c>
      <c r="AI640" s="2">
        <v>461243</v>
      </c>
    </row>
    <row r="641" spans="1:38" ht="14.45" customHeight="1" x14ac:dyDescent="0.2">
      <c r="A641" s="1" t="s">
        <v>57</v>
      </c>
      <c r="B641" s="9" t="s">
        <v>39</v>
      </c>
      <c r="C641" s="1" t="s">
        <v>58</v>
      </c>
      <c r="D641" s="1" t="s">
        <v>146</v>
      </c>
      <c r="E641" s="1" t="s">
        <v>42</v>
      </c>
      <c r="G641" s="1" t="s">
        <v>155</v>
      </c>
      <c r="H641" s="1" t="s">
        <v>156</v>
      </c>
      <c r="I641" s="1" t="s">
        <v>3582</v>
      </c>
      <c r="J641" s="1">
        <v>2022</v>
      </c>
      <c r="K641" s="14" t="s">
        <v>3583</v>
      </c>
      <c r="P641" s="1" t="s">
        <v>3441</v>
      </c>
      <c r="Q641" s="1" t="s">
        <v>842</v>
      </c>
      <c r="R641" s="1" t="s">
        <v>884</v>
      </c>
      <c r="S641" s="1" t="s">
        <v>3442</v>
      </c>
      <c r="T641" s="1" t="s">
        <v>3443</v>
      </c>
      <c r="V641" s="1" t="s">
        <v>887</v>
      </c>
      <c r="W641" s="1" t="s">
        <v>3584</v>
      </c>
      <c r="Y641" s="10">
        <v>45112</v>
      </c>
      <c r="Z641" s="1">
        <v>2023</v>
      </c>
      <c r="AA641" s="2">
        <v>460473.68</v>
      </c>
      <c r="AB641" s="2"/>
      <c r="AC641" s="2">
        <v>460473.68</v>
      </c>
      <c r="AG641" s="1" t="s">
        <v>432</v>
      </c>
      <c r="AH641" s="1" t="s">
        <v>492</v>
      </c>
      <c r="AI641" s="2">
        <v>0</v>
      </c>
    </row>
    <row r="642" spans="1:38" ht="14.45" customHeight="1" x14ac:dyDescent="0.2">
      <c r="A642" s="1" t="s">
        <v>57</v>
      </c>
      <c r="B642" s="9" t="s">
        <v>38</v>
      </c>
      <c r="C642" s="1" t="s">
        <v>58</v>
      </c>
      <c r="D642" s="1" t="s">
        <v>146</v>
      </c>
      <c r="E642" s="1" t="s">
        <v>42</v>
      </c>
      <c r="G642" s="1" t="s">
        <v>155</v>
      </c>
      <c r="H642" s="1" t="s">
        <v>156</v>
      </c>
      <c r="I642" s="1" t="s">
        <v>3585</v>
      </c>
      <c r="J642" s="1">
        <v>2022</v>
      </c>
      <c r="K642" s="1" t="s">
        <v>3586</v>
      </c>
      <c r="L642" s="1" t="s">
        <v>3587</v>
      </c>
      <c r="M642" s="1" t="s">
        <v>1527</v>
      </c>
      <c r="P642" s="1" t="s">
        <v>3556</v>
      </c>
      <c r="Q642" s="1" t="s">
        <v>842</v>
      </c>
      <c r="R642" s="1" t="s">
        <v>884</v>
      </c>
      <c r="S642" s="1" t="s">
        <v>1017</v>
      </c>
      <c r="T642" s="1" t="s">
        <v>1018</v>
      </c>
      <c r="V642" s="1" t="s">
        <v>887</v>
      </c>
      <c r="W642" s="1" t="s">
        <v>3588</v>
      </c>
      <c r="Y642" s="10">
        <v>45112</v>
      </c>
      <c r="Z642" s="1">
        <v>2023</v>
      </c>
      <c r="AA642" s="2">
        <v>1743301.93</v>
      </c>
      <c r="AB642" s="2"/>
      <c r="AC642" s="2">
        <v>1743301.93</v>
      </c>
      <c r="AG642" s="1" t="s">
        <v>56</v>
      </c>
      <c r="AI642" s="2">
        <v>1743301.93</v>
      </c>
    </row>
    <row r="643" spans="1:38" ht="14.45" customHeight="1" x14ac:dyDescent="0.2">
      <c r="A643" s="1" t="s">
        <v>57</v>
      </c>
      <c r="B643" s="9" t="s">
        <v>38</v>
      </c>
      <c r="C643" s="1" t="s">
        <v>58</v>
      </c>
      <c r="D643" s="1" t="s">
        <v>146</v>
      </c>
      <c r="E643" s="1" t="s">
        <v>42</v>
      </c>
      <c r="G643" s="1" t="s">
        <v>155</v>
      </c>
      <c r="H643" s="1" t="s">
        <v>156</v>
      </c>
      <c r="I643" s="1" t="s">
        <v>3589</v>
      </c>
      <c r="J643" s="1">
        <v>2022</v>
      </c>
      <c r="K643" s="1" t="s">
        <v>3590</v>
      </c>
      <c r="L643" s="1" t="s">
        <v>3591</v>
      </c>
      <c r="M643" s="1" t="s">
        <v>3592</v>
      </c>
      <c r="P643" s="1" t="s">
        <v>3593</v>
      </c>
      <c r="Q643" s="1" t="s">
        <v>1149</v>
      </c>
      <c r="R643" s="1" t="s">
        <v>1150</v>
      </c>
      <c r="S643" s="1" t="s">
        <v>3594</v>
      </c>
      <c r="T643" s="1" t="s">
        <v>3595</v>
      </c>
      <c r="V643" s="1" t="s">
        <v>1153</v>
      </c>
      <c r="W643" s="1" t="s">
        <v>3596</v>
      </c>
      <c r="Y643" s="10">
        <v>45112</v>
      </c>
      <c r="Z643" s="1">
        <v>2023</v>
      </c>
      <c r="AA643" s="2">
        <v>759658.07</v>
      </c>
      <c r="AB643" s="2"/>
      <c r="AC643" s="2">
        <v>759658.07</v>
      </c>
      <c r="AG643" s="1" t="s">
        <v>56</v>
      </c>
      <c r="AI643" s="2">
        <v>759658.07</v>
      </c>
    </row>
    <row r="644" spans="1:38" ht="14.45" customHeight="1" x14ac:dyDescent="0.2">
      <c r="A644" s="1" t="s">
        <v>57</v>
      </c>
      <c r="B644" s="9" t="s">
        <v>38</v>
      </c>
      <c r="C644" s="1" t="s">
        <v>58</v>
      </c>
      <c r="D644" s="1" t="s">
        <v>146</v>
      </c>
      <c r="E644" s="1" t="s">
        <v>42</v>
      </c>
      <c r="G644" s="1" t="s">
        <v>147</v>
      </c>
      <c r="H644" s="1" t="s">
        <v>148</v>
      </c>
      <c r="I644" s="1" t="s">
        <v>3597</v>
      </c>
      <c r="J644" s="1">
        <v>2021</v>
      </c>
      <c r="K644" s="1" t="s">
        <v>3598</v>
      </c>
      <c r="L644" s="1" t="s">
        <v>3599</v>
      </c>
      <c r="N644" s="1" t="s">
        <v>3600</v>
      </c>
      <c r="P644" s="1" t="s">
        <v>1721</v>
      </c>
      <c r="Q644" s="1" t="s">
        <v>264</v>
      </c>
      <c r="R644" s="1" t="s">
        <v>265</v>
      </c>
      <c r="S644" s="1" t="s">
        <v>533</v>
      </c>
      <c r="T644" s="1" t="s">
        <v>534</v>
      </c>
      <c r="U644" s="1">
        <v>1</v>
      </c>
      <c r="V644" s="1" t="s">
        <v>535</v>
      </c>
      <c r="W644" s="1" t="s">
        <v>3598</v>
      </c>
      <c r="X644" s="1" t="s">
        <v>599</v>
      </c>
      <c r="Y644" s="10">
        <v>44560</v>
      </c>
      <c r="Z644" s="1">
        <v>2021</v>
      </c>
      <c r="AA644" s="2">
        <v>4798555.76</v>
      </c>
      <c r="AB644" s="2"/>
      <c r="AC644" s="2">
        <v>3598916.82</v>
      </c>
      <c r="AD644" s="1">
        <v>0</v>
      </c>
      <c r="AG644" s="1" t="s">
        <v>56</v>
      </c>
      <c r="AH644" s="1" t="s">
        <v>1458</v>
      </c>
      <c r="AI644" s="2">
        <v>3598916.82</v>
      </c>
      <c r="AL644" s="1" t="s">
        <v>2202</v>
      </c>
    </row>
    <row r="645" spans="1:38" ht="14.45" customHeight="1" x14ac:dyDescent="0.2">
      <c r="A645" s="1" t="s">
        <v>57</v>
      </c>
      <c r="B645" s="9" t="s">
        <v>38</v>
      </c>
      <c r="C645" s="1" t="s">
        <v>58</v>
      </c>
      <c r="D645" s="1" t="s">
        <v>146</v>
      </c>
      <c r="E645" s="1" t="s">
        <v>42</v>
      </c>
      <c r="G645" s="1" t="s">
        <v>147</v>
      </c>
      <c r="H645" s="1" t="s">
        <v>148</v>
      </c>
      <c r="I645" s="1" t="s">
        <v>3601</v>
      </c>
      <c r="J645" s="1">
        <v>2021</v>
      </c>
      <c r="K645" s="1" t="s">
        <v>3602</v>
      </c>
      <c r="L645" s="1" t="s">
        <v>3603</v>
      </c>
      <c r="M645" s="1" t="s">
        <v>3604</v>
      </c>
      <c r="N645" s="1" t="s">
        <v>3605</v>
      </c>
      <c r="P645" s="1" t="s">
        <v>1715</v>
      </c>
      <c r="Q645" s="1" t="s">
        <v>264</v>
      </c>
      <c r="R645" s="1" t="s">
        <v>265</v>
      </c>
      <c r="S645" s="1" t="s">
        <v>542</v>
      </c>
      <c r="T645" s="1" t="s">
        <v>543</v>
      </c>
      <c r="U645" s="1">
        <v>1</v>
      </c>
      <c r="V645" s="1" t="s">
        <v>268</v>
      </c>
      <c r="W645" s="1" t="s">
        <v>3606</v>
      </c>
      <c r="Y645" s="10">
        <v>44560</v>
      </c>
      <c r="Z645" s="1">
        <v>2021</v>
      </c>
      <c r="AA645" s="2">
        <v>1320000</v>
      </c>
      <c r="AB645" s="2"/>
      <c r="AC645" s="2">
        <v>990000</v>
      </c>
      <c r="AD645" s="1">
        <v>0</v>
      </c>
      <c r="AG645" s="1" t="s">
        <v>56</v>
      </c>
      <c r="AH645" s="1" t="s">
        <v>1458</v>
      </c>
      <c r="AI645" s="2">
        <v>990000</v>
      </c>
      <c r="AL645" s="1" t="s">
        <v>1744</v>
      </c>
    </row>
    <row r="646" spans="1:38" ht="14.45" customHeight="1" x14ac:dyDescent="0.2">
      <c r="A646" s="1" t="s">
        <v>57</v>
      </c>
      <c r="B646" s="9" t="s">
        <v>38</v>
      </c>
      <c r="C646" s="1" t="s">
        <v>58</v>
      </c>
      <c r="D646" s="1" t="s">
        <v>146</v>
      </c>
      <c r="E646" s="1" t="s">
        <v>42</v>
      </c>
      <c r="G646" s="1" t="s">
        <v>155</v>
      </c>
      <c r="H646" s="1" t="s">
        <v>156</v>
      </c>
      <c r="I646" s="1" t="s">
        <v>3607</v>
      </c>
      <c r="J646" s="1">
        <v>2022</v>
      </c>
      <c r="K646" s="1" t="s">
        <v>3608</v>
      </c>
      <c r="L646" s="1" t="s">
        <v>3609</v>
      </c>
      <c r="M646" s="1" t="s">
        <v>3610</v>
      </c>
      <c r="P646" s="1" t="s">
        <v>3611</v>
      </c>
      <c r="Q646" s="1" t="s">
        <v>50</v>
      </c>
      <c r="R646" s="1" t="s">
        <v>68</v>
      </c>
      <c r="S646" s="1" t="s">
        <v>2986</v>
      </c>
      <c r="T646" s="1" t="s">
        <v>2987</v>
      </c>
      <c r="U646" s="1">
        <v>2</v>
      </c>
      <c r="V646" s="1" t="s">
        <v>195</v>
      </c>
      <c r="W646" s="1" t="s">
        <v>3612</v>
      </c>
      <c r="Y646" s="10">
        <v>45112</v>
      </c>
      <c r="Z646" s="1">
        <v>2023</v>
      </c>
      <c r="AA646" s="2">
        <v>361700.7</v>
      </c>
      <c r="AB646" s="2"/>
      <c r="AC646" s="2">
        <v>361700.7</v>
      </c>
      <c r="AG646" s="1" t="s">
        <v>56</v>
      </c>
      <c r="AI646" s="2">
        <v>361700.7</v>
      </c>
    </row>
    <row r="647" spans="1:38" ht="12.6" customHeight="1" x14ac:dyDescent="0.2">
      <c r="A647" s="1" t="s">
        <v>57</v>
      </c>
      <c r="B647" s="9" t="s">
        <v>38</v>
      </c>
      <c r="C647" s="1" t="s">
        <v>58</v>
      </c>
      <c r="D647" s="1" t="s">
        <v>146</v>
      </c>
      <c r="E647" s="1" t="s">
        <v>42</v>
      </c>
      <c r="G647" s="1" t="s">
        <v>155</v>
      </c>
      <c r="H647" s="1" t="s">
        <v>156</v>
      </c>
      <c r="I647" s="1" t="s">
        <v>3613</v>
      </c>
      <c r="J647" s="1">
        <v>2022</v>
      </c>
      <c r="K647" s="1" t="s">
        <v>3614</v>
      </c>
      <c r="L647" s="1" t="s">
        <v>3615</v>
      </c>
      <c r="P647" s="1" t="s">
        <v>3616</v>
      </c>
      <c r="Q647" s="1" t="s">
        <v>101</v>
      </c>
      <c r="R647" s="1" t="s">
        <v>102</v>
      </c>
      <c r="S647" s="1" t="s">
        <v>3617</v>
      </c>
      <c r="T647" s="1" t="s">
        <v>3618</v>
      </c>
      <c r="U647" s="1">
        <v>2</v>
      </c>
      <c r="V647" s="1" t="s">
        <v>101</v>
      </c>
      <c r="W647" s="1" t="s">
        <v>3619</v>
      </c>
      <c r="Y647" s="10">
        <v>45112</v>
      </c>
      <c r="Z647" s="1">
        <v>2023</v>
      </c>
      <c r="AA647" s="2">
        <v>295333.90999999997</v>
      </c>
      <c r="AB647" s="2"/>
      <c r="AC647" s="2">
        <v>295333.90999999997</v>
      </c>
      <c r="AG647" s="1" t="s">
        <v>56</v>
      </c>
      <c r="AI647" s="2">
        <v>295333.90999999997</v>
      </c>
    </row>
    <row r="648" spans="1:38" ht="14.45" customHeight="1" x14ac:dyDescent="0.2">
      <c r="A648" s="1" t="s">
        <v>57</v>
      </c>
      <c r="B648" s="9" t="s">
        <v>38</v>
      </c>
      <c r="C648" s="1" t="s">
        <v>58</v>
      </c>
      <c r="D648" s="1" t="s">
        <v>146</v>
      </c>
      <c r="E648" s="1" t="s">
        <v>42</v>
      </c>
      <c r="G648" s="1" t="s">
        <v>147</v>
      </c>
      <c r="H648" s="1" t="s">
        <v>148</v>
      </c>
      <c r="I648" s="1" t="s">
        <v>3620</v>
      </c>
      <c r="J648" s="1">
        <v>2021</v>
      </c>
      <c r="K648" s="1" t="s">
        <v>3621</v>
      </c>
      <c r="L648" s="1" t="s">
        <v>3622</v>
      </c>
      <c r="M648" s="1" t="s">
        <v>3623</v>
      </c>
      <c r="N648" s="1" t="s">
        <v>3624</v>
      </c>
      <c r="P648" s="1" t="s">
        <v>1715</v>
      </c>
      <c r="Q648" s="1" t="s">
        <v>264</v>
      </c>
      <c r="R648" s="1" t="s">
        <v>265</v>
      </c>
      <c r="S648" s="1" t="s">
        <v>542</v>
      </c>
      <c r="T648" s="1" t="s">
        <v>543</v>
      </c>
      <c r="U648" s="1">
        <v>1</v>
      </c>
      <c r="V648" s="1" t="s">
        <v>268</v>
      </c>
      <c r="W648" s="1" t="s">
        <v>3625</v>
      </c>
      <c r="Y648" s="10">
        <v>44550</v>
      </c>
      <c r="Z648" s="1">
        <v>2021</v>
      </c>
      <c r="AA648" s="2">
        <v>847000</v>
      </c>
      <c r="AB648" s="2"/>
      <c r="AC648" s="2">
        <v>635250</v>
      </c>
      <c r="AD648" s="1">
        <v>0</v>
      </c>
      <c r="AG648" s="1" t="s">
        <v>56</v>
      </c>
      <c r="AH648" s="1" t="s">
        <v>154</v>
      </c>
      <c r="AI648" s="2">
        <v>558566.25</v>
      </c>
      <c r="AL648" s="1" t="s">
        <v>1744</v>
      </c>
    </row>
    <row r="649" spans="1:38" ht="14.45" customHeight="1" x14ac:dyDescent="0.2">
      <c r="A649" s="1" t="s">
        <v>57</v>
      </c>
      <c r="B649" s="9" t="s">
        <v>38</v>
      </c>
      <c r="C649" s="1" t="s">
        <v>58</v>
      </c>
      <c r="D649" s="1" t="s">
        <v>146</v>
      </c>
      <c r="E649" s="1" t="s">
        <v>42</v>
      </c>
      <c r="G649" s="1" t="s">
        <v>147</v>
      </c>
      <c r="H649" s="1" t="s">
        <v>148</v>
      </c>
      <c r="I649" s="1" t="s">
        <v>3626</v>
      </c>
      <c r="J649" s="1">
        <v>2019</v>
      </c>
      <c r="K649" s="1" t="s">
        <v>3627</v>
      </c>
      <c r="L649" s="1" t="s">
        <v>3628</v>
      </c>
      <c r="N649" s="1" t="s">
        <v>3629</v>
      </c>
      <c r="P649" s="1" t="s">
        <v>3630</v>
      </c>
      <c r="Q649" s="1" t="s">
        <v>50</v>
      </c>
      <c r="R649" s="1" t="s">
        <v>68</v>
      </c>
      <c r="S649" s="1" t="s">
        <v>3631</v>
      </c>
      <c r="T649" s="1" t="s">
        <v>3632</v>
      </c>
      <c r="U649" s="1">
        <v>1</v>
      </c>
      <c r="V649" s="1" t="s">
        <v>71</v>
      </c>
      <c r="W649" s="1" t="s">
        <v>3628</v>
      </c>
      <c r="X649" s="1" t="s">
        <v>153</v>
      </c>
      <c r="Y649" s="10">
        <v>43773</v>
      </c>
      <c r="Z649" s="1">
        <v>2019</v>
      </c>
      <c r="AA649" s="2">
        <v>24346882.120000001</v>
      </c>
      <c r="AB649" s="2"/>
      <c r="AC649" s="2">
        <v>18260161.59</v>
      </c>
      <c r="AD649" s="1">
        <v>0</v>
      </c>
      <c r="AG649" s="1" t="s">
        <v>56</v>
      </c>
      <c r="AH649" s="1" t="s">
        <v>154</v>
      </c>
      <c r="AI649" s="2">
        <v>17129574.09</v>
      </c>
      <c r="AJ649" s="1">
        <v>273.72000000000003</v>
      </c>
    </row>
    <row r="650" spans="1:38" ht="14.45" customHeight="1" x14ac:dyDescent="0.2">
      <c r="A650" s="1" t="s">
        <v>57</v>
      </c>
      <c r="B650" s="9" t="s">
        <v>38</v>
      </c>
      <c r="C650" s="1" t="s">
        <v>58</v>
      </c>
      <c r="D650" s="1" t="s">
        <v>146</v>
      </c>
      <c r="E650" s="1" t="s">
        <v>42</v>
      </c>
      <c r="G650" s="1" t="s">
        <v>155</v>
      </c>
      <c r="H650" s="1" t="s">
        <v>156</v>
      </c>
      <c r="I650" s="1" t="s">
        <v>3633</v>
      </c>
      <c r="J650" s="1">
        <v>2022</v>
      </c>
      <c r="K650" s="1" t="s">
        <v>3634</v>
      </c>
      <c r="L650" s="1" t="s">
        <v>3635</v>
      </c>
      <c r="P650" s="1" t="s">
        <v>3636</v>
      </c>
      <c r="Q650" s="1" t="s">
        <v>101</v>
      </c>
      <c r="R650" s="1" t="s">
        <v>102</v>
      </c>
      <c r="S650" s="1" t="s">
        <v>562</v>
      </c>
      <c r="T650" s="1" t="s">
        <v>563</v>
      </c>
      <c r="U650" s="1">
        <v>1</v>
      </c>
      <c r="V650" s="1" t="s">
        <v>101</v>
      </c>
      <c r="W650" s="1" t="s">
        <v>3637</v>
      </c>
      <c r="Y650" s="10">
        <v>45112</v>
      </c>
      <c r="Z650" s="1">
        <v>2023</v>
      </c>
      <c r="AA650" s="2">
        <v>441013.62</v>
      </c>
      <c r="AB650" s="2"/>
      <c r="AC650" s="2">
        <v>441013.62</v>
      </c>
      <c r="AG650" s="1" t="s">
        <v>56</v>
      </c>
      <c r="AI650" s="2">
        <v>441013.62</v>
      </c>
    </row>
    <row r="651" spans="1:38" ht="14.45" customHeight="1" x14ac:dyDescent="0.2">
      <c r="A651" s="1" t="s">
        <v>57</v>
      </c>
      <c r="B651" s="9" t="s">
        <v>38</v>
      </c>
      <c r="C651" s="1" t="s">
        <v>58</v>
      </c>
      <c r="D651" s="1" t="s">
        <v>146</v>
      </c>
      <c r="E651" s="1" t="s">
        <v>42</v>
      </c>
      <c r="G651" s="1" t="s">
        <v>155</v>
      </c>
      <c r="H651" s="1" t="s">
        <v>156</v>
      </c>
      <c r="I651" s="1" t="s">
        <v>3638</v>
      </c>
      <c r="J651" s="1">
        <v>2022</v>
      </c>
      <c r="K651" s="1" t="s">
        <v>3639</v>
      </c>
      <c r="L651" s="1" t="s">
        <v>3640</v>
      </c>
      <c r="P651" s="1" t="s">
        <v>3641</v>
      </c>
      <c r="Q651" s="1" t="s">
        <v>101</v>
      </c>
      <c r="R651" s="1" t="s">
        <v>102</v>
      </c>
      <c r="S651" s="1" t="s">
        <v>637</v>
      </c>
      <c r="T651" s="1" t="s">
        <v>638</v>
      </c>
      <c r="U651" s="1">
        <v>1</v>
      </c>
      <c r="V651" s="1" t="s">
        <v>101</v>
      </c>
      <c r="W651" s="1" t="s">
        <v>3642</v>
      </c>
      <c r="Y651" s="10">
        <v>45112</v>
      </c>
      <c r="Z651" s="1">
        <v>2023</v>
      </c>
      <c r="AA651" s="2">
        <v>498765.44</v>
      </c>
      <c r="AB651" s="2"/>
      <c r="AC651" s="2">
        <v>498765.44</v>
      </c>
      <c r="AG651" s="1" t="s">
        <v>56</v>
      </c>
      <c r="AI651" s="2">
        <v>498765.44</v>
      </c>
    </row>
    <row r="652" spans="1:38" ht="12.6" customHeight="1" x14ac:dyDescent="0.2">
      <c r="A652" s="1" t="s">
        <v>57</v>
      </c>
      <c r="B652" s="9" t="s">
        <v>38</v>
      </c>
      <c r="C652" s="1" t="s">
        <v>58</v>
      </c>
      <c r="D652" s="1" t="s">
        <v>146</v>
      </c>
      <c r="E652" s="1" t="s">
        <v>42</v>
      </c>
      <c r="G652" s="1" t="s">
        <v>155</v>
      </c>
      <c r="H652" s="1" t="s">
        <v>156</v>
      </c>
      <c r="I652" s="1" t="s">
        <v>3643</v>
      </c>
      <c r="J652" s="1">
        <v>2022</v>
      </c>
      <c r="K652" s="1" t="s">
        <v>3644</v>
      </c>
      <c r="L652" s="1" t="s">
        <v>3645</v>
      </c>
      <c r="P652" s="1" t="s">
        <v>3646</v>
      </c>
      <c r="Q652" s="1" t="s">
        <v>1149</v>
      </c>
      <c r="R652" s="1" t="s">
        <v>1150</v>
      </c>
      <c r="S652" s="1" t="s">
        <v>2749</v>
      </c>
      <c r="T652" s="1" t="s">
        <v>2750</v>
      </c>
      <c r="V652" s="1" t="s">
        <v>1537</v>
      </c>
      <c r="W652" s="1" t="s">
        <v>3647</v>
      </c>
      <c r="Y652" s="10">
        <v>45112</v>
      </c>
      <c r="Z652" s="1">
        <v>2023</v>
      </c>
      <c r="AA652" s="2">
        <v>1484830.92</v>
      </c>
      <c r="AB652" s="2"/>
      <c r="AC652" s="2">
        <v>1484830.92</v>
      </c>
      <c r="AG652" s="1" t="s">
        <v>56</v>
      </c>
      <c r="AI652" s="2">
        <v>1484830.92</v>
      </c>
    </row>
    <row r="653" spans="1:38" ht="12.6" customHeight="1" x14ac:dyDescent="0.25">
      <c r="A653" s="1" t="s">
        <v>57</v>
      </c>
      <c r="B653" s="20" t="s">
        <v>38</v>
      </c>
      <c r="C653" s="3" t="s">
        <v>58</v>
      </c>
      <c r="D653" s="1" t="s">
        <v>146</v>
      </c>
      <c r="E653" s="1" t="s">
        <v>42</v>
      </c>
      <c r="G653" s="1" t="s">
        <v>1673</v>
      </c>
      <c r="H653" s="1" t="s">
        <v>156</v>
      </c>
      <c r="I653" s="3" t="s">
        <v>3648</v>
      </c>
      <c r="J653" s="1">
        <v>2024</v>
      </c>
      <c r="K653" s="1" t="s">
        <v>3649</v>
      </c>
      <c r="L653" s="1" t="s">
        <v>3650</v>
      </c>
      <c r="M653" s="1" t="s">
        <v>1240</v>
      </c>
      <c r="P653" s="1" t="s">
        <v>3651</v>
      </c>
      <c r="Q653" s="1" t="s">
        <v>264</v>
      </c>
      <c r="R653" s="1" t="s">
        <v>265</v>
      </c>
      <c r="S653" s="3" t="s">
        <v>3306</v>
      </c>
      <c r="T653" s="3" t="s">
        <v>3307</v>
      </c>
      <c r="U653" s="24">
        <v>1</v>
      </c>
      <c r="V653" s="3" t="s">
        <v>535</v>
      </c>
      <c r="W653" s="3" t="s">
        <v>3652</v>
      </c>
      <c r="X653" s="3"/>
      <c r="Y653" s="21">
        <v>45799</v>
      </c>
      <c r="Z653" s="3">
        <v>2025</v>
      </c>
      <c r="AA653" s="22">
        <v>591460.88</v>
      </c>
      <c r="AB653" s="22"/>
      <c r="AC653" s="22">
        <v>591460.88</v>
      </c>
      <c r="AD653" s="2"/>
      <c r="AG653" s="1" t="s">
        <v>56</v>
      </c>
      <c r="AI653" s="22">
        <v>591460.88</v>
      </c>
    </row>
    <row r="654" spans="1:38" ht="12.6" customHeight="1" x14ac:dyDescent="0.25">
      <c r="A654" s="1" t="s">
        <v>57</v>
      </c>
      <c r="B654" s="20" t="s">
        <v>38</v>
      </c>
      <c r="C654" s="3" t="s">
        <v>58</v>
      </c>
      <c r="D654" s="1" t="s">
        <v>146</v>
      </c>
      <c r="E654" s="1" t="s">
        <v>42</v>
      </c>
      <c r="G654" s="1" t="s">
        <v>1673</v>
      </c>
      <c r="H654" s="1" t="s">
        <v>156</v>
      </c>
      <c r="I654" s="3" t="s">
        <v>3653</v>
      </c>
      <c r="J654" s="1">
        <v>2024</v>
      </c>
      <c r="K654" s="1" t="s">
        <v>3654</v>
      </c>
      <c r="L654" s="1" t="s">
        <v>3655</v>
      </c>
      <c r="M654" s="1" t="s">
        <v>1240</v>
      </c>
      <c r="P654" s="1" t="s">
        <v>3656</v>
      </c>
      <c r="Q654" s="1" t="s">
        <v>264</v>
      </c>
      <c r="R654" s="1" t="s">
        <v>265</v>
      </c>
      <c r="S654" s="3" t="s">
        <v>1783</v>
      </c>
      <c r="T654" s="3" t="s">
        <v>1784</v>
      </c>
      <c r="U654" s="24">
        <v>1</v>
      </c>
      <c r="V654" s="3" t="s">
        <v>535</v>
      </c>
      <c r="W654" s="3" t="s">
        <v>3655</v>
      </c>
      <c r="X654" s="3"/>
      <c r="Y654" s="21">
        <v>45799</v>
      </c>
      <c r="Z654" s="3">
        <v>2025</v>
      </c>
      <c r="AA654" s="22">
        <v>3973937.01</v>
      </c>
      <c r="AB654" s="22"/>
      <c r="AC654" s="22">
        <v>3973937.01</v>
      </c>
      <c r="AD654" s="2"/>
      <c r="AG654" s="1" t="s">
        <v>56</v>
      </c>
      <c r="AI654" s="22">
        <v>3973937.01</v>
      </c>
    </row>
    <row r="655" spans="1:38" ht="12.6" customHeight="1" x14ac:dyDescent="0.25">
      <c r="A655" s="1" t="s">
        <v>57</v>
      </c>
      <c r="B655" s="20" t="s">
        <v>38</v>
      </c>
      <c r="C655" s="3" t="s">
        <v>58</v>
      </c>
      <c r="D655" s="1" t="s">
        <v>146</v>
      </c>
      <c r="E655" s="1" t="s">
        <v>42</v>
      </c>
      <c r="G655" s="1" t="s">
        <v>1673</v>
      </c>
      <c r="H655" s="1" t="s">
        <v>156</v>
      </c>
      <c r="I655" s="3" t="s">
        <v>3657</v>
      </c>
      <c r="J655" s="1">
        <v>2024</v>
      </c>
      <c r="K655" s="1" t="s">
        <v>3658</v>
      </c>
      <c r="L655" s="1" t="s">
        <v>3659</v>
      </c>
      <c r="M655" s="1" t="s">
        <v>1240</v>
      </c>
      <c r="P655" s="1" t="s">
        <v>3376</v>
      </c>
      <c r="Q655" s="1" t="s">
        <v>264</v>
      </c>
      <c r="R655" s="1" t="s">
        <v>265</v>
      </c>
      <c r="S655" s="3" t="s">
        <v>3377</v>
      </c>
      <c r="T655" s="3" t="s">
        <v>3378</v>
      </c>
      <c r="U655" s="1">
        <v>1</v>
      </c>
      <c r="V655" s="1" t="s">
        <v>308</v>
      </c>
      <c r="W655" s="3" t="s">
        <v>3659</v>
      </c>
      <c r="X655" s="3"/>
      <c r="Y655" s="21">
        <v>45799</v>
      </c>
      <c r="Z655" s="3">
        <v>2025</v>
      </c>
      <c r="AA655" s="22">
        <v>801145.75</v>
      </c>
      <c r="AB655" s="22"/>
      <c r="AC655" s="22">
        <v>801145.75</v>
      </c>
      <c r="AD655" s="2"/>
      <c r="AG655" s="1" t="s">
        <v>56</v>
      </c>
      <c r="AI655" s="22">
        <v>801145.75</v>
      </c>
    </row>
    <row r="656" spans="1:38" ht="14.45" customHeight="1" x14ac:dyDescent="0.25">
      <c r="A656" s="1" t="s">
        <v>57</v>
      </c>
      <c r="B656" s="20" t="s">
        <v>38</v>
      </c>
      <c r="C656" s="3" t="s">
        <v>58</v>
      </c>
      <c r="D656" s="1" t="s">
        <v>146</v>
      </c>
      <c r="E656" s="1" t="s">
        <v>42</v>
      </c>
      <c r="G656" s="1" t="s">
        <v>1673</v>
      </c>
      <c r="H656" s="1" t="s">
        <v>156</v>
      </c>
      <c r="I656" s="3" t="s">
        <v>3660</v>
      </c>
      <c r="J656" s="1">
        <v>2024</v>
      </c>
      <c r="K656" s="1" t="s">
        <v>3661</v>
      </c>
      <c r="L656" s="1" t="s">
        <v>3662</v>
      </c>
      <c r="M656" s="1" t="s">
        <v>1240</v>
      </c>
      <c r="P656" s="1" t="s">
        <v>1758</v>
      </c>
      <c r="Q656" s="1" t="s">
        <v>264</v>
      </c>
      <c r="R656" s="1" t="s">
        <v>265</v>
      </c>
      <c r="S656" s="3" t="s">
        <v>1759</v>
      </c>
      <c r="T656" s="3" t="s">
        <v>1760</v>
      </c>
      <c r="U656" s="1">
        <v>1</v>
      </c>
      <c r="V656" s="3" t="s">
        <v>268</v>
      </c>
      <c r="W656" s="3" t="s">
        <v>3662</v>
      </c>
      <c r="X656" s="3"/>
      <c r="Y656" s="21">
        <v>45799</v>
      </c>
      <c r="Z656" s="3">
        <v>2025</v>
      </c>
      <c r="AA656" s="22">
        <v>557878.41</v>
      </c>
      <c r="AB656" s="22"/>
      <c r="AC656" s="22">
        <v>557878.41</v>
      </c>
      <c r="AD656" s="2"/>
      <c r="AG656" s="1" t="s">
        <v>56</v>
      </c>
      <c r="AI656" s="22">
        <v>557878.41</v>
      </c>
    </row>
    <row r="657" spans="1:38" ht="14.45" customHeight="1" x14ac:dyDescent="0.2">
      <c r="A657" s="1" t="s">
        <v>57</v>
      </c>
      <c r="B657" s="9" t="s">
        <v>38</v>
      </c>
      <c r="C657" s="1" t="s">
        <v>58</v>
      </c>
      <c r="D657" s="1" t="s">
        <v>1409</v>
      </c>
      <c r="E657" s="1" t="s">
        <v>42</v>
      </c>
      <c r="F657" s="1" t="s">
        <v>3663</v>
      </c>
      <c r="G657" s="1" t="s">
        <v>2146</v>
      </c>
      <c r="H657" s="1" t="s">
        <v>156</v>
      </c>
      <c r="I657" s="1" t="s">
        <v>3664</v>
      </c>
      <c r="J657" s="1">
        <v>2021</v>
      </c>
      <c r="K657" s="1" t="s">
        <v>3665</v>
      </c>
      <c r="L657" s="1" t="s">
        <v>3666</v>
      </c>
      <c r="P657" s="1" t="s">
        <v>3667</v>
      </c>
      <c r="Q657" s="1" t="s">
        <v>264</v>
      </c>
      <c r="R657" s="1" t="s">
        <v>265</v>
      </c>
      <c r="S657" s="1" t="s">
        <v>3668</v>
      </c>
      <c r="T657" s="1" t="s">
        <v>3669</v>
      </c>
      <c r="U657" s="1">
        <v>1</v>
      </c>
      <c r="V657" s="1" t="s">
        <v>308</v>
      </c>
      <c r="W657" s="1" t="s">
        <v>3670</v>
      </c>
      <c r="Y657" s="10">
        <v>44552</v>
      </c>
      <c r="Z657" s="1">
        <v>2021</v>
      </c>
      <c r="AA657" s="2">
        <v>6998137.2400000002</v>
      </c>
      <c r="AB657" s="2"/>
      <c r="AC657" s="2">
        <v>6535247.5300000003</v>
      </c>
      <c r="AF657" s="1">
        <v>15</v>
      </c>
      <c r="AG657" s="1" t="s">
        <v>56</v>
      </c>
      <c r="AI657" s="2">
        <v>6535247.5300000003</v>
      </c>
      <c r="AJ657" s="1">
        <v>77</v>
      </c>
      <c r="AK657" s="1" t="s">
        <v>2108</v>
      </c>
    </row>
    <row r="658" spans="1:38" ht="14.45" customHeight="1" x14ac:dyDescent="0.2">
      <c r="A658" s="1" t="s">
        <v>57</v>
      </c>
      <c r="B658" s="9" t="s">
        <v>38</v>
      </c>
      <c r="C658" s="1" t="s">
        <v>58</v>
      </c>
      <c r="D658" s="1" t="s">
        <v>1409</v>
      </c>
      <c r="E658" s="1" t="s">
        <v>42</v>
      </c>
      <c r="F658" s="1" t="s">
        <v>3663</v>
      </c>
      <c r="G658" s="1" t="s">
        <v>2146</v>
      </c>
      <c r="H658" s="1" t="s">
        <v>156</v>
      </c>
      <c r="I658" s="1" t="s">
        <v>3671</v>
      </c>
      <c r="J658" s="1">
        <v>2021</v>
      </c>
      <c r="K658" s="1" t="s">
        <v>3672</v>
      </c>
      <c r="L658" s="1" t="s">
        <v>3673</v>
      </c>
      <c r="P658" s="1" t="s">
        <v>3667</v>
      </c>
      <c r="Q658" s="1" t="s">
        <v>264</v>
      </c>
      <c r="R658" s="1" t="s">
        <v>265</v>
      </c>
      <c r="S658" s="1" t="s">
        <v>2680</v>
      </c>
      <c r="T658" s="1" t="s">
        <v>2681</v>
      </c>
      <c r="U658" s="1">
        <v>1</v>
      </c>
      <c r="V658" s="1" t="s">
        <v>308</v>
      </c>
      <c r="W658" s="1" t="s">
        <v>3674</v>
      </c>
      <c r="Y658" s="10">
        <v>44552</v>
      </c>
      <c r="Z658" s="1">
        <v>2021</v>
      </c>
      <c r="AA658" s="2">
        <v>27229679.609999999</v>
      </c>
      <c r="AB658" s="2"/>
      <c r="AC658" s="2">
        <v>23627099.390000001</v>
      </c>
      <c r="AF658" s="1">
        <v>61</v>
      </c>
      <c r="AG658" s="1" t="s">
        <v>56</v>
      </c>
      <c r="AI658" s="2">
        <v>23627099.390000001</v>
      </c>
      <c r="AJ658" s="1">
        <v>660</v>
      </c>
      <c r="AK658" s="1" t="s">
        <v>2108</v>
      </c>
    </row>
    <row r="659" spans="1:38" ht="14.45" customHeight="1" x14ac:dyDescent="0.2">
      <c r="A659" s="1" t="s">
        <v>57</v>
      </c>
      <c r="B659" s="9" t="s">
        <v>38</v>
      </c>
      <c r="C659" s="1" t="s">
        <v>58</v>
      </c>
      <c r="D659" s="1" t="s">
        <v>1409</v>
      </c>
      <c r="E659" s="1" t="s">
        <v>42</v>
      </c>
      <c r="F659" s="1" t="s">
        <v>3663</v>
      </c>
      <c r="G659" s="1" t="s">
        <v>2146</v>
      </c>
      <c r="H659" s="1" t="s">
        <v>156</v>
      </c>
      <c r="I659" s="1" t="s">
        <v>3675</v>
      </c>
      <c r="J659" s="1">
        <v>2021</v>
      </c>
      <c r="K659" s="1" t="s">
        <v>3676</v>
      </c>
      <c r="L659" s="1" t="s">
        <v>3677</v>
      </c>
      <c r="P659" s="1" t="s">
        <v>3667</v>
      </c>
      <c r="Q659" s="1" t="s">
        <v>264</v>
      </c>
      <c r="R659" s="1" t="s">
        <v>265</v>
      </c>
      <c r="S659" s="1" t="s">
        <v>3377</v>
      </c>
      <c r="T659" s="1" t="s">
        <v>3378</v>
      </c>
      <c r="U659" s="1">
        <v>1</v>
      </c>
      <c r="V659" s="1" t="s">
        <v>308</v>
      </c>
      <c r="W659" s="1" t="s">
        <v>3678</v>
      </c>
      <c r="Y659" s="10">
        <v>44552</v>
      </c>
      <c r="Z659" s="1">
        <v>2021</v>
      </c>
      <c r="AA659" s="2">
        <v>48687024.190000005</v>
      </c>
      <c r="AB659" s="2"/>
      <c r="AC659" s="2">
        <v>43532460.289999999</v>
      </c>
      <c r="AF659" s="1">
        <v>74</v>
      </c>
      <c r="AG659" s="1" t="s">
        <v>56</v>
      </c>
      <c r="AI659" s="2">
        <v>43532460.289999999</v>
      </c>
      <c r="AJ659" s="1">
        <v>430</v>
      </c>
      <c r="AK659" s="1" t="s">
        <v>2108</v>
      </c>
    </row>
    <row r="660" spans="1:38" ht="14.45" customHeight="1" x14ac:dyDescent="0.2">
      <c r="A660" s="1" t="s">
        <v>57</v>
      </c>
      <c r="B660" s="9" t="s">
        <v>38</v>
      </c>
      <c r="C660" s="1" t="s">
        <v>58</v>
      </c>
      <c r="D660" s="1" t="s">
        <v>146</v>
      </c>
      <c r="E660" s="1" t="s">
        <v>42</v>
      </c>
      <c r="G660" s="1" t="s">
        <v>147</v>
      </c>
      <c r="H660" s="1" t="s">
        <v>148</v>
      </c>
      <c r="I660" s="1" t="s">
        <v>3679</v>
      </c>
      <c r="J660" s="1">
        <v>2020</v>
      </c>
      <c r="K660" s="1" t="s">
        <v>3680</v>
      </c>
      <c r="L660" s="1" t="s">
        <v>3681</v>
      </c>
      <c r="M660" s="1" t="s">
        <v>3682</v>
      </c>
      <c r="N660" s="1" t="s">
        <v>3683</v>
      </c>
      <c r="P660" s="1" t="s">
        <v>3090</v>
      </c>
      <c r="Q660" s="1" t="s">
        <v>50</v>
      </c>
      <c r="R660" s="1" t="s">
        <v>68</v>
      </c>
      <c r="S660" s="1" t="s">
        <v>430</v>
      </c>
      <c r="T660" s="1" t="s">
        <v>431</v>
      </c>
      <c r="U660" s="1">
        <v>1</v>
      </c>
      <c r="V660" s="1" t="s">
        <v>71</v>
      </c>
      <c r="W660" s="1" t="s">
        <v>3681</v>
      </c>
      <c r="X660" s="1" t="s">
        <v>153</v>
      </c>
      <c r="Y660" s="10">
        <v>44127</v>
      </c>
      <c r="Z660" s="1">
        <v>2020</v>
      </c>
      <c r="AA660" s="2">
        <v>1327330.48</v>
      </c>
      <c r="AB660" s="2"/>
      <c r="AC660" s="2">
        <v>995497.86</v>
      </c>
      <c r="AD660" s="1">
        <v>1</v>
      </c>
      <c r="AF660" s="1">
        <v>18</v>
      </c>
      <c r="AG660" s="1" t="s">
        <v>56</v>
      </c>
      <c r="AH660" s="1" t="s">
        <v>1458</v>
      </c>
      <c r="AI660" s="2">
        <v>995497.86</v>
      </c>
    </row>
    <row r="661" spans="1:38" ht="14.45" customHeight="1" x14ac:dyDescent="0.2">
      <c r="A661" s="1" t="s">
        <v>57</v>
      </c>
      <c r="B661" s="9" t="s">
        <v>38</v>
      </c>
      <c r="C661" s="1" t="s">
        <v>58</v>
      </c>
      <c r="D661" s="1" t="s">
        <v>146</v>
      </c>
      <c r="E661" s="1" t="s">
        <v>42</v>
      </c>
      <c r="G661" s="1" t="s">
        <v>147</v>
      </c>
      <c r="H661" s="1" t="s">
        <v>148</v>
      </c>
      <c r="I661" s="1" t="s">
        <v>3684</v>
      </c>
      <c r="J661" s="1">
        <v>2021</v>
      </c>
      <c r="K661" s="1" t="s">
        <v>3685</v>
      </c>
      <c r="L661" s="1" t="s">
        <v>3686</v>
      </c>
      <c r="M661" s="1" t="s">
        <v>3687</v>
      </c>
      <c r="P661" s="1" t="s">
        <v>3688</v>
      </c>
      <c r="Q661" s="1" t="s">
        <v>50</v>
      </c>
      <c r="R661" s="1" t="s">
        <v>77</v>
      </c>
      <c r="S661" s="1" t="s">
        <v>3689</v>
      </c>
      <c r="T661" s="1" t="s">
        <v>3690</v>
      </c>
      <c r="U661" s="1">
        <v>1</v>
      </c>
      <c r="V661" s="1" t="s">
        <v>186</v>
      </c>
      <c r="W661" s="1" t="s">
        <v>3691</v>
      </c>
      <c r="X661" s="1" t="s">
        <v>599</v>
      </c>
      <c r="Y661" s="10">
        <v>44551</v>
      </c>
      <c r="Z661" s="1">
        <v>2021</v>
      </c>
      <c r="AA661" s="2">
        <v>2764693.41</v>
      </c>
      <c r="AB661" s="2"/>
      <c r="AC661" s="2">
        <v>2073520.06</v>
      </c>
      <c r="AD661" s="1">
        <v>2</v>
      </c>
      <c r="AF661" s="1">
        <v>9</v>
      </c>
      <c r="AG661" s="1" t="s">
        <v>56</v>
      </c>
      <c r="AH661" s="1" t="s">
        <v>1458</v>
      </c>
      <c r="AI661" s="2">
        <v>2073520.06</v>
      </c>
      <c r="AL661" s="1" t="s">
        <v>3692</v>
      </c>
    </row>
    <row r="662" spans="1:38" ht="14.45" customHeight="1" x14ac:dyDescent="0.25">
      <c r="A662" s="1" t="s">
        <v>57</v>
      </c>
      <c r="B662" s="20" t="s">
        <v>38</v>
      </c>
      <c r="C662" s="3" t="s">
        <v>58</v>
      </c>
      <c r="D662" s="1" t="s">
        <v>146</v>
      </c>
      <c r="E662" s="1" t="s">
        <v>42</v>
      </c>
      <c r="G662" s="1" t="s">
        <v>1673</v>
      </c>
      <c r="H662" s="1" t="s">
        <v>156</v>
      </c>
      <c r="I662" s="3" t="s">
        <v>3693</v>
      </c>
      <c r="J662" s="1">
        <v>2024</v>
      </c>
      <c r="K662" s="1" t="s">
        <v>3694</v>
      </c>
      <c r="L662" s="23" t="s">
        <v>3695</v>
      </c>
      <c r="M662" s="1" t="s">
        <v>1240</v>
      </c>
      <c r="P662" s="1" t="s">
        <v>3696</v>
      </c>
      <c r="Q662" s="1" t="s">
        <v>101</v>
      </c>
      <c r="R662" s="1" t="s">
        <v>102</v>
      </c>
      <c r="S662" s="3" t="s">
        <v>3697</v>
      </c>
      <c r="T662" s="3" t="s">
        <v>3698</v>
      </c>
      <c r="U662" s="24"/>
      <c r="V662" s="3" t="s">
        <v>101</v>
      </c>
      <c r="W662" s="3" t="s">
        <v>3695</v>
      </c>
      <c r="X662" s="3" t="s">
        <v>1396</v>
      </c>
      <c r="Y662" s="21">
        <v>45799</v>
      </c>
      <c r="Z662" s="3">
        <v>2025</v>
      </c>
      <c r="AA662" s="22">
        <v>275504.5</v>
      </c>
      <c r="AB662" s="22"/>
      <c r="AC662" s="22">
        <v>275504.5</v>
      </c>
      <c r="AD662" s="2"/>
      <c r="AG662" s="1" t="s">
        <v>56</v>
      </c>
      <c r="AI662" s="22">
        <v>275504.5</v>
      </c>
    </row>
    <row r="663" spans="1:38" ht="14.45" customHeight="1" x14ac:dyDescent="0.25">
      <c r="A663" s="1" t="s">
        <v>57</v>
      </c>
      <c r="B663" s="20" t="s">
        <v>38</v>
      </c>
      <c r="C663" s="3" t="s">
        <v>58</v>
      </c>
      <c r="D663" s="1" t="s">
        <v>146</v>
      </c>
      <c r="E663" s="1" t="s">
        <v>42</v>
      </c>
      <c r="G663" s="1" t="s">
        <v>1673</v>
      </c>
      <c r="H663" s="1" t="s">
        <v>156</v>
      </c>
      <c r="I663" s="3" t="s">
        <v>3699</v>
      </c>
      <c r="J663" s="1">
        <v>2024</v>
      </c>
      <c r="K663" s="1" t="s">
        <v>3700</v>
      </c>
      <c r="L663" s="23" t="s">
        <v>3701</v>
      </c>
      <c r="M663" s="1" t="s">
        <v>1240</v>
      </c>
      <c r="P663" s="1" t="s">
        <v>3148</v>
      </c>
      <c r="Q663" s="1" t="s">
        <v>101</v>
      </c>
      <c r="R663" s="1" t="s">
        <v>102</v>
      </c>
      <c r="S663" s="11" t="s">
        <v>3149</v>
      </c>
      <c r="T663" s="3" t="s">
        <v>3150</v>
      </c>
      <c r="U663" s="24">
        <v>1</v>
      </c>
      <c r="V663" s="3" t="s">
        <v>101</v>
      </c>
      <c r="W663" s="3" t="s">
        <v>3701</v>
      </c>
      <c r="X663" s="3"/>
      <c r="Y663" s="21">
        <v>45799</v>
      </c>
      <c r="Z663" s="3">
        <v>2025</v>
      </c>
      <c r="AA663" s="22">
        <v>458219.69</v>
      </c>
      <c r="AB663" s="22"/>
      <c r="AC663" s="22">
        <v>458219.69</v>
      </c>
      <c r="AD663" s="2"/>
      <c r="AG663" s="1" t="s">
        <v>56</v>
      </c>
      <c r="AI663" s="22">
        <v>458219.69</v>
      </c>
    </row>
    <row r="664" spans="1:38" ht="14.45" customHeight="1" x14ac:dyDescent="0.25">
      <c r="A664" s="1" t="s">
        <v>57</v>
      </c>
      <c r="B664" s="20" t="s">
        <v>38</v>
      </c>
      <c r="C664" s="3" t="s">
        <v>58</v>
      </c>
      <c r="D664" s="1" t="s">
        <v>146</v>
      </c>
      <c r="E664" s="1" t="s">
        <v>42</v>
      </c>
      <c r="G664" s="1" t="s">
        <v>1673</v>
      </c>
      <c r="H664" s="1" t="s">
        <v>156</v>
      </c>
      <c r="I664" s="3" t="s">
        <v>3702</v>
      </c>
      <c r="J664" s="1">
        <v>2024</v>
      </c>
      <c r="K664" s="1" t="s">
        <v>3703</v>
      </c>
      <c r="L664" s="23" t="s">
        <v>3704</v>
      </c>
      <c r="M664" s="1" t="s">
        <v>1240</v>
      </c>
      <c r="P664" s="1" t="s">
        <v>3705</v>
      </c>
      <c r="Q664" s="1" t="s">
        <v>101</v>
      </c>
      <c r="R664" s="1" t="s">
        <v>102</v>
      </c>
      <c r="S664" s="11" t="s">
        <v>387</v>
      </c>
      <c r="T664" s="3" t="s">
        <v>388</v>
      </c>
      <c r="U664" s="1">
        <v>2</v>
      </c>
      <c r="V664" s="3" t="s">
        <v>101</v>
      </c>
      <c r="W664" s="3" t="s">
        <v>3704</v>
      </c>
      <c r="X664" s="3"/>
      <c r="Y664" s="21">
        <v>45799</v>
      </c>
      <c r="Z664" s="3">
        <v>2025</v>
      </c>
      <c r="AA664" s="22">
        <v>274866.19</v>
      </c>
      <c r="AB664" s="22"/>
      <c r="AC664" s="22">
        <v>274866.19</v>
      </c>
      <c r="AD664" s="2"/>
      <c r="AG664" s="1" t="s">
        <v>56</v>
      </c>
      <c r="AI664" s="22">
        <v>274866.19</v>
      </c>
    </row>
    <row r="665" spans="1:38" ht="12.6" customHeight="1" x14ac:dyDescent="0.2">
      <c r="A665" s="1" t="s">
        <v>57</v>
      </c>
      <c r="B665" s="9" t="s">
        <v>38</v>
      </c>
      <c r="C665" s="1" t="s">
        <v>58</v>
      </c>
      <c r="D665" s="1" t="s">
        <v>1409</v>
      </c>
      <c r="E665" s="1" t="s">
        <v>42</v>
      </c>
      <c r="F665" s="1" t="s">
        <v>3663</v>
      </c>
      <c r="G665" s="1" t="s">
        <v>2146</v>
      </c>
      <c r="H665" s="1" t="s">
        <v>156</v>
      </c>
      <c r="I665" s="1" t="s">
        <v>3706</v>
      </c>
      <c r="J665" s="1">
        <v>2021</v>
      </c>
      <c r="K665" s="1" t="s">
        <v>3707</v>
      </c>
      <c r="L665" s="1" t="s">
        <v>3708</v>
      </c>
      <c r="P665" s="1" t="s">
        <v>3709</v>
      </c>
      <c r="Q665" s="1" t="s">
        <v>101</v>
      </c>
      <c r="R665" s="1" t="s">
        <v>339</v>
      </c>
      <c r="S665" s="1" t="s">
        <v>340</v>
      </c>
      <c r="T665" s="1" t="s">
        <v>341</v>
      </c>
      <c r="U665" s="1">
        <v>1</v>
      </c>
      <c r="V665" s="1" t="s">
        <v>80</v>
      </c>
      <c r="W665" s="1" t="s">
        <v>3710</v>
      </c>
      <c r="Y665" s="10">
        <v>44553</v>
      </c>
      <c r="Z665" s="1">
        <v>2021</v>
      </c>
      <c r="AA665" s="2">
        <v>6045610.3300000001</v>
      </c>
      <c r="AB665" s="2"/>
      <c r="AC665" s="2">
        <v>5953823.8600000003</v>
      </c>
      <c r="AF665" s="1">
        <v>12</v>
      </c>
      <c r="AG665" s="1" t="s">
        <v>56</v>
      </c>
      <c r="AI665" s="2">
        <v>5953823.8600000003</v>
      </c>
      <c r="AJ665" s="1">
        <v>37.75</v>
      </c>
      <c r="AK665" s="1" t="s">
        <v>2108</v>
      </c>
    </row>
    <row r="666" spans="1:38" ht="12.6" customHeight="1" x14ac:dyDescent="0.2">
      <c r="A666" s="1" t="s">
        <v>57</v>
      </c>
      <c r="B666" s="9" t="s">
        <v>38</v>
      </c>
      <c r="C666" s="1" t="s">
        <v>58</v>
      </c>
      <c r="D666" s="1" t="s">
        <v>1409</v>
      </c>
      <c r="E666" s="1" t="s">
        <v>42</v>
      </c>
      <c r="F666" s="1" t="s">
        <v>2145</v>
      </c>
      <c r="G666" s="1" t="s">
        <v>2146</v>
      </c>
      <c r="H666" s="1" t="s">
        <v>2147</v>
      </c>
      <c r="I666" s="1" t="s">
        <v>3711</v>
      </c>
      <c r="J666" s="1">
        <v>2023</v>
      </c>
      <c r="K666" s="1" t="s">
        <v>3712</v>
      </c>
      <c r="L666" s="1" t="s">
        <v>3713</v>
      </c>
      <c r="M666" s="1" t="s">
        <v>3714</v>
      </c>
      <c r="P666" s="1" t="s">
        <v>3715</v>
      </c>
      <c r="Q666" s="1" t="s">
        <v>264</v>
      </c>
      <c r="R666" s="1" t="s">
        <v>265</v>
      </c>
      <c r="S666" s="1" t="s">
        <v>542</v>
      </c>
      <c r="T666" s="1" t="s">
        <v>543</v>
      </c>
      <c r="U666" s="1">
        <v>1</v>
      </c>
      <c r="V666" s="1" t="s">
        <v>268</v>
      </c>
      <c r="W666" s="1" t="s">
        <v>3712</v>
      </c>
      <c r="Y666" s="10">
        <v>44732</v>
      </c>
      <c r="Z666" s="1">
        <v>2022</v>
      </c>
      <c r="AA666" s="2">
        <v>999000</v>
      </c>
      <c r="AB666" s="2"/>
      <c r="AC666" s="2">
        <v>999000</v>
      </c>
      <c r="AG666" s="1" t="s">
        <v>56</v>
      </c>
      <c r="AI666" s="2">
        <v>999000</v>
      </c>
      <c r="AJ666" s="2"/>
      <c r="AL666" s="1" t="s">
        <v>3716</v>
      </c>
    </row>
    <row r="667" spans="1:38" ht="12.6" customHeight="1" x14ac:dyDescent="0.2">
      <c r="A667" s="1" t="s">
        <v>57</v>
      </c>
      <c r="B667" s="9" t="s">
        <v>38</v>
      </c>
      <c r="C667" s="1" t="s">
        <v>58</v>
      </c>
      <c r="D667" s="1" t="s">
        <v>1409</v>
      </c>
      <c r="E667" s="1" t="s">
        <v>42</v>
      </c>
      <c r="F667" s="1" t="s">
        <v>2145</v>
      </c>
      <c r="G667" s="1" t="s">
        <v>2146</v>
      </c>
      <c r="H667" s="1" t="s">
        <v>2147</v>
      </c>
      <c r="I667" s="1" t="s">
        <v>3717</v>
      </c>
      <c r="J667" s="1">
        <v>2023</v>
      </c>
      <c r="K667" s="1" t="s">
        <v>3718</v>
      </c>
      <c r="L667" s="1" t="s">
        <v>3719</v>
      </c>
      <c r="M667" s="1" t="s">
        <v>3720</v>
      </c>
      <c r="P667" s="1" t="s">
        <v>3715</v>
      </c>
      <c r="Q667" s="1" t="s">
        <v>264</v>
      </c>
      <c r="R667" s="1" t="s">
        <v>265</v>
      </c>
      <c r="S667" s="1" t="s">
        <v>1557</v>
      </c>
      <c r="T667" s="1" t="s">
        <v>1558</v>
      </c>
      <c r="U667" s="1">
        <v>1</v>
      </c>
      <c r="V667" s="1" t="s">
        <v>268</v>
      </c>
      <c r="W667" s="1" t="s">
        <v>3718</v>
      </c>
      <c r="Y667" s="10">
        <v>44732</v>
      </c>
      <c r="Z667" s="1">
        <v>2022</v>
      </c>
      <c r="AA667" s="2">
        <v>999000</v>
      </c>
      <c r="AB667" s="2"/>
      <c r="AC667" s="2">
        <v>999000</v>
      </c>
      <c r="AG667" s="1" t="s">
        <v>56</v>
      </c>
      <c r="AI667" s="2">
        <v>999000</v>
      </c>
      <c r="AJ667" s="2"/>
      <c r="AL667" s="1" t="s">
        <v>3721</v>
      </c>
    </row>
    <row r="668" spans="1:38" ht="12.6" customHeight="1" x14ac:dyDescent="0.2">
      <c r="A668" s="1" t="s">
        <v>57</v>
      </c>
      <c r="B668" s="9" t="s">
        <v>38</v>
      </c>
      <c r="C668" s="1" t="s">
        <v>58</v>
      </c>
      <c r="D668" s="1" t="s">
        <v>146</v>
      </c>
      <c r="E668" s="1" t="s">
        <v>42</v>
      </c>
      <c r="G668" s="1" t="s">
        <v>147</v>
      </c>
      <c r="H668" s="1" t="s">
        <v>148</v>
      </c>
      <c r="I668" s="1" t="s">
        <v>3722</v>
      </c>
      <c r="J668" s="1">
        <v>2021</v>
      </c>
      <c r="K668" s="1" t="s">
        <v>3723</v>
      </c>
      <c r="L668" s="1" t="s">
        <v>3724</v>
      </c>
      <c r="M668" s="1" t="s">
        <v>3725</v>
      </c>
      <c r="P668" s="1" t="s">
        <v>3436</v>
      </c>
      <c r="Q668" s="1" t="s">
        <v>50</v>
      </c>
      <c r="R668" s="1" t="s">
        <v>68</v>
      </c>
      <c r="S668" s="1" t="s">
        <v>3437</v>
      </c>
      <c r="T668" s="1" t="s">
        <v>3438</v>
      </c>
      <c r="U668" s="1">
        <v>1</v>
      </c>
      <c r="V668" s="1" t="s">
        <v>195</v>
      </c>
      <c r="W668" s="1" t="s">
        <v>3726</v>
      </c>
      <c r="X668" s="1" t="s">
        <v>599</v>
      </c>
      <c r="Y668" s="10">
        <v>44559</v>
      </c>
      <c r="Z668" s="1">
        <v>2021</v>
      </c>
      <c r="AA668" s="2">
        <v>3327998.96</v>
      </c>
      <c r="AB668" s="2"/>
      <c r="AC668" s="2">
        <v>1790122.4</v>
      </c>
      <c r="AD668" s="1">
        <v>1</v>
      </c>
      <c r="AF668" s="1">
        <v>4</v>
      </c>
      <c r="AG668" s="1" t="s">
        <v>56</v>
      </c>
      <c r="AH668" s="1" t="s">
        <v>1458</v>
      </c>
      <c r="AI668" s="2">
        <v>1790122.4</v>
      </c>
      <c r="AL668" s="1" t="s">
        <v>3692</v>
      </c>
    </row>
    <row r="669" spans="1:38" ht="12.6" customHeight="1" x14ac:dyDescent="0.2">
      <c r="A669" s="1" t="s">
        <v>57</v>
      </c>
      <c r="B669" s="9" t="s">
        <v>38</v>
      </c>
      <c r="C669" s="1" t="s">
        <v>58</v>
      </c>
      <c r="D669" s="1" t="s">
        <v>146</v>
      </c>
      <c r="E669" s="1" t="s">
        <v>42</v>
      </c>
      <c r="G669" s="1" t="s">
        <v>147</v>
      </c>
      <c r="H669" s="1" t="s">
        <v>148</v>
      </c>
      <c r="I669" s="1" t="s">
        <v>3727</v>
      </c>
      <c r="J669" s="1">
        <v>2021</v>
      </c>
      <c r="K669" s="1" t="s">
        <v>3728</v>
      </c>
      <c r="L669" s="1" t="s">
        <v>3729</v>
      </c>
      <c r="P669" s="1" t="s">
        <v>3399</v>
      </c>
      <c r="Q669" s="1" t="s">
        <v>50</v>
      </c>
      <c r="R669" s="1" t="s">
        <v>68</v>
      </c>
      <c r="S669" s="1" t="s">
        <v>3400</v>
      </c>
      <c r="T669" s="1" t="s">
        <v>3401</v>
      </c>
      <c r="U669" s="1">
        <v>1</v>
      </c>
      <c r="V669" s="1" t="s">
        <v>71</v>
      </c>
      <c r="W669" s="1" t="s">
        <v>3730</v>
      </c>
      <c r="X669" s="1" t="s">
        <v>599</v>
      </c>
      <c r="Y669" s="10">
        <v>44551</v>
      </c>
      <c r="Z669" s="1">
        <v>2021</v>
      </c>
      <c r="AA669" s="2">
        <v>3446103.66</v>
      </c>
      <c r="AB669" s="2"/>
      <c r="AC669" s="2">
        <v>1980726.56</v>
      </c>
      <c r="AD669" s="1">
        <v>1</v>
      </c>
      <c r="AF669" s="1">
        <v>4</v>
      </c>
      <c r="AG669" s="1" t="s">
        <v>56</v>
      </c>
      <c r="AH669" s="1" t="s">
        <v>1458</v>
      </c>
      <c r="AI669" s="2">
        <v>1980726.56</v>
      </c>
      <c r="AL669" s="1" t="s">
        <v>3692</v>
      </c>
    </row>
    <row r="670" spans="1:38" ht="14.45" customHeight="1" x14ac:dyDescent="0.2">
      <c r="A670" s="1" t="s">
        <v>57</v>
      </c>
      <c r="B670" s="9" t="s">
        <v>38</v>
      </c>
      <c r="C670" s="1" t="s">
        <v>58</v>
      </c>
      <c r="D670" s="1" t="s">
        <v>146</v>
      </c>
      <c r="E670" s="1" t="s">
        <v>42</v>
      </c>
      <c r="G670" s="1" t="s">
        <v>147</v>
      </c>
      <c r="H670" s="1" t="s">
        <v>148</v>
      </c>
      <c r="I670" s="1" t="s">
        <v>3731</v>
      </c>
      <c r="J670" s="1">
        <v>2020</v>
      </c>
      <c r="K670" s="1" t="s">
        <v>3732</v>
      </c>
      <c r="L670" s="1" t="s">
        <v>3733</v>
      </c>
      <c r="N670" s="1" t="s">
        <v>3734</v>
      </c>
      <c r="P670" s="1" t="s">
        <v>3371</v>
      </c>
      <c r="Q670" s="1" t="s">
        <v>50</v>
      </c>
      <c r="R670" s="1" t="s">
        <v>68</v>
      </c>
      <c r="S670" s="1" t="s">
        <v>1479</v>
      </c>
      <c r="T670" s="1" t="s">
        <v>1480</v>
      </c>
      <c r="U670" s="1">
        <v>1</v>
      </c>
      <c r="V670" s="1" t="s">
        <v>71</v>
      </c>
      <c r="W670" s="1" t="s">
        <v>3735</v>
      </c>
      <c r="X670" s="1" t="s">
        <v>153</v>
      </c>
      <c r="Y670" s="10">
        <v>44127</v>
      </c>
      <c r="Z670" s="1">
        <v>2020</v>
      </c>
      <c r="AA670" s="2">
        <v>437959.49333333335</v>
      </c>
      <c r="AB670" s="2"/>
      <c r="AC670" s="2">
        <v>328469.62</v>
      </c>
      <c r="AD670" s="1">
        <v>5</v>
      </c>
      <c r="AE670" s="1">
        <v>3</v>
      </c>
      <c r="AG670" s="1" t="s">
        <v>56</v>
      </c>
      <c r="AH670" s="1" t="s">
        <v>154</v>
      </c>
      <c r="AI670" s="2">
        <v>327734.84999999998</v>
      </c>
      <c r="AL670" s="1" t="s">
        <v>1744</v>
      </c>
    </row>
    <row r="671" spans="1:38" ht="14.45" customHeight="1" x14ac:dyDescent="0.2">
      <c r="A671" s="1" t="s">
        <v>57</v>
      </c>
      <c r="B671" s="9" t="s">
        <v>38</v>
      </c>
      <c r="C671" s="1" t="s">
        <v>58</v>
      </c>
      <c r="D671" s="1" t="s">
        <v>146</v>
      </c>
      <c r="E671" s="1" t="s">
        <v>42</v>
      </c>
      <c r="G671" s="1" t="s">
        <v>147</v>
      </c>
      <c r="H671" s="1" t="s">
        <v>148</v>
      </c>
      <c r="I671" s="1" t="s">
        <v>3736</v>
      </c>
      <c r="J671" s="1">
        <v>2021</v>
      </c>
      <c r="K671" s="1" t="s">
        <v>3737</v>
      </c>
      <c r="L671" s="1" t="s">
        <v>3738</v>
      </c>
      <c r="M671" s="1" t="s">
        <v>3739</v>
      </c>
      <c r="P671" s="1" t="s">
        <v>3740</v>
      </c>
      <c r="Q671" s="1" t="s">
        <v>50</v>
      </c>
      <c r="R671" s="1" t="s">
        <v>68</v>
      </c>
      <c r="S671" s="1" t="s">
        <v>2056</v>
      </c>
      <c r="T671" s="1" t="s">
        <v>2057</v>
      </c>
      <c r="U671" s="1">
        <v>1</v>
      </c>
      <c r="V671" s="1" t="s">
        <v>195</v>
      </c>
      <c r="W671" s="1" t="s">
        <v>3741</v>
      </c>
      <c r="Y671" s="10">
        <v>44560</v>
      </c>
      <c r="Z671" s="1">
        <v>2021</v>
      </c>
      <c r="AA671" s="2">
        <v>145908.79</v>
      </c>
      <c r="AB671" s="2"/>
      <c r="AC671" s="2">
        <v>109431.59</v>
      </c>
      <c r="AD671" s="1">
        <v>0</v>
      </c>
      <c r="AF671" s="1">
        <v>6</v>
      </c>
      <c r="AG671" s="1" t="s">
        <v>56</v>
      </c>
      <c r="AH671" s="1" t="s">
        <v>154</v>
      </c>
      <c r="AI671" s="2">
        <f>VLOOKUP(Tabla35[[#This Row],[Ref. Proyecto]],[4]revITJ!$B$2:$BG$67,2,FALSE)</f>
        <v>109431.59</v>
      </c>
    </row>
    <row r="672" spans="1:38" ht="14.45" customHeight="1" x14ac:dyDescent="0.2">
      <c r="A672" s="1" t="s">
        <v>57</v>
      </c>
      <c r="B672" s="9" t="s">
        <v>38</v>
      </c>
      <c r="C672" s="1" t="s">
        <v>58</v>
      </c>
      <c r="D672" s="1" t="s">
        <v>146</v>
      </c>
      <c r="E672" s="1" t="s">
        <v>42</v>
      </c>
      <c r="G672" s="1" t="s">
        <v>147</v>
      </c>
      <c r="H672" s="1" t="s">
        <v>148</v>
      </c>
      <c r="I672" s="1" t="s">
        <v>3742</v>
      </c>
      <c r="J672" s="1">
        <v>2021</v>
      </c>
      <c r="K672" s="1" t="s">
        <v>3743</v>
      </c>
      <c r="L672" s="1" t="s">
        <v>3744</v>
      </c>
      <c r="M672" s="1" t="s">
        <v>3745</v>
      </c>
      <c r="P672" s="1" t="s">
        <v>3746</v>
      </c>
      <c r="Q672" s="1" t="s">
        <v>50</v>
      </c>
      <c r="R672" s="1" t="s">
        <v>68</v>
      </c>
      <c r="S672" s="1" t="s">
        <v>1670</v>
      </c>
      <c r="T672" s="1" t="s">
        <v>1671</v>
      </c>
      <c r="U672" s="1">
        <v>1</v>
      </c>
      <c r="V672" s="1" t="s">
        <v>71</v>
      </c>
      <c r="W672" s="1" t="s">
        <v>3747</v>
      </c>
      <c r="X672" s="1" t="s">
        <v>599</v>
      </c>
      <c r="Y672" s="10">
        <v>44559</v>
      </c>
      <c r="Z672" s="1">
        <v>2021</v>
      </c>
      <c r="AA672" s="2">
        <v>393626.73</v>
      </c>
      <c r="AB672" s="2"/>
      <c r="AC672" s="2">
        <v>295220.05</v>
      </c>
      <c r="AD672" s="1">
        <v>1</v>
      </c>
      <c r="AG672" s="1" t="s">
        <v>56</v>
      </c>
      <c r="AH672" s="1" t="s">
        <v>1458</v>
      </c>
      <c r="AI672" s="2">
        <v>295220.05</v>
      </c>
      <c r="AL672" s="1" t="s">
        <v>1744</v>
      </c>
    </row>
    <row r="673" spans="1:38" ht="12.6" customHeight="1" x14ac:dyDescent="0.2">
      <c r="A673" s="1" t="s">
        <v>57</v>
      </c>
      <c r="B673" s="9" t="s">
        <v>38</v>
      </c>
      <c r="C673" s="1" t="s">
        <v>58</v>
      </c>
      <c r="D673" s="1" t="s">
        <v>146</v>
      </c>
      <c r="E673" s="1" t="s">
        <v>42</v>
      </c>
      <c r="G673" s="1" t="s">
        <v>147</v>
      </c>
      <c r="H673" s="1" t="s">
        <v>148</v>
      </c>
      <c r="I673" s="1" t="s">
        <v>3748</v>
      </c>
      <c r="J673" s="1">
        <v>2020</v>
      </c>
      <c r="K673" s="1" t="s">
        <v>3749</v>
      </c>
      <c r="L673" s="1" t="s">
        <v>3750</v>
      </c>
      <c r="N673" s="1" t="s">
        <v>3751</v>
      </c>
      <c r="P673" s="1" t="s">
        <v>3752</v>
      </c>
      <c r="Q673" s="1" t="s">
        <v>50</v>
      </c>
      <c r="R673" s="1" t="s">
        <v>68</v>
      </c>
      <c r="S673" s="1" t="s">
        <v>69</v>
      </c>
      <c r="T673" s="1" t="s">
        <v>70</v>
      </c>
      <c r="U673" s="1">
        <v>1</v>
      </c>
      <c r="V673" s="1" t="s">
        <v>71</v>
      </c>
      <c r="W673" s="1" t="s">
        <v>3753</v>
      </c>
      <c r="X673" s="1" t="s">
        <v>153</v>
      </c>
      <c r="Y673" s="10">
        <v>44127</v>
      </c>
      <c r="Z673" s="1">
        <v>2020</v>
      </c>
      <c r="AA673" s="2">
        <v>5873218.4199999999</v>
      </c>
      <c r="AB673" s="2"/>
      <c r="AC673" s="2">
        <v>4404913.82</v>
      </c>
      <c r="AD673" s="1">
        <v>0</v>
      </c>
      <c r="AF673" s="1">
        <v>50</v>
      </c>
      <c r="AG673" s="1" t="s">
        <v>56</v>
      </c>
      <c r="AH673" s="1" t="s">
        <v>154</v>
      </c>
      <c r="AI673" s="2">
        <f>VLOOKUP(Tabla35[[#This Row],[Ref. Proyecto]],[4]revITJ!$B$2:$BG$67,2,FALSE)</f>
        <v>4404913.82</v>
      </c>
      <c r="AL673" s="1" t="s">
        <v>1744</v>
      </c>
    </row>
    <row r="674" spans="1:38" ht="14.45" customHeight="1" x14ac:dyDescent="0.2">
      <c r="A674" s="1" t="s">
        <v>57</v>
      </c>
      <c r="B674" s="9" t="s">
        <v>38</v>
      </c>
      <c r="C674" s="1" t="s">
        <v>58</v>
      </c>
      <c r="D674" s="1" t="s">
        <v>146</v>
      </c>
      <c r="E674" s="1" t="s">
        <v>42</v>
      </c>
      <c r="G674" s="1" t="s">
        <v>147</v>
      </c>
      <c r="H674" s="1" t="s">
        <v>148</v>
      </c>
      <c r="I674" s="1" t="s">
        <v>3754</v>
      </c>
      <c r="J674" s="1">
        <v>2021</v>
      </c>
      <c r="K674" s="1" t="s">
        <v>3755</v>
      </c>
      <c r="L674" s="1" t="s">
        <v>3756</v>
      </c>
      <c r="M674" s="1" t="s">
        <v>3757</v>
      </c>
      <c r="P674" s="1" t="s">
        <v>188</v>
      </c>
      <c r="Q674" s="1" t="s">
        <v>50</v>
      </c>
      <c r="R674" s="1" t="s">
        <v>68</v>
      </c>
      <c r="S674" s="1" t="s">
        <v>189</v>
      </c>
      <c r="T674" s="1" t="s">
        <v>190</v>
      </c>
      <c r="U674" s="1">
        <v>1</v>
      </c>
      <c r="V674" s="1" t="s">
        <v>71</v>
      </c>
      <c r="W674" s="1" t="s">
        <v>3758</v>
      </c>
      <c r="X674" s="1" t="s">
        <v>599</v>
      </c>
      <c r="Y674" s="10">
        <v>44560</v>
      </c>
      <c r="Z674" s="1">
        <v>2021</v>
      </c>
      <c r="AA674" s="2">
        <v>105092.23</v>
      </c>
      <c r="AB674" s="2"/>
      <c r="AC674" s="2">
        <v>78819.17</v>
      </c>
      <c r="AD674" s="1">
        <v>0.1</v>
      </c>
      <c r="AF674" s="1">
        <v>5</v>
      </c>
      <c r="AG674" s="1" t="s">
        <v>56</v>
      </c>
      <c r="AH674" s="1" t="s">
        <v>154</v>
      </c>
      <c r="AI674" s="2">
        <f>VLOOKUP(Tabla35[[#This Row],[Ref. Proyecto]],[4]revITJ!$B$2:$BG$67,2,FALSE)</f>
        <v>75825.429999999993</v>
      </c>
      <c r="AL674" s="1" t="s">
        <v>1744</v>
      </c>
    </row>
    <row r="675" spans="1:38" ht="14.45" hidden="1" customHeight="1" x14ac:dyDescent="0.2">
      <c r="A675" s="1" t="s">
        <v>57</v>
      </c>
      <c r="B675" s="9" t="s">
        <v>38</v>
      </c>
      <c r="C675" s="1" t="s">
        <v>58</v>
      </c>
      <c r="D675" s="1" t="s">
        <v>146</v>
      </c>
      <c r="E675" s="1" t="s">
        <v>42</v>
      </c>
      <c r="G675" s="1" t="s">
        <v>147</v>
      </c>
      <c r="H675" s="1" t="s">
        <v>148</v>
      </c>
      <c r="I675" s="1" t="s">
        <v>3759</v>
      </c>
      <c r="J675" s="1">
        <v>2021</v>
      </c>
      <c r="K675" s="1" t="s">
        <v>3760</v>
      </c>
      <c r="L675" s="8" t="s">
        <v>3761</v>
      </c>
      <c r="P675" s="1" t="s">
        <v>3398</v>
      </c>
      <c r="Q675" s="1" t="s">
        <v>50</v>
      </c>
      <c r="R675" s="1" t="s">
        <v>68</v>
      </c>
      <c r="S675" s="1" t="s">
        <v>1368</v>
      </c>
      <c r="T675" s="1" t="s">
        <v>1369</v>
      </c>
      <c r="U675" s="1">
        <v>1</v>
      </c>
      <c r="V675" s="1" t="s">
        <v>195</v>
      </c>
      <c r="W675" s="1" t="s">
        <v>3762</v>
      </c>
      <c r="X675" s="1" t="s">
        <v>153</v>
      </c>
      <c r="Y675" s="10">
        <v>44560</v>
      </c>
      <c r="Z675" s="1">
        <v>2021</v>
      </c>
      <c r="AA675" s="2">
        <v>599474.62143771339</v>
      </c>
      <c r="AB675" s="2"/>
      <c r="AC675" s="2">
        <v>449605.96607828501</v>
      </c>
      <c r="AD675" s="1">
        <v>0</v>
      </c>
      <c r="AF675" s="1">
        <v>11</v>
      </c>
      <c r="AG675" s="1" t="s">
        <v>56</v>
      </c>
      <c r="AH675" s="1" t="s">
        <v>154</v>
      </c>
      <c r="AI675" s="2">
        <v>449605.96607828501</v>
      </c>
      <c r="AL675" s="1" t="s">
        <v>1744</v>
      </c>
    </row>
    <row r="676" spans="1:38" ht="14.45" hidden="1" customHeight="1" x14ac:dyDescent="0.2">
      <c r="A676" s="1" t="s">
        <v>57</v>
      </c>
      <c r="B676" s="9" t="s">
        <v>38</v>
      </c>
      <c r="C676" s="1" t="s">
        <v>58</v>
      </c>
      <c r="D676" s="1" t="s">
        <v>146</v>
      </c>
      <c r="E676" s="1" t="s">
        <v>42</v>
      </c>
      <c r="G676" s="1" t="s">
        <v>147</v>
      </c>
      <c r="H676" s="1" t="s">
        <v>148</v>
      </c>
      <c r="I676" s="1" t="s">
        <v>3759</v>
      </c>
      <c r="J676" s="1">
        <v>2021</v>
      </c>
      <c r="K676" s="1" t="s">
        <v>3760</v>
      </c>
      <c r="L676" s="8" t="s">
        <v>3763</v>
      </c>
      <c r="P676" s="1" t="s">
        <v>1359</v>
      </c>
      <c r="Q676" s="1" t="s">
        <v>50</v>
      </c>
      <c r="R676" s="1" t="s">
        <v>68</v>
      </c>
      <c r="S676" s="1" t="s">
        <v>1360</v>
      </c>
      <c r="T676" s="1" t="s">
        <v>1361</v>
      </c>
      <c r="U676" s="1">
        <v>1</v>
      </c>
      <c r="V676" s="1" t="s">
        <v>71</v>
      </c>
      <c r="W676" s="1" t="s">
        <v>3762</v>
      </c>
      <c r="X676" s="1" t="s">
        <v>153</v>
      </c>
      <c r="Y676" s="10">
        <v>44560</v>
      </c>
      <c r="Z676" s="1">
        <v>2021</v>
      </c>
      <c r="AA676" s="34">
        <v>2362210.1285622865</v>
      </c>
      <c r="AB676" s="2"/>
      <c r="AC676" s="2">
        <v>1771657.5964217149</v>
      </c>
      <c r="AD676" s="1">
        <v>0</v>
      </c>
      <c r="AF676" s="1">
        <v>11</v>
      </c>
      <c r="AG676" s="1" t="s">
        <v>56</v>
      </c>
      <c r="AH676" s="1" t="s">
        <v>154</v>
      </c>
      <c r="AI676" s="2">
        <v>1771657.5964217149</v>
      </c>
      <c r="AJ676" s="1">
        <v>32</v>
      </c>
      <c r="AL676" s="1" t="s">
        <v>1744</v>
      </c>
    </row>
    <row r="677" spans="1:38" ht="14.45" customHeight="1" x14ac:dyDescent="0.2">
      <c r="A677" s="1" t="s">
        <v>57</v>
      </c>
      <c r="B677" s="9" t="s">
        <v>38</v>
      </c>
      <c r="C677" s="1" t="s">
        <v>58</v>
      </c>
      <c r="D677" s="1" t="s">
        <v>146</v>
      </c>
      <c r="E677" s="1" t="s">
        <v>42</v>
      </c>
      <c r="G677" s="1" t="s">
        <v>147</v>
      </c>
      <c r="H677" s="1" t="s">
        <v>148</v>
      </c>
      <c r="I677" s="1" t="s">
        <v>3764</v>
      </c>
      <c r="J677" s="1">
        <v>2021</v>
      </c>
      <c r="K677" s="1" t="s">
        <v>3765</v>
      </c>
      <c r="L677" s="1" t="s">
        <v>3766</v>
      </c>
      <c r="M677" s="1" t="s">
        <v>3767</v>
      </c>
      <c r="N677" s="1" t="s">
        <v>3768</v>
      </c>
      <c r="P677" s="1" t="s">
        <v>3381</v>
      </c>
      <c r="Q677" s="1" t="s">
        <v>50</v>
      </c>
      <c r="R677" s="1" t="s">
        <v>68</v>
      </c>
      <c r="S677" s="1" t="s">
        <v>1203</v>
      </c>
      <c r="T677" s="1" t="s">
        <v>1204</v>
      </c>
      <c r="U677" s="1">
        <v>1</v>
      </c>
      <c r="V677" s="1" t="s">
        <v>195</v>
      </c>
      <c r="W677" s="1" t="s">
        <v>3769</v>
      </c>
      <c r="X677" s="1" t="s">
        <v>153</v>
      </c>
      <c r="Y677" s="10">
        <v>44560</v>
      </c>
      <c r="Z677" s="1">
        <v>2021</v>
      </c>
      <c r="AA677" s="2">
        <v>2966234.26</v>
      </c>
      <c r="AB677" s="2"/>
      <c r="AC677" s="2">
        <v>2224675.7000000002</v>
      </c>
      <c r="AD677" s="1">
        <v>0.2</v>
      </c>
      <c r="AG677" s="1" t="s">
        <v>56</v>
      </c>
      <c r="AH677" s="1" t="s">
        <v>1458</v>
      </c>
      <c r="AI677" s="2">
        <v>2224675.7000000002</v>
      </c>
      <c r="AL677" s="1" t="s">
        <v>1744</v>
      </c>
    </row>
    <row r="678" spans="1:38" ht="14.45" customHeight="1" x14ac:dyDescent="0.25">
      <c r="A678" s="1" t="s">
        <v>57</v>
      </c>
      <c r="B678" s="9" t="s">
        <v>38</v>
      </c>
      <c r="C678" s="1" t="s">
        <v>58</v>
      </c>
      <c r="D678" s="1" t="s">
        <v>146</v>
      </c>
      <c r="E678" s="1" t="s">
        <v>42</v>
      </c>
      <c r="G678" s="1" t="s">
        <v>1172</v>
      </c>
      <c r="H678" s="1" t="s">
        <v>61</v>
      </c>
      <c r="I678" s="1" t="s">
        <v>3770</v>
      </c>
      <c r="J678" s="1">
        <v>2020</v>
      </c>
      <c r="K678" s="1" t="s">
        <v>3771</v>
      </c>
      <c r="L678" s="1" t="s">
        <v>3772</v>
      </c>
      <c r="M678" s="1" t="s">
        <v>3773</v>
      </c>
      <c r="P678" s="1" t="s">
        <v>3121</v>
      </c>
      <c r="Q678" s="1" t="s">
        <v>50</v>
      </c>
      <c r="R678" s="1" t="s">
        <v>68</v>
      </c>
      <c r="S678" s="16" t="s">
        <v>2758</v>
      </c>
      <c r="T678" s="1" t="s">
        <v>2759</v>
      </c>
      <c r="U678" s="1">
        <v>1</v>
      </c>
      <c r="V678" s="1" t="s">
        <v>71</v>
      </c>
      <c r="W678" s="1" t="s">
        <v>3774</v>
      </c>
      <c r="X678" s="1" t="s">
        <v>321</v>
      </c>
      <c r="Y678" s="10">
        <v>44337</v>
      </c>
      <c r="Z678" s="1">
        <v>2021</v>
      </c>
      <c r="AA678" s="2">
        <v>605000</v>
      </c>
      <c r="AB678" s="2"/>
      <c r="AC678" s="2">
        <v>307521.5</v>
      </c>
      <c r="AD678" s="1">
        <v>3</v>
      </c>
      <c r="AE678" s="1">
        <v>2</v>
      </c>
      <c r="AG678" s="1" t="s">
        <v>56</v>
      </c>
      <c r="AH678" s="1" t="s">
        <v>154</v>
      </c>
      <c r="AI678" s="2">
        <v>307230.99</v>
      </c>
      <c r="AK678" s="1">
        <v>3</v>
      </c>
      <c r="AL678" s="1" t="s">
        <v>3775</v>
      </c>
    </row>
    <row r="679" spans="1:38" ht="14.45" customHeight="1" x14ac:dyDescent="0.2">
      <c r="A679" s="1" t="s">
        <v>57</v>
      </c>
      <c r="B679" s="9" t="s">
        <v>38</v>
      </c>
      <c r="C679" s="1" t="s">
        <v>58</v>
      </c>
      <c r="D679" s="1" t="s">
        <v>146</v>
      </c>
      <c r="E679" s="1" t="s">
        <v>42</v>
      </c>
      <c r="G679" s="1" t="s">
        <v>147</v>
      </c>
      <c r="H679" s="1" t="s">
        <v>2155</v>
      </c>
      <c r="I679" s="1" t="s">
        <v>3776</v>
      </c>
      <c r="J679" s="1">
        <v>2021</v>
      </c>
      <c r="K679" s="1" t="s">
        <v>3777</v>
      </c>
      <c r="L679" s="1" t="s">
        <v>3778</v>
      </c>
      <c r="M679" s="1" t="s">
        <v>3779</v>
      </c>
      <c r="N679" s="1" t="s">
        <v>3780</v>
      </c>
      <c r="P679" s="1" t="s">
        <v>3402</v>
      </c>
      <c r="Q679" s="1" t="s">
        <v>50</v>
      </c>
      <c r="R679" s="1" t="s">
        <v>77</v>
      </c>
      <c r="S679" s="1" t="s">
        <v>1212</v>
      </c>
      <c r="T679" s="1" t="s">
        <v>1213</v>
      </c>
      <c r="U679" s="1">
        <v>1</v>
      </c>
      <c r="V679" s="1" t="s">
        <v>186</v>
      </c>
      <c r="W679" s="1" t="s">
        <v>3781</v>
      </c>
      <c r="X679" s="1" t="s">
        <v>599</v>
      </c>
      <c r="Y679" s="10">
        <v>44559</v>
      </c>
      <c r="Z679" s="1">
        <v>2021</v>
      </c>
      <c r="AA679" s="2">
        <v>688913.51</v>
      </c>
      <c r="AB679" s="2"/>
      <c r="AC679" s="2">
        <v>516685.13250000001</v>
      </c>
      <c r="AD679" s="1">
        <v>0.5</v>
      </c>
      <c r="AG679" s="1" t="s">
        <v>56</v>
      </c>
      <c r="AH679" s="1" t="s">
        <v>1458</v>
      </c>
      <c r="AI679" s="2">
        <v>516685.13250000001</v>
      </c>
      <c r="AL679" s="1" t="s">
        <v>3782</v>
      </c>
    </row>
    <row r="680" spans="1:38" ht="14.45" customHeight="1" x14ac:dyDescent="0.2">
      <c r="A680" s="1" t="s">
        <v>57</v>
      </c>
      <c r="B680" s="9" t="s">
        <v>38</v>
      </c>
      <c r="C680" s="1" t="s">
        <v>58</v>
      </c>
      <c r="D680" s="1" t="s">
        <v>1409</v>
      </c>
      <c r="E680" s="1" t="s">
        <v>42</v>
      </c>
      <c r="F680" s="1" t="s">
        <v>3663</v>
      </c>
      <c r="G680" s="1" t="s">
        <v>2146</v>
      </c>
      <c r="H680" s="1" t="s">
        <v>156</v>
      </c>
      <c r="I680" s="1" t="s">
        <v>3783</v>
      </c>
      <c r="J680" s="1">
        <v>2021</v>
      </c>
      <c r="K680" s="1" t="s">
        <v>3784</v>
      </c>
      <c r="L680" s="1" t="s">
        <v>3785</v>
      </c>
      <c r="M680" s="1" t="s">
        <v>3786</v>
      </c>
      <c r="P680" s="1" t="s">
        <v>2151</v>
      </c>
      <c r="Q680" s="1" t="s">
        <v>50</v>
      </c>
      <c r="R680" s="1" t="s">
        <v>68</v>
      </c>
      <c r="S680" s="1" t="s">
        <v>3787</v>
      </c>
      <c r="T680" s="1" t="s">
        <v>3788</v>
      </c>
      <c r="U680" s="1">
        <v>1</v>
      </c>
      <c r="V680" s="1" t="s">
        <v>71</v>
      </c>
      <c r="W680" s="1" t="s">
        <v>3789</v>
      </c>
      <c r="Y680" s="10">
        <v>44530</v>
      </c>
      <c r="Z680" s="1">
        <v>2021</v>
      </c>
      <c r="AA680" s="2">
        <v>11570544.59</v>
      </c>
      <c r="AB680" s="2"/>
      <c r="AC680" s="2">
        <v>11512683.92</v>
      </c>
      <c r="AF680" s="1">
        <v>44</v>
      </c>
      <c r="AG680" s="1" t="s">
        <v>56</v>
      </c>
      <c r="AI680" s="2">
        <v>11512683.92</v>
      </c>
      <c r="AJ680" s="1">
        <v>90.23</v>
      </c>
      <c r="AK680" s="1" t="s">
        <v>2108</v>
      </c>
    </row>
    <row r="681" spans="1:38" ht="12.6" customHeight="1" x14ac:dyDescent="0.2">
      <c r="A681" s="1" t="s">
        <v>57</v>
      </c>
      <c r="B681" s="9" t="s">
        <v>38</v>
      </c>
      <c r="C681" s="1" t="s">
        <v>58</v>
      </c>
      <c r="D681" s="1" t="s">
        <v>1409</v>
      </c>
      <c r="E681" s="1" t="s">
        <v>42</v>
      </c>
      <c r="F681" s="1" t="s">
        <v>3663</v>
      </c>
      <c r="G681" s="1" t="s">
        <v>2146</v>
      </c>
      <c r="H681" s="1" t="s">
        <v>156</v>
      </c>
      <c r="I681" s="1" t="s">
        <v>3790</v>
      </c>
      <c r="J681" s="1">
        <v>2021</v>
      </c>
      <c r="K681" s="1" t="s">
        <v>3791</v>
      </c>
      <c r="L681" s="1" t="s">
        <v>3792</v>
      </c>
      <c r="P681" s="1" t="s">
        <v>2151</v>
      </c>
      <c r="Q681" s="1" t="s">
        <v>50</v>
      </c>
      <c r="R681" s="1" t="s">
        <v>68</v>
      </c>
      <c r="S681" s="1" t="s">
        <v>1479</v>
      </c>
      <c r="T681" s="1" t="s">
        <v>1480</v>
      </c>
      <c r="U681" s="1">
        <v>1</v>
      </c>
      <c r="V681" s="1" t="s">
        <v>71</v>
      </c>
      <c r="W681" s="1" t="s">
        <v>3793</v>
      </c>
      <c r="Y681" s="10">
        <v>44530</v>
      </c>
      <c r="Z681" s="1">
        <v>2021</v>
      </c>
      <c r="AA681" s="2">
        <v>20582737.640000001</v>
      </c>
      <c r="AB681" s="2"/>
      <c r="AC681" s="2">
        <v>19661774.84</v>
      </c>
      <c r="AF681" s="1">
        <v>74</v>
      </c>
      <c r="AG681" s="1" t="s">
        <v>56</v>
      </c>
      <c r="AI681" s="2">
        <v>19661774.84</v>
      </c>
      <c r="AJ681" s="1">
        <v>249.08</v>
      </c>
      <c r="AK681" s="1" t="s">
        <v>2108</v>
      </c>
    </row>
    <row r="682" spans="1:38" ht="12.6" customHeight="1" x14ac:dyDescent="0.2">
      <c r="A682" s="1" t="s">
        <v>57</v>
      </c>
      <c r="B682" s="9" t="s">
        <v>38</v>
      </c>
      <c r="C682" s="1" t="s">
        <v>58</v>
      </c>
      <c r="D682" s="1" t="s">
        <v>1409</v>
      </c>
      <c r="E682" s="1" t="s">
        <v>42</v>
      </c>
      <c r="F682" s="1" t="s">
        <v>3794</v>
      </c>
      <c r="G682" s="1" t="s">
        <v>2146</v>
      </c>
      <c r="H682" s="1" t="s">
        <v>3795</v>
      </c>
      <c r="I682" s="1" t="s">
        <v>3796</v>
      </c>
      <c r="J682" s="1">
        <v>2021</v>
      </c>
      <c r="K682" s="1" t="s">
        <v>3797</v>
      </c>
      <c r="L682" s="1" t="s">
        <v>3798</v>
      </c>
      <c r="P682" s="1" t="s">
        <v>3799</v>
      </c>
      <c r="Q682" s="1" t="s">
        <v>264</v>
      </c>
      <c r="R682" s="1" t="s">
        <v>265</v>
      </c>
      <c r="S682" s="1" t="s">
        <v>306</v>
      </c>
      <c r="T682" s="1" t="s">
        <v>307</v>
      </c>
      <c r="U682" s="1">
        <v>1</v>
      </c>
      <c r="V682" s="1" t="s">
        <v>308</v>
      </c>
      <c r="W682" s="1" t="s">
        <v>3798</v>
      </c>
      <c r="Y682" s="10">
        <v>44732</v>
      </c>
      <c r="Z682" s="1">
        <v>2022</v>
      </c>
      <c r="AA682" s="2">
        <v>999000</v>
      </c>
      <c r="AB682" s="2"/>
      <c r="AC682" s="2">
        <v>999000</v>
      </c>
      <c r="AG682" s="1" t="s">
        <v>3800</v>
      </c>
      <c r="AI682" s="2">
        <v>999000</v>
      </c>
      <c r="AJ682" s="2"/>
      <c r="AL682" s="1" t="s">
        <v>3801</v>
      </c>
    </row>
    <row r="683" spans="1:38" ht="12.6" hidden="1" customHeight="1" x14ac:dyDescent="0.2">
      <c r="A683" s="1" t="s">
        <v>57</v>
      </c>
      <c r="B683" s="9" t="s">
        <v>38</v>
      </c>
      <c r="C683" s="1" t="s">
        <v>40</v>
      </c>
      <c r="D683" s="1" t="s">
        <v>41</v>
      </c>
      <c r="E683" s="1" t="s">
        <v>42</v>
      </c>
      <c r="F683" s="1" t="s">
        <v>3802</v>
      </c>
      <c r="G683" s="1" t="s">
        <v>3803</v>
      </c>
      <c r="H683" s="1" t="s">
        <v>45</v>
      </c>
      <c r="I683" s="1" t="s">
        <v>3804</v>
      </c>
      <c r="K683" s="1" t="s">
        <v>3805</v>
      </c>
      <c r="L683" s="8" t="s">
        <v>3806</v>
      </c>
      <c r="M683" s="1" t="s">
        <v>3807</v>
      </c>
      <c r="P683" s="1" t="s">
        <v>3808</v>
      </c>
      <c r="Q683" s="1" t="s">
        <v>1149</v>
      </c>
      <c r="R683" s="1" t="s">
        <v>1150</v>
      </c>
      <c r="S683" s="1" t="s">
        <v>1535</v>
      </c>
      <c r="T683" s="1" t="s">
        <v>1536</v>
      </c>
      <c r="V683" s="1" t="s">
        <v>1537</v>
      </c>
      <c r="W683" s="1" t="s">
        <v>3805</v>
      </c>
      <c r="X683" s="1" t="s">
        <v>55</v>
      </c>
      <c r="Y683" s="10">
        <v>45224</v>
      </c>
      <c r="Z683" s="1">
        <v>2023</v>
      </c>
      <c r="AA683" s="2">
        <v>24250125</v>
      </c>
      <c r="AB683" s="2"/>
      <c r="AC683" s="2">
        <v>10000000</v>
      </c>
      <c r="AD683" s="1">
        <v>0</v>
      </c>
      <c r="AG683" s="1" t="s">
        <v>56</v>
      </c>
      <c r="AI683" s="2">
        <v>10000000</v>
      </c>
    </row>
    <row r="684" spans="1:38" ht="12.6" hidden="1" customHeight="1" x14ac:dyDescent="0.2">
      <c r="A684" s="1" t="s">
        <v>57</v>
      </c>
      <c r="B684" s="9" t="s">
        <v>38</v>
      </c>
      <c r="C684" s="1" t="s">
        <v>40</v>
      </c>
      <c r="D684" s="1" t="s">
        <v>41</v>
      </c>
      <c r="E684" s="1" t="s">
        <v>42</v>
      </c>
      <c r="F684" s="1" t="s">
        <v>3802</v>
      </c>
      <c r="G684" s="1" t="s">
        <v>3803</v>
      </c>
      <c r="H684" s="1" t="s">
        <v>45</v>
      </c>
      <c r="I684" s="1" t="s">
        <v>3804</v>
      </c>
      <c r="J684" s="1">
        <v>2023</v>
      </c>
      <c r="K684" s="1" t="s">
        <v>3805</v>
      </c>
      <c r="L684" s="8" t="s">
        <v>3809</v>
      </c>
      <c r="M684" s="1" t="s">
        <v>3807</v>
      </c>
      <c r="P684" s="1" t="s">
        <v>3808</v>
      </c>
      <c r="Q684" s="1" t="s">
        <v>1149</v>
      </c>
      <c r="R684" s="1" t="s">
        <v>1150</v>
      </c>
      <c r="S684" s="1" t="s">
        <v>1218</v>
      </c>
      <c r="T684" s="1" t="s">
        <v>1219</v>
      </c>
      <c r="V684" s="1" t="s">
        <v>1153</v>
      </c>
      <c r="W684" s="1" t="s">
        <v>3805</v>
      </c>
      <c r="X684" s="1" t="s">
        <v>55</v>
      </c>
      <c r="Y684" s="10">
        <v>45224</v>
      </c>
      <c r="Z684" s="1">
        <v>2023</v>
      </c>
      <c r="AA684" s="2">
        <v>24250125</v>
      </c>
      <c r="AB684" s="2"/>
      <c r="AC684" s="2">
        <v>10000000</v>
      </c>
      <c r="AD684" s="1">
        <v>0</v>
      </c>
      <c r="AG684" s="1" t="s">
        <v>56</v>
      </c>
      <c r="AI684" s="2">
        <v>10000000</v>
      </c>
    </row>
    <row r="685" spans="1:38" ht="12.6" customHeight="1" x14ac:dyDescent="0.2">
      <c r="A685" s="1" t="s">
        <v>57</v>
      </c>
      <c r="B685" s="9" t="s">
        <v>38</v>
      </c>
      <c r="C685" s="1" t="s">
        <v>40</v>
      </c>
      <c r="D685" s="1" t="s">
        <v>41</v>
      </c>
      <c r="E685" s="1" t="s">
        <v>42</v>
      </c>
      <c r="F685" s="1" t="s">
        <v>3810</v>
      </c>
      <c r="G685" s="1" t="s">
        <v>3811</v>
      </c>
      <c r="H685" s="1" t="s">
        <v>45</v>
      </c>
      <c r="I685" s="1" t="s">
        <v>3812</v>
      </c>
      <c r="J685" s="1">
        <v>2022</v>
      </c>
      <c r="K685" s="1" t="s">
        <v>3813</v>
      </c>
      <c r="L685" s="1" t="s">
        <v>3814</v>
      </c>
      <c r="P685" s="1" t="s">
        <v>3815</v>
      </c>
      <c r="Q685" s="1" t="s">
        <v>110</v>
      </c>
      <c r="R685" s="1" t="s">
        <v>605</v>
      </c>
      <c r="S685" s="1" t="s">
        <v>3816</v>
      </c>
      <c r="T685" s="1" t="s">
        <v>3817</v>
      </c>
      <c r="U685" s="1">
        <v>1</v>
      </c>
      <c r="V685" s="1" t="s">
        <v>80</v>
      </c>
      <c r="W685" s="1" t="s">
        <v>3818</v>
      </c>
      <c r="X685" s="1" t="s">
        <v>3819</v>
      </c>
      <c r="Y685" s="10">
        <v>45287</v>
      </c>
      <c r="Z685" s="1">
        <v>2023</v>
      </c>
      <c r="AA685" s="2">
        <v>14445891.779999999</v>
      </c>
      <c r="AB685" s="2"/>
      <c r="AC685" s="2">
        <v>3702482.06</v>
      </c>
      <c r="AD685" s="1">
        <v>9.4</v>
      </c>
      <c r="AG685" s="1" t="s">
        <v>56</v>
      </c>
      <c r="AI685" s="2">
        <v>3702482.06</v>
      </c>
    </row>
    <row r="686" spans="1:38" ht="12.6" customHeight="1" x14ac:dyDescent="0.2">
      <c r="A686" s="1" t="s">
        <v>57</v>
      </c>
      <c r="B686" s="9" t="s">
        <v>38</v>
      </c>
      <c r="C686" s="1" t="s">
        <v>58</v>
      </c>
      <c r="D686" s="1" t="s">
        <v>146</v>
      </c>
      <c r="E686" s="1" t="s">
        <v>42</v>
      </c>
      <c r="G686" s="1" t="s">
        <v>1172</v>
      </c>
      <c r="H686" s="1" t="s">
        <v>61</v>
      </c>
      <c r="I686" s="1" t="s">
        <v>3820</v>
      </c>
      <c r="J686" s="1">
        <v>2020</v>
      </c>
      <c r="K686" s="1" t="s">
        <v>3821</v>
      </c>
      <c r="L686" s="1" t="s">
        <v>3822</v>
      </c>
      <c r="N686" s="1" t="s">
        <v>3823</v>
      </c>
      <c r="P686" s="1" t="s">
        <v>3381</v>
      </c>
      <c r="Q686" s="1" t="s">
        <v>50</v>
      </c>
      <c r="R686" s="1" t="s">
        <v>68</v>
      </c>
      <c r="S686" s="1" t="s">
        <v>1203</v>
      </c>
      <c r="T686" s="1" t="s">
        <v>1204</v>
      </c>
      <c r="U686" s="1">
        <v>1</v>
      </c>
      <c r="V686" s="1" t="s">
        <v>195</v>
      </c>
      <c r="W686" s="1" t="s">
        <v>3824</v>
      </c>
      <c r="X686" s="1" t="s">
        <v>138</v>
      </c>
      <c r="Y686" s="10">
        <v>44337</v>
      </c>
      <c r="Z686" s="1">
        <v>2021</v>
      </c>
      <c r="AA686" s="2">
        <v>1000000</v>
      </c>
      <c r="AB686" s="2"/>
      <c r="AC686" s="2">
        <v>500000</v>
      </c>
      <c r="AD686" s="1">
        <v>2</v>
      </c>
      <c r="AE686" s="1">
        <v>2</v>
      </c>
      <c r="AG686" s="1" t="s">
        <v>56</v>
      </c>
      <c r="AH686" s="1" t="s">
        <v>154</v>
      </c>
      <c r="AI686" s="2">
        <v>500000</v>
      </c>
      <c r="AK686" s="1">
        <v>2</v>
      </c>
      <c r="AL686" s="1" t="s">
        <v>3825</v>
      </c>
    </row>
    <row r="687" spans="1:38" ht="14.45" customHeight="1" x14ac:dyDescent="0.2">
      <c r="A687" s="1" t="s">
        <v>57</v>
      </c>
      <c r="B687" s="9" t="s">
        <v>38</v>
      </c>
      <c r="C687" s="1" t="s">
        <v>58</v>
      </c>
      <c r="D687" s="1" t="s">
        <v>146</v>
      </c>
      <c r="E687" s="1" t="s">
        <v>42</v>
      </c>
      <c r="G687" s="1" t="s">
        <v>1172</v>
      </c>
      <c r="H687" s="1" t="s">
        <v>61</v>
      </c>
      <c r="I687" s="1" t="s">
        <v>3826</v>
      </c>
      <c r="J687" s="1">
        <v>2020</v>
      </c>
      <c r="K687" s="1" t="s">
        <v>3827</v>
      </c>
      <c r="L687" s="1" t="s">
        <v>3828</v>
      </c>
      <c r="N687" s="1" t="s">
        <v>3829</v>
      </c>
      <c r="P687" s="1" t="s">
        <v>3830</v>
      </c>
      <c r="Q687" s="1" t="s">
        <v>2026</v>
      </c>
      <c r="R687" s="1" t="s">
        <v>2027</v>
      </c>
      <c r="S687" s="1" t="s">
        <v>2028</v>
      </c>
      <c r="T687" s="1" t="s">
        <v>2029</v>
      </c>
      <c r="U687" s="1">
        <v>2</v>
      </c>
      <c r="V687" s="1" t="s">
        <v>101</v>
      </c>
      <c r="W687" s="1" t="s">
        <v>3828</v>
      </c>
      <c r="X687" s="1" t="s">
        <v>138</v>
      </c>
      <c r="Y687" s="10">
        <v>44337</v>
      </c>
      <c r="Z687" s="1">
        <v>2021</v>
      </c>
      <c r="AA687" s="2">
        <v>1000000</v>
      </c>
      <c r="AB687" s="2"/>
      <c r="AC687" s="2">
        <v>500000</v>
      </c>
      <c r="AD687" s="1">
        <v>10</v>
      </c>
      <c r="AE687" s="1">
        <v>17</v>
      </c>
      <c r="AF687" s="1">
        <v>7</v>
      </c>
      <c r="AG687" s="1" t="s">
        <v>56</v>
      </c>
      <c r="AH687" s="1" t="s">
        <v>154</v>
      </c>
      <c r="AI687" s="2">
        <v>500000</v>
      </c>
      <c r="AK687" s="1">
        <v>17</v>
      </c>
      <c r="AL687" s="1" t="s">
        <v>3831</v>
      </c>
    </row>
    <row r="688" spans="1:38" ht="14.45" customHeight="1" x14ac:dyDescent="0.2">
      <c r="A688" s="1" t="s">
        <v>57</v>
      </c>
      <c r="B688" s="9" t="s">
        <v>38</v>
      </c>
      <c r="C688" s="1" t="s">
        <v>40</v>
      </c>
      <c r="D688" s="1" t="s">
        <v>41</v>
      </c>
      <c r="E688" s="1" t="s">
        <v>42</v>
      </c>
      <c r="F688" s="1" t="s">
        <v>3832</v>
      </c>
      <c r="G688" s="1" t="s">
        <v>3833</v>
      </c>
      <c r="H688" s="1" t="s">
        <v>45</v>
      </c>
      <c r="I688" s="1" t="s">
        <v>3834</v>
      </c>
      <c r="J688" s="1">
        <v>2024</v>
      </c>
      <c r="K688" s="1" t="s">
        <v>3835</v>
      </c>
      <c r="L688" s="1" t="s">
        <v>3836</v>
      </c>
      <c r="M688" s="1" t="s">
        <v>3837</v>
      </c>
      <c r="P688" s="1" t="s">
        <v>3838</v>
      </c>
      <c r="Q688" s="1" t="s">
        <v>50</v>
      </c>
      <c r="R688" s="1" t="s">
        <v>68</v>
      </c>
      <c r="S688" s="1" t="s">
        <v>1203</v>
      </c>
      <c r="T688" s="1" t="s">
        <v>1204</v>
      </c>
      <c r="U688" s="1">
        <v>1</v>
      </c>
      <c r="V688" s="1" t="s">
        <v>195</v>
      </c>
      <c r="W688" s="1" t="s">
        <v>3835</v>
      </c>
      <c r="X688" s="1" t="s">
        <v>3839</v>
      </c>
      <c r="Y688" s="10">
        <v>45820</v>
      </c>
      <c r="Z688" s="1">
        <v>2025</v>
      </c>
      <c r="AA688" s="2">
        <v>712000000</v>
      </c>
      <c r="AB688" s="2"/>
      <c r="AC688" s="2">
        <v>179989972.27000001</v>
      </c>
      <c r="AD688" s="1">
        <v>200</v>
      </c>
      <c r="AG688" s="1" t="s">
        <v>56</v>
      </c>
      <c r="AI688" s="2">
        <v>179989972.27000001</v>
      </c>
    </row>
    <row r="689" spans="1:38" x14ac:dyDescent="0.2">
      <c r="A689" s="1" t="s">
        <v>57</v>
      </c>
      <c r="B689" s="9" t="s">
        <v>38</v>
      </c>
      <c r="C689" s="1" t="s">
        <v>40</v>
      </c>
      <c r="D689" s="1" t="s">
        <v>41</v>
      </c>
      <c r="E689" s="1" t="s">
        <v>42</v>
      </c>
      <c r="F689" s="1" t="s">
        <v>3840</v>
      </c>
      <c r="G689" s="1" t="s">
        <v>250</v>
      </c>
      <c r="H689" s="1" t="s">
        <v>45</v>
      </c>
      <c r="I689" s="1" t="s">
        <v>3841</v>
      </c>
      <c r="J689" s="1">
        <v>2024</v>
      </c>
      <c r="K689" s="1" t="s">
        <v>3842</v>
      </c>
      <c r="L689" s="1" t="s">
        <v>3843</v>
      </c>
      <c r="M689" s="1" t="s">
        <v>3844</v>
      </c>
      <c r="P689" s="1" t="s">
        <v>3845</v>
      </c>
      <c r="Q689" s="1" t="s">
        <v>1149</v>
      </c>
      <c r="R689" s="1" t="s">
        <v>1449</v>
      </c>
      <c r="S689" s="1" t="s">
        <v>1450</v>
      </c>
      <c r="T689" s="1" t="s">
        <v>1451</v>
      </c>
      <c r="U689" s="2"/>
      <c r="V689" s="1" t="s">
        <v>1153</v>
      </c>
      <c r="W689" s="2" t="s">
        <v>3843</v>
      </c>
      <c r="X689" s="1" t="s">
        <v>55</v>
      </c>
      <c r="Y689" s="10">
        <v>45960</v>
      </c>
      <c r="Z689" s="1">
        <v>2025</v>
      </c>
      <c r="AA689" s="2">
        <v>166056</v>
      </c>
      <c r="AB689" s="2"/>
      <c r="AC689" s="2">
        <v>89671.79</v>
      </c>
      <c r="AG689" s="1" t="s">
        <v>56</v>
      </c>
      <c r="AI689" s="2">
        <v>89671.79</v>
      </c>
    </row>
    <row r="690" spans="1:38" ht="12.6" customHeight="1" x14ac:dyDescent="0.2">
      <c r="A690" s="1" t="s">
        <v>57</v>
      </c>
      <c r="B690" s="9" t="s">
        <v>38</v>
      </c>
      <c r="C690" s="1" t="s">
        <v>40</v>
      </c>
      <c r="D690" s="1" t="s">
        <v>41</v>
      </c>
      <c r="E690" s="1" t="s">
        <v>200</v>
      </c>
      <c r="F690" s="1" t="s">
        <v>3846</v>
      </c>
      <c r="G690" s="1" t="s">
        <v>3847</v>
      </c>
      <c r="H690" s="1" t="s">
        <v>45</v>
      </c>
      <c r="I690" s="1" t="s">
        <v>3848</v>
      </c>
      <c r="J690" s="1">
        <v>2022</v>
      </c>
      <c r="K690" s="1" t="s">
        <v>3849</v>
      </c>
      <c r="L690" s="1" t="s">
        <v>3850</v>
      </c>
      <c r="M690" s="1" t="s">
        <v>3851</v>
      </c>
      <c r="P690" s="1" t="s">
        <v>3852</v>
      </c>
      <c r="Q690" s="1" t="s">
        <v>1149</v>
      </c>
      <c r="R690" s="1" t="s">
        <v>1150</v>
      </c>
      <c r="S690" s="1" t="s">
        <v>1218</v>
      </c>
      <c r="T690" s="1" t="s">
        <v>1219</v>
      </c>
      <c r="V690" s="1" t="s">
        <v>1153</v>
      </c>
      <c r="W690" s="1" t="s">
        <v>3850</v>
      </c>
      <c r="X690" s="1" t="s">
        <v>55</v>
      </c>
      <c r="Y690" s="10">
        <v>45021</v>
      </c>
      <c r="Z690" s="1">
        <v>2023</v>
      </c>
      <c r="AA690" s="2">
        <v>34288197.890000001</v>
      </c>
      <c r="AB690" s="2"/>
      <c r="AC690" s="2">
        <v>15000000</v>
      </c>
      <c r="AD690" s="1">
        <v>35</v>
      </c>
      <c r="AG690" s="1" t="s">
        <v>56</v>
      </c>
      <c r="AI690" s="2">
        <v>15000000</v>
      </c>
    </row>
    <row r="691" spans="1:38" ht="14.45" customHeight="1" x14ac:dyDescent="0.2">
      <c r="A691" s="1" t="s">
        <v>57</v>
      </c>
      <c r="B691" s="9" t="s">
        <v>38</v>
      </c>
      <c r="C691" s="1" t="s">
        <v>40</v>
      </c>
      <c r="D691" s="1" t="s">
        <v>41</v>
      </c>
      <c r="E691" s="1" t="s">
        <v>42</v>
      </c>
      <c r="F691" s="1" t="s">
        <v>3853</v>
      </c>
      <c r="G691" s="1" t="s">
        <v>3854</v>
      </c>
      <c r="H691" s="1" t="s">
        <v>45</v>
      </c>
      <c r="I691" s="1" t="s">
        <v>3855</v>
      </c>
      <c r="J691" s="1">
        <v>2023</v>
      </c>
      <c r="K691" s="1" t="s">
        <v>3856</v>
      </c>
      <c r="L691" s="1" t="s">
        <v>3857</v>
      </c>
      <c r="P691" s="1" t="s">
        <v>3858</v>
      </c>
      <c r="Q691" s="1" t="s">
        <v>1149</v>
      </c>
      <c r="R691" s="1" t="s">
        <v>1150</v>
      </c>
      <c r="S691" s="1" t="s">
        <v>1218</v>
      </c>
      <c r="T691" s="1" t="s">
        <v>1219</v>
      </c>
      <c r="V691" s="1" t="s">
        <v>1153</v>
      </c>
      <c r="W691" s="1" t="s">
        <v>3859</v>
      </c>
      <c r="X691" s="1" t="s">
        <v>55</v>
      </c>
      <c r="Y691" s="10">
        <v>45282</v>
      </c>
      <c r="Z691" s="1">
        <v>2023</v>
      </c>
      <c r="AA691" s="2">
        <v>68795600</v>
      </c>
      <c r="AB691" s="2"/>
      <c r="AC691" s="2">
        <v>15000000</v>
      </c>
      <c r="AF691" s="1">
        <v>60</v>
      </c>
      <c r="AG691" s="1" t="s">
        <v>56</v>
      </c>
      <c r="AI691" s="2">
        <v>15000000</v>
      </c>
    </row>
    <row r="692" spans="1:38" ht="12.6" customHeight="1" x14ac:dyDescent="0.2">
      <c r="A692" s="1" t="s">
        <v>57</v>
      </c>
      <c r="B692" s="9" t="s">
        <v>38</v>
      </c>
      <c r="C692" s="1" t="s">
        <v>40</v>
      </c>
      <c r="D692" s="1" t="s">
        <v>41</v>
      </c>
      <c r="E692" s="1" t="s">
        <v>42</v>
      </c>
      <c r="F692" s="1" t="s">
        <v>3832</v>
      </c>
      <c r="G692" s="1" t="s">
        <v>3833</v>
      </c>
      <c r="H692" s="1" t="s">
        <v>45</v>
      </c>
      <c r="I692" s="1" t="s">
        <v>3860</v>
      </c>
      <c r="J692" s="1">
        <v>2024</v>
      </c>
      <c r="K692" s="1" t="s">
        <v>3861</v>
      </c>
      <c r="L692" s="1" t="s">
        <v>3862</v>
      </c>
      <c r="M692" s="1" t="s">
        <v>3863</v>
      </c>
      <c r="P692" s="1" t="s">
        <v>3864</v>
      </c>
      <c r="Q692" s="1" t="s">
        <v>50</v>
      </c>
      <c r="R692" s="1" t="s">
        <v>68</v>
      </c>
      <c r="S692" s="1" t="s">
        <v>814</v>
      </c>
      <c r="T692" s="1" t="s">
        <v>815</v>
      </c>
      <c r="U692" s="1">
        <v>2</v>
      </c>
      <c r="V692" s="1" t="s">
        <v>71</v>
      </c>
      <c r="W692" s="1" t="s">
        <v>3865</v>
      </c>
      <c r="X692" s="1" t="s">
        <v>3866</v>
      </c>
      <c r="Y692" s="10">
        <v>45820</v>
      </c>
      <c r="Z692" s="1">
        <v>2025</v>
      </c>
      <c r="AA692" s="2">
        <v>632474369.95000005</v>
      </c>
      <c r="AB692" s="2"/>
      <c r="AC692" s="2">
        <v>81400000</v>
      </c>
      <c r="AD692" s="1">
        <v>240</v>
      </c>
      <c r="AG692" s="1" t="s">
        <v>56</v>
      </c>
      <c r="AI692" s="2">
        <v>81400000</v>
      </c>
    </row>
    <row r="693" spans="1:38" ht="12.6" customHeight="1" x14ac:dyDescent="0.2">
      <c r="A693" s="1" t="s">
        <v>57</v>
      </c>
      <c r="B693" s="9" t="s">
        <v>38</v>
      </c>
      <c r="C693" s="1" t="s">
        <v>58</v>
      </c>
      <c r="D693" s="1" t="s">
        <v>146</v>
      </c>
      <c r="E693" s="1" t="s">
        <v>42</v>
      </c>
      <c r="G693" s="1" t="s">
        <v>1172</v>
      </c>
      <c r="H693" s="1" t="s">
        <v>61</v>
      </c>
      <c r="I693" s="1" t="s">
        <v>3867</v>
      </c>
      <c r="J693" s="1">
        <v>2020</v>
      </c>
      <c r="K693" s="1" t="s">
        <v>3868</v>
      </c>
      <c r="L693" s="1" t="s">
        <v>3869</v>
      </c>
      <c r="M693" s="1" t="s">
        <v>3870</v>
      </c>
      <c r="N693" s="1" t="s">
        <v>3871</v>
      </c>
      <c r="P693" s="1" t="s">
        <v>1534</v>
      </c>
      <c r="Q693" s="1" t="s">
        <v>1149</v>
      </c>
      <c r="R693" s="1" t="s">
        <v>1150</v>
      </c>
      <c r="S693" s="1" t="s">
        <v>1535</v>
      </c>
      <c r="T693" s="1" t="s">
        <v>1536</v>
      </c>
      <c r="V693" s="1" t="s">
        <v>1537</v>
      </c>
      <c r="W693" s="1" t="s">
        <v>3872</v>
      </c>
      <c r="X693" s="1" t="s">
        <v>321</v>
      </c>
      <c r="Y693" s="10">
        <v>44337</v>
      </c>
      <c r="Z693" s="1">
        <v>2021</v>
      </c>
      <c r="AA693" s="2">
        <v>108809.01</v>
      </c>
      <c r="AB693" s="2"/>
      <c r="AC693" s="2">
        <v>77798</v>
      </c>
      <c r="AD693" s="1">
        <v>3</v>
      </c>
      <c r="AE693" s="1">
        <v>3</v>
      </c>
      <c r="AG693" s="1" t="s">
        <v>56</v>
      </c>
      <c r="AH693" s="1" t="s">
        <v>154</v>
      </c>
      <c r="AI693" s="2">
        <v>77798</v>
      </c>
      <c r="AK693" s="1">
        <v>3</v>
      </c>
      <c r="AL693" s="1" t="s">
        <v>3775</v>
      </c>
    </row>
    <row r="694" spans="1:38" ht="12.6" customHeight="1" x14ac:dyDescent="0.2">
      <c r="A694" s="1" t="s">
        <v>57</v>
      </c>
      <c r="B694" s="9" t="s">
        <v>38</v>
      </c>
      <c r="C694" s="1" t="s">
        <v>58</v>
      </c>
      <c r="D694" s="1" t="s">
        <v>146</v>
      </c>
      <c r="E694" s="1" t="s">
        <v>42</v>
      </c>
      <c r="G694" s="1" t="s">
        <v>1172</v>
      </c>
      <c r="H694" s="1" t="s">
        <v>61</v>
      </c>
      <c r="I694" s="1" t="s">
        <v>3873</v>
      </c>
      <c r="J694" s="1">
        <v>2020</v>
      </c>
      <c r="K694" s="1" t="s">
        <v>3874</v>
      </c>
      <c r="L694" s="1" t="s">
        <v>3875</v>
      </c>
      <c r="N694" s="1" t="s">
        <v>3876</v>
      </c>
      <c r="P694" s="1" t="s">
        <v>2122</v>
      </c>
      <c r="Q694" s="1" t="s">
        <v>101</v>
      </c>
      <c r="R694" s="1" t="s">
        <v>102</v>
      </c>
      <c r="S694" s="1" t="s">
        <v>2123</v>
      </c>
      <c r="T694" s="1" t="s">
        <v>2124</v>
      </c>
      <c r="U694" s="1">
        <v>1</v>
      </c>
      <c r="V694" s="1" t="s">
        <v>101</v>
      </c>
      <c r="W694" s="1" t="s">
        <v>3874</v>
      </c>
      <c r="X694" s="1" t="s">
        <v>138</v>
      </c>
      <c r="Y694" s="10">
        <v>44337</v>
      </c>
      <c r="Z694" s="1">
        <v>2021</v>
      </c>
      <c r="AA694" s="2">
        <v>287325.31</v>
      </c>
      <c r="AB694" s="2"/>
      <c r="AC694" s="2">
        <v>184089.32</v>
      </c>
      <c r="AD694" s="1">
        <v>6</v>
      </c>
      <c r="AE694" s="1">
        <v>6</v>
      </c>
      <c r="AF694" s="1">
        <v>2</v>
      </c>
      <c r="AG694" s="1" t="s">
        <v>56</v>
      </c>
      <c r="AH694" s="1" t="s">
        <v>154</v>
      </c>
      <c r="AI694" s="2">
        <v>150617.93</v>
      </c>
      <c r="AK694" s="1">
        <v>8</v>
      </c>
      <c r="AL694" s="1" t="s">
        <v>3877</v>
      </c>
    </row>
    <row r="695" spans="1:38" ht="12.6" customHeight="1" x14ac:dyDescent="0.2">
      <c r="A695" s="1" t="s">
        <v>57</v>
      </c>
      <c r="B695" s="9" t="s">
        <v>38</v>
      </c>
      <c r="C695" s="1" t="s">
        <v>40</v>
      </c>
      <c r="D695" s="1" t="s">
        <v>41</v>
      </c>
      <c r="E695" s="1" t="s">
        <v>200</v>
      </c>
      <c r="F695" s="1" t="s">
        <v>215</v>
      </c>
      <c r="G695" s="1" t="s">
        <v>216</v>
      </c>
      <c r="H695" s="1" t="s">
        <v>45</v>
      </c>
      <c r="I695" s="1" t="s">
        <v>3878</v>
      </c>
      <c r="J695" s="1">
        <v>2022</v>
      </c>
      <c r="K695" s="1" t="s">
        <v>3879</v>
      </c>
      <c r="L695" s="1" t="s">
        <v>3879</v>
      </c>
      <c r="P695" s="1" t="s">
        <v>3880</v>
      </c>
      <c r="Q695" s="1" t="s">
        <v>110</v>
      </c>
      <c r="R695" s="1" t="s">
        <v>605</v>
      </c>
      <c r="S695" s="1" t="s">
        <v>606</v>
      </c>
      <c r="T695" s="1" t="s">
        <v>607</v>
      </c>
      <c r="U695" s="1">
        <v>1</v>
      </c>
      <c r="V695" s="1" t="s">
        <v>80</v>
      </c>
      <c r="W695" s="1" t="s">
        <v>3881</v>
      </c>
      <c r="X695" s="1" t="s">
        <v>55</v>
      </c>
      <c r="Y695" s="10">
        <v>45019</v>
      </c>
      <c r="Z695" s="1">
        <v>2023</v>
      </c>
      <c r="AA695" s="2">
        <v>3420472.79</v>
      </c>
      <c r="AB695" s="2"/>
      <c r="AC695" s="2">
        <v>1621662.03</v>
      </c>
      <c r="AG695" s="1" t="s">
        <v>56</v>
      </c>
      <c r="AI695" s="2">
        <v>1621662.03</v>
      </c>
    </row>
    <row r="696" spans="1:38" ht="12.6" customHeight="1" x14ac:dyDescent="0.2">
      <c r="A696" s="1" t="s">
        <v>57</v>
      </c>
      <c r="B696" s="9" t="s">
        <v>38</v>
      </c>
      <c r="C696" s="1" t="s">
        <v>40</v>
      </c>
      <c r="D696" s="1" t="s">
        <v>41</v>
      </c>
      <c r="E696" s="1" t="s">
        <v>200</v>
      </c>
      <c r="F696" s="1" t="s">
        <v>215</v>
      </c>
      <c r="G696" s="1" t="s">
        <v>216</v>
      </c>
      <c r="H696" s="1" t="s">
        <v>45</v>
      </c>
      <c r="I696" s="1" t="s">
        <v>3882</v>
      </c>
      <c r="J696" s="1">
        <v>2022</v>
      </c>
      <c r="K696" s="1" t="s">
        <v>3883</v>
      </c>
      <c r="L696" s="1" t="s">
        <v>3884</v>
      </c>
      <c r="M696" s="1" t="s">
        <v>3885</v>
      </c>
      <c r="P696" s="1" t="s">
        <v>3880</v>
      </c>
      <c r="Q696" s="1" t="s">
        <v>110</v>
      </c>
      <c r="R696" s="1" t="s">
        <v>605</v>
      </c>
      <c r="S696" s="1" t="s">
        <v>606</v>
      </c>
      <c r="T696" s="1" t="s">
        <v>607</v>
      </c>
      <c r="U696" s="1">
        <v>1</v>
      </c>
      <c r="V696" s="1" t="s">
        <v>80</v>
      </c>
      <c r="W696" s="1" t="s">
        <v>3886</v>
      </c>
      <c r="X696" s="1" t="s">
        <v>55</v>
      </c>
      <c r="Y696" s="10">
        <v>45124</v>
      </c>
      <c r="Z696" s="1">
        <v>2023</v>
      </c>
      <c r="AA696" s="2">
        <v>1636913.3</v>
      </c>
      <c r="AB696" s="2"/>
      <c r="AC696" s="2">
        <v>615566.06000000006</v>
      </c>
      <c r="AG696" s="1" t="s">
        <v>56</v>
      </c>
      <c r="AI696" s="2">
        <v>615566.06000000006</v>
      </c>
    </row>
    <row r="697" spans="1:38" ht="12.6" customHeight="1" x14ac:dyDescent="0.2">
      <c r="A697" s="1" t="s">
        <v>57</v>
      </c>
      <c r="B697" s="9" t="s">
        <v>38</v>
      </c>
      <c r="C697" s="1" t="s">
        <v>40</v>
      </c>
      <c r="D697" s="1" t="s">
        <v>41</v>
      </c>
      <c r="E697" s="1" t="s">
        <v>200</v>
      </c>
      <c r="F697" s="1" t="s">
        <v>215</v>
      </c>
      <c r="G697" s="1" t="s">
        <v>216</v>
      </c>
      <c r="H697" s="1" t="s">
        <v>45</v>
      </c>
      <c r="I697" s="1" t="s">
        <v>3887</v>
      </c>
      <c r="J697" s="1">
        <v>2022</v>
      </c>
      <c r="K697" s="1" t="s">
        <v>3888</v>
      </c>
      <c r="L697" s="1" t="s">
        <v>3889</v>
      </c>
      <c r="P697" s="1" t="s">
        <v>3890</v>
      </c>
      <c r="Q697" s="1" t="s">
        <v>110</v>
      </c>
      <c r="R697" s="1" t="s">
        <v>605</v>
      </c>
      <c r="S697" s="1" t="s">
        <v>606</v>
      </c>
      <c r="T697" s="1" t="s">
        <v>607</v>
      </c>
      <c r="U697" s="1">
        <v>1</v>
      </c>
      <c r="V697" s="1" t="s">
        <v>80</v>
      </c>
      <c r="W697" s="1" t="s">
        <v>3891</v>
      </c>
      <c r="X697" s="1" t="s">
        <v>55</v>
      </c>
      <c r="Y697" s="10">
        <v>45069</v>
      </c>
      <c r="Z697" s="1">
        <v>2023</v>
      </c>
      <c r="AA697" s="2">
        <v>42170749.219999999</v>
      </c>
      <c r="AB697" s="2"/>
      <c r="AC697" s="2">
        <v>10000000</v>
      </c>
      <c r="AG697" s="1" t="s">
        <v>56</v>
      </c>
      <c r="AI697" s="2">
        <v>10000000</v>
      </c>
    </row>
    <row r="698" spans="1:38" ht="12.6" customHeight="1" x14ac:dyDescent="0.25">
      <c r="A698" s="1" t="s">
        <v>57</v>
      </c>
      <c r="B698" s="9" t="s">
        <v>38</v>
      </c>
      <c r="C698" s="1" t="s">
        <v>40</v>
      </c>
      <c r="D698" s="1" t="s">
        <v>41</v>
      </c>
      <c r="E698" s="1" t="s">
        <v>42</v>
      </c>
      <c r="F698" s="1" t="s">
        <v>3892</v>
      </c>
      <c r="G698" s="1" t="s">
        <v>3893</v>
      </c>
      <c r="H698" s="1" t="s">
        <v>45</v>
      </c>
      <c r="I698" s="1" t="s">
        <v>3894</v>
      </c>
      <c r="J698" s="1">
        <v>2023</v>
      </c>
      <c r="K698" s="1" t="s">
        <v>3895</v>
      </c>
      <c r="L698" s="1" t="s">
        <v>3896</v>
      </c>
      <c r="M698" s="1" t="s">
        <v>3897</v>
      </c>
      <c r="P698" s="1" t="s">
        <v>3898</v>
      </c>
      <c r="Q698" s="1" t="s">
        <v>110</v>
      </c>
      <c r="R698" s="1" t="s">
        <v>605</v>
      </c>
      <c r="S698" s="1" t="s">
        <v>606</v>
      </c>
      <c r="T698" s="1" t="s">
        <v>607</v>
      </c>
      <c r="U698" s="1">
        <v>1</v>
      </c>
      <c r="V698" s="1" t="s">
        <v>80</v>
      </c>
      <c r="W698" s="1" t="s">
        <v>3899</v>
      </c>
      <c r="Y698" s="10">
        <v>45505</v>
      </c>
      <c r="Z698" s="1">
        <v>2024</v>
      </c>
      <c r="AA698" s="35">
        <v>2084688.06</v>
      </c>
      <c r="AB698" s="35"/>
      <c r="AC698" s="35">
        <v>1472954.29</v>
      </c>
    </row>
    <row r="699" spans="1:38" ht="12.6" customHeight="1" x14ac:dyDescent="0.25">
      <c r="A699" s="1" t="s">
        <v>57</v>
      </c>
      <c r="B699" s="9" t="s">
        <v>38</v>
      </c>
      <c r="C699" s="1" t="s">
        <v>40</v>
      </c>
      <c r="D699" s="1" t="s">
        <v>41</v>
      </c>
      <c r="E699" s="1" t="s">
        <v>42</v>
      </c>
      <c r="F699" s="1" t="s">
        <v>3900</v>
      </c>
      <c r="G699" s="1" t="s">
        <v>3901</v>
      </c>
      <c r="H699" s="1" t="s">
        <v>45</v>
      </c>
      <c r="I699" s="1" t="s">
        <v>3902</v>
      </c>
      <c r="J699" s="1">
        <v>2023</v>
      </c>
      <c r="K699" s="1" t="s">
        <v>3903</v>
      </c>
      <c r="L699" s="1" t="s">
        <v>3904</v>
      </c>
      <c r="M699" s="1" t="s">
        <v>3905</v>
      </c>
      <c r="P699" s="1" t="s">
        <v>3906</v>
      </c>
      <c r="Q699" s="1" t="s">
        <v>3907</v>
      </c>
      <c r="R699" s="1" t="s">
        <v>3907</v>
      </c>
      <c r="S699" s="1" t="s">
        <v>3908</v>
      </c>
      <c r="T699" s="1" t="s">
        <v>3909</v>
      </c>
      <c r="U699" s="1">
        <v>0</v>
      </c>
      <c r="V699" s="1" t="s">
        <v>3910</v>
      </c>
      <c r="W699" s="1" t="s">
        <v>3911</v>
      </c>
      <c r="Y699" s="10">
        <v>45631</v>
      </c>
      <c r="Z699" s="1">
        <v>2024</v>
      </c>
      <c r="AA699" s="35">
        <v>18743740</v>
      </c>
      <c r="AB699" s="35"/>
      <c r="AC699" s="35">
        <v>6729003</v>
      </c>
      <c r="AG699" s="1" t="s">
        <v>3912</v>
      </c>
      <c r="AI699" s="2">
        <v>6729003</v>
      </c>
    </row>
    <row r="700" spans="1:38" ht="12.6" customHeight="1" x14ac:dyDescent="0.2">
      <c r="A700" s="1" t="s">
        <v>57</v>
      </c>
      <c r="B700" s="9" t="s">
        <v>38</v>
      </c>
      <c r="C700" s="1" t="s">
        <v>40</v>
      </c>
      <c r="D700" s="1" t="s">
        <v>41</v>
      </c>
      <c r="E700" s="1" t="s">
        <v>42</v>
      </c>
      <c r="F700" s="1" t="s">
        <v>3913</v>
      </c>
      <c r="G700" s="1" t="s">
        <v>3914</v>
      </c>
      <c r="H700" s="1" t="s">
        <v>45</v>
      </c>
      <c r="I700" s="1" t="s">
        <v>3915</v>
      </c>
      <c r="J700" s="1">
        <v>2024</v>
      </c>
      <c r="K700" s="1" t="s">
        <v>3916</v>
      </c>
      <c r="L700" s="1" t="s">
        <v>3917</v>
      </c>
      <c r="P700" s="1" t="s">
        <v>3918</v>
      </c>
      <c r="Q700" s="1" t="s">
        <v>842</v>
      </c>
      <c r="R700" s="1" t="s">
        <v>843</v>
      </c>
      <c r="S700" s="1" t="s">
        <v>2707</v>
      </c>
      <c r="T700" s="1" t="s">
        <v>2708</v>
      </c>
      <c r="V700" s="1" t="s">
        <v>846</v>
      </c>
      <c r="W700" s="1" t="s">
        <v>3916</v>
      </c>
      <c r="X700" s="1" t="s">
        <v>258</v>
      </c>
      <c r="Y700" s="10">
        <v>45807</v>
      </c>
      <c r="Z700" s="1">
        <v>2025</v>
      </c>
      <c r="AA700" s="2">
        <v>119000000</v>
      </c>
      <c r="AB700" s="2"/>
      <c r="AC700" s="2">
        <v>78000000</v>
      </c>
      <c r="AI700" s="2">
        <v>78000000</v>
      </c>
    </row>
    <row r="701" spans="1:38" ht="12.6" customHeight="1" x14ac:dyDescent="0.2">
      <c r="A701" s="1" t="s">
        <v>57</v>
      </c>
      <c r="B701" s="9" t="s">
        <v>38</v>
      </c>
      <c r="C701" s="1" t="s">
        <v>40</v>
      </c>
      <c r="D701" s="1" t="s">
        <v>41</v>
      </c>
      <c r="E701" s="1" t="s">
        <v>200</v>
      </c>
      <c r="F701" s="1" t="s">
        <v>215</v>
      </c>
      <c r="G701" s="1" t="s">
        <v>3893</v>
      </c>
      <c r="H701" s="1" t="s">
        <v>45</v>
      </c>
      <c r="I701" s="1" t="s">
        <v>3919</v>
      </c>
      <c r="J701" s="1">
        <v>2023</v>
      </c>
      <c r="K701" s="1" t="s">
        <v>3920</v>
      </c>
      <c r="L701" s="1" t="s">
        <v>3921</v>
      </c>
      <c r="M701" s="1" t="s">
        <v>3922</v>
      </c>
      <c r="P701" s="1" t="s">
        <v>3923</v>
      </c>
      <c r="Q701" s="1" t="s">
        <v>842</v>
      </c>
      <c r="R701" s="1" t="s">
        <v>843</v>
      </c>
      <c r="S701" s="1" t="s">
        <v>2707</v>
      </c>
      <c r="T701" s="1" t="s">
        <v>2708</v>
      </c>
      <c r="V701" s="1" t="s">
        <v>846</v>
      </c>
      <c r="W701" s="1" t="s">
        <v>3920</v>
      </c>
      <c r="X701" s="1" t="s">
        <v>55</v>
      </c>
      <c r="Y701" s="10">
        <v>45127</v>
      </c>
      <c r="Z701" s="1">
        <v>2023</v>
      </c>
      <c r="AA701" s="2">
        <v>3906864.99</v>
      </c>
      <c r="AB701" s="2"/>
      <c r="AC701" s="2">
        <v>2594143.2400000002</v>
      </c>
      <c r="AG701" s="1" t="s">
        <v>56</v>
      </c>
      <c r="AI701" s="2">
        <v>2594143.2400000002</v>
      </c>
    </row>
    <row r="702" spans="1:38" ht="12.6" customHeight="1" x14ac:dyDescent="0.2">
      <c r="A702" s="1" t="s">
        <v>57</v>
      </c>
      <c r="B702" s="9" t="s">
        <v>38</v>
      </c>
      <c r="C702" s="1" t="s">
        <v>40</v>
      </c>
      <c r="D702" s="1" t="s">
        <v>41</v>
      </c>
      <c r="E702" s="1" t="s">
        <v>200</v>
      </c>
      <c r="F702" s="1" t="s">
        <v>215</v>
      </c>
      <c r="G702" s="1" t="s">
        <v>3893</v>
      </c>
      <c r="H702" s="1" t="s">
        <v>45</v>
      </c>
      <c r="I702" s="1" t="s">
        <v>3924</v>
      </c>
      <c r="J702" s="1">
        <v>2023</v>
      </c>
      <c r="K702" s="1" t="s">
        <v>3925</v>
      </c>
      <c r="L702" s="1" t="s">
        <v>3926</v>
      </c>
      <c r="M702" s="1" t="s">
        <v>3927</v>
      </c>
      <c r="P702" s="1" t="s">
        <v>3923</v>
      </c>
      <c r="Q702" s="1" t="s">
        <v>842</v>
      </c>
      <c r="R702" s="1" t="s">
        <v>843</v>
      </c>
      <c r="S702" s="1" t="s">
        <v>2707</v>
      </c>
      <c r="T702" s="1" t="s">
        <v>2708</v>
      </c>
      <c r="V702" s="1" t="s">
        <v>846</v>
      </c>
      <c r="W702" s="1" t="s">
        <v>3925</v>
      </c>
      <c r="X702" s="1" t="s">
        <v>55</v>
      </c>
      <c r="Y702" s="10">
        <v>45127</v>
      </c>
      <c r="Z702" s="1">
        <v>2023</v>
      </c>
      <c r="AA702" s="2">
        <v>1479544.19</v>
      </c>
      <c r="AB702" s="2"/>
      <c r="AC702" s="2">
        <v>739772.09</v>
      </c>
      <c r="AG702" s="1" t="s">
        <v>56</v>
      </c>
      <c r="AI702" s="2">
        <v>739772.09</v>
      </c>
    </row>
    <row r="703" spans="1:38" ht="12.6" customHeight="1" x14ac:dyDescent="0.25">
      <c r="A703" s="1" t="s">
        <v>57</v>
      </c>
      <c r="B703" s="9" t="s">
        <v>38</v>
      </c>
      <c r="C703" s="1" t="s">
        <v>40</v>
      </c>
      <c r="D703" s="1" t="s">
        <v>41</v>
      </c>
      <c r="E703" s="1" t="s">
        <v>200</v>
      </c>
      <c r="F703" s="1" t="s">
        <v>3846</v>
      </c>
      <c r="G703" s="1" t="s">
        <v>3847</v>
      </c>
      <c r="H703" s="1" t="s">
        <v>45</v>
      </c>
      <c r="I703" s="1" t="s">
        <v>3928</v>
      </c>
      <c r="J703" s="1">
        <v>2022</v>
      </c>
      <c r="K703" s="1" t="s">
        <v>3929</v>
      </c>
      <c r="L703" s="1" t="s">
        <v>3929</v>
      </c>
      <c r="M703" s="1" t="s">
        <v>3930</v>
      </c>
      <c r="P703" s="36" t="s">
        <v>3931</v>
      </c>
      <c r="Q703" s="1" t="s">
        <v>842</v>
      </c>
      <c r="R703" s="1" t="s">
        <v>843</v>
      </c>
      <c r="S703" s="1" t="s">
        <v>3932</v>
      </c>
      <c r="T703" s="1" t="s">
        <v>3933</v>
      </c>
      <c r="V703" s="1" t="s">
        <v>846</v>
      </c>
      <c r="W703" s="1" t="s">
        <v>3929</v>
      </c>
      <c r="X703" s="1" t="s">
        <v>55</v>
      </c>
      <c r="Y703" s="10">
        <v>45021</v>
      </c>
      <c r="Z703" s="1">
        <v>2023</v>
      </c>
      <c r="AA703" s="2">
        <v>30155689.73</v>
      </c>
      <c r="AB703" s="2"/>
      <c r="AC703" s="2">
        <v>12711965.99</v>
      </c>
      <c r="AG703" s="1" t="s">
        <v>56</v>
      </c>
      <c r="AI703" s="2">
        <v>12711965.99</v>
      </c>
    </row>
    <row r="704" spans="1:38" ht="12.6" customHeight="1" x14ac:dyDescent="0.25">
      <c r="A704" s="1" t="s">
        <v>57</v>
      </c>
      <c r="B704" s="9" t="s">
        <v>38</v>
      </c>
      <c r="C704" s="1" t="s">
        <v>40</v>
      </c>
      <c r="D704" s="1" t="s">
        <v>41</v>
      </c>
      <c r="E704" s="1" t="s">
        <v>42</v>
      </c>
      <c r="F704" s="1" t="s">
        <v>3900</v>
      </c>
      <c r="G704" s="1" t="s">
        <v>3901</v>
      </c>
      <c r="H704" s="1" t="s">
        <v>45</v>
      </c>
      <c r="I704" s="1" t="s">
        <v>3934</v>
      </c>
      <c r="J704" s="1">
        <v>2023</v>
      </c>
      <c r="K704" s="1" t="s">
        <v>3935</v>
      </c>
      <c r="L704" s="1" t="s">
        <v>3936</v>
      </c>
      <c r="M704" s="1" t="s">
        <v>3937</v>
      </c>
      <c r="P704" s="1" t="s">
        <v>3938</v>
      </c>
      <c r="Q704" s="1" t="s">
        <v>1109</v>
      </c>
      <c r="R704" s="1" t="s">
        <v>1110</v>
      </c>
      <c r="S704" s="1" t="s">
        <v>2040</v>
      </c>
      <c r="T704" s="1" t="s">
        <v>2041</v>
      </c>
      <c r="U704" s="1">
        <v>0</v>
      </c>
      <c r="V704" s="1" t="s">
        <v>54</v>
      </c>
      <c r="W704" s="1" t="s">
        <v>3939</v>
      </c>
      <c r="Y704" s="10">
        <v>45631</v>
      </c>
      <c r="Z704" s="1">
        <v>2024</v>
      </c>
      <c r="AA704" s="35">
        <v>2517557</v>
      </c>
      <c r="AB704" s="35"/>
      <c r="AC704" s="35">
        <v>1007023</v>
      </c>
      <c r="AG704" s="1" t="s">
        <v>3912</v>
      </c>
      <c r="AI704" s="2">
        <v>1007023</v>
      </c>
    </row>
    <row r="705" spans="1:38" ht="12.6" customHeight="1" x14ac:dyDescent="0.2">
      <c r="A705" s="1" t="s">
        <v>57</v>
      </c>
      <c r="B705" s="9" t="s">
        <v>38</v>
      </c>
      <c r="C705" s="1" t="s">
        <v>40</v>
      </c>
      <c r="D705" s="1" t="s">
        <v>41</v>
      </c>
      <c r="E705" s="1" t="s">
        <v>200</v>
      </c>
      <c r="F705" s="1" t="s">
        <v>43</v>
      </c>
      <c r="G705" s="1" t="s">
        <v>44</v>
      </c>
      <c r="H705" s="1" t="s">
        <v>45</v>
      </c>
      <c r="I705" s="1" t="s">
        <v>3940</v>
      </c>
      <c r="J705" s="1">
        <v>2022</v>
      </c>
      <c r="K705" s="1" t="s">
        <v>3941</v>
      </c>
      <c r="L705" s="1" t="s">
        <v>3941</v>
      </c>
      <c r="P705" s="1" t="s">
        <v>3942</v>
      </c>
      <c r="Q705" s="1" t="s">
        <v>1109</v>
      </c>
      <c r="R705" s="1" t="s">
        <v>1110</v>
      </c>
      <c r="S705" s="8" t="s">
        <v>3943</v>
      </c>
      <c r="T705" s="1" t="s">
        <v>3944</v>
      </c>
      <c r="V705" s="1" t="s">
        <v>54</v>
      </c>
      <c r="W705" s="1" t="s">
        <v>3941</v>
      </c>
      <c r="X705" s="1" t="s">
        <v>55</v>
      </c>
      <c r="Y705" s="10">
        <v>45222</v>
      </c>
      <c r="Z705" s="1">
        <v>2023</v>
      </c>
      <c r="AA705" s="2">
        <v>700000</v>
      </c>
      <c r="AB705" s="2" t="s">
        <v>1240</v>
      </c>
      <c r="AC705" s="2">
        <v>560000</v>
      </c>
      <c r="AD705" s="1" t="s">
        <v>1240</v>
      </c>
      <c r="AF705" s="1" t="s">
        <v>1240</v>
      </c>
      <c r="AG705" s="1" t="s">
        <v>56</v>
      </c>
      <c r="AH705" s="1" t="s">
        <v>1240</v>
      </c>
      <c r="AI705" s="2">
        <v>560000</v>
      </c>
    </row>
    <row r="706" spans="1:38" ht="12.6" customHeight="1" x14ac:dyDescent="0.2">
      <c r="A706" s="1" t="s">
        <v>57</v>
      </c>
      <c r="B706" s="9" t="s">
        <v>38</v>
      </c>
      <c r="C706" s="1" t="s">
        <v>40</v>
      </c>
      <c r="D706" s="1" t="s">
        <v>41</v>
      </c>
      <c r="E706" s="1" t="s">
        <v>200</v>
      </c>
      <c r="F706" s="1" t="s">
        <v>3846</v>
      </c>
      <c r="G706" s="1" t="s">
        <v>3847</v>
      </c>
      <c r="H706" s="1" t="s">
        <v>45</v>
      </c>
      <c r="I706" s="1" t="s">
        <v>3945</v>
      </c>
      <c r="J706" s="1">
        <v>2022</v>
      </c>
      <c r="K706" s="1" t="s">
        <v>3946</v>
      </c>
      <c r="L706" s="1" t="s">
        <v>3946</v>
      </c>
      <c r="M706" s="1" t="s">
        <v>3947</v>
      </c>
      <c r="P706" s="1" t="s">
        <v>3948</v>
      </c>
      <c r="Q706" s="1" t="s">
        <v>842</v>
      </c>
      <c r="R706" s="1" t="s">
        <v>843</v>
      </c>
      <c r="S706" s="1" t="s">
        <v>2707</v>
      </c>
      <c r="T706" s="1" t="s">
        <v>2708</v>
      </c>
      <c r="V706" s="1" t="s">
        <v>846</v>
      </c>
      <c r="W706" s="1" t="s">
        <v>3946</v>
      </c>
      <c r="X706" s="1" t="s">
        <v>55</v>
      </c>
      <c r="Y706" s="10">
        <v>45021</v>
      </c>
      <c r="Z706" s="1">
        <v>2023</v>
      </c>
      <c r="AA706" s="2">
        <v>11233346.77</v>
      </c>
      <c r="AB706" s="2"/>
      <c r="AC706" s="2">
        <v>4037894.71</v>
      </c>
      <c r="AG706" s="1" t="s">
        <v>56</v>
      </c>
      <c r="AI706" s="2">
        <v>4037894.71</v>
      </c>
    </row>
    <row r="707" spans="1:38" ht="12.6" customHeight="1" x14ac:dyDescent="0.2">
      <c r="A707" s="1" t="s">
        <v>57</v>
      </c>
      <c r="B707" s="9" t="s">
        <v>38</v>
      </c>
      <c r="C707" s="1" t="s">
        <v>40</v>
      </c>
      <c r="D707" s="1" t="s">
        <v>41</v>
      </c>
      <c r="E707" s="1" t="s">
        <v>42</v>
      </c>
      <c r="F707" s="1" t="s">
        <v>43</v>
      </c>
      <c r="G707" s="1" t="s">
        <v>44</v>
      </c>
      <c r="H707" s="1" t="s">
        <v>45</v>
      </c>
      <c r="I707" s="1" t="s">
        <v>3949</v>
      </c>
      <c r="J707" s="1">
        <v>2022</v>
      </c>
      <c r="K707" s="1" t="s">
        <v>3950</v>
      </c>
      <c r="L707" s="1" t="s">
        <v>3951</v>
      </c>
      <c r="M707" s="1" t="s">
        <v>3952</v>
      </c>
      <c r="P707" s="1" t="s">
        <v>3953</v>
      </c>
      <c r="Q707" s="1" t="s">
        <v>50</v>
      </c>
      <c r="R707" s="1" t="s">
        <v>51</v>
      </c>
      <c r="S707" s="1" t="s">
        <v>52</v>
      </c>
      <c r="T707" s="1" t="s">
        <v>53</v>
      </c>
      <c r="V707" s="1" t="s">
        <v>54</v>
      </c>
      <c r="W707" s="1" t="s">
        <v>3954</v>
      </c>
      <c r="X707" s="1" t="s">
        <v>55</v>
      </c>
      <c r="Y707" s="10">
        <v>45222</v>
      </c>
      <c r="Z707" s="1">
        <v>2023</v>
      </c>
      <c r="AA707" s="2">
        <v>220800</v>
      </c>
      <c r="AB707" s="2"/>
      <c r="AC707" s="2">
        <v>150144</v>
      </c>
      <c r="AG707" s="1" t="s">
        <v>56</v>
      </c>
      <c r="AI707" s="2">
        <v>150144</v>
      </c>
    </row>
    <row r="708" spans="1:38" ht="12.6" customHeight="1" x14ac:dyDescent="0.2">
      <c r="A708" s="1" t="s">
        <v>57</v>
      </c>
      <c r="B708" s="9" t="s">
        <v>38</v>
      </c>
      <c r="C708" s="1" t="s">
        <v>40</v>
      </c>
      <c r="D708" s="1" t="s">
        <v>41</v>
      </c>
      <c r="E708" s="1" t="s">
        <v>42</v>
      </c>
      <c r="F708" s="1" t="s">
        <v>209</v>
      </c>
      <c r="G708" s="1" t="s">
        <v>210</v>
      </c>
      <c r="H708" s="1" t="s">
        <v>45</v>
      </c>
      <c r="I708" s="1" t="s">
        <v>3955</v>
      </c>
      <c r="J708" s="1">
        <v>2022</v>
      </c>
      <c r="K708" s="1" t="s">
        <v>3956</v>
      </c>
      <c r="L708" s="1" t="s">
        <v>3957</v>
      </c>
      <c r="P708" s="1" t="s">
        <v>3958</v>
      </c>
      <c r="Q708" s="1" t="s">
        <v>1109</v>
      </c>
      <c r="R708" s="1" t="s">
        <v>1110</v>
      </c>
      <c r="S708" s="1" t="s">
        <v>2040</v>
      </c>
      <c r="T708" s="1" t="s">
        <v>2041</v>
      </c>
      <c r="U708" s="2"/>
      <c r="V708" s="2" t="s">
        <v>54</v>
      </c>
      <c r="W708" s="2" t="s">
        <v>3956</v>
      </c>
      <c r="X708" s="1" t="s">
        <v>55</v>
      </c>
      <c r="Y708" s="1">
        <v>44840</v>
      </c>
      <c r="Z708" s="1">
        <v>2022</v>
      </c>
      <c r="AA708" s="1">
        <v>1233442</v>
      </c>
      <c r="AC708" s="2">
        <v>740065.2</v>
      </c>
      <c r="AF708" s="1" t="s">
        <v>3959</v>
      </c>
      <c r="AG708" s="1" t="s">
        <v>56</v>
      </c>
      <c r="AH708" s="1" t="s">
        <v>3959</v>
      </c>
      <c r="AI708" s="1">
        <v>740065.2</v>
      </c>
    </row>
    <row r="709" spans="1:38" ht="12.6" customHeight="1" x14ac:dyDescent="0.2">
      <c r="A709" s="1" t="s">
        <v>57</v>
      </c>
      <c r="B709" s="9" t="s">
        <v>38</v>
      </c>
      <c r="C709" s="1" t="s">
        <v>40</v>
      </c>
      <c r="D709" s="1" t="s">
        <v>41</v>
      </c>
      <c r="E709" s="1" t="s">
        <v>200</v>
      </c>
      <c r="F709" s="1" t="s">
        <v>3853</v>
      </c>
      <c r="G709" s="1" t="s">
        <v>3854</v>
      </c>
      <c r="H709" s="1" t="s">
        <v>45</v>
      </c>
      <c r="I709" s="1" t="s">
        <v>3960</v>
      </c>
      <c r="J709" s="1">
        <v>2023</v>
      </c>
      <c r="K709" s="1" t="s">
        <v>3961</v>
      </c>
      <c r="L709" s="1" t="s">
        <v>3962</v>
      </c>
      <c r="M709" s="1" t="s">
        <v>3963</v>
      </c>
      <c r="P709" s="1" t="s">
        <v>3948</v>
      </c>
      <c r="Q709" s="1" t="s">
        <v>842</v>
      </c>
      <c r="R709" s="1" t="s">
        <v>843</v>
      </c>
      <c r="S709" s="1" t="s">
        <v>2707</v>
      </c>
      <c r="T709" s="1" t="s">
        <v>2708</v>
      </c>
      <c r="V709" s="1" t="s">
        <v>846</v>
      </c>
      <c r="W709" s="1" t="s">
        <v>3961</v>
      </c>
      <c r="X709" s="1" t="s">
        <v>240</v>
      </c>
      <c r="Y709" s="10">
        <v>45282</v>
      </c>
      <c r="Z709" s="1">
        <v>2023</v>
      </c>
      <c r="AA709" s="2">
        <v>34850835.079999998</v>
      </c>
      <c r="AB709" s="2"/>
      <c r="AC709" s="2">
        <v>14955410.609999999</v>
      </c>
      <c r="AG709" s="1" t="s">
        <v>56</v>
      </c>
      <c r="AI709" s="2">
        <v>14955410.609999999</v>
      </c>
    </row>
    <row r="710" spans="1:38" ht="14.45" customHeight="1" x14ac:dyDescent="0.2">
      <c r="A710" s="1" t="s">
        <v>57</v>
      </c>
      <c r="B710" s="9" t="s">
        <v>38</v>
      </c>
      <c r="C710" s="1" t="s">
        <v>40</v>
      </c>
      <c r="D710" s="1" t="s">
        <v>41</v>
      </c>
      <c r="E710" s="1" t="s">
        <v>42</v>
      </c>
      <c r="F710" s="1" t="s">
        <v>3964</v>
      </c>
      <c r="G710" s="1" t="s">
        <v>3965</v>
      </c>
      <c r="H710" s="1" t="s">
        <v>45</v>
      </c>
      <c r="I710" s="1" t="s">
        <v>3966</v>
      </c>
      <c r="J710" s="1">
        <v>2023</v>
      </c>
      <c r="K710" s="1" t="s">
        <v>3967</v>
      </c>
      <c r="L710" s="1" t="s">
        <v>3968</v>
      </c>
      <c r="M710" s="1" t="s">
        <v>3969</v>
      </c>
      <c r="P710" s="1" t="s">
        <v>3970</v>
      </c>
      <c r="Q710" s="1" t="s">
        <v>842</v>
      </c>
      <c r="R710" s="1" t="s">
        <v>884</v>
      </c>
      <c r="S710" s="1" t="s">
        <v>3971</v>
      </c>
      <c r="T710" s="1" t="s">
        <v>3972</v>
      </c>
      <c r="V710" s="1" t="s">
        <v>887</v>
      </c>
      <c r="W710" s="1" t="s">
        <v>3967</v>
      </c>
      <c r="X710" s="1" t="s">
        <v>55</v>
      </c>
      <c r="Y710" s="10">
        <v>45282</v>
      </c>
      <c r="Z710" s="1">
        <v>2023</v>
      </c>
      <c r="AA710" s="2">
        <v>1936116</v>
      </c>
      <c r="AB710" s="2"/>
      <c r="AC710" s="2">
        <v>1150053</v>
      </c>
      <c r="AG710" s="1" t="s">
        <v>56</v>
      </c>
      <c r="AI710" s="2">
        <v>1150053</v>
      </c>
    </row>
    <row r="711" spans="1:38" ht="12.6" customHeight="1" x14ac:dyDescent="0.2">
      <c r="A711" s="1" t="s">
        <v>57</v>
      </c>
      <c r="B711" s="9" t="s">
        <v>38</v>
      </c>
      <c r="C711" s="1" t="s">
        <v>40</v>
      </c>
      <c r="D711" s="1" t="s">
        <v>41</v>
      </c>
      <c r="E711" s="1" t="s">
        <v>42</v>
      </c>
      <c r="F711" s="1" t="s">
        <v>3964</v>
      </c>
      <c r="G711" s="1" t="s">
        <v>3965</v>
      </c>
      <c r="H711" s="1" t="s">
        <v>45</v>
      </c>
      <c r="I711" s="1" t="s">
        <v>3973</v>
      </c>
      <c r="J711" s="1">
        <v>2023</v>
      </c>
      <c r="K711" s="1" t="s">
        <v>3967</v>
      </c>
      <c r="L711" s="1" t="s">
        <v>3968</v>
      </c>
      <c r="M711" s="1" t="s">
        <v>3974</v>
      </c>
      <c r="P711" s="1" t="s">
        <v>3975</v>
      </c>
      <c r="Q711" s="1" t="s">
        <v>842</v>
      </c>
      <c r="R711" s="1" t="s">
        <v>884</v>
      </c>
      <c r="S711" s="1" t="s">
        <v>3976</v>
      </c>
      <c r="T711" s="1" t="s">
        <v>3977</v>
      </c>
      <c r="V711" s="1" t="s">
        <v>887</v>
      </c>
      <c r="W711" s="1" t="s">
        <v>3967</v>
      </c>
      <c r="X711" s="1" t="s">
        <v>55</v>
      </c>
      <c r="Y711" s="10">
        <v>45282</v>
      </c>
      <c r="Z711" s="1">
        <v>2023</v>
      </c>
      <c r="AA711" s="2">
        <v>1936119.69</v>
      </c>
      <c r="AB711" s="2"/>
      <c r="AC711" s="2">
        <v>1150055.1000000001</v>
      </c>
      <c r="AG711" s="1" t="s">
        <v>56</v>
      </c>
      <c r="AI711" s="2">
        <v>1150055.1000000001</v>
      </c>
    </row>
    <row r="712" spans="1:38" ht="12.6" customHeight="1" x14ac:dyDescent="0.2">
      <c r="A712" s="1" t="s">
        <v>57</v>
      </c>
      <c r="B712" s="9" t="s">
        <v>38</v>
      </c>
      <c r="C712" s="1" t="s">
        <v>40</v>
      </c>
      <c r="D712" s="1" t="s">
        <v>41</v>
      </c>
      <c r="E712" s="1" t="s">
        <v>42</v>
      </c>
      <c r="F712" s="1" t="s">
        <v>3913</v>
      </c>
      <c r="G712" s="1" t="s">
        <v>3914</v>
      </c>
      <c r="H712" s="1" t="s">
        <v>45</v>
      </c>
      <c r="I712" s="1" t="s">
        <v>3978</v>
      </c>
      <c r="J712" s="1">
        <v>2024</v>
      </c>
      <c r="K712" s="1" t="s">
        <v>3979</v>
      </c>
      <c r="L712" s="1" t="s">
        <v>3980</v>
      </c>
      <c r="M712" s="1" t="s">
        <v>3981</v>
      </c>
      <c r="P712" s="1" t="s">
        <v>3918</v>
      </c>
      <c r="Q712" s="1" t="s">
        <v>264</v>
      </c>
      <c r="R712" s="1" t="s">
        <v>265</v>
      </c>
      <c r="S712" s="1" t="s">
        <v>299</v>
      </c>
      <c r="T712" s="1" t="s">
        <v>300</v>
      </c>
      <c r="U712" s="1">
        <v>2</v>
      </c>
      <c r="V712" s="1" t="s">
        <v>268</v>
      </c>
      <c r="W712" s="1" t="s">
        <v>3982</v>
      </c>
      <c r="X712" s="1" t="s">
        <v>258</v>
      </c>
      <c r="Y712" s="10">
        <v>45807</v>
      </c>
      <c r="Z712" s="1">
        <v>2025</v>
      </c>
      <c r="AA712" s="2">
        <v>119000000</v>
      </c>
      <c r="AB712" s="2"/>
      <c r="AC712" s="2">
        <v>78000000</v>
      </c>
      <c r="AD712" s="1">
        <v>31</v>
      </c>
      <c r="AI712" s="2">
        <v>78000000</v>
      </c>
    </row>
    <row r="713" spans="1:38" ht="14.45" customHeight="1" x14ac:dyDescent="0.2">
      <c r="A713" s="1" t="s">
        <v>57</v>
      </c>
      <c r="B713" s="9" t="s">
        <v>38</v>
      </c>
      <c r="C713" s="1" t="s">
        <v>40</v>
      </c>
      <c r="D713" s="1" t="s">
        <v>41</v>
      </c>
      <c r="E713" s="1" t="s">
        <v>200</v>
      </c>
      <c r="F713" s="1" t="s">
        <v>201</v>
      </c>
      <c r="G713" s="1" t="s">
        <v>202</v>
      </c>
      <c r="H713" s="1" t="s">
        <v>45</v>
      </c>
      <c r="I713" s="1" t="s">
        <v>3983</v>
      </c>
      <c r="J713" s="1">
        <v>2022</v>
      </c>
      <c r="K713" s="1" t="s">
        <v>3984</v>
      </c>
      <c r="L713" s="1" t="s">
        <v>3985</v>
      </c>
      <c r="P713" s="1" t="s">
        <v>2691</v>
      </c>
      <c r="Q713" s="1" t="s">
        <v>264</v>
      </c>
      <c r="R713" s="1" t="s">
        <v>265</v>
      </c>
      <c r="S713" s="1" t="s">
        <v>935</v>
      </c>
      <c r="T713" s="1" t="s">
        <v>936</v>
      </c>
      <c r="U713" s="1">
        <v>1</v>
      </c>
      <c r="V713" s="1" t="s">
        <v>308</v>
      </c>
      <c r="W713" s="1" t="s">
        <v>3984</v>
      </c>
      <c r="Y713" s="10">
        <v>45112</v>
      </c>
      <c r="Z713" s="1">
        <v>2023</v>
      </c>
      <c r="AA713" s="2">
        <v>3123700.8</v>
      </c>
      <c r="AB713" s="2"/>
      <c r="AC713" s="2">
        <v>2498960.64</v>
      </c>
      <c r="AD713" s="1">
        <v>3</v>
      </c>
      <c r="AG713" s="1" t="s">
        <v>56</v>
      </c>
      <c r="AI713" s="2">
        <v>2498960.64</v>
      </c>
    </row>
    <row r="714" spans="1:38" ht="14.45" customHeight="1" x14ac:dyDescent="0.2">
      <c r="A714" s="1" t="s">
        <v>57</v>
      </c>
      <c r="B714" s="9" t="s">
        <v>38</v>
      </c>
      <c r="C714" s="1" t="s">
        <v>40</v>
      </c>
      <c r="D714" s="1" t="s">
        <v>41</v>
      </c>
      <c r="E714" s="1" t="s">
        <v>200</v>
      </c>
      <c r="F714" s="1" t="s">
        <v>215</v>
      </c>
      <c r="G714" s="1" t="s">
        <v>3986</v>
      </c>
      <c r="H714" s="1" t="s">
        <v>45</v>
      </c>
      <c r="I714" s="1" t="s">
        <v>3987</v>
      </c>
      <c r="J714" s="1">
        <v>2022</v>
      </c>
      <c r="K714" s="1" t="s">
        <v>3988</v>
      </c>
      <c r="L714" s="1" t="s">
        <v>3989</v>
      </c>
      <c r="P714" s="1" t="s">
        <v>3990</v>
      </c>
      <c r="Q714" s="1" t="s">
        <v>264</v>
      </c>
      <c r="R714" s="1" t="s">
        <v>265</v>
      </c>
      <c r="S714" s="1" t="s">
        <v>266</v>
      </c>
      <c r="T714" s="1" t="s">
        <v>267</v>
      </c>
      <c r="U714" s="1">
        <v>2</v>
      </c>
      <c r="V714" s="1" t="s">
        <v>268</v>
      </c>
      <c r="W714" s="1" t="s">
        <v>3991</v>
      </c>
      <c r="Y714" s="10">
        <v>45021</v>
      </c>
      <c r="Z714" s="1">
        <v>2023</v>
      </c>
      <c r="AA714" s="2">
        <v>8557583.9199999999</v>
      </c>
      <c r="AB714" s="2"/>
      <c r="AC714" s="2">
        <v>3541376.9</v>
      </c>
      <c r="AD714" s="1">
        <v>85</v>
      </c>
      <c r="AG714" s="1" t="s">
        <v>56</v>
      </c>
      <c r="AI714" s="2">
        <v>3541376.9</v>
      </c>
      <c r="AL714" s="1" t="s">
        <v>3992</v>
      </c>
    </row>
    <row r="715" spans="1:38" ht="14.45" customHeight="1" x14ac:dyDescent="0.2">
      <c r="A715" s="1" t="s">
        <v>57</v>
      </c>
      <c r="B715" s="9" t="s">
        <v>38</v>
      </c>
      <c r="C715" s="1" t="s">
        <v>40</v>
      </c>
      <c r="D715" s="1" t="s">
        <v>41</v>
      </c>
      <c r="E715" s="1" t="s">
        <v>200</v>
      </c>
      <c r="F715" s="1" t="s">
        <v>215</v>
      </c>
      <c r="G715" s="1" t="s">
        <v>3993</v>
      </c>
      <c r="H715" s="1" t="s">
        <v>45</v>
      </c>
      <c r="I715" s="1" t="s">
        <v>3994</v>
      </c>
      <c r="J715" s="1">
        <v>2022</v>
      </c>
      <c r="K715" s="1" t="s">
        <v>3995</v>
      </c>
      <c r="L715" s="1" t="s">
        <v>3996</v>
      </c>
      <c r="M715" s="1" t="s">
        <v>3981</v>
      </c>
      <c r="P715" s="1" t="s">
        <v>3997</v>
      </c>
      <c r="Q715" s="1" t="s">
        <v>264</v>
      </c>
      <c r="R715" s="1" t="s">
        <v>265</v>
      </c>
      <c r="S715" s="1" t="s">
        <v>299</v>
      </c>
      <c r="T715" s="1" t="s">
        <v>300</v>
      </c>
      <c r="U715" s="1">
        <v>2</v>
      </c>
      <c r="V715" s="1" t="s">
        <v>268</v>
      </c>
      <c r="W715" s="1" t="s">
        <v>3998</v>
      </c>
      <c r="X715" s="1" t="s">
        <v>55</v>
      </c>
      <c r="Y715" s="10">
        <v>45082</v>
      </c>
      <c r="Z715" s="1">
        <v>2023</v>
      </c>
      <c r="AA715" s="2">
        <v>37422500</v>
      </c>
      <c r="AB715" s="2"/>
      <c r="AC715" s="2">
        <v>15000000</v>
      </c>
      <c r="AD715" s="1">
        <v>7</v>
      </c>
      <c r="AG715" s="1" t="s">
        <v>56</v>
      </c>
      <c r="AI715" s="2">
        <v>15000000</v>
      </c>
    </row>
    <row r="716" spans="1:38" ht="14.45" customHeight="1" x14ac:dyDescent="0.2">
      <c r="A716" s="1" t="s">
        <v>57</v>
      </c>
      <c r="B716" s="9" t="s">
        <v>38</v>
      </c>
      <c r="C716" s="1" t="s">
        <v>40</v>
      </c>
      <c r="D716" s="1" t="s">
        <v>41</v>
      </c>
      <c r="E716" s="1" t="s">
        <v>200</v>
      </c>
      <c r="F716" s="1" t="s">
        <v>215</v>
      </c>
      <c r="G716" s="1" t="s">
        <v>3893</v>
      </c>
      <c r="H716" s="1" t="s">
        <v>45</v>
      </c>
      <c r="I716" s="1" t="s">
        <v>3999</v>
      </c>
      <c r="J716" s="1">
        <v>2022</v>
      </c>
      <c r="K716" s="1" t="s">
        <v>4000</v>
      </c>
      <c r="L716" s="1" t="s">
        <v>4001</v>
      </c>
      <c r="M716" s="1" t="s">
        <v>4002</v>
      </c>
      <c r="P716" s="1" t="s">
        <v>4003</v>
      </c>
      <c r="Q716" s="1" t="s">
        <v>264</v>
      </c>
      <c r="R716" s="1" t="s">
        <v>265</v>
      </c>
      <c r="S716" s="1" t="s">
        <v>266</v>
      </c>
      <c r="T716" s="1" t="s">
        <v>267</v>
      </c>
      <c r="U716" s="1">
        <v>2</v>
      </c>
      <c r="V716" s="1" t="s">
        <v>268</v>
      </c>
      <c r="W716" s="1" t="s">
        <v>4004</v>
      </c>
      <c r="Y716" s="10">
        <v>45124</v>
      </c>
      <c r="Z716" s="1">
        <v>2023</v>
      </c>
      <c r="AA716" s="2">
        <v>1972026.66</v>
      </c>
      <c r="AB716" s="2"/>
      <c r="AC716" s="2">
        <v>1434140.6</v>
      </c>
      <c r="AG716" s="1" t="s">
        <v>56</v>
      </c>
      <c r="AI716" s="2">
        <v>1434140.6</v>
      </c>
      <c r="AL716" s="1" t="s">
        <v>4005</v>
      </c>
    </row>
    <row r="717" spans="1:38" ht="14.45" customHeight="1" x14ac:dyDescent="0.2">
      <c r="A717" s="1" t="s">
        <v>57</v>
      </c>
      <c r="B717" s="9" t="s">
        <v>38</v>
      </c>
      <c r="C717" s="1" t="s">
        <v>40</v>
      </c>
      <c r="D717" s="1" t="s">
        <v>41</v>
      </c>
      <c r="E717" s="1" t="s">
        <v>200</v>
      </c>
      <c r="F717" s="1" t="s">
        <v>3846</v>
      </c>
      <c r="G717" s="1" t="s">
        <v>3847</v>
      </c>
      <c r="H717" s="1" t="s">
        <v>45</v>
      </c>
      <c r="I717" s="1" t="s">
        <v>4006</v>
      </c>
      <c r="J717" s="1">
        <v>2022</v>
      </c>
      <c r="K717" s="1" t="s">
        <v>4007</v>
      </c>
      <c r="L717" s="1" t="s">
        <v>4008</v>
      </c>
      <c r="M717" s="1" t="s">
        <v>4009</v>
      </c>
      <c r="P717" s="1" t="s">
        <v>4010</v>
      </c>
      <c r="Q717" s="1" t="s">
        <v>264</v>
      </c>
      <c r="R717" s="1" t="s">
        <v>265</v>
      </c>
      <c r="S717" s="1" t="s">
        <v>1334</v>
      </c>
      <c r="T717" s="1" t="s">
        <v>1335</v>
      </c>
      <c r="U717" s="1">
        <v>1</v>
      </c>
      <c r="V717" s="1" t="s">
        <v>268</v>
      </c>
      <c r="W717" s="1" t="s">
        <v>4011</v>
      </c>
      <c r="X717" s="1" t="s">
        <v>55</v>
      </c>
      <c r="Y717" s="10">
        <v>45021</v>
      </c>
      <c r="Z717" s="1">
        <v>2023</v>
      </c>
      <c r="AA717" s="2">
        <v>13892011.109999999</v>
      </c>
      <c r="AB717" s="2"/>
      <c r="AC717" s="2">
        <v>6028593.1299999999</v>
      </c>
      <c r="AD717" s="1">
        <v>7</v>
      </c>
      <c r="AG717" s="1" t="s">
        <v>56</v>
      </c>
      <c r="AI717" s="2">
        <v>6028593.1299999999</v>
      </c>
    </row>
    <row r="718" spans="1:38" ht="12.6" customHeight="1" x14ac:dyDescent="0.2">
      <c r="A718" s="1" t="s">
        <v>57</v>
      </c>
      <c r="B718" s="9" t="s">
        <v>38</v>
      </c>
      <c r="C718" s="1" t="s">
        <v>40</v>
      </c>
      <c r="D718" s="1" t="s">
        <v>41</v>
      </c>
      <c r="E718" s="1" t="s">
        <v>200</v>
      </c>
      <c r="F718" s="1" t="s">
        <v>3846</v>
      </c>
      <c r="G718" s="1" t="s">
        <v>3847</v>
      </c>
      <c r="H718" s="1" t="s">
        <v>45</v>
      </c>
      <c r="I718" s="1" t="s">
        <v>4012</v>
      </c>
      <c r="J718" s="1">
        <v>2022</v>
      </c>
      <c r="K718" s="1" t="s">
        <v>4013</v>
      </c>
      <c r="L718" s="1" t="s">
        <v>4014</v>
      </c>
      <c r="M718" s="1" t="s">
        <v>3981</v>
      </c>
      <c r="P718" s="1" t="s">
        <v>3997</v>
      </c>
      <c r="Q718" s="1" t="s">
        <v>264</v>
      </c>
      <c r="R718" s="1" t="s">
        <v>265</v>
      </c>
      <c r="S718" s="1" t="s">
        <v>299</v>
      </c>
      <c r="T718" s="1" t="s">
        <v>300</v>
      </c>
      <c r="U718" s="1">
        <v>2</v>
      </c>
      <c r="V718" s="1" t="s">
        <v>268</v>
      </c>
      <c r="W718" s="1" t="s">
        <v>4015</v>
      </c>
      <c r="X718" s="1" t="s">
        <v>55</v>
      </c>
      <c r="Y718" s="10">
        <v>45021</v>
      </c>
      <c r="Z718" s="1">
        <v>2023</v>
      </c>
      <c r="AA718" s="2">
        <v>34303738.109999999</v>
      </c>
      <c r="AB718" s="2"/>
      <c r="AC718" s="2">
        <v>14877521.310000001</v>
      </c>
      <c r="AD718" s="1">
        <v>7</v>
      </c>
      <c r="AG718" s="1" t="s">
        <v>56</v>
      </c>
      <c r="AI718" s="2">
        <v>14877521.310000001</v>
      </c>
    </row>
    <row r="719" spans="1:38" ht="14.45" customHeight="1" x14ac:dyDescent="0.2">
      <c r="A719" s="1" t="s">
        <v>57</v>
      </c>
      <c r="B719" s="9" t="s">
        <v>38</v>
      </c>
      <c r="C719" s="1" t="s">
        <v>40</v>
      </c>
      <c r="D719" s="1" t="s">
        <v>41</v>
      </c>
      <c r="E719" s="1" t="s">
        <v>200</v>
      </c>
      <c r="F719" s="1" t="s">
        <v>3853</v>
      </c>
      <c r="G719" s="1" t="s">
        <v>3854</v>
      </c>
      <c r="H719" s="1" t="s">
        <v>45</v>
      </c>
      <c r="I719" s="1" t="s">
        <v>4016</v>
      </c>
      <c r="J719" s="1">
        <v>2023</v>
      </c>
      <c r="K719" s="1" t="s">
        <v>4017</v>
      </c>
      <c r="L719" s="1" t="s">
        <v>4018</v>
      </c>
      <c r="M719" s="1" t="s">
        <v>4019</v>
      </c>
      <c r="P719" s="1" t="s">
        <v>4020</v>
      </c>
      <c r="Q719" s="1" t="s">
        <v>264</v>
      </c>
      <c r="R719" s="1" t="s">
        <v>265</v>
      </c>
      <c r="S719" s="1" t="s">
        <v>266</v>
      </c>
      <c r="T719" s="1" t="s">
        <v>267</v>
      </c>
      <c r="U719" s="1">
        <v>2</v>
      </c>
      <c r="V719" s="1" t="s">
        <v>268</v>
      </c>
      <c r="W719" s="1" t="s">
        <v>4021</v>
      </c>
      <c r="X719" s="1" t="s">
        <v>55</v>
      </c>
      <c r="Y719" s="10">
        <v>45282</v>
      </c>
      <c r="Z719" s="1">
        <v>2023</v>
      </c>
      <c r="AA719" s="2">
        <v>71700000</v>
      </c>
      <c r="AB719" s="2" t="s">
        <v>1240</v>
      </c>
      <c r="AC719" s="2">
        <v>15000000</v>
      </c>
      <c r="AD719" s="1" t="s">
        <v>1240</v>
      </c>
      <c r="AF719" s="1" t="s">
        <v>1240</v>
      </c>
      <c r="AG719" s="1" t="s">
        <v>56</v>
      </c>
      <c r="AH719" s="1" t="s">
        <v>1240</v>
      </c>
      <c r="AI719" s="2">
        <v>15000000</v>
      </c>
      <c r="AK719" s="1" t="s">
        <v>1240</v>
      </c>
    </row>
    <row r="720" spans="1:38" ht="14.45" customHeight="1" x14ac:dyDescent="0.2">
      <c r="A720" s="1" t="s">
        <v>57</v>
      </c>
      <c r="B720" s="9" t="s">
        <v>38</v>
      </c>
      <c r="C720" s="1" t="s">
        <v>40</v>
      </c>
      <c r="D720" s="1" t="s">
        <v>41</v>
      </c>
      <c r="E720" s="1" t="s">
        <v>42</v>
      </c>
      <c r="G720" s="1" t="s">
        <v>4022</v>
      </c>
      <c r="H720" s="1" t="s">
        <v>45</v>
      </c>
      <c r="I720" s="1" t="s">
        <v>4023</v>
      </c>
      <c r="J720" s="1">
        <v>2022</v>
      </c>
      <c r="K720" s="1" t="s">
        <v>4024</v>
      </c>
      <c r="L720" s="1" t="s">
        <v>4025</v>
      </c>
      <c r="M720" s="1" t="s">
        <v>4026</v>
      </c>
      <c r="P720" s="1" t="s">
        <v>4027</v>
      </c>
      <c r="Q720" s="1" t="s">
        <v>264</v>
      </c>
      <c r="R720" s="1" t="s">
        <v>265</v>
      </c>
      <c r="S720" s="1" t="s">
        <v>1334</v>
      </c>
      <c r="T720" s="1" t="s">
        <v>1335</v>
      </c>
      <c r="U720" s="1">
        <v>1</v>
      </c>
      <c r="V720" s="1" t="s">
        <v>4028</v>
      </c>
      <c r="W720" s="1" t="s">
        <v>4029</v>
      </c>
      <c r="Y720" s="10">
        <v>44970</v>
      </c>
      <c r="Z720" s="1">
        <v>2023</v>
      </c>
      <c r="AA720" s="2">
        <v>2791749.5</v>
      </c>
      <c r="AB720" s="2"/>
      <c r="AC720" s="2">
        <v>1233759.56</v>
      </c>
      <c r="AD720" s="1">
        <v>30</v>
      </c>
      <c r="AG720" s="1" t="s">
        <v>56</v>
      </c>
      <c r="AI720" s="2">
        <v>1233759.56</v>
      </c>
    </row>
    <row r="721" spans="1:38" ht="14.45" customHeight="1" x14ac:dyDescent="0.25">
      <c r="A721" s="1" t="s">
        <v>57</v>
      </c>
      <c r="B721" s="9" t="s">
        <v>38</v>
      </c>
      <c r="C721" s="1" t="s">
        <v>40</v>
      </c>
      <c r="D721" s="1" t="s">
        <v>41</v>
      </c>
      <c r="E721" s="1" t="s">
        <v>42</v>
      </c>
      <c r="F721" s="1" t="s">
        <v>3900</v>
      </c>
      <c r="G721" s="1" t="s">
        <v>3901</v>
      </c>
      <c r="H721" s="1" t="s">
        <v>45</v>
      </c>
      <c r="I721" s="1" t="s">
        <v>4030</v>
      </c>
      <c r="J721" s="1">
        <v>2023</v>
      </c>
      <c r="K721" s="1" t="s">
        <v>4031</v>
      </c>
      <c r="L721" s="1" t="s">
        <v>4032</v>
      </c>
      <c r="P721" s="1" t="s">
        <v>4033</v>
      </c>
      <c r="Q721" s="1" t="s">
        <v>264</v>
      </c>
      <c r="R721" s="1" t="s">
        <v>265</v>
      </c>
      <c r="S721" s="1" t="s">
        <v>266</v>
      </c>
      <c r="T721" s="1" t="s">
        <v>267</v>
      </c>
      <c r="U721" s="1">
        <v>2</v>
      </c>
      <c r="V721" s="1" t="s">
        <v>268</v>
      </c>
      <c r="W721" s="1" t="s">
        <v>4031</v>
      </c>
      <c r="Y721" s="10">
        <v>45631</v>
      </c>
      <c r="Z721" s="1">
        <v>2024</v>
      </c>
      <c r="AA721" s="35">
        <v>6235469</v>
      </c>
      <c r="AB721" s="35"/>
      <c r="AC721" s="35">
        <v>2182414</v>
      </c>
      <c r="AG721" s="1" t="s">
        <v>3912</v>
      </c>
      <c r="AI721" s="2">
        <v>2182414</v>
      </c>
    </row>
    <row r="722" spans="1:38" ht="14.45" customHeight="1" x14ac:dyDescent="0.25">
      <c r="A722" s="1" t="s">
        <v>57</v>
      </c>
      <c r="B722" s="9" t="s">
        <v>38</v>
      </c>
      <c r="C722" s="1" t="s">
        <v>40</v>
      </c>
      <c r="D722" s="1" t="s">
        <v>41</v>
      </c>
      <c r="E722" s="1" t="s">
        <v>42</v>
      </c>
      <c r="F722" s="1" t="s">
        <v>3900</v>
      </c>
      <c r="G722" s="1" t="s">
        <v>3901</v>
      </c>
      <c r="H722" s="1" t="s">
        <v>45</v>
      </c>
      <c r="I722" s="1" t="s">
        <v>4034</v>
      </c>
      <c r="J722" s="1">
        <v>2023</v>
      </c>
      <c r="K722" s="1" t="s">
        <v>4035</v>
      </c>
      <c r="L722" s="1" t="s">
        <v>4036</v>
      </c>
      <c r="P722" s="1" t="s">
        <v>4037</v>
      </c>
      <c r="Q722" s="1" t="s">
        <v>264</v>
      </c>
      <c r="R722" s="1" t="s">
        <v>265</v>
      </c>
      <c r="S722" s="1" t="s">
        <v>542</v>
      </c>
      <c r="T722" s="1" t="s">
        <v>543</v>
      </c>
      <c r="U722" s="1">
        <v>1</v>
      </c>
      <c r="V722" s="1" t="s">
        <v>268</v>
      </c>
      <c r="W722" s="1" t="s">
        <v>4035</v>
      </c>
      <c r="Y722" s="10">
        <v>45631</v>
      </c>
      <c r="Z722" s="1">
        <v>2024</v>
      </c>
      <c r="AA722" s="35">
        <v>19284419</v>
      </c>
      <c r="AB722" s="35"/>
      <c r="AC722" s="35">
        <v>4782536</v>
      </c>
      <c r="AG722" s="1" t="s">
        <v>3912</v>
      </c>
      <c r="AI722" s="2">
        <v>4782536</v>
      </c>
    </row>
    <row r="723" spans="1:38" ht="14.45" customHeight="1" x14ac:dyDescent="0.25">
      <c r="A723" s="1" t="s">
        <v>57</v>
      </c>
      <c r="B723" s="9" t="s">
        <v>38</v>
      </c>
      <c r="C723" s="1" t="s">
        <v>40</v>
      </c>
      <c r="D723" s="1" t="s">
        <v>41</v>
      </c>
      <c r="E723" s="1" t="s">
        <v>42</v>
      </c>
      <c r="F723" s="1" t="s">
        <v>3900</v>
      </c>
      <c r="G723" s="1" t="s">
        <v>3901</v>
      </c>
      <c r="H723" s="1" t="s">
        <v>45</v>
      </c>
      <c r="I723" s="1" t="s">
        <v>4038</v>
      </c>
      <c r="J723" s="1">
        <v>2023</v>
      </c>
      <c r="K723" s="1" t="s">
        <v>4039</v>
      </c>
      <c r="L723" s="1" t="s">
        <v>4040</v>
      </c>
      <c r="P723" s="1" t="s">
        <v>4041</v>
      </c>
      <c r="Q723" s="1" t="s">
        <v>264</v>
      </c>
      <c r="R723" s="1" t="s">
        <v>265</v>
      </c>
      <c r="S723" s="1" t="s">
        <v>315</v>
      </c>
      <c r="T723" s="1" t="s">
        <v>316</v>
      </c>
      <c r="U723" s="1">
        <v>1</v>
      </c>
      <c r="V723" s="1" t="s">
        <v>268</v>
      </c>
      <c r="W723" s="1" t="s">
        <v>4039</v>
      </c>
      <c r="Y723" s="10">
        <v>45631</v>
      </c>
      <c r="Z723" s="1">
        <v>2024</v>
      </c>
      <c r="AA723" s="35">
        <v>15425544</v>
      </c>
      <c r="AB723" s="35"/>
      <c r="AC723" s="35">
        <v>5398941</v>
      </c>
      <c r="AG723" s="1" t="s">
        <v>3912</v>
      </c>
      <c r="AI723" s="2">
        <v>5398941</v>
      </c>
    </row>
    <row r="724" spans="1:38" ht="14.45" customHeight="1" x14ac:dyDescent="0.25">
      <c r="A724" s="1" t="s">
        <v>57</v>
      </c>
      <c r="B724" s="9" t="s">
        <v>38</v>
      </c>
      <c r="C724" s="1" t="s">
        <v>40</v>
      </c>
      <c r="D724" s="1" t="s">
        <v>41</v>
      </c>
      <c r="E724" s="1" t="s">
        <v>42</v>
      </c>
      <c r="F724" s="1" t="s">
        <v>3900</v>
      </c>
      <c r="G724" s="1" t="s">
        <v>3901</v>
      </c>
      <c r="H724" s="1" t="s">
        <v>45</v>
      </c>
      <c r="I724" s="1" t="s">
        <v>4042</v>
      </c>
      <c r="J724" s="1">
        <v>2023</v>
      </c>
      <c r="K724" s="1" t="s">
        <v>4043</v>
      </c>
      <c r="L724" s="1" t="s">
        <v>4044</v>
      </c>
      <c r="P724" s="1" t="s">
        <v>4045</v>
      </c>
      <c r="Q724" s="1" t="s">
        <v>264</v>
      </c>
      <c r="R724" s="1" t="s">
        <v>265</v>
      </c>
      <c r="S724" s="1" t="s">
        <v>350</v>
      </c>
      <c r="T724" s="1" t="s">
        <v>351</v>
      </c>
      <c r="U724" s="1">
        <v>1</v>
      </c>
      <c r="V724" s="1" t="s">
        <v>80</v>
      </c>
      <c r="W724" s="1" t="s">
        <v>4043</v>
      </c>
      <c r="Y724" s="10">
        <v>45631</v>
      </c>
      <c r="Z724" s="1">
        <v>2024</v>
      </c>
      <c r="AA724" s="35">
        <v>12203519</v>
      </c>
      <c r="AB724" s="35"/>
      <c r="AC724" s="35">
        <v>2810000</v>
      </c>
    </row>
    <row r="725" spans="1:38" ht="15.6" customHeight="1" x14ac:dyDescent="0.25">
      <c r="A725" s="1" t="s">
        <v>57</v>
      </c>
      <c r="B725" s="9" t="s">
        <v>38</v>
      </c>
      <c r="C725" s="1" t="s">
        <v>40</v>
      </c>
      <c r="D725" s="1" t="s">
        <v>41</v>
      </c>
      <c r="E725" s="1" t="s">
        <v>42</v>
      </c>
      <c r="F725" s="1" t="s">
        <v>3900</v>
      </c>
      <c r="G725" s="1" t="s">
        <v>3901</v>
      </c>
      <c r="H725" s="1" t="s">
        <v>45</v>
      </c>
      <c r="I725" s="1" t="s">
        <v>4046</v>
      </c>
      <c r="J725" s="1">
        <v>2023</v>
      </c>
      <c r="K725" s="1" t="s">
        <v>4047</v>
      </c>
      <c r="L725" s="1" t="s">
        <v>4048</v>
      </c>
      <c r="P725" s="1" t="s">
        <v>4045</v>
      </c>
      <c r="Q725" s="1" t="s">
        <v>264</v>
      </c>
      <c r="R725" s="1" t="s">
        <v>265</v>
      </c>
      <c r="S725" s="1" t="s">
        <v>350</v>
      </c>
      <c r="T725" s="1" t="s">
        <v>351</v>
      </c>
      <c r="U725" s="1">
        <v>1</v>
      </c>
      <c r="V725" s="1" t="s">
        <v>80</v>
      </c>
      <c r="W725" s="1" t="s">
        <v>4047</v>
      </c>
      <c r="Y725" s="10">
        <v>45631</v>
      </c>
      <c r="Z725" s="1">
        <v>2024</v>
      </c>
      <c r="AA725" s="35">
        <v>9491189</v>
      </c>
      <c r="AB725" s="35"/>
      <c r="AC725" s="35">
        <v>2510000</v>
      </c>
    </row>
    <row r="726" spans="1:38" ht="14.45" customHeight="1" x14ac:dyDescent="0.25">
      <c r="A726" s="1" t="s">
        <v>57</v>
      </c>
      <c r="B726" s="9" t="s">
        <v>38</v>
      </c>
      <c r="C726" s="1" t="s">
        <v>40</v>
      </c>
      <c r="D726" s="1" t="s">
        <v>41</v>
      </c>
      <c r="E726" s="1" t="s">
        <v>42</v>
      </c>
      <c r="F726" s="1" t="s">
        <v>3900</v>
      </c>
      <c r="G726" s="1" t="s">
        <v>3901</v>
      </c>
      <c r="H726" s="1" t="s">
        <v>45</v>
      </c>
      <c r="I726" s="1" t="s">
        <v>4049</v>
      </c>
      <c r="J726" s="1">
        <v>2023</v>
      </c>
      <c r="K726" s="1" t="s">
        <v>4050</v>
      </c>
      <c r="L726" s="1" t="s">
        <v>4051</v>
      </c>
      <c r="P726" s="1" t="s">
        <v>4052</v>
      </c>
      <c r="Q726" s="1" t="s">
        <v>264</v>
      </c>
      <c r="R726" s="1" t="s">
        <v>265</v>
      </c>
      <c r="S726" s="1" t="s">
        <v>350</v>
      </c>
      <c r="T726" s="1" t="s">
        <v>351</v>
      </c>
      <c r="U726" s="1">
        <v>1</v>
      </c>
      <c r="V726" s="1" t="s">
        <v>80</v>
      </c>
      <c r="W726" s="1" t="s">
        <v>4053</v>
      </c>
      <c r="Y726" s="10">
        <v>45631</v>
      </c>
      <c r="Z726" s="1">
        <v>2024</v>
      </c>
      <c r="AA726" s="35">
        <v>42639021</v>
      </c>
      <c r="AB726" s="35"/>
      <c r="AC726" s="35">
        <v>5411028</v>
      </c>
    </row>
    <row r="727" spans="1:38" ht="12.6" customHeight="1" x14ac:dyDescent="0.25">
      <c r="A727" s="1" t="s">
        <v>57</v>
      </c>
      <c r="B727" s="9" t="s">
        <v>38</v>
      </c>
      <c r="C727" s="1" t="s">
        <v>40</v>
      </c>
      <c r="D727" s="1" t="s">
        <v>41</v>
      </c>
      <c r="E727" s="1" t="s">
        <v>42</v>
      </c>
      <c r="F727" s="1" t="s">
        <v>3900</v>
      </c>
      <c r="G727" s="1" t="s">
        <v>3901</v>
      </c>
      <c r="H727" s="1" t="s">
        <v>45</v>
      </c>
      <c r="I727" s="1" t="s">
        <v>4054</v>
      </c>
      <c r="J727" s="1">
        <v>2023</v>
      </c>
      <c r="K727" s="1" t="s">
        <v>4055</v>
      </c>
      <c r="L727" s="1" t="s">
        <v>4056</v>
      </c>
      <c r="M727" s="1" t="s">
        <v>4057</v>
      </c>
      <c r="P727" s="1" t="s">
        <v>4058</v>
      </c>
      <c r="Q727" s="1" t="s">
        <v>264</v>
      </c>
      <c r="R727" s="1" t="s">
        <v>265</v>
      </c>
      <c r="S727" s="1" t="s">
        <v>379</v>
      </c>
      <c r="T727" s="1" t="s">
        <v>380</v>
      </c>
      <c r="U727" s="1">
        <v>2</v>
      </c>
      <c r="V727" s="1" t="s">
        <v>268</v>
      </c>
      <c r="W727" s="1" t="s">
        <v>4059</v>
      </c>
      <c r="Y727" s="10">
        <v>45631</v>
      </c>
      <c r="Z727" s="1">
        <v>2024</v>
      </c>
      <c r="AA727" s="35">
        <v>27241999</v>
      </c>
      <c r="AB727" s="35"/>
      <c r="AC727" s="35">
        <v>5000000</v>
      </c>
      <c r="AG727" s="1" t="s">
        <v>3912</v>
      </c>
      <c r="AI727" s="2">
        <v>5000000</v>
      </c>
    </row>
    <row r="728" spans="1:38" ht="12.6" customHeight="1" x14ac:dyDescent="0.25">
      <c r="A728" s="1" t="s">
        <v>57</v>
      </c>
      <c r="B728" s="9" t="s">
        <v>38</v>
      </c>
      <c r="C728" s="1" t="s">
        <v>40</v>
      </c>
      <c r="D728" s="1" t="s">
        <v>41</v>
      </c>
      <c r="E728" s="1" t="s">
        <v>42</v>
      </c>
      <c r="F728" s="1" t="s">
        <v>3900</v>
      </c>
      <c r="G728" s="1" t="s">
        <v>3901</v>
      </c>
      <c r="H728" s="1" t="s">
        <v>45</v>
      </c>
      <c r="I728" s="1" t="s">
        <v>4060</v>
      </c>
      <c r="J728" s="1">
        <v>2023</v>
      </c>
      <c r="K728" s="1" t="s">
        <v>4061</v>
      </c>
      <c r="L728" s="1" t="s">
        <v>4062</v>
      </c>
      <c r="P728" s="1" t="s">
        <v>4063</v>
      </c>
      <c r="Q728" s="1" t="s">
        <v>264</v>
      </c>
      <c r="R728" s="1" t="s">
        <v>265</v>
      </c>
      <c r="S728" s="1" t="s">
        <v>379</v>
      </c>
      <c r="T728" s="1" t="s">
        <v>380</v>
      </c>
      <c r="U728" s="1">
        <v>2</v>
      </c>
      <c r="V728" s="1" t="s">
        <v>268</v>
      </c>
      <c r="W728" s="1" t="s">
        <v>4061</v>
      </c>
      <c r="Y728" s="10">
        <v>45631</v>
      </c>
      <c r="Z728" s="1">
        <v>2024</v>
      </c>
      <c r="AA728" s="35">
        <v>45628059</v>
      </c>
      <c r="AB728" s="35"/>
      <c r="AC728" s="35">
        <v>9760000</v>
      </c>
      <c r="AG728" s="1" t="s">
        <v>3912</v>
      </c>
      <c r="AI728" s="2">
        <v>9760000</v>
      </c>
    </row>
    <row r="729" spans="1:38" ht="14.45" customHeight="1" x14ac:dyDescent="0.25">
      <c r="A729" s="1" t="s">
        <v>57</v>
      </c>
      <c r="B729" s="9" t="s">
        <v>38</v>
      </c>
      <c r="C729" s="1" t="s">
        <v>40</v>
      </c>
      <c r="D729" s="1" t="s">
        <v>41</v>
      </c>
      <c r="E729" s="1" t="s">
        <v>42</v>
      </c>
      <c r="F729" s="1" t="s">
        <v>3900</v>
      </c>
      <c r="G729" s="1" t="s">
        <v>3901</v>
      </c>
      <c r="H729" s="1" t="s">
        <v>45</v>
      </c>
      <c r="I729" s="1" t="s">
        <v>4064</v>
      </c>
      <c r="J729" s="1">
        <v>2023</v>
      </c>
      <c r="K729" s="1" t="s">
        <v>4065</v>
      </c>
      <c r="L729" s="1" t="s">
        <v>4066</v>
      </c>
      <c r="M729" s="1" t="s">
        <v>4067</v>
      </c>
      <c r="P729" s="1" t="s">
        <v>4068</v>
      </c>
      <c r="Q729" s="1" t="s">
        <v>264</v>
      </c>
      <c r="R729" s="1" t="s">
        <v>265</v>
      </c>
      <c r="S729" s="1" t="s">
        <v>350</v>
      </c>
      <c r="T729" s="1" t="s">
        <v>351</v>
      </c>
      <c r="U729" s="1">
        <v>1</v>
      </c>
      <c r="V729" s="1" t="s">
        <v>80</v>
      </c>
      <c r="W729" s="1" t="s">
        <v>4065</v>
      </c>
      <c r="Y729" s="10">
        <v>45631</v>
      </c>
      <c r="Z729" s="1">
        <v>2024</v>
      </c>
      <c r="AA729" s="35">
        <v>14523470</v>
      </c>
      <c r="AB729" s="35"/>
      <c r="AC729" s="35">
        <v>3650000</v>
      </c>
    </row>
    <row r="730" spans="1:38" ht="14.45" customHeight="1" x14ac:dyDescent="0.25">
      <c r="A730" s="1" t="s">
        <v>57</v>
      </c>
      <c r="B730" s="9" t="s">
        <v>38</v>
      </c>
      <c r="C730" s="1" t="s">
        <v>40</v>
      </c>
      <c r="D730" s="1" t="s">
        <v>41</v>
      </c>
      <c r="E730" s="1" t="s">
        <v>42</v>
      </c>
      <c r="F730" s="1" t="s">
        <v>3900</v>
      </c>
      <c r="G730" s="1" t="s">
        <v>3901</v>
      </c>
      <c r="H730" s="1" t="s">
        <v>45</v>
      </c>
      <c r="I730" s="1" t="s">
        <v>4069</v>
      </c>
      <c r="J730" s="1">
        <v>2023</v>
      </c>
      <c r="K730" s="1" t="s">
        <v>4070</v>
      </c>
      <c r="L730" s="1" t="s">
        <v>4071</v>
      </c>
      <c r="M730" s="1" t="s">
        <v>4072</v>
      </c>
      <c r="P730" s="1" t="s">
        <v>4073</v>
      </c>
      <c r="Q730" s="1" t="s">
        <v>264</v>
      </c>
      <c r="R730" s="1" t="s">
        <v>265</v>
      </c>
      <c r="S730" s="1" t="s">
        <v>1251</v>
      </c>
      <c r="T730" s="1" t="s">
        <v>1252</v>
      </c>
      <c r="U730" s="1">
        <v>2</v>
      </c>
      <c r="V730" s="1" t="s">
        <v>268</v>
      </c>
      <c r="W730" s="1" t="s">
        <v>4070</v>
      </c>
      <c r="Y730" s="10">
        <v>45631</v>
      </c>
      <c r="Z730" s="1">
        <v>2024</v>
      </c>
      <c r="AA730" s="35">
        <v>50167673</v>
      </c>
      <c r="AB730" s="35"/>
      <c r="AC730" s="35">
        <v>11538565</v>
      </c>
      <c r="AG730" s="1" t="s">
        <v>3912</v>
      </c>
      <c r="AI730" s="2">
        <v>11538565</v>
      </c>
    </row>
    <row r="731" spans="1:38" ht="14.45" customHeight="1" x14ac:dyDescent="0.25">
      <c r="A731" s="1" t="s">
        <v>57</v>
      </c>
      <c r="B731" s="9" t="s">
        <v>38</v>
      </c>
      <c r="C731" s="1" t="s">
        <v>40</v>
      </c>
      <c r="D731" s="1" t="s">
        <v>41</v>
      </c>
      <c r="E731" s="1" t="s">
        <v>42</v>
      </c>
      <c r="F731" s="1" t="s">
        <v>3900</v>
      </c>
      <c r="G731" s="1" t="s">
        <v>3901</v>
      </c>
      <c r="H731" s="1" t="s">
        <v>45</v>
      </c>
      <c r="I731" s="1" t="s">
        <v>4074</v>
      </c>
      <c r="J731" s="1">
        <v>2023</v>
      </c>
      <c r="K731" s="1" t="s">
        <v>4075</v>
      </c>
      <c r="L731" s="1" t="s">
        <v>4076</v>
      </c>
      <c r="P731" s="1" t="s">
        <v>4077</v>
      </c>
      <c r="Q731" s="1" t="s">
        <v>264</v>
      </c>
      <c r="R731" s="1" t="s">
        <v>265</v>
      </c>
      <c r="S731" s="1" t="s">
        <v>315</v>
      </c>
      <c r="T731" s="1" t="s">
        <v>316</v>
      </c>
      <c r="U731" s="1">
        <v>1</v>
      </c>
      <c r="V731" s="1" t="s">
        <v>268</v>
      </c>
      <c r="W731" s="1" t="s">
        <v>4075</v>
      </c>
      <c r="Y731" s="10">
        <v>45631</v>
      </c>
      <c r="Z731" s="1">
        <v>2024</v>
      </c>
      <c r="AA731" s="35">
        <v>12561878</v>
      </c>
      <c r="AB731" s="35"/>
      <c r="AC731" s="35">
        <v>1645943</v>
      </c>
      <c r="AG731" s="1" t="s">
        <v>3912</v>
      </c>
      <c r="AI731" s="2">
        <v>1645943</v>
      </c>
    </row>
    <row r="732" spans="1:38" ht="14.45" customHeight="1" x14ac:dyDescent="0.25">
      <c r="A732" s="1" t="s">
        <v>57</v>
      </c>
      <c r="B732" s="9" t="s">
        <v>38</v>
      </c>
      <c r="C732" s="1" t="s">
        <v>40</v>
      </c>
      <c r="D732" s="1" t="s">
        <v>41</v>
      </c>
      <c r="E732" s="1" t="s">
        <v>42</v>
      </c>
      <c r="F732" s="1" t="s">
        <v>3900</v>
      </c>
      <c r="G732" s="1" t="s">
        <v>3901</v>
      </c>
      <c r="H732" s="1" t="s">
        <v>45</v>
      </c>
      <c r="I732" s="1" t="s">
        <v>4078</v>
      </c>
      <c r="J732" s="1">
        <v>2023</v>
      </c>
      <c r="K732" s="1" t="s">
        <v>4079</v>
      </c>
      <c r="L732" s="1" t="s">
        <v>4080</v>
      </c>
      <c r="M732" s="1" t="s">
        <v>4081</v>
      </c>
      <c r="P732" s="1" t="s">
        <v>4082</v>
      </c>
      <c r="Q732" s="1" t="s">
        <v>264</v>
      </c>
      <c r="R732" s="1" t="s">
        <v>265</v>
      </c>
      <c r="S732" s="1" t="s">
        <v>275</v>
      </c>
      <c r="T732" s="1" t="s">
        <v>276</v>
      </c>
      <c r="U732" s="1">
        <v>2</v>
      </c>
      <c r="V732" s="1" t="s">
        <v>80</v>
      </c>
      <c r="W732" s="1" t="s">
        <v>4079</v>
      </c>
      <c r="Y732" s="10">
        <v>45631</v>
      </c>
      <c r="Z732" s="1">
        <v>2024</v>
      </c>
      <c r="AA732" s="35">
        <v>17484302</v>
      </c>
      <c r="AB732" s="35"/>
      <c r="AC732" s="35">
        <v>2166613</v>
      </c>
    </row>
    <row r="733" spans="1:38" ht="14.45" customHeight="1" x14ac:dyDescent="0.2">
      <c r="A733" s="1" t="s">
        <v>57</v>
      </c>
      <c r="B733" s="9" t="s">
        <v>38</v>
      </c>
      <c r="C733" s="1" t="s">
        <v>58</v>
      </c>
      <c r="D733" s="1" t="s">
        <v>146</v>
      </c>
      <c r="E733" s="1" t="s">
        <v>42</v>
      </c>
      <c r="G733" s="1" t="s">
        <v>1172</v>
      </c>
      <c r="H733" s="1" t="s">
        <v>61</v>
      </c>
      <c r="I733" s="1" t="s">
        <v>4083</v>
      </c>
      <c r="J733" s="1">
        <v>2020</v>
      </c>
      <c r="K733" s="1" t="s">
        <v>4084</v>
      </c>
      <c r="L733" s="1" t="s">
        <v>4085</v>
      </c>
      <c r="N733" s="1" t="s">
        <v>4086</v>
      </c>
      <c r="O733" s="1" t="s">
        <v>4087</v>
      </c>
      <c r="P733" s="1" t="s">
        <v>4088</v>
      </c>
      <c r="Q733" s="1" t="s">
        <v>842</v>
      </c>
      <c r="R733" s="1" t="s">
        <v>884</v>
      </c>
      <c r="S733" s="1" t="s">
        <v>2669</v>
      </c>
      <c r="T733" s="1" t="s">
        <v>2670</v>
      </c>
      <c r="V733" s="1" t="s">
        <v>887</v>
      </c>
      <c r="W733" s="1" t="s">
        <v>4084</v>
      </c>
      <c r="X733" s="1" t="s">
        <v>138</v>
      </c>
      <c r="Y733" s="10">
        <v>44337</v>
      </c>
      <c r="Z733" s="1">
        <v>2021</v>
      </c>
      <c r="AA733" s="2">
        <v>114882.85</v>
      </c>
      <c r="AB733" s="2"/>
      <c r="AC733" s="2">
        <v>81854.03</v>
      </c>
      <c r="AD733" s="1">
        <v>10</v>
      </c>
      <c r="AE733" s="1">
        <v>9</v>
      </c>
      <c r="AG733" s="1" t="s">
        <v>56</v>
      </c>
      <c r="AH733" s="1" t="s">
        <v>154</v>
      </c>
      <c r="AI733" s="2">
        <v>64088.18</v>
      </c>
      <c r="AK733" s="1">
        <v>10</v>
      </c>
      <c r="AL733" s="1" t="s">
        <v>4089</v>
      </c>
    </row>
    <row r="734" spans="1:38" ht="14.45" customHeight="1" x14ac:dyDescent="0.25">
      <c r="A734" s="1" t="s">
        <v>57</v>
      </c>
      <c r="B734" s="9" t="s">
        <v>38</v>
      </c>
      <c r="C734" s="1" t="s">
        <v>40</v>
      </c>
      <c r="D734" s="1" t="s">
        <v>41</v>
      </c>
      <c r="E734" s="1" t="s">
        <v>42</v>
      </c>
      <c r="F734" s="1" t="s">
        <v>3900</v>
      </c>
      <c r="G734" s="1" t="s">
        <v>3901</v>
      </c>
      <c r="H734" s="1" t="s">
        <v>45</v>
      </c>
      <c r="I734" s="1" t="s">
        <v>4090</v>
      </c>
      <c r="J734" s="1">
        <v>2023</v>
      </c>
      <c r="K734" s="1" t="s">
        <v>4091</v>
      </c>
      <c r="L734" s="37" t="s">
        <v>4092</v>
      </c>
      <c r="P734" s="1" t="s">
        <v>4093</v>
      </c>
      <c r="Q734" s="1" t="s">
        <v>264</v>
      </c>
      <c r="R734" s="1" t="s">
        <v>265</v>
      </c>
      <c r="S734" s="1" t="s">
        <v>315</v>
      </c>
      <c r="T734" s="1" t="s">
        <v>316</v>
      </c>
      <c r="U734" s="1">
        <v>1</v>
      </c>
      <c r="V734" s="1" t="s">
        <v>268</v>
      </c>
      <c r="W734" s="1" t="s">
        <v>4094</v>
      </c>
      <c r="Y734" s="10">
        <v>45631</v>
      </c>
      <c r="Z734" s="1">
        <v>2024</v>
      </c>
      <c r="AA734" s="35">
        <v>13495448</v>
      </c>
      <c r="AB734" s="35"/>
      <c r="AC734" s="35">
        <v>2429181</v>
      </c>
      <c r="AG734" s="1" t="s">
        <v>3912</v>
      </c>
      <c r="AI734" s="2">
        <v>2429181</v>
      </c>
    </row>
    <row r="735" spans="1:38" ht="14.45" customHeight="1" x14ac:dyDescent="0.25">
      <c r="A735" s="1" t="s">
        <v>57</v>
      </c>
      <c r="B735" s="9" t="s">
        <v>38</v>
      </c>
      <c r="C735" s="1" t="s">
        <v>40</v>
      </c>
      <c r="D735" s="1" t="s">
        <v>41</v>
      </c>
      <c r="E735" s="1" t="s">
        <v>42</v>
      </c>
      <c r="F735" s="1" t="s">
        <v>3900</v>
      </c>
      <c r="G735" s="1" t="s">
        <v>3901</v>
      </c>
      <c r="H735" s="1" t="s">
        <v>45</v>
      </c>
      <c r="I735" s="1" t="s">
        <v>4095</v>
      </c>
      <c r="J735" s="1">
        <v>2023</v>
      </c>
      <c r="K735" s="1" t="s">
        <v>4096</v>
      </c>
      <c r="L735" s="1" t="s">
        <v>4097</v>
      </c>
      <c r="P735" s="1" t="s">
        <v>4093</v>
      </c>
      <c r="Q735" s="1" t="s">
        <v>264</v>
      </c>
      <c r="R735" s="1" t="s">
        <v>265</v>
      </c>
      <c r="S735" s="1" t="s">
        <v>266</v>
      </c>
      <c r="T735" s="1" t="s">
        <v>267</v>
      </c>
      <c r="U735" s="1">
        <v>2</v>
      </c>
      <c r="V735" s="1" t="s">
        <v>268</v>
      </c>
      <c r="W735" s="1" t="s">
        <v>4098</v>
      </c>
      <c r="Y735" s="10">
        <v>45631</v>
      </c>
      <c r="Z735" s="1">
        <v>2024</v>
      </c>
      <c r="AA735" s="35">
        <v>5178682</v>
      </c>
      <c r="AB735" s="35"/>
      <c r="AC735" s="35">
        <v>786745</v>
      </c>
      <c r="AG735" s="1" t="s">
        <v>3912</v>
      </c>
      <c r="AI735" s="2">
        <v>786745</v>
      </c>
    </row>
    <row r="736" spans="1:38" ht="14.45" customHeight="1" x14ac:dyDescent="0.25">
      <c r="A736" s="1" t="s">
        <v>57</v>
      </c>
      <c r="B736" s="9" t="s">
        <v>38</v>
      </c>
      <c r="C736" s="1" t="s">
        <v>40</v>
      </c>
      <c r="D736" s="1" t="s">
        <v>41</v>
      </c>
      <c r="E736" s="1" t="s">
        <v>42</v>
      </c>
      <c r="F736" s="1" t="s">
        <v>3900</v>
      </c>
      <c r="G736" s="1" t="s">
        <v>3901</v>
      </c>
      <c r="H736" s="1" t="s">
        <v>45</v>
      </c>
      <c r="I736" s="1" t="s">
        <v>4099</v>
      </c>
      <c r="J736" s="1">
        <v>2023</v>
      </c>
      <c r="K736" s="1" t="s">
        <v>4100</v>
      </c>
      <c r="L736" s="1" t="s">
        <v>4101</v>
      </c>
      <c r="P736" s="1" t="s">
        <v>4093</v>
      </c>
      <c r="Q736" s="1" t="s">
        <v>264</v>
      </c>
      <c r="R736" s="1" t="s">
        <v>265</v>
      </c>
      <c r="S736" s="1" t="s">
        <v>266</v>
      </c>
      <c r="T736" s="1" t="s">
        <v>267</v>
      </c>
      <c r="U736" s="1">
        <v>2</v>
      </c>
      <c r="V736" s="1" t="s">
        <v>268</v>
      </c>
      <c r="W736" s="1" t="s">
        <v>4102</v>
      </c>
      <c r="Y736" s="10">
        <v>45631</v>
      </c>
      <c r="Z736" s="1">
        <v>2024</v>
      </c>
      <c r="AA736" s="35">
        <v>5190846</v>
      </c>
      <c r="AB736" s="35"/>
      <c r="AC736" s="35">
        <v>808212</v>
      </c>
      <c r="AG736" s="1" t="s">
        <v>3912</v>
      </c>
      <c r="AI736" s="2">
        <v>808212</v>
      </c>
    </row>
    <row r="737" spans="1:38" ht="14.45" customHeight="1" x14ac:dyDescent="0.2">
      <c r="A737" s="1" t="s">
        <v>57</v>
      </c>
      <c r="B737" s="9" t="s">
        <v>38</v>
      </c>
      <c r="C737" s="1" t="s">
        <v>40</v>
      </c>
      <c r="D737" s="1" t="s">
        <v>41</v>
      </c>
      <c r="E737" s="1" t="s">
        <v>42</v>
      </c>
      <c r="F737" s="1" t="s">
        <v>223</v>
      </c>
      <c r="G737" s="1" t="s">
        <v>224</v>
      </c>
      <c r="H737" s="1" t="s">
        <v>45</v>
      </c>
      <c r="I737" s="1" t="s">
        <v>4103</v>
      </c>
      <c r="J737" s="1">
        <v>2024</v>
      </c>
      <c r="K737" s="1" t="s">
        <v>4104</v>
      </c>
      <c r="L737" s="1" t="s">
        <v>4104</v>
      </c>
      <c r="P737" s="1" t="s">
        <v>4105</v>
      </c>
      <c r="Q737" s="1" t="s">
        <v>1149</v>
      </c>
      <c r="R737" s="1" t="s">
        <v>1150</v>
      </c>
      <c r="S737" s="1" t="s">
        <v>1535</v>
      </c>
      <c r="T737" s="1" t="s">
        <v>1536</v>
      </c>
      <c r="V737" s="1" t="s">
        <v>1537</v>
      </c>
      <c r="W737" s="1" t="s">
        <v>4104</v>
      </c>
      <c r="X737" s="1" t="s">
        <v>55</v>
      </c>
      <c r="Y737" s="10">
        <v>45786</v>
      </c>
      <c r="Z737" s="1">
        <v>2025</v>
      </c>
      <c r="AA737" s="2">
        <v>537446.49</v>
      </c>
      <c r="AB737" s="2"/>
      <c r="AC737" s="2">
        <v>134361.62</v>
      </c>
      <c r="AD737" s="1">
        <v>12</v>
      </c>
      <c r="AG737" s="2" t="s">
        <v>56</v>
      </c>
      <c r="AI737" s="2">
        <v>134361.62</v>
      </c>
    </row>
    <row r="738" spans="1:38" ht="14.45" customHeight="1" x14ac:dyDescent="0.2">
      <c r="A738" s="1" t="s">
        <v>57</v>
      </c>
      <c r="B738" s="9" t="s">
        <v>38</v>
      </c>
      <c r="C738" s="1" t="s">
        <v>40</v>
      </c>
      <c r="D738" s="1" t="s">
        <v>41</v>
      </c>
      <c r="E738" s="1" t="s">
        <v>42</v>
      </c>
      <c r="F738" s="1" t="s">
        <v>223</v>
      </c>
      <c r="G738" s="1" t="s">
        <v>224</v>
      </c>
      <c r="H738" s="1" t="s">
        <v>45</v>
      </c>
      <c r="I738" s="1" t="s">
        <v>4106</v>
      </c>
      <c r="J738" s="1">
        <v>2023</v>
      </c>
      <c r="K738" s="1" t="s">
        <v>4107</v>
      </c>
      <c r="L738" s="1" t="s">
        <v>4108</v>
      </c>
      <c r="P738" s="1" t="s">
        <v>3948</v>
      </c>
      <c r="Q738" s="1" t="s">
        <v>264</v>
      </c>
      <c r="R738" s="1" t="s">
        <v>265</v>
      </c>
      <c r="S738" s="1" t="s">
        <v>275</v>
      </c>
      <c r="T738" s="1" t="s">
        <v>276</v>
      </c>
      <c r="U738" s="1">
        <v>2</v>
      </c>
      <c r="V738" s="1" t="s">
        <v>80</v>
      </c>
      <c r="W738" s="1" t="s">
        <v>4109</v>
      </c>
      <c r="X738" s="1" t="s">
        <v>55</v>
      </c>
      <c r="Y738" s="10">
        <v>45790</v>
      </c>
      <c r="Z738" s="1">
        <v>2025</v>
      </c>
      <c r="AA738" s="2">
        <v>10896385</v>
      </c>
      <c r="AB738" s="2"/>
      <c r="AC738" s="2">
        <v>4358554</v>
      </c>
      <c r="AD738" s="1">
        <v>0</v>
      </c>
      <c r="AF738" s="2"/>
      <c r="AI738" s="2">
        <v>4358554</v>
      </c>
      <c r="AL738" s="1" t="s">
        <v>4110</v>
      </c>
    </row>
    <row r="739" spans="1:38" ht="14.45" customHeight="1" x14ac:dyDescent="0.2">
      <c r="A739" s="1" t="s">
        <v>57</v>
      </c>
      <c r="B739" s="9" t="s">
        <v>38</v>
      </c>
      <c r="C739" s="1" t="s">
        <v>40</v>
      </c>
      <c r="D739" s="1" t="s">
        <v>41</v>
      </c>
      <c r="E739" s="1" t="s">
        <v>42</v>
      </c>
      <c r="F739" s="1" t="s">
        <v>223</v>
      </c>
      <c r="G739" s="1" t="s">
        <v>224</v>
      </c>
      <c r="H739" s="1" t="s">
        <v>45</v>
      </c>
      <c r="I739" s="1" t="s">
        <v>4111</v>
      </c>
      <c r="J739" s="1">
        <v>2023</v>
      </c>
      <c r="K739" s="1" t="s">
        <v>4112</v>
      </c>
      <c r="L739" s="1" t="s">
        <v>4113</v>
      </c>
      <c r="P739" s="1" t="s">
        <v>4114</v>
      </c>
      <c r="Q739" s="1" t="s">
        <v>110</v>
      </c>
      <c r="R739" s="1" t="s">
        <v>605</v>
      </c>
      <c r="S739" s="1" t="s">
        <v>606</v>
      </c>
      <c r="T739" s="1" t="s">
        <v>607</v>
      </c>
      <c r="U739" s="1">
        <v>1</v>
      </c>
      <c r="V739" s="1" t="s">
        <v>80</v>
      </c>
      <c r="W739" s="1" t="s">
        <v>4115</v>
      </c>
      <c r="X739" s="1" t="s">
        <v>55</v>
      </c>
      <c r="Y739" s="10">
        <v>45744</v>
      </c>
      <c r="Z739" s="1">
        <v>2025</v>
      </c>
      <c r="AA739" s="2">
        <v>1886474</v>
      </c>
      <c r="AB739" s="2"/>
      <c r="AC739" s="2">
        <v>754589.6</v>
      </c>
      <c r="AF739" s="2" t="s">
        <v>56</v>
      </c>
      <c r="AI739" s="2">
        <v>754589.6</v>
      </c>
    </row>
    <row r="740" spans="1:38" ht="14.45" customHeight="1" x14ac:dyDescent="0.2">
      <c r="A740" s="1" t="s">
        <v>57</v>
      </c>
      <c r="B740" s="9" t="s">
        <v>38</v>
      </c>
      <c r="C740" s="1" t="s">
        <v>40</v>
      </c>
      <c r="D740" s="1" t="s">
        <v>41</v>
      </c>
      <c r="E740" s="1" t="s">
        <v>42</v>
      </c>
      <c r="F740" s="1" t="s">
        <v>223</v>
      </c>
      <c r="G740" s="1" t="s">
        <v>224</v>
      </c>
      <c r="H740" s="1" t="s">
        <v>45</v>
      </c>
      <c r="I740" s="1" t="s">
        <v>4116</v>
      </c>
      <c r="J740" s="1">
        <v>2023</v>
      </c>
      <c r="K740" s="1" t="s">
        <v>4117</v>
      </c>
      <c r="L740" s="1" t="s">
        <v>4118</v>
      </c>
      <c r="P740" s="1" t="s">
        <v>3948</v>
      </c>
      <c r="Q740" s="1" t="s">
        <v>264</v>
      </c>
      <c r="R740" s="1" t="s">
        <v>265</v>
      </c>
      <c r="S740" s="1" t="s">
        <v>315</v>
      </c>
      <c r="T740" s="1" t="s">
        <v>316</v>
      </c>
      <c r="U740" s="1">
        <v>1</v>
      </c>
      <c r="V740" s="1" t="s">
        <v>268</v>
      </c>
      <c r="W740" s="1" t="s">
        <v>4119</v>
      </c>
      <c r="X740" s="1" t="s">
        <v>55</v>
      </c>
      <c r="Y740" s="10">
        <v>45790</v>
      </c>
      <c r="Z740" s="1">
        <v>2025</v>
      </c>
      <c r="AA740" s="2">
        <v>1455825</v>
      </c>
      <c r="AB740" s="2"/>
      <c r="AC740" s="2">
        <v>383684.5</v>
      </c>
      <c r="AD740" s="1">
        <v>0</v>
      </c>
      <c r="AF740" s="2" t="s">
        <v>56</v>
      </c>
      <c r="AI740" s="2">
        <v>383684.5</v>
      </c>
      <c r="AL740" s="1" t="s">
        <v>4120</v>
      </c>
    </row>
    <row r="741" spans="1:38" ht="14.45" customHeight="1" x14ac:dyDescent="0.2">
      <c r="A741" s="1" t="s">
        <v>57</v>
      </c>
      <c r="B741" s="9" t="s">
        <v>38</v>
      </c>
      <c r="C741" s="1" t="s">
        <v>40</v>
      </c>
      <c r="D741" s="1" t="s">
        <v>41</v>
      </c>
      <c r="E741" s="1" t="s">
        <v>42</v>
      </c>
      <c r="F741" s="1" t="s">
        <v>3840</v>
      </c>
      <c r="G741" s="1" t="s">
        <v>250</v>
      </c>
      <c r="H741" s="1" t="s">
        <v>45</v>
      </c>
      <c r="I741" s="1" t="s">
        <v>4121</v>
      </c>
      <c r="J741" s="1">
        <v>2024</v>
      </c>
      <c r="K741" s="1" t="s">
        <v>4122</v>
      </c>
      <c r="L741" s="1" t="s">
        <v>4123</v>
      </c>
      <c r="P741" s="1" t="s">
        <v>1678</v>
      </c>
      <c r="Q741" s="1" t="s">
        <v>50</v>
      </c>
      <c r="R741" s="1" t="s">
        <v>68</v>
      </c>
      <c r="S741" s="1" t="s">
        <v>69</v>
      </c>
      <c r="T741" s="10" t="s">
        <v>70</v>
      </c>
      <c r="V741" s="2" t="s">
        <v>71</v>
      </c>
      <c r="W741" s="2" t="s">
        <v>4122</v>
      </c>
      <c r="X741" s="2" t="s">
        <v>55</v>
      </c>
      <c r="Y741" s="1">
        <v>45960</v>
      </c>
      <c r="Z741" s="1">
        <v>2025</v>
      </c>
      <c r="AA741" s="1">
        <v>749852.15</v>
      </c>
      <c r="AC741" s="1">
        <v>260822.34</v>
      </c>
      <c r="AD741" s="2"/>
      <c r="AG741" s="1" t="s">
        <v>56</v>
      </c>
      <c r="AI741" s="1">
        <v>260822.34</v>
      </c>
    </row>
    <row r="742" spans="1:38" ht="14.45" customHeight="1" x14ac:dyDescent="0.25">
      <c r="A742" s="1" t="s">
        <v>57</v>
      </c>
      <c r="B742" s="9" t="s">
        <v>38</v>
      </c>
      <c r="C742" s="1" t="s">
        <v>40</v>
      </c>
      <c r="D742" s="1" t="s">
        <v>41</v>
      </c>
      <c r="E742" s="1" t="s">
        <v>42</v>
      </c>
      <c r="F742" s="1" t="s">
        <v>3840</v>
      </c>
      <c r="G742" s="1" t="s">
        <v>250</v>
      </c>
      <c r="H742" s="1" t="s">
        <v>45</v>
      </c>
      <c r="I742" s="1" t="s">
        <v>4124</v>
      </c>
      <c r="J742" s="1">
        <v>2024</v>
      </c>
      <c r="K742" s="1" t="s">
        <v>4125</v>
      </c>
      <c r="L742" s="1" t="s">
        <v>4126</v>
      </c>
      <c r="P742" s="25" t="s">
        <v>1704</v>
      </c>
      <c r="Q742" s="25" t="s">
        <v>1109</v>
      </c>
      <c r="R742" s="3" t="s">
        <v>4127</v>
      </c>
      <c r="S742" s="1" t="s">
        <v>1705</v>
      </c>
      <c r="T742" s="1" t="s">
        <v>1706</v>
      </c>
      <c r="V742" s="1" t="s">
        <v>54</v>
      </c>
      <c r="W742" s="3" t="s">
        <v>4125</v>
      </c>
      <c r="X742" s="1" t="s">
        <v>55</v>
      </c>
      <c r="Y742" s="10">
        <v>45960</v>
      </c>
      <c r="Z742" s="1">
        <v>2025</v>
      </c>
      <c r="AA742" s="2">
        <v>283979.23</v>
      </c>
      <c r="AB742" s="2"/>
      <c r="AC742" s="2">
        <v>113125.47</v>
      </c>
      <c r="AG742" s="1" t="s">
        <v>56</v>
      </c>
      <c r="AI742" s="2">
        <v>113125.47</v>
      </c>
    </row>
    <row r="743" spans="1:38" ht="12.6" customHeight="1" x14ac:dyDescent="0.2">
      <c r="A743" s="1" t="s">
        <v>57</v>
      </c>
      <c r="B743" s="9" t="s">
        <v>38</v>
      </c>
      <c r="C743" s="1" t="s">
        <v>40</v>
      </c>
      <c r="D743" s="1" t="s">
        <v>41</v>
      </c>
      <c r="E743" s="1" t="s">
        <v>42</v>
      </c>
      <c r="F743" s="1" t="s">
        <v>223</v>
      </c>
      <c r="G743" s="1" t="s">
        <v>224</v>
      </c>
      <c r="H743" s="1" t="s">
        <v>45</v>
      </c>
      <c r="I743" s="1" t="s">
        <v>4128</v>
      </c>
      <c r="J743" s="1">
        <v>2023</v>
      </c>
      <c r="K743" s="1" t="s">
        <v>4129</v>
      </c>
      <c r="L743" s="1" t="s">
        <v>4130</v>
      </c>
      <c r="P743" s="1" t="s">
        <v>4131</v>
      </c>
      <c r="Q743" s="1" t="s">
        <v>264</v>
      </c>
      <c r="R743" s="1" t="s">
        <v>265</v>
      </c>
      <c r="S743" s="1" t="s">
        <v>266</v>
      </c>
      <c r="T743" s="1" t="s">
        <v>267</v>
      </c>
      <c r="U743" s="1">
        <v>2</v>
      </c>
      <c r="V743" s="1" t="s">
        <v>268</v>
      </c>
      <c r="W743" s="1" t="s">
        <v>4132</v>
      </c>
      <c r="X743" s="1" t="s">
        <v>55</v>
      </c>
      <c r="Y743" s="10">
        <v>45790</v>
      </c>
      <c r="Z743" s="1">
        <v>2025</v>
      </c>
      <c r="AA743" s="2">
        <v>1200000</v>
      </c>
      <c r="AB743" s="2"/>
      <c r="AC743" s="2">
        <v>1200000</v>
      </c>
      <c r="AD743" s="1">
        <v>11</v>
      </c>
      <c r="AF743" s="2" t="s">
        <v>56</v>
      </c>
      <c r="AI743" s="2">
        <v>1200000</v>
      </c>
      <c r="AL743" s="1" t="s">
        <v>4133</v>
      </c>
    </row>
    <row r="744" spans="1:38" ht="14.45" customHeight="1" x14ac:dyDescent="0.2">
      <c r="A744" s="1" t="s">
        <v>57</v>
      </c>
      <c r="B744" s="9" t="s">
        <v>38</v>
      </c>
      <c r="C744" s="1" t="s">
        <v>40</v>
      </c>
      <c r="D744" s="1" t="s">
        <v>41</v>
      </c>
      <c r="E744" s="1" t="s">
        <v>42</v>
      </c>
      <c r="F744" s="1" t="s">
        <v>223</v>
      </c>
      <c r="G744" s="1" t="s">
        <v>224</v>
      </c>
      <c r="H744" s="1" t="s">
        <v>45</v>
      </c>
      <c r="I744" s="1" t="s">
        <v>4134</v>
      </c>
      <c r="J744" s="1">
        <v>2023</v>
      </c>
      <c r="K744" s="1" t="s">
        <v>4135</v>
      </c>
      <c r="L744" s="1" t="s">
        <v>4136</v>
      </c>
      <c r="P744" s="1" t="s">
        <v>4137</v>
      </c>
      <c r="Q744" s="1" t="s">
        <v>264</v>
      </c>
      <c r="R744" s="1" t="s">
        <v>265</v>
      </c>
      <c r="S744" s="1" t="s">
        <v>533</v>
      </c>
      <c r="T744" s="1" t="s">
        <v>534</v>
      </c>
      <c r="U744" s="1">
        <v>1</v>
      </c>
      <c r="V744" s="1" t="s">
        <v>535</v>
      </c>
      <c r="W744" s="1" t="s">
        <v>4136</v>
      </c>
      <c r="X744" s="1" t="s">
        <v>55</v>
      </c>
      <c r="Y744" s="10">
        <v>45790</v>
      </c>
      <c r="Z744" s="1">
        <v>2025</v>
      </c>
      <c r="AA744" s="2">
        <v>17861783.27</v>
      </c>
      <c r="AB744" s="2"/>
      <c r="AC744" s="2">
        <v>5254481.16</v>
      </c>
      <c r="AD744" s="1">
        <v>0</v>
      </c>
      <c r="AF744" s="2" t="s">
        <v>56</v>
      </c>
      <c r="AI744" s="2">
        <v>5254481.16</v>
      </c>
      <c r="AL744" s="1" t="s">
        <v>4138</v>
      </c>
    </row>
    <row r="745" spans="1:38" ht="12.6" customHeight="1" x14ac:dyDescent="0.2">
      <c r="A745" s="1" t="s">
        <v>57</v>
      </c>
      <c r="B745" s="9" t="s">
        <v>38</v>
      </c>
      <c r="C745" s="1" t="s">
        <v>40</v>
      </c>
      <c r="D745" s="1" t="s">
        <v>41</v>
      </c>
      <c r="E745" s="1" t="s">
        <v>42</v>
      </c>
      <c r="F745" s="1" t="s">
        <v>223</v>
      </c>
      <c r="G745" s="1" t="s">
        <v>224</v>
      </c>
      <c r="H745" s="1" t="s">
        <v>45</v>
      </c>
      <c r="I745" s="1" t="s">
        <v>4139</v>
      </c>
      <c r="J745" s="1">
        <v>2023</v>
      </c>
      <c r="K745" s="1" t="s">
        <v>4140</v>
      </c>
      <c r="L745" s="1" t="s">
        <v>4140</v>
      </c>
      <c r="P745" s="1" t="s">
        <v>4141</v>
      </c>
      <c r="Q745" s="1" t="s">
        <v>264</v>
      </c>
      <c r="R745" s="1" t="s">
        <v>265</v>
      </c>
      <c r="S745" s="1" t="s">
        <v>266</v>
      </c>
      <c r="T745" s="1" t="s">
        <v>267</v>
      </c>
      <c r="U745" s="1">
        <v>2</v>
      </c>
      <c r="V745" s="1" t="s">
        <v>268</v>
      </c>
      <c r="W745" s="1" t="s">
        <v>4130</v>
      </c>
      <c r="X745" s="1" t="s">
        <v>55</v>
      </c>
      <c r="Y745" s="10">
        <v>45790</v>
      </c>
      <c r="Z745" s="1">
        <v>2025</v>
      </c>
      <c r="AA745" s="2">
        <v>737411.2</v>
      </c>
      <c r="AB745" s="2"/>
      <c r="AC745" s="2">
        <v>737411.2</v>
      </c>
      <c r="AD745" s="1">
        <v>14.5</v>
      </c>
      <c r="AF745" s="2" t="s">
        <v>56</v>
      </c>
      <c r="AI745" s="2">
        <v>737411.2</v>
      </c>
      <c r="AL745" s="1" t="s">
        <v>4133</v>
      </c>
    </row>
    <row r="746" spans="1:38" ht="14.45" customHeight="1" x14ac:dyDescent="0.2">
      <c r="A746" s="1" t="s">
        <v>57</v>
      </c>
      <c r="B746" s="9" t="s">
        <v>38</v>
      </c>
      <c r="C746" s="1" t="s">
        <v>40</v>
      </c>
      <c r="D746" s="1" t="s">
        <v>41</v>
      </c>
      <c r="E746" s="1" t="s">
        <v>200</v>
      </c>
      <c r="F746" s="1" t="s">
        <v>43</v>
      </c>
      <c r="G746" s="1" t="s">
        <v>44</v>
      </c>
      <c r="H746" s="1" t="s">
        <v>45</v>
      </c>
      <c r="I746" s="1" t="s">
        <v>4142</v>
      </c>
      <c r="J746" s="1">
        <v>2022</v>
      </c>
      <c r="K746" s="1" t="s">
        <v>4143</v>
      </c>
      <c r="L746" s="1" t="s">
        <v>4144</v>
      </c>
      <c r="P746" s="1" t="s">
        <v>4145</v>
      </c>
      <c r="Q746" s="1" t="s">
        <v>264</v>
      </c>
      <c r="R746" s="1" t="s">
        <v>265</v>
      </c>
      <c r="S746" s="1" t="s">
        <v>542</v>
      </c>
      <c r="T746" s="1" t="s">
        <v>543</v>
      </c>
      <c r="U746" s="1">
        <v>1</v>
      </c>
      <c r="V746" s="1" t="s">
        <v>268</v>
      </c>
      <c r="W746" s="1" t="s">
        <v>44</v>
      </c>
      <c r="X746" s="1" t="s">
        <v>55</v>
      </c>
      <c r="Y746" s="10">
        <v>45222</v>
      </c>
      <c r="Z746" s="1">
        <v>2023</v>
      </c>
      <c r="AA746" s="2">
        <v>580612.5</v>
      </c>
      <c r="AB746" s="2"/>
      <c r="AC746" s="2">
        <v>199962.94</v>
      </c>
      <c r="AG746" s="1" t="s">
        <v>56</v>
      </c>
      <c r="AI746" s="2">
        <v>199962.94</v>
      </c>
    </row>
    <row r="747" spans="1:38" ht="14.45" customHeight="1" x14ac:dyDescent="0.2">
      <c r="A747" s="1" t="s">
        <v>57</v>
      </c>
      <c r="B747" s="9" t="s">
        <v>38</v>
      </c>
      <c r="C747" s="1" t="s">
        <v>40</v>
      </c>
      <c r="D747" s="1" t="s">
        <v>41</v>
      </c>
      <c r="E747" s="1" t="s">
        <v>42</v>
      </c>
      <c r="F747" s="1" t="s">
        <v>4146</v>
      </c>
      <c r="G747" s="1" t="s">
        <v>4147</v>
      </c>
      <c r="H747" s="1" t="s">
        <v>45</v>
      </c>
      <c r="I747" s="1" t="s">
        <v>4148</v>
      </c>
      <c r="J747" s="1">
        <v>2024</v>
      </c>
      <c r="K747" s="1" t="s">
        <v>4149</v>
      </c>
      <c r="L747" s="1" t="s">
        <v>4150</v>
      </c>
      <c r="P747" s="1" t="s">
        <v>4151</v>
      </c>
      <c r="Q747" s="1" t="s">
        <v>842</v>
      </c>
      <c r="R747" s="1" t="s">
        <v>843</v>
      </c>
      <c r="S747" s="1" t="s">
        <v>3932</v>
      </c>
      <c r="T747" s="1" t="s">
        <v>3933</v>
      </c>
      <c r="V747" s="1" t="s">
        <v>846</v>
      </c>
      <c r="W747" s="1" t="s">
        <v>4150</v>
      </c>
      <c r="Y747" s="10">
        <v>45834</v>
      </c>
      <c r="Z747" s="1">
        <v>2025</v>
      </c>
      <c r="AA747" s="2">
        <v>7922856</v>
      </c>
      <c r="AB747" s="2"/>
      <c r="AC747" s="2">
        <v>3030492</v>
      </c>
      <c r="AG747" s="1" t="s">
        <v>56</v>
      </c>
      <c r="AI747" s="2">
        <v>3030492</v>
      </c>
    </row>
    <row r="748" spans="1:38" ht="14.45" customHeight="1" x14ac:dyDescent="0.2">
      <c r="A748" s="1" t="s">
        <v>57</v>
      </c>
      <c r="B748" s="9" t="s">
        <v>38</v>
      </c>
      <c r="C748" s="1" t="s">
        <v>40</v>
      </c>
      <c r="D748" s="1" t="s">
        <v>41</v>
      </c>
      <c r="E748" s="1" t="s">
        <v>42</v>
      </c>
      <c r="F748" s="1" t="s">
        <v>4146</v>
      </c>
      <c r="G748" s="1" t="s">
        <v>4147</v>
      </c>
      <c r="H748" s="1" t="s">
        <v>45</v>
      </c>
      <c r="I748" s="1" t="s">
        <v>4152</v>
      </c>
      <c r="J748" s="1">
        <v>2024</v>
      </c>
      <c r="K748" s="1" t="s">
        <v>4153</v>
      </c>
      <c r="L748" s="1" t="s">
        <v>4154</v>
      </c>
      <c r="M748" s="1" t="s">
        <v>4155</v>
      </c>
      <c r="P748" s="1" t="s">
        <v>4156</v>
      </c>
      <c r="Q748" s="1" t="s">
        <v>110</v>
      </c>
      <c r="R748" s="1" t="s">
        <v>605</v>
      </c>
      <c r="S748" s="1" t="s">
        <v>606</v>
      </c>
      <c r="T748" s="1" t="s">
        <v>607</v>
      </c>
      <c r="U748" s="1">
        <v>1</v>
      </c>
      <c r="V748" s="1" t="s">
        <v>80</v>
      </c>
      <c r="W748" s="1" t="s">
        <v>4157</v>
      </c>
      <c r="Y748" s="10">
        <v>45834</v>
      </c>
      <c r="Z748" s="1">
        <v>2025</v>
      </c>
      <c r="AA748" s="2">
        <v>1736203</v>
      </c>
      <c r="AB748" s="2"/>
      <c r="AC748" s="2">
        <v>750040</v>
      </c>
      <c r="AG748" s="1" t="s">
        <v>56</v>
      </c>
      <c r="AI748" s="2">
        <v>750040</v>
      </c>
    </row>
    <row r="749" spans="1:38" ht="14.45" customHeight="1" x14ac:dyDescent="0.2">
      <c r="A749" s="1" t="s">
        <v>57</v>
      </c>
      <c r="B749" s="9" t="s">
        <v>38</v>
      </c>
      <c r="C749" s="1" t="s">
        <v>40</v>
      </c>
      <c r="D749" s="1" t="s">
        <v>41</v>
      </c>
      <c r="E749" s="1" t="s">
        <v>200</v>
      </c>
      <c r="F749" s="1" t="s">
        <v>43</v>
      </c>
      <c r="G749" s="1" t="s">
        <v>44</v>
      </c>
      <c r="H749" s="1" t="s">
        <v>45</v>
      </c>
      <c r="I749" s="1" t="s">
        <v>4158</v>
      </c>
      <c r="J749" s="1">
        <v>2022</v>
      </c>
      <c r="K749" s="1" t="s">
        <v>4159</v>
      </c>
      <c r="L749" s="1" t="s">
        <v>4159</v>
      </c>
      <c r="P749" s="1" t="s">
        <v>4160</v>
      </c>
      <c r="Q749" s="1" t="s">
        <v>264</v>
      </c>
      <c r="R749" s="1" t="s">
        <v>265</v>
      </c>
      <c r="S749" s="1" t="s">
        <v>282</v>
      </c>
      <c r="T749" s="1" t="s">
        <v>283</v>
      </c>
      <c r="U749" s="1">
        <v>2</v>
      </c>
      <c r="V749" s="1" t="s">
        <v>80</v>
      </c>
      <c r="W749" s="1" t="s">
        <v>4159</v>
      </c>
      <c r="X749" s="1" t="s">
        <v>55</v>
      </c>
      <c r="Y749" s="10">
        <v>45208</v>
      </c>
      <c r="Z749" s="1">
        <v>2023</v>
      </c>
      <c r="AA749" s="2">
        <v>175000</v>
      </c>
      <c r="AB749" s="2"/>
      <c r="AC749" s="2">
        <v>140000</v>
      </c>
      <c r="AG749" s="1" t="s">
        <v>56</v>
      </c>
      <c r="AI749" s="2">
        <v>140000</v>
      </c>
    </row>
    <row r="750" spans="1:38" ht="14.45" customHeight="1" x14ac:dyDescent="0.2">
      <c r="A750" s="1" t="s">
        <v>57</v>
      </c>
      <c r="B750" s="9" t="s">
        <v>38</v>
      </c>
      <c r="C750" s="1" t="s">
        <v>58</v>
      </c>
      <c r="D750" s="1" t="s">
        <v>146</v>
      </c>
      <c r="E750" s="1" t="s">
        <v>42</v>
      </c>
      <c r="G750" s="1" t="s">
        <v>1172</v>
      </c>
      <c r="H750" s="1" t="s">
        <v>61</v>
      </c>
      <c r="I750" s="1" t="s">
        <v>4161</v>
      </c>
      <c r="J750" s="1">
        <v>2020</v>
      </c>
      <c r="K750" s="1" t="s">
        <v>4162</v>
      </c>
      <c r="L750" s="1" t="s">
        <v>4163</v>
      </c>
      <c r="N750" s="1" t="s">
        <v>4164</v>
      </c>
      <c r="P750" s="1" t="s">
        <v>2129</v>
      </c>
      <c r="Q750" s="1" t="s">
        <v>101</v>
      </c>
      <c r="R750" s="1" t="s">
        <v>102</v>
      </c>
      <c r="S750" s="1" t="s">
        <v>637</v>
      </c>
      <c r="T750" s="1" t="s">
        <v>638</v>
      </c>
      <c r="U750" s="1">
        <v>1</v>
      </c>
      <c r="V750" s="1" t="s">
        <v>101</v>
      </c>
      <c r="W750" s="1" t="s">
        <v>4162</v>
      </c>
      <c r="X750" s="1" t="s">
        <v>138</v>
      </c>
      <c r="Y750" s="10">
        <v>44337</v>
      </c>
      <c r="Z750" s="1">
        <v>2021</v>
      </c>
      <c r="AA750" s="2">
        <v>1000000</v>
      </c>
      <c r="AB750" s="2"/>
      <c r="AC750" s="2">
        <v>500000</v>
      </c>
      <c r="AD750" s="1">
        <v>10</v>
      </c>
      <c r="AE750" s="1">
        <v>7</v>
      </c>
      <c r="AG750" s="1" t="s">
        <v>56</v>
      </c>
      <c r="AH750" s="1" t="s">
        <v>154</v>
      </c>
      <c r="AI750" s="2">
        <v>500000</v>
      </c>
      <c r="AK750" s="1">
        <v>10</v>
      </c>
      <c r="AL750" s="1" t="s">
        <v>4089</v>
      </c>
    </row>
    <row r="751" spans="1:38" ht="14.45" customHeight="1" x14ac:dyDescent="0.2">
      <c r="A751" s="1" t="s">
        <v>57</v>
      </c>
      <c r="B751" s="9" t="s">
        <v>38</v>
      </c>
      <c r="C751" s="1" t="s">
        <v>40</v>
      </c>
      <c r="D751" s="1" t="s">
        <v>41</v>
      </c>
      <c r="E751" s="1" t="s">
        <v>42</v>
      </c>
      <c r="F751" s="1" t="s">
        <v>4146</v>
      </c>
      <c r="G751" s="1" t="s">
        <v>4147</v>
      </c>
      <c r="H751" s="1" t="s">
        <v>45</v>
      </c>
      <c r="I751" s="1" t="s">
        <v>4165</v>
      </c>
      <c r="J751" s="1">
        <v>2024</v>
      </c>
      <c r="K751" s="1" t="s">
        <v>4166</v>
      </c>
      <c r="L751" s="1" t="s">
        <v>4167</v>
      </c>
      <c r="M751" s="1" t="s">
        <v>4168</v>
      </c>
      <c r="P751" s="1" t="s">
        <v>4169</v>
      </c>
      <c r="Q751" s="1" t="s">
        <v>1149</v>
      </c>
      <c r="R751" s="1" t="s">
        <v>1150</v>
      </c>
      <c r="S751" s="1" t="s">
        <v>1151</v>
      </c>
      <c r="T751" s="1" t="s">
        <v>1152</v>
      </c>
      <c r="V751" s="1" t="s">
        <v>1153</v>
      </c>
      <c r="W751" s="1" t="s">
        <v>4170</v>
      </c>
      <c r="Y751" s="10">
        <v>45834</v>
      </c>
      <c r="Z751" s="1">
        <v>2025</v>
      </c>
      <c r="AA751" s="2">
        <v>6385850</v>
      </c>
      <c r="AB751" s="2"/>
      <c r="AC751" s="2">
        <v>1277170</v>
      </c>
      <c r="AG751" s="1" t="s">
        <v>56</v>
      </c>
      <c r="AI751" s="2">
        <v>1277170</v>
      </c>
    </row>
    <row r="752" spans="1:38" ht="12.6" customHeight="1" x14ac:dyDescent="0.2">
      <c r="A752" s="1" t="s">
        <v>57</v>
      </c>
      <c r="B752" s="9" t="s">
        <v>38</v>
      </c>
      <c r="C752" s="1" t="s">
        <v>40</v>
      </c>
      <c r="D752" s="1" t="s">
        <v>41</v>
      </c>
      <c r="E752" s="1" t="s">
        <v>42</v>
      </c>
      <c r="F752" s="1" t="s">
        <v>3964</v>
      </c>
      <c r="G752" s="1" t="s">
        <v>4171</v>
      </c>
      <c r="H752" s="1" t="s">
        <v>45</v>
      </c>
      <c r="I752" s="1" t="s">
        <v>4172</v>
      </c>
      <c r="J752" s="1">
        <v>2023</v>
      </c>
      <c r="K752" s="1" t="s">
        <v>4173</v>
      </c>
      <c r="L752" s="1" t="s">
        <v>4174</v>
      </c>
      <c r="P752" s="1" t="s">
        <v>4175</v>
      </c>
      <c r="Q752" s="1" t="s">
        <v>264</v>
      </c>
      <c r="R752" s="1" t="s">
        <v>265</v>
      </c>
      <c r="S752" s="1" t="s">
        <v>266</v>
      </c>
      <c r="T752" s="1" t="s">
        <v>267</v>
      </c>
      <c r="U752" s="1">
        <v>2</v>
      </c>
      <c r="V752" s="1" t="s">
        <v>268</v>
      </c>
      <c r="W752" s="1" t="s">
        <v>4176</v>
      </c>
      <c r="X752" s="1" t="s">
        <v>55</v>
      </c>
      <c r="Y752" s="10">
        <v>45282</v>
      </c>
      <c r="Z752" s="1">
        <v>2023</v>
      </c>
      <c r="AA752" s="2">
        <v>135001.67000000001</v>
      </c>
      <c r="AB752" s="2"/>
      <c r="AC752" s="2">
        <v>81001</v>
      </c>
      <c r="AG752" s="1" t="s">
        <v>56</v>
      </c>
      <c r="AI752" s="2">
        <v>81001</v>
      </c>
    </row>
    <row r="753" spans="1:38" ht="14.45" customHeight="1" x14ac:dyDescent="0.2">
      <c r="A753" s="1" t="s">
        <v>57</v>
      </c>
      <c r="B753" s="9" t="s">
        <v>38</v>
      </c>
      <c r="C753" s="1" t="s">
        <v>40</v>
      </c>
      <c r="D753" s="1" t="s">
        <v>41</v>
      </c>
      <c r="E753" s="1" t="s">
        <v>42</v>
      </c>
      <c r="F753" s="1" t="s">
        <v>3802</v>
      </c>
      <c r="G753" s="1" t="s">
        <v>3803</v>
      </c>
      <c r="H753" s="1" t="s">
        <v>45</v>
      </c>
      <c r="I753" s="1" t="s">
        <v>4177</v>
      </c>
      <c r="J753" s="1">
        <v>2023</v>
      </c>
      <c r="K753" s="1" t="s">
        <v>4178</v>
      </c>
      <c r="L753" s="1" t="s">
        <v>4179</v>
      </c>
      <c r="P753" s="1" t="s">
        <v>4180</v>
      </c>
      <c r="Q753" s="1" t="s">
        <v>264</v>
      </c>
      <c r="R753" s="1" t="s">
        <v>265</v>
      </c>
      <c r="S753" s="1" t="s">
        <v>266</v>
      </c>
      <c r="T753" s="1" t="s">
        <v>267</v>
      </c>
      <c r="U753" s="1">
        <v>2</v>
      </c>
      <c r="V753" s="1" t="s">
        <v>80</v>
      </c>
      <c r="W753" s="1" t="s">
        <v>4181</v>
      </c>
      <c r="X753" s="1" t="s">
        <v>240</v>
      </c>
      <c r="Y753" s="10">
        <v>45224</v>
      </c>
      <c r="Z753" s="1">
        <v>2023</v>
      </c>
      <c r="AA753" s="2">
        <v>5589069.75</v>
      </c>
      <c r="AB753" s="2"/>
      <c r="AC753" s="2">
        <v>2175000</v>
      </c>
      <c r="AG753" s="1" t="s">
        <v>56</v>
      </c>
      <c r="AI753" s="2">
        <v>2175000</v>
      </c>
    </row>
    <row r="754" spans="1:38" ht="13.15" customHeight="1" x14ac:dyDescent="0.25">
      <c r="A754" s="1" t="s">
        <v>57</v>
      </c>
      <c r="B754" s="9" t="s">
        <v>38</v>
      </c>
      <c r="C754" s="1" t="s">
        <v>40</v>
      </c>
      <c r="D754" s="1" t="s">
        <v>41</v>
      </c>
      <c r="E754" s="1" t="s">
        <v>42</v>
      </c>
      <c r="F754" s="1" t="s">
        <v>4182</v>
      </c>
      <c r="G754" s="1" t="s">
        <v>4183</v>
      </c>
      <c r="H754" s="1" t="s">
        <v>45</v>
      </c>
      <c r="I754" s="1" t="s">
        <v>4184</v>
      </c>
      <c r="J754" s="3">
        <v>2024</v>
      </c>
      <c r="K754" s="23" t="s">
        <v>4185</v>
      </c>
      <c r="L754" s="23" t="s">
        <v>4186</v>
      </c>
      <c r="M754" s="3"/>
      <c r="N754" s="3"/>
      <c r="O754" s="3"/>
      <c r="P754" s="25" t="s">
        <v>4187</v>
      </c>
      <c r="Q754" s="1" t="s">
        <v>264</v>
      </c>
      <c r="R754" s="1" t="s">
        <v>265</v>
      </c>
      <c r="S754" s="1" t="s">
        <v>1046</v>
      </c>
      <c r="T754" s="1" t="s">
        <v>1047</v>
      </c>
      <c r="U754" s="1">
        <v>1</v>
      </c>
      <c r="V754" s="1" t="s">
        <v>535</v>
      </c>
      <c r="W754" s="1" t="s">
        <v>4186</v>
      </c>
      <c r="Y754" s="10">
        <v>45869</v>
      </c>
      <c r="Z754" s="1">
        <v>2025</v>
      </c>
      <c r="AA754" s="2">
        <v>7258965.8700000001</v>
      </c>
      <c r="AB754" s="2"/>
      <c r="AC754" s="2">
        <v>4174500</v>
      </c>
      <c r="AG754" s="1" t="s">
        <v>56</v>
      </c>
      <c r="AI754" s="2">
        <v>4174500</v>
      </c>
    </row>
    <row r="755" spans="1:38" ht="14.45" customHeight="1" x14ac:dyDescent="0.2">
      <c r="A755" s="1" t="s">
        <v>57</v>
      </c>
      <c r="B755" s="9" t="s">
        <v>38</v>
      </c>
      <c r="C755" s="1" t="s">
        <v>58</v>
      </c>
      <c r="D755" s="1" t="s">
        <v>146</v>
      </c>
      <c r="E755" s="1" t="s">
        <v>42</v>
      </c>
      <c r="G755" s="1" t="s">
        <v>1172</v>
      </c>
      <c r="H755" s="1" t="s">
        <v>61</v>
      </c>
      <c r="I755" s="1" t="s">
        <v>4188</v>
      </c>
      <c r="J755" s="1">
        <v>2020</v>
      </c>
      <c r="K755" s="1" t="s">
        <v>4189</v>
      </c>
      <c r="L755" s="1" t="s">
        <v>4190</v>
      </c>
      <c r="N755" s="1" t="s">
        <v>4191</v>
      </c>
      <c r="P755" s="1" t="s">
        <v>3033</v>
      </c>
      <c r="Q755" s="1" t="s">
        <v>1149</v>
      </c>
      <c r="R755" s="1" t="s">
        <v>1150</v>
      </c>
      <c r="S755" s="1" t="s">
        <v>1218</v>
      </c>
      <c r="T755" s="1" t="s">
        <v>1219</v>
      </c>
      <c r="V755" s="1" t="s">
        <v>1153</v>
      </c>
      <c r="W755" s="1" t="s">
        <v>4192</v>
      </c>
      <c r="X755" s="1" t="s">
        <v>309</v>
      </c>
      <c r="Y755" s="10">
        <v>44337</v>
      </c>
      <c r="Z755" s="1">
        <v>2021</v>
      </c>
      <c r="AA755" s="2">
        <v>997050.58</v>
      </c>
      <c r="AB755" s="2"/>
      <c r="AC755" s="2">
        <v>498525.29</v>
      </c>
      <c r="AD755" s="1">
        <v>6</v>
      </c>
      <c r="AE755" s="1">
        <v>2</v>
      </c>
      <c r="AG755" s="1" t="s">
        <v>56</v>
      </c>
      <c r="AH755" s="1" t="s">
        <v>154</v>
      </c>
      <c r="AI755" s="2">
        <v>498525.29</v>
      </c>
      <c r="AK755" s="1">
        <v>6</v>
      </c>
      <c r="AL755" s="1" t="s">
        <v>4193</v>
      </c>
    </row>
    <row r="756" spans="1:38" ht="14.45" customHeight="1" x14ac:dyDescent="0.25">
      <c r="A756" s="1" t="s">
        <v>57</v>
      </c>
      <c r="B756" s="9" t="s">
        <v>38</v>
      </c>
      <c r="C756" s="1" t="s">
        <v>40</v>
      </c>
      <c r="D756" s="1" t="s">
        <v>41</v>
      </c>
      <c r="E756" s="1" t="s">
        <v>200</v>
      </c>
      <c r="F756" s="1" t="s">
        <v>230</v>
      </c>
      <c r="G756" s="1" t="s">
        <v>231</v>
      </c>
      <c r="H756" s="1" t="s">
        <v>45</v>
      </c>
      <c r="I756" s="1" t="s">
        <v>4194</v>
      </c>
      <c r="J756" s="1">
        <v>2022</v>
      </c>
      <c r="K756" s="1" t="s">
        <v>4195</v>
      </c>
      <c r="L756" s="1" t="s">
        <v>4196</v>
      </c>
      <c r="P756" s="1" t="s">
        <v>4197</v>
      </c>
      <c r="Q756" s="1" t="s">
        <v>50</v>
      </c>
      <c r="R756" s="1" t="s">
        <v>68</v>
      </c>
      <c r="S756" s="16" t="s">
        <v>814</v>
      </c>
      <c r="T756" s="1" t="s">
        <v>815</v>
      </c>
      <c r="U756" s="1">
        <v>2</v>
      </c>
      <c r="V756" s="1" t="s">
        <v>71</v>
      </c>
      <c r="W756" s="1" t="s">
        <v>4198</v>
      </c>
      <c r="X756" s="1" t="s">
        <v>240</v>
      </c>
      <c r="Y756" s="10">
        <v>45254</v>
      </c>
      <c r="Z756" s="1">
        <v>2023</v>
      </c>
      <c r="AA756" s="2">
        <v>11873420</v>
      </c>
      <c r="AB756" s="2"/>
      <c r="AC756" s="2">
        <v>3511697</v>
      </c>
      <c r="AG756" s="1" t="s">
        <v>56</v>
      </c>
      <c r="AI756" s="2">
        <v>3511697</v>
      </c>
    </row>
    <row r="757" spans="1:38" ht="14.45" customHeight="1" x14ac:dyDescent="0.2">
      <c r="A757" s="1" t="s">
        <v>57</v>
      </c>
      <c r="B757" s="9" t="s">
        <v>38</v>
      </c>
      <c r="C757" s="1" t="s">
        <v>40</v>
      </c>
      <c r="D757" s="1" t="s">
        <v>41</v>
      </c>
      <c r="E757" s="1" t="s">
        <v>200</v>
      </c>
      <c r="F757" s="1" t="s">
        <v>230</v>
      </c>
      <c r="G757" s="1" t="s">
        <v>231</v>
      </c>
      <c r="H757" s="1" t="s">
        <v>45</v>
      </c>
      <c r="I757" s="1" t="s">
        <v>4199</v>
      </c>
      <c r="J757" s="1">
        <v>2022</v>
      </c>
      <c r="K757" s="1" t="s">
        <v>4200</v>
      </c>
      <c r="L757" s="1" t="s">
        <v>4200</v>
      </c>
      <c r="M757" s="1" t="s">
        <v>4201</v>
      </c>
      <c r="P757" s="1" t="s">
        <v>4202</v>
      </c>
      <c r="Q757" s="1" t="s">
        <v>50</v>
      </c>
      <c r="R757" s="1" t="s">
        <v>68</v>
      </c>
      <c r="S757" s="1" t="s">
        <v>2986</v>
      </c>
      <c r="T757" s="1" t="s">
        <v>2987</v>
      </c>
      <c r="U757" s="1">
        <v>2</v>
      </c>
      <c r="V757" s="1" t="s">
        <v>195</v>
      </c>
      <c r="W757" s="1" t="s">
        <v>4203</v>
      </c>
      <c r="X757" s="1" t="s">
        <v>240</v>
      </c>
      <c r="Y757" s="10">
        <v>45254</v>
      </c>
      <c r="Z757" s="1">
        <v>2023</v>
      </c>
      <c r="AA757" s="2">
        <v>167600</v>
      </c>
      <c r="AB757" s="2"/>
      <c r="AC757" s="2">
        <v>100560</v>
      </c>
      <c r="AG757" s="1" t="s">
        <v>56</v>
      </c>
      <c r="AI757" s="2">
        <v>100560</v>
      </c>
    </row>
    <row r="758" spans="1:38" ht="14.45" customHeight="1" x14ac:dyDescent="0.2">
      <c r="A758" s="1" t="s">
        <v>57</v>
      </c>
      <c r="B758" s="9" t="s">
        <v>38</v>
      </c>
      <c r="C758" s="1" t="s">
        <v>40</v>
      </c>
      <c r="D758" s="1" t="s">
        <v>41</v>
      </c>
      <c r="E758" s="1" t="s">
        <v>200</v>
      </c>
      <c r="F758" s="1" t="s">
        <v>230</v>
      </c>
      <c r="G758" s="1" t="s">
        <v>231</v>
      </c>
      <c r="H758" s="1" t="s">
        <v>45</v>
      </c>
      <c r="I758" s="1" t="s">
        <v>4204</v>
      </c>
      <c r="J758" s="1">
        <v>2022</v>
      </c>
      <c r="K758" s="1" t="s">
        <v>4205</v>
      </c>
      <c r="L758" s="1" t="s">
        <v>4206</v>
      </c>
      <c r="P758" s="1" t="s">
        <v>4207</v>
      </c>
      <c r="Q758" s="1" t="s">
        <v>1149</v>
      </c>
      <c r="R758" s="1" t="s">
        <v>1150</v>
      </c>
      <c r="S758" s="1" t="s">
        <v>1959</v>
      </c>
      <c r="T758" s="1" t="s">
        <v>1960</v>
      </c>
      <c r="V758" s="1" t="s">
        <v>1153</v>
      </c>
      <c r="W758" s="1" t="s">
        <v>4208</v>
      </c>
      <c r="X758" s="1" t="s">
        <v>240</v>
      </c>
      <c r="Y758" s="10">
        <v>45254</v>
      </c>
      <c r="Z758" s="1">
        <v>2023</v>
      </c>
      <c r="AA758" s="2">
        <v>61648173</v>
      </c>
      <c r="AB758" s="2"/>
      <c r="AC758" s="2">
        <v>13436550</v>
      </c>
      <c r="AG758" s="1" t="s">
        <v>56</v>
      </c>
      <c r="AI758" s="2">
        <v>13436550</v>
      </c>
    </row>
    <row r="759" spans="1:38" ht="14.45" customHeight="1" x14ac:dyDescent="0.2">
      <c r="A759" s="1" t="s">
        <v>57</v>
      </c>
      <c r="B759" s="9" t="s">
        <v>38</v>
      </c>
      <c r="C759" s="1" t="s">
        <v>40</v>
      </c>
      <c r="D759" s="1" t="s">
        <v>41</v>
      </c>
      <c r="E759" s="1" t="s">
        <v>200</v>
      </c>
      <c r="F759" s="1" t="s">
        <v>230</v>
      </c>
      <c r="G759" s="1" t="s">
        <v>231</v>
      </c>
      <c r="H759" s="1" t="s">
        <v>45</v>
      </c>
      <c r="I759" s="1" t="s">
        <v>4209</v>
      </c>
      <c r="J759" s="1">
        <v>2022</v>
      </c>
      <c r="K759" s="1" t="s">
        <v>4210</v>
      </c>
      <c r="L759" s="1" t="s">
        <v>4211</v>
      </c>
      <c r="M759" s="1" t="s">
        <v>4212</v>
      </c>
      <c r="P759" s="1" t="s">
        <v>4213</v>
      </c>
      <c r="Q759" s="1" t="s">
        <v>50</v>
      </c>
      <c r="R759" s="1" t="s">
        <v>68</v>
      </c>
      <c r="S759" s="1" t="s">
        <v>193</v>
      </c>
      <c r="T759" s="1" t="s">
        <v>194</v>
      </c>
      <c r="U759" s="1">
        <v>1</v>
      </c>
      <c r="V759" s="1" t="s">
        <v>195</v>
      </c>
      <c r="W759" s="1" t="s">
        <v>4210</v>
      </c>
      <c r="X759" s="1" t="s">
        <v>240</v>
      </c>
      <c r="Y759" s="10">
        <v>45254</v>
      </c>
      <c r="Z759" s="1">
        <v>2023</v>
      </c>
      <c r="AA759" s="2">
        <v>65515</v>
      </c>
      <c r="AB759" s="2"/>
      <c r="AC759" s="2">
        <v>26206</v>
      </c>
      <c r="AG759" s="1" t="s">
        <v>56</v>
      </c>
      <c r="AI759" s="2">
        <v>26206</v>
      </c>
    </row>
    <row r="760" spans="1:38" ht="14.45" customHeight="1" x14ac:dyDescent="0.2">
      <c r="A760" s="1" t="s">
        <v>57</v>
      </c>
      <c r="B760" s="9" t="s">
        <v>38</v>
      </c>
      <c r="C760" s="1" t="s">
        <v>40</v>
      </c>
      <c r="D760" s="1" t="s">
        <v>41</v>
      </c>
      <c r="E760" s="1" t="s">
        <v>200</v>
      </c>
      <c r="F760" s="1" t="s">
        <v>230</v>
      </c>
      <c r="G760" s="1" t="s">
        <v>231</v>
      </c>
      <c r="H760" s="1" t="s">
        <v>45</v>
      </c>
      <c r="I760" s="1" t="s">
        <v>4214</v>
      </c>
      <c r="J760" s="1">
        <v>2022</v>
      </c>
      <c r="K760" s="1" t="s">
        <v>4215</v>
      </c>
      <c r="L760" s="1" t="s">
        <v>4215</v>
      </c>
      <c r="M760" s="1" t="s">
        <v>4216</v>
      </c>
      <c r="P760" s="1" t="s">
        <v>4217</v>
      </c>
      <c r="Q760" s="1" t="s">
        <v>50</v>
      </c>
      <c r="R760" s="1" t="s">
        <v>68</v>
      </c>
      <c r="S760" s="1" t="s">
        <v>3437</v>
      </c>
      <c r="T760" s="1" t="s">
        <v>3438</v>
      </c>
      <c r="U760" s="1">
        <v>1</v>
      </c>
      <c r="V760" s="1" t="s">
        <v>195</v>
      </c>
      <c r="W760" s="1" t="s">
        <v>4218</v>
      </c>
      <c r="X760" s="1" t="s">
        <v>240</v>
      </c>
      <c r="Y760" s="10">
        <v>45254</v>
      </c>
      <c r="Z760" s="1">
        <v>2023</v>
      </c>
      <c r="AA760" s="2">
        <v>157238</v>
      </c>
      <c r="AB760" s="2"/>
      <c r="AC760" s="2">
        <v>62895</v>
      </c>
      <c r="AG760" s="1" t="s">
        <v>56</v>
      </c>
      <c r="AI760" s="2">
        <v>62895</v>
      </c>
    </row>
    <row r="761" spans="1:38" ht="14.45" customHeight="1" x14ac:dyDescent="0.2">
      <c r="A761" s="1" t="s">
        <v>57</v>
      </c>
      <c r="B761" s="9" t="s">
        <v>38</v>
      </c>
      <c r="C761" s="1" t="s">
        <v>40</v>
      </c>
      <c r="D761" s="1" t="s">
        <v>41</v>
      </c>
      <c r="E761" s="1" t="s">
        <v>200</v>
      </c>
      <c r="F761" s="1" t="s">
        <v>230</v>
      </c>
      <c r="G761" s="1" t="s">
        <v>231</v>
      </c>
      <c r="H761" s="1" t="s">
        <v>45</v>
      </c>
      <c r="I761" s="1" t="s">
        <v>4219</v>
      </c>
      <c r="J761" s="1">
        <v>2022</v>
      </c>
      <c r="K761" s="1" t="s">
        <v>4220</v>
      </c>
      <c r="L761" s="1" t="s">
        <v>4221</v>
      </c>
      <c r="P761" s="1" t="s">
        <v>4222</v>
      </c>
      <c r="Q761" s="1" t="s">
        <v>1149</v>
      </c>
      <c r="R761" s="1" t="s">
        <v>1150</v>
      </c>
      <c r="S761" s="1" t="s">
        <v>3594</v>
      </c>
      <c r="T761" s="1" t="s">
        <v>3595</v>
      </c>
      <c r="V761" s="1" t="s">
        <v>1153</v>
      </c>
      <c r="W761" s="1" t="s">
        <v>4220</v>
      </c>
      <c r="X761" s="1" t="s">
        <v>240</v>
      </c>
      <c r="Y761" s="10">
        <v>45254</v>
      </c>
      <c r="Z761" s="1">
        <v>2023</v>
      </c>
      <c r="AA761" s="2">
        <v>19618523</v>
      </c>
      <c r="AB761" s="2"/>
      <c r="AC761" s="2">
        <v>4456343</v>
      </c>
      <c r="AG761" s="1" t="s">
        <v>56</v>
      </c>
      <c r="AI761" s="2">
        <v>4456343</v>
      </c>
    </row>
    <row r="762" spans="1:38" ht="14.45" customHeight="1" x14ac:dyDescent="0.2">
      <c r="A762" s="1" t="s">
        <v>57</v>
      </c>
      <c r="B762" s="9" t="s">
        <v>38</v>
      </c>
      <c r="C762" s="1" t="s">
        <v>40</v>
      </c>
      <c r="D762" s="1" t="s">
        <v>41</v>
      </c>
      <c r="E762" s="1" t="s">
        <v>200</v>
      </c>
      <c r="F762" s="1" t="s">
        <v>230</v>
      </c>
      <c r="G762" s="1" t="s">
        <v>231</v>
      </c>
      <c r="H762" s="1" t="s">
        <v>45</v>
      </c>
      <c r="I762" s="1" t="s">
        <v>4223</v>
      </c>
      <c r="J762" s="1">
        <v>2022</v>
      </c>
      <c r="K762" s="1" t="s">
        <v>4224</v>
      </c>
      <c r="L762" s="1" t="s">
        <v>4225</v>
      </c>
      <c r="P762" s="1" t="s">
        <v>4222</v>
      </c>
      <c r="Q762" s="1" t="s">
        <v>1149</v>
      </c>
      <c r="R762" s="1" t="s">
        <v>1449</v>
      </c>
      <c r="S762" s="1" t="s">
        <v>2068</v>
      </c>
      <c r="T762" s="1" t="s">
        <v>2069</v>
      </c>
      <c r="V762" s="1" t="s">
        <v>1153</v>
      </c>
      <c r="W762" s="1" t="s">
        <v>4224</v>
      </c>
      <c r="X762" s="1" t="s">
        <v>240</v>
      </c>
      <c r="Y762" s="10">
        <v>45254</v>
      </c>
      <c r="Z762" s="1">
        <v>2023</v>
      </c>
      <c r="AA762" s="2">
        <v>55174919</v>
      </c>
      <c r="AB762" s="2"/>
      <c r="AC762" s="2">
        <v>11000000</v>
      </c>
      <c r="AG762" s="1" t="s">
        <v>56</v>
      </c>
      <c r="AI762" s="2">
        <v>11000000</v>
      </c>
    </row>
    <row r="763" spans="1:38" ht="14.45" customHeight="1" x14ac:dyDescent="0.2">
      <c r="A763" s="1" t="s">
        <v>57</v>
      </c>
      <c r="B763" s="9" t="s">
        <v>38</v>
      </c>
      <c r="C763" s="1" t="s">
        <v>40</v>
      </c>
      <c r="D763" s="1" t="s">
        <v>41</v>
      </c>
      <c r="E763" s="1" t="s">
        <v>200</v>
      </c>
      <c r="F763" s="1" t="s">
        <v>230</v>
      </c>
      <c r="G763" s="1" t="s">
        <v>231</v>
      </c>
      <c r="H763" s="1" t="s">
        <v>45</v>
      </c>
      <c r="I763" s="1" t="s">
        <v>4226</v>
      </c>
      <c r="J763" s="1">
        <v>2022</v>
      </c>
      <c r="K763" s="1" t="s">
        <v>4227</v>
      </c>
      <c r="L763" s="1" t="s">
        <v>4228</v>
      </c>
      <c r="M763" s="1" t="s">
        <v>4229</v>
      </c>
      <c r="P763" s="1" t="s">
        <v>4230</v>
      </c>
      <c r="Q763" s="1" t="s">
        <v>50</v>
      </c>
      <c r="R763" s="1" t="s">
        <v>68</v>
      </c>
      <c r="S763" s="1" t="s">
        <v>4231</v>
      </c>
      <c r="T763" s="1" t="s">
        <v>4232</v>
      </c>
      <c r="U763" s="1">
        <v>2</v>
      </c>
      <c r="V763" s="1" t="s">
        <v>195</v>
      </c>
      <c r="W763" s="1" t="s">
        <v>4233</v>
      </c>
      <c r="X763" s="1" t="s">
        <v>240</v>
      </c>
      <c r="Y763" s="10">
        <v>45254</v>
      </c>
      <c r="Z763" s="1">
        <v>2023</v>
      </c>
      <c r="AA763" s="2">
        <v>1588495</v>
      </c>
      <c r="AB763" s="2"/>
      <c r="AC763" s="2">
        <v>499990</v>
      </c>
      <c r="AG763" s="1" t="s">
        <v>56</v>
      </c>
      <c r="AI763" s="2">
        <v>499990</v>
      </c>
    </row>
    <row r="764" spans="1:38" ht="14.45" customHeight="1" x14ac:dyDescent="0.2">
      <c r="A764" s="1" t="s">
        <v>57</v>
      </c>
      <c r="B764" s="9" t="s">
        <v>38</v>
      </c>
      <c r="C764" s="1" t="s">
        <v>40</v>
      </c>
      <c r="D764" s="1" t="s">
        <v>41</v>
      </c>
      <c r="E764" s="1" t="s">
        <v>200</v>
      </c>
      <c r="F764" s="1" t="s">
        <v>230</v>
      </c>
      <c r="G764" s="1" t="s">
        <v>231</v>
      </c>
      <c r="H764" s="1" t="s">
        <v>45</v>
      </c>
      <c r="I764" s="1" t="s">
        <v>4234</v>
      </c>
      <c r="J764" s="1">
        <v>2022</v>
      </c>
      <c r="K764" s="1" t="s">
        <v>4235</v>
      </c>
      <c r="L764" s="1" t="s">
        <v>4236</v>
      </c>
      <c r="M764" s="1" t="s">
        <v>4237</v>
      </c>
      <c r="P764" s="1" t="s">
        <v>4238</v>
      </c>
      <c r="Q764" s="1" t="s">
        <v>50</v>
      </c>
      <c r="R764" s="1" t="s">
        <v>68</v>
      </c>
      <c r="S764" s="1" t="s">
        <v>4231</v>
      </c>
      <c r="T764" s="1" t="s">
        <v>4232</v>
      </c>
      <c r="U764" s="1">
        <v>2</v>
      </c>
      <c r="V764" s="1" t="s">
        <v>195</v>
      </c>
      <c r="W764" s="1" t="s">
        <v>4239</v>
      </c>
      <c r="X764" s="1" t="s">
        <v>240</v>
      </c>
      <c r="Y764" s="10">
        <v>45254</v>
      </c>
      <c r="Z764" s="1">
        <v>2023</v>
      </c>
      <c r="AA764" s="2">
        <v>61000</v>
      </c>
      <c r="AB764" s="2"/>
      <c r="AC764" s="2">
        <v>32574</v>
      </c>
      <c r="AG764" s="1" t="s">
        <v>56</v>
      </c>
      <c r="AI764" s="2">
        <v>32574</v>
      </c>
    </row>
    <row r="765" spans="1:38" ht="14.45" customHeight="1" x14ac:dyDescent="0.2">
      <c r="A765" s="1" t="s">
        <v>57</v>
      </c>
      <c r="B765" s="9" t="s">
        <v>38</v>
      </c>
      <c r="C765" s="1" t="s">
        <v>40</v>
      </c>
      <c r="D765" s="1" t="s">
        <v>41</v>
      </c>
      <c r="E765" s="1" t="s">
        <v>42</v>
      </c>
      <c r="F765" s="1" t="s">
        <v>4240</v>
      </c>
      <c r="G765" s="1" t="s">
        <v>4241</v>
      </c>
      <c r="H765" s="1" t="s">
        <v>45</v>
      </c>
      <c r="I765" s="1" t="s">
        <v>4242</v>
      </c>
      <c r="J765" s="1">
        <v>2022</v>
      </c>
      <c r="K765" s="1" t="s">
        <v>4243</v>
      </c>
      <c r="L765" s="1" t="s">
        <v>4244</v>
      </c>
      <c r="P765" s="1" t="s">
        <v>4245</v>
      </c>
      <c r="Q765" s="1" t="s">
        <v>264</v>
      </c>
      <c r="R765" s="1" t="s">
        <v>265</v>
      </c>
      <c r="S765" s="1" t="s">
        <v>533</v>
      </c>
      <c r="T765" s="1" t="s">
        <v>534</v>
      </c>
      <c r="U765" s="1">
        <v>1</v>
      </c>
      <c r="V765" s="1" t="s">
        <v>535</v>
      </c>
      <c r="W765" s="1" t="s">
        <v>4246</v>
      </c>
      <c r="Y765" s="10">
        <v>45113</v>
      </c>
      <c r="Z765" s="1">
        <v>2023</v>
      </c>
      <c r="AA765" s="2">
        <v>550843.52</v>
      </c>
      <c r="AB765" s="2"/>
      <c r="AC765" s="2">
        <v>159054.70000000001</v>
      </c>
      <c r="AG765" s="1" t="s">
        <v>56</v>
      </c>
      <c r="AI765" s="2">
        <v>159054.70000000001</v>
      </c>
    </row>
    <row r="766" spans="1:38" ht="14.45" customHeight="1" x14ac:dyDescent="0.2">
      <c r="A766" s="1" t="s">
        <v>57</v>
      </c>
      <c r="B766" s="9" t="s">
        <v>38</v>
      </c>
      <c r="C766" s="1" t="s">
        <v>40</v>
      </c>
      <c r="D766" s="1" t="s">
        <v>41</v>
      </c>
      <c r="E766" s="1" t="s">
        <v>200</v>
      </c>
      <c r="F766" s="1" t="s">
        <v>230</v>
      </c>
      <c r="G766" s="1" t="s">
        <v>231</v>
      </c>
      <c r="H766" s="1" t="s">
        <v>45</v>
      </c>
      <c r="I766" s="1" t="s">
        <v>4247</v>
      </c>
      <c r="J766" s="1">
        <v>2022</v>
      </c>
      <c r="K766" s="1" t="s">
        <v>4248</v>
      </c>
      <c r="L766" s="1" t="s">
        <v>4249</v>
      </c>
      <c r="P766" s="1" t="s">
        <v>4250</v>
      </c>
      <c r="Q766" s="1" t="s">
        <v>1149</v>
      </c>
      <c r="R766" s="1" t="s">
        <v>1150</v>
      </c>
      <c r="S766" s="1" t="s">
        <v>1635</v>
      </c>
      <c r="T766" s="1" t="s">
        <v>1636</v>
      </c>
      <c r="V766" s="1" t="s">
        <v>1153</v>
      </c>
      <c r="W766" s="1" t="s">
        <v>4248</v>
      </c>
      <c r="X766" s="1" t="s">
        <v>240</v>
      </c>
      <c r="Y766" s="10">
        <v>45254</v>
      </c>
      <c r="Z766" s="1">
        <v>2023</v>
      </c>
      <c r="AA766" s="2">
        <v>31201475</v>
      </c>
      <c r="AB766" s="2"/>
      <c r="AC766" s="2">
        <v>3699465</v>
      </c>
      <c r="AG766" s="1" t="s">
        <v>56</v>
      </c>
      <c r="AI766" s="2">
        <v>3699465</v>
      </c>
    </row>
    <row r="767" spans="1:38" ht="14.45" customHeight="1" x14ac:dyDescent="0.2">
      <c r="A767" s="1" t="s">
        <v>57</v>
      </c>
      <c r="B767" s="9" t="s">
        <v>38</v>
      </c>
      <c r="C767" s="1" t="s">
        <v>40</v>
      </c>
      <c r="D767" s="1" t="s">
        <v>41</v>
      </c>
      <c r="E767" s="1" t="s">
        <v>42</v>
      </c>
      <c r="F767" s="1" t="s">
        <v>230</v>
      </c>
      <c r="G767" s="1" t="s">
        <v>231</v>
      </c>
      <c r="H767" s="1" t="s">
        <v>45</v>
      </c>
      <c r="I767" s="1" t="s">
        <v>4251</v>
      </c>
      <c r="J767" s="1">
        <v>2022</v>
      </c>
      <c r="K767" s="1" t="s">
        <v>4252</v>
      </c>
      <c r="L767" s="1" t="s">
        <v>4253</v>
      </c>
      <c r="P767" s="1" t="s">
        <v>4254</v>
      </c>
      <c r="Q767" s="1" t="s">
        <v>1149</v>
      </c>
      <c r="R767" s="1" t="s">
        <v>1449</v>
      </c>
      <c r="S767" s="1" t="s">
        <v>1450</v>
      </c>
      <c r="T767" s="1" t="s">
        <v>1451</v>
      </c>
      <c r="V767" s="1" t="s">
        <v>1153</v>
      </c>
      <c r="W767" s="1" t="s">
        <v>4255</v>
      </c>
      <c r="X767" s="1" t="s">
        <v>240</v>
      </c>
      <c r="Y767" s="10">
        <v>45254</v>
      </c>
      <c r="Z767" s="1">
        <v>2023</v>
      </c>
      <c r="AA767" s="2">
        <v>8964942</v>
      </c>
      <c r="AB767" s="2"/>
      <c r="AC767" s="2">
        <v>499000</v>
      </c>
      <c r="AG767" s="1" t="s">
        <v>56</v>
      </c>
      <c r="AI767" s="2">
        <v>499000</v>
      </c>
    </row>
    <row r="768" spans="1:38" ht="14.45" customHeight="1" x14ac:dyDescent="0.2">
      <c r="A768" s="1" t="s">
        <v>57</v>
      </c>
      <c r="B768" s="9" t="s">
        <v>38</v>
      </c>
      <c r="C768" s="1" t="s">
        <v>40</v>
      </c>
      <c r="D768" s="1" t="s">
        <v>41</v>
      </c>
      <c r="E768" s="1" t="s">
        <v>200</v>
      </c>
      <c r="F768" s="1" t="s">
        <v>230</v>
      </c>
      <c r="G768" s="1" t="s">
        <v>231</v>
      </c>
      <c r="H768" s="1" t="s">
        <v>45</v>
      </c>
      <c r="I768" s="1" t="s">
        <v>4256</v>
      </c>
      <c r="J768" s="1">
        <v>2022</v>
      </c>
      <c r="K768" s="1" t="s">
        <v>4257</v>
      </c>
      <c r="L768" s="1" t="s">
        <v>4258</v>
      </c>
      <c r="P768" s="1" t="s">
        <v>4259</v>
      </c>
      <c r="Q768" s="1" t="s">
        <v>1149</v>
      </c>
      <c r="R768" s="1" t="s">
        <v>1150</v>
      </c>
      <c r="S768" s="1" t="s">
        <v>3507</v>
      </c>
      <c r="T768" s="1" t="s">
        <v>3508</v>
      </c>
      <c r="V768" s="1" t="s">
        <v>1537</v>
      </c>
      <c r="W768" s="1" t="s">
        <v>4257</v>
      </c>
      <c r="X768" s="1" t="s">
        <v>240</v>
      </c>
      <c r="Y768" s="10">
        <v>45254</v>
      </c>
      <c r="Z768" s="1">
        <v>2023</v>
      </c>
      <c r="AA768" s="2">
        <v>5091549</v>
      </c>
      <c r="AB768" s="2"/>
      <c r="AC768" s="2">
        <v>495000</v>
      </c>
      <c r="AG768" s="1" t="s">
        <v>56</v>
      </c>
      <c r="AI768" s="2">
        <v>495000</v>
      </c>
    </row>
    <row r="769" spans="1:38" ht="14.45" customHeight="1" x14ac:dyDescent="0.2">
      <c r="A769" s="1" t="s">
        <v>57</v>
      </c>
      <c r="B769" s="9" t="s">
        <v>38</v>
      </c>
      <c r="C769" s="1" t="s">
        <v>40</v>
      </c>
      <c r="D769" s="1" t="s">
        <v>41</v>
      </c>
      <c r="E769" s="1" t="s">
        <v>42</v>
      </c>
      <c r="F769" s="1" t="s">
        <v>4146</v>
      </c>
      <c r="G769" s="1" t="s">
        <v>4147</v>
      </c>
      <c r="H769" s="1" t="s">
        <v>45</v>
      </c>
      <c r="I769" s="1" t="s">
        <v>4260</v>
      </c>
      <c r="J769" s="1">
        <v>2024</v>
      </c>
      <c r="K769" s="1" t="s">
        <v>4261</v>
      </c>
      <c r="L769" s="1" t="s">
        <v>4262</v>
      </c>
      <c r="M769" s="1" t="s">
        <v>1240</v>
      </c>
      <c r="P769" s="1" t="s">
        <v>4263</v>
      </c>
      <c r="Q769" s="1" t="s">
        <v>264</v>
      </c>
      <c r="R769" s="1" t="s">
        <v>265</v>
      </c>
      <c r="S769" s="1" t="s">
        <v>266</v>
      </c>
      <c r="T769" s="1" t="s">
        <v>267</v>
      </c>
      <c r="U769" s="1">
        <v>2</v>
      </c>
      <c r="V769" s="1" t="s">
        <v>268</v>
      </c>
      <c r="W769" s="1" t="s">
        <v>4262</v>
      </c>
      <c r="Y769" s="10">
        <v>45834</v>
      </c>
      <c r="Z769" s="1">
        <v>2025</v>
      </c>
      <c r="AA769" s="2">
        <v>670000000</v>
      </c>
      <c r="AB769" s="2"/>
      <c r="AC769" s="2">
        <v>199995000</v>
      </c>
      <c r="AD769" s="1">
        <v>2600</v>
      </c>
      <c r="AG769" s="1" t="s">
        <v>56</v>
      </c>
      <c r="AI769" s="2">
        <v>199995000</v>
      </c>
    </row>
    <row r="770" spans="1:38" ht="14.45" customHeight="1" x14ac:dyDescent="0.2">
      <c r="A770" s="1" t="s">
        <v>57</v>
      </c>
      <c r="B770" s="9" t="s">
        <v>38</v>
      </c>
      <c r="C770" s="1" t="s">
        <v>40</v>
      </c>
      <c r="D770" s="1" t="s">
        <v>41</v>
      </c>
      <c r="E770" s="1" t="s">
        <v>42</v>
      </c>
      <c r="F770" s="1" t="s">
        <v>4146</v>
      </c>
      <c r="G770" s="1" t="s">
        <v>4147</v>
      </c>
      <c r="H770" s="1" t="s">
        <v>45</v>
      </c>
      <c r="I770" s="1" t="s">
        <v>4264</v>
      </c>
      <c r="J770" s="1">
        <v>2024</v>
      </c>
      <c r="K770" s="1" t="s">
        <v>4265</v>
      </c>
      <c r="L770" s="1" t="s">
        <v>4266</v>
      </c>
      <c r="M770" s="1" t="s">
        <v>1240</v>
      </c>
      <c r="P770" s="1" t="s">
        <v>4267</v>
      </c>
      <c r="Q770" s="1" t="s">
        <v>264</v>
      </c>
      <c r="R770" s="1" t="s">
        <v>265</v>
      </c>
      <c r="S770" s="1" t="s">
        <v>266</v>
      </c>
      <c r="T770" s="1" t="s">
        <v>267</v>
      </c>
      <c r="U770" s="1">
        <v>2</v>
      </c>
      <c r="V770" s="1" t="s">
        <v>268</v>
      </c>
      <c r="W770" s="1" t="s">
        <v>4266</v>
      </c>
      <c r="Y770" s="10">
        <v>45834</v>
      </c>
      <c r="Z770" s="1">
        <v>2025</v>
      </c>
      <c r="AA770" s="2">
        <v>86693992</v>
      </c>
      <c r="AB770" s="2"/>
      <c r="AC770" s="2">
        <v>9987148</v>
      </c>
      <c r="AD770" s="1">
        <v>300</v>
      </c>
      <c r="AG770" s="1" t="s">
        <v>56</v>
      </c>
      <c r="AI770" s="2">
        <v>9987148</v>
      </c>
    </row>
    <row r="771" spans="1:38" ht="14.45" customHeight="1" x14ac:dyDescent="0.2">
      <c r="A771" s="1" t="s">
        <v>57</v>
      </c>
      <c r="B771" s="9" t="s">
        <v>38</v>
      </c>
      <c r="C771" s="1" t="s">
        <v>40</v>
      </c>
      <c r="D771" s="1" t="s">
        <v>41</v>
      </c>
      <c r="E771" s="1" t="s">
        <v>200</v>
      </c>
      <c r="F771" s="1" t="s">
        <v>230</v>
      </c>
      <c r="G771" s="1" t="s">
        <v>231</v>
      </c>
      <c r="H771" s="1" t="s">
        <v>45</v>
      </c>
      <c r="I771" s="1" t="s">
        <v>4268</v>
      </c>
      <c r="J771" s="1">
        <v>2022</v>
      </c>
      <c r="K771" s="1" t="s">
        <v>4269</v>
      </c>
      <c r="L771" s="1" t="s">
        <v>4270</v>
      </c>
      <c r="P771" s="1" t="s">
        <v>4271</v>
      </c>
      <c r="Q771" s="1" t="s">
        <v>264</v>
      </c>
      <c r="R771" s="1" t="s">
        <v>265</v>
      </c>
      <c r="S771" s="1" t="s">
        <v>923</v>
      </c>
      <c r="T771" s="1" t="s">
        <v>924</v>
      </c>
      <c r="U771" s="1">
        <v>1</v>
      </c>
      <c r="V771" s="1" t="s">
        <v>268</v>
      </c>
      <c r="W771" s="1" t="s">
        <v>4272</v>
      </c>
      <c r="Y771" s="10">
        <v>45254</v>
      </c>
      <c r="Z771" s="1">
        <v>2023</v>
      </c>
      <c r="AA771" s="2">
        <v>4539800</v>
      </c>
      <c r="AB771" s="2"/>
      <c r="AC771" s="2">
        <v>1271144</v>
      </c>
      <c r="AG771" s="1" t="s">
        <v>56</v>
      </c>
      <c r="AI771" s="2">
        <v>1271144</v>
      </c>
    </row>
    <row r="772" spans="1:38" ht="14.45" customHeight="1" x14ac:dyDescent="0.2">
      <c r="A772" s="1" t="s">
        <v>57</v>
      </c>
      <c r="B772" s="9" t="s">
        <v>38</v>
      </c>
      <c r="C772" s="1" t="s">
        <v>40</v>
      </c>
      <c r="D772" s="1" t="s">
        <v>41</v>
      </c>
      <c r="E772" s="1" t="s">
        <v>200</v>
      </c>
      <c r="F772" s="1" t="s">
        <v>230</v>
      </c>
      <c r="G772" s="1" t="s">
        <v>231</v>
      </c>
      <c r="H772" s="1" t="s">
        <v>45</v>
      </c>
      <c r="I772" s="1" t="s">
        <v>4273</v>
      </c>
      <c r="J772" s="1">
        <v>2022</v>
      </c>
      <c r="K772" s="1" t="s">
        <v>4274</v>
      </c>
      <c r="L772" s="1" t="s">
        <v>4274</v>
      </c>
      <c r="P772" s="1" t="s">
        <v>3918</v>
      </c>
      <c r="Q772" s="1" t="s">
        <v>264</v>
      </c>
      <c r="R772" s="1" t="s">
        <v>265</v>
      </c>
      <c r="S772" s="1" t="s">
        <v>1783</v>
      </c>
      <c r="T772" s="1" t="s">
        <v>1784</v>
      </c>
      <c r="U772" s="1">
        <v>1</v>
      </c>
      <c r="V772" s="1" t="s">
        <v>4275</v>
      </c>
      <c r="W772" s="1" t="s">
        <v>4274</v>
      </c>
      <c r="Y772" s="10">
        <v>45254</v>
      </c>
      <c r="Z772" s="1">
        <v>2023</v>
      </c>
      <c r="AA772" s="2">
        <v>247350</v>
      </c>
      <c r="AB772" s="2"/>
      <c r="AC772" s="2">
        <v>98940</v>
      </c>
      <c r="AG772" s="1" t="s">
        <v>56</v>
      </c>
      <c r="AI772" s="2">
        <v>98940</v>
      </c>
    </row>
    <row r="773" spans="1:38" ht="14.45" customHeight="1" x14ac:dyDescent="0.2">
      <c r="A773" s="1" t="s">
        <v>57</v>
      </c>
      <c r="B773" s="9" t="s">
        <v>38</v>
      </c>
      <c r="C773" s="1" t="s">
        <v>40</v>
      </c>
      <c r="D773" s="1" t="s">
        <v>41</v>
      </c>
      <c r="E773" s="1" t="s">
        <v>200</v>
      </c>
      <c r="F773" s="1" t="s">
        <v>230</v>
      </c>
      <c r="G773" s="1" t="s">
        <v>231</v>
      </c>
      <c r="H773" s="1" t="s">
        <v>45</v>
      </c>
      <c r="I773" s="1" t="s">
        <v>4276</v>
      </c>
      <c r="J773" s="1">
        <v>2022</v>
      </c>
      <c r="K773" s="1" t="s">
        <v>4277</v>
      </c>
      <c r="L773" s="1" t="s">
        <v>4277</v>
      </c>
      <c r="P773" s="1" t="s">
        <v>3948</v>
      </c>
      <c r="Q773" s="1" t="s">
        <v>264</v>
      </c>
      <c r="R773" s="1" t="s">
        <v>265</v>
      </c>
      <c r="S773" s="1" t="s">
        <v>275</v>
      </c>
      <c r="T773" s="1" t="s">
        <v>276</v>
      </c>
      <c r="U773" s="1">
        <v>2</v>
      </c>
      <c r="V773" s="1" t="s">
        <v>80</v>
      </c>
      <c r="W773" s="1" t="s">
        <v>4277</v>
      </c>
      <c r="X773" s="1" t="s">
        <v>240</v>
      </c>
      <c r="Y773" s="10">
        <v>45254</v>
      </c>
      <c r="Z773" s="1">
        <v>2023</v>
      </c>
      <c r="AA773" s="2">
        <v>330858</v>
      </c>
      <c r="AB773" s="2"/>
      <c r="AC773" s="2">
        <v>132343</v>
      </c>
      <c r="AG773" s="1" t="s">
        <v>56</v>
      </c>
      <c r="AI773" s="2">
        <v>132343</v>
      </c>
    </row>
    <row r="774" spans="1:38" ht="14.45" customHeight="1" x14ac:dyDescent="0.2">
      <c r="A774" s="1" t="s">
        <v>57</v>
      </c>
      <c r="B774" s="9" t="s">
        <v>38</v>
      </c>
      <c r="C774" s="1" t="s">
        <v>40</v>
      </c>
      <c r="D774" s="1" t="s">
        <v>41</v>
      </c>
      <c r="E774" s="1" t="s">
        <v>42</v>
      </c>
      <c r="F774" s="1" t="s">
        <v>3913</v>
      </c>
      <c r="G774" s="1" t="s">
        <v>3914</v>
      </c>
      <c r="H774" s="1" t="s">
        <v>45</v>
      </c>
      <c r="I774" s="1" t="s">
        <v>4278</v>
      </c>
      <c r="J774" s="1">
        <v>2024</v>
      </c>
      <c r="K774" s="1" t="s">
        <v>4279</v>
      </c>
      <c r="L774" s="1" t="s">
        <v>4280</v>
      </c>
      <c r="P774" s="1" t="s">
        <v>4281</v>
      </c>
      <c r="Q774" s="1" t="s">
        <v>101</v>
      </c>
      <c r="R774" s="1" t="s">
        <v>102</v>
      </c>
      <c r="S774" s="1" t="s">
        <v>637</v>
      </c>
      <c r="T774" s="1" t="s">
        <v>638</v>
      </c>
      <c r="U774" s="1">
        <v>1</v>
      </c>
      <c r="V774" s="1" t="s">
        <v>101</v>
      </c>
      <c r="W774" s="1" t="s">
        <v>4282</v>
      </c>
      <c r="X774" s="1" t="s">
        <v>258</v>
      </c>
      <c r="Y774" s="10">
        <v>45807</v>
      </c>
      <c r="Z774" s="1">
        <v>2025</v>
      </c>
      <c r="AA774" s="2">
        <v>55000000</v>
      </c>
      <c r="AB774" s="2"/>
      <c r="AC774" s="2">
        <v>53000000</v>
      </c>
      <c r="AI774" s="2">
        <v>53000000</v>
      </c>
    </row>
    <row r="775" spans="1:38" ht="14.45" customHeight="1" x14ac:dyDescent="0.2">
      <c r="A775" s="1" t="s">
        <v>57</v>
      </c>
      <c r="B775" s="9" t="s">
        <v>38</v>
      </c>
      <c r="C775" s="1" t="s">
        <v>40</v>
      </c>
      <c r="D775" s="1" t="s">
        <v>41</v>
      </c>
      <c r="E775" s="1" t="s">
        <v>200</v>
      </c>
      <c r="F775" s="1" t="s">
        <v>201</v>
      </c>
      <c r="G775" s="1" t="s">
        <v>202</v>
      </c>
      <c r="H775" s="1" t="s">
        <v>45</v>
      </c>
      <c r="I775" s="1" t="s">
        <v>4283</v>
      </c>
      <c r="J775" s="1">
        <v>2022</v>
      </c>
      <c r="K775" s="1" t="s">
        <v>4284</v>
      </c>
      <c r="L775" s="1" t="s">
        <v>4284</v>
      </c>
      <c r="P775" s="1" t="s">
        <v>4285</v>
      </c>
      <c r="Q775" s="1" t="s">
        <v>101</v>
      </c>
      <c r="R775" s="1" t="s">
        <v>326</v>
      </c>
      <c r="S775" s="1" t="s">
        <v>327</v>
      </c>
      <c r="T775" s="1" t="s">
        <v>328</v>
      </c>
      <c r="U775" s="1">
        <v>2</v>
      </c>
      <c r="V775" s="1" t="s">
        <v>80</v>
      </c>
      <c r="W775" s="1" t="s">
        <v>4286</v>
      </c>
      <c r="X775" s="1" t="s">
        <v>55</v>
      </c>
      <c r="Y775" s="10">
        <v>45112</v>
      </c>
      <c r="Z775" s="1">
        <v>2023</v>
      </c>
      <c r="AA775" s="2">
        <v>9687543</v>
      </c>
      <c r="AB775" s="2"/>
      <c r="AC775" s="2">
        <v>629690.30000000005</v>
      </c>
      <c r="AG775" s="1" t="s">
        <v>56</v>
      </c>
      <c r="AI775" s="2">
        <v>629690.30000000005</v>
      </c>
    </row>
    <row r="776" spans="1:38" ht="14.45" customHeight="1" x14ac:dyDescent="0.2">
      <c r="A776" s="1" t="s">
        <v>57</v>
      </c>
      <c r="B776" s="9" t="s">
        <v>38</v>
      </c>
      <c r="C776" s="1" t="s">
        <v>40</v>
      </c>
      <c r="D776" s="1" t="s">
        <v>41</v>
      </c>
      <c r="E776" s="1" t="s">
        <v>200</v>
      </c>
      <c r="F776" s="1" t="s">
        <v>201</v>
      </c>
      <c r="G776" s="1" t="s">
        <v>202</v>
      </c>
      <c r="H776" s="1" t="s">
        <v>45</v>
      </c>
      <c r="I776" s="1" t="s">
        <v>4287</v>
      </c>
      <c r="J776" s="1">
        <v>2022</v>
      </c>
      <c r="K776" s="1" t="s">
        <v>4288</v>
      </c>
      <c r="L776" s="1" t="s">
        <v>4289</v>
      </c>
      <c r="P776" s="1" t="s">
        <v>4290</v>
      </c>
      <c r="Q776" s="1" t="s">
        <v>101</v>
      </c>
      <c r="R776" s="1" t="s">
        <v>102</v>
      </c>
      <c r="S776" s="1" t="s">
        <v>372</v>
      </c>
      <c r="T776" s="1" t="s">
        <v>373</v>
      </c>
      <c r="U776" s="1">
        <v>1</v>
      </c>
      <c r="V776" s="1" t="s">
        <v>101</v>
      </c>
      <c r="W776" s="1" t="s">
        <v>4291</v>
      </c>
      <c r="Y776" s="10">
        <v>45112</v>
      </c>
      <c r="Z776" s="1">
        <v>2023</v>
      </c>
      <c r="AA776" s="2">
        <v>823328.81</v>
      </c>
      <c r="AB776" s="2"/>
      <c r="AC776" s="2">
        <v>592796.74</v>
      </c>
      <c r="AD776" s="1">
        <v>1</v>
      </c>
      <c r="AG776" s="1" t="s">
        <v>56</v>
      </c>
      <c r="AI776" s="2">
        <v>592796.74</v>
      </c>
    </row>
    <row r="777" spans="1:38" ht="14.45" customHeight="1" x14ac:dyDescent="0.2">
      <c r="A777" s="1" t="s">
        <v>57</v>
      </c>
      <c r="B777" s="9" t="s">
        <v>38</v>
      </c>
      <c r="C777" s="1" t="s">
        <v>40</v>
      </c>
      <c r="D777" s="1" t="s">
        <v>41</v>
      </c>
      <c r="E777" s="1" t="s">
        <v>200</v>
      </c>
      <c r="F777" s="1" t="s">
        <v>201</v>
      </c>
      <c r="G777" s="1" t="s">
        <v>202</v>
      </c>
      <c r="H777" s="1" t="s">
        <v>45</v>
      </c>
      <c r="I777" s="1" t="s">
        <v>4292</v>
      </c>
      <c r="J777" s="1">
        <v>2022</v>
      </c>
      <c r="K777" s="1" t="s">
        <v>4293</v>
      </c>
      <c r="L777" s="1" t="s">
        <v>4293</v>
      </c>
      <c r="P777" s="1" t="s">
        <v>4294</v>
      </c>
      <c r="Q777" s="1" t="s">
        <v>101</v>
      </c>
      <c r="R777" s="1" t="s">
        <v>339</v>
      </c>
      <c r="S777" s="1" t="s">
        <v>340</v>
      </c>
      <c r="T777" s="1" t="s">
        <v>341</v>
      </c>
      <c r="U777" s="1">
        <v>1</v>
      </c>
      <c r="V777" s="1" t="s">
        <v>80</v>
      </c>
      <c r="W777" s="1" t="s">
        <v>4295</v>
      </c>
      <c r="X777" s="1">
        <v>1</v>
      </c>
      <c r="Y777" s="10">
        <v>45112</v>
      </c>
      <c r="Z777" s="1">
        <v>2023</v>
      </c>
      <c r="AA777" s="2">
        <v>924707.81</v>
      </c>
      <c r="AB777" s="2"/>
      <c r="AC777" s="2">
        <v>231176.95</v>
      </c>
      <c r="AG777" s="1" t="s">
        <v>56</v>
      </c>
      <c r="AI777" s="2">
        <v>231176.95</v>
      </c>
    </row>
    <row r="778" spans="1:38" ht="14.45" customHeight="1" x14ac:dyDescent="0.2">
      <c r="A778" s="1" t="s">
        <v>57</v>
      </c>
      <c r="B778" s="9" t="s">
        <v>38</v>
      </c>
      <c r="C778" s="1" t="s">
        <v>40</v>
      </c>
      <c r="D778" s="1" t="s">
        <v>41</v>
      </c>
      <c r="E778" s="1" t="s">
        <v>42</v>
      </c>
      <c r="F778" s="1" t="s">
        <v>3832</v>
      </c>
      <c r="G778" s="1" t="s">
        <v>3833</v>
      </c>
      <c r="H778" s="1" t="s">
        <v>45</v>
      </c>
      <c r="I778" s="1" t="s">
        <v>4296</v>
      </c>
      <c r="J778" s="1">
        <v>2024</v>
      </c>
      <c r="K778" s="1" t="s">
        <v>4297</v>
      </c>
      <c r="L778" s="1" t="s">
        <v>4298</v>
      </c>
      <c r="M778" s="1" t="s">
        <v>4299</v>
      </c>
      <c r="P778" s="1" t="s">
        <v>4300</v>
      </c>
      <c r="Q778" s="1" t="s">
        <v>101</v>
      </c>
      <c r="R778" s="1" t="s">
        <v>102</v>
      </c>
      <c r="S778" s="1" t="s">
        <v>637</v>
      </c>
      <c r="T778" s="1" t="s">
        <v>638</v>
      </c>
      <c r="U778" s="1">
        <v>1</v>
      </c>
      <c r="V778" s="1" t="s">
        <v>101</v>
      </c>
      <c r="W778" s="1" t="s">
        <v>4298</v>
      </c>
      <c r="X778" s="1" t="s">
        <v>3839</v>
      </c>
      <c r="Y778" s="10">
        <v>45820</v>
      </c>
      <c r="Z778" s="1">
        <v>2025</v>
      </c>
      <c r="AA778" s="2">
        <v>534942519.5</v>
      </c>
      <c r="AB778" s="2"/>
      <c r="AC778" s="2">
        <v>245000000</v>
      </c>
      <c r="AD778" s="1">
        <v>396</v>
      </c>
      <c r="AG778" s="1" t="s">
        <v>56</v>
      </c>
      <c r="AI778" s="2">
        <v>245000000</v>
      </c>
    </row>
    <row r="779" spans="1:38" ht="14.45" customHeight="1" x14ac:dyDescent="0.2">
      <c r="A779" s="1" t="s">
        <v>57</v>
      </c>
      <c r="B779" s="9" t="s">
        <v>38</v>
      </c>
      <c r="C779" s="1" t="s">
        <v>40</v>
      </c>
      <c r="D779" s="1" t="s">
        <v>41</v>
      </c>
      <c r="E779" s="1" t="s">
        <v>42</v>
      </c>
      <c r="F779" s="1" t="s">
        <v>3853</v>
      </c>
      <c r="G779" s="1" t="s">
        <v>3854</v>
      </c>
      <c r="H779" s="1" t="s">
        <v>45</v>
      </c>
      <c r="I779" s="1" t="s">
        <v>4301</v>
      </c>
      <c r="J779" s="1">
        <v>2023</v>
      </c>
      <c r="K779" s="1" t="s">
        <v>4302</v>
      </c>
      <c r="L779" s="1" t="s">
        <v>4303</v>
      </c>
      <c r="P779" s="1" t="s">
        <v>4304</v>
      </c>
      <c r="Q779" s="1" t="s">
        <v>101</v>
      </c>
      <c r="R779" s="1" t="s">
        <v>339</v>
      </c>
      <c r="S779" s="1" t="s">
        <v>515</v>
      </c>
      <c r="T779" s="1" t="s">
        <v>516</v>
      </c>
      <c r="U779" s="1">
        <v>2</v>
      </c>
      <c r="V779" s="1" t="s">
        <v>80</v>
      </c>
      <c r="W779" s="1" t="s">
        <v>4303</v>
      </c>
      <c r="X779" s="1" t="s">
        <v>55</v>
      </c>
      <c r="Y779" s="10">
        <v>45282</v>
      </c>
      <c r="Z779" s="1">
        <v>2023</v>
      </c>
      <c r="AA779" s="2">
        <v>27678571.43</v>
      </c>
      <c r="AB779" s="2"/>
      <c r="AC779" s="2">
        <v>15000000</v>
      </c>
      <c r="AG779" s="1" t="s">
        <v>56</v>
      </c>
      <c r="AI779" s="2">
        <v>15000000</v>
      </c>
    </row>
    <row r="780" spans="1:38" ht="14.45" customHeight="1" x14ac:dyDescent="0.2">
      <c r="A780" s="1" t="s">
        <v>57</v>
      </c>
      <c r="B780" s="9" t="s">
        <v>38</v>
      </c>
      <c r="C780" s="1" t="s">
        <v>40</v>
      </c>
      <c r="D780" s="1" t="s">
        <v>41</v>
      </c>
      <c r="E780" s="1" t="s">
        <v>42</v>
      </c>
      <c r="F780" s="1" t="s">
        <v>3810</v>
      </c>
      <c r="G780" s="1" t="s">
        <v>3811</v>
      </c>
      <c r="H780" s="1" t="s">
        <v>45</v>
      </c>
      <c r="I780" s="1" t="s">
        <v>4305</v>
      </c>
      <c r="J780" s="1">
        <v>2022</v>
      </c>
      <c r="K780" s="1" t="s">
        <v>4306</v>
      </c>
      <c r="L780" s="1" t="s">
        <v>4307</v>
      </c>
      <c r="P780" s="1" t="s">
        <v>4308</v>
      </c>
      <c r="Q780" s="1" t="s">
        <v>101</v>
      </c>
      <c r="R780" s="1" t="s">
        <v>102</v>
      </c>
      <c r="S780" s="1" t="s">
        <v>4309</v>
      </c>
      <c r="T780" s="1" t="s">
        <v>4310</v>
      </c>
      <c r="U780" s="1">
        <v>1</v>
      </c>
      <c r="V780" s="1" t="s">
        <v>101</v>
      </c>
      <c r="W780" s="1" t="s">
        <v>4311</v>
      </c>
      <c r="X780" s="1" t="s">
        <v>3819</v>
      </c>
      <c r="Y780" s="10">
        <v>45287</v>
      </c>
      <c r="Z780" s="1">
        <v>2023</v>
      </c>
      <c r="AA780" s="2">
        <v>25190703.77</v>
      </c>
      <c r="AB780" s="2"/>
      <c r="AC780" s="2">
        <v>7557211.1299999999</v>
      </c>
      <c r="AD780" s="1">
        <v>2</v>
      </c>
      <c r="AG780" s="1" t="s">
        <v>56</v>
      </c>
      <c r="AI780" s="2">
        <v>7557211.1299999999</v>
      </c>
    </row>
    <row r="781" spans="1:38" ht="14.45" customHeight="1" x14ac:dyDescent="0.25">
      <c r="A781" s="1" t="s">
        <v>57</v>
      </c>
      <c r="B781" s="9" t="s">
        <v>38</v>
      </c>
      <c r="C781" s="1" t="s">
        <v>40</v>
      </c>
      <c r="D781" s="1" t="s">
        <v>41</v>
      </c>
      <c r="E781" s="1" t="s">
        <v>42</v>
      </c>
      <c r="F781" s="1" t="s">
        <v>4182</v>
      </c>
      <c r="G781" s="1" t="s">
        <v>4183</v>
      </c>
      <c r="H781" s="1" t="s">
        <v>45</v>
      </c>
      <c r="I781" s="1" t="s">
        <v>4312</v>
      </c>
      <c r="J781" s="1">
        <v>2024</v>
      </c>
      <c r="K781" s="1" t="s">
        <v>4313</v>
      </c>
      <c r="L781" s="1" t="s">
        <v>4313</v>
      </c>
      <c r="P781" s="1" t="s">
        <v>4314</v>
      </c>
      <c r="Q781" s="1" t="s">
        <v>101</v>
      </c>
      <c r="R781" s="1" t="s">
        <v>102</v>
      </c>
      <c r="S781" s="1" t="s">
        <v>1950</v>
      </c>
      <c r="T781" s="1" t="s">
        <v>1951</v>
      </c>
      <c r="V781" s="1" t="s">
        <v>101</v>
      </c>
      <c r="W781" s="1" t="s">
        <v>4313</v>
      </c>
      <c r="Y781" s="10">
        <v>45869</v>
      </c>
      <c r="Z781" s="1">
        <v>2025</v>
      </c>
      <c r="AA781" s="2">
        <v>1610951</v>
      </c>
      <c r="AB781" s="3"/>
      <c r="AC781" s="2">
        <v>563125</v>
      </c>
      <c r="AG781" s="1" t="s">
        <v>56</v>
      </c>
      <c r="AI781" s="2">
        <v>563125</v>
      </c>
      <c r="AJ781" s="2"/>
    </row>
    <row r="782" spans="1:38" ht="14.45" customHeight="1" x14ac:dyDescent="0.2">
      <c r="A782" s="1" t="s">
        <v>57</v>
      </c>
      <c r="B782" s="9" t="s">
        <v>39</v>
      </c>
      <c r="C782" s="1" t="s">
        <v>58</v>
      </c>
      <c r="D782" s="1" t="s">
        <v>4315</v>
      </c>
      <c r="E782" s="1" t="s">
        <v>42</v>
      </c>
      <c r="G782" s="1" t="s">
        <v>4316</v>
      </c>
      <c r="H782" s="1" t="s">
        <v>61</v>
      </c>
      <c r="I782" s="1" t="s">
        <v>4317</v>
      </c>
      <c r="J782" s="1">
        <v>2024</v>
      </c>
      <c r="P782" s="1" t="s">
        <v>4318</v>
      </c>
      <c r="Q782" s="1" t="s">
        <v>101</v>
      </c>
      <c r="R782" s="1" t="s">
        <v>102</v>
      </c>
      <c r="S782" s="1" t="s">
        <v>103</v>
      </c>
      <c r="T782" s="1" t="s">
        <v>104</v>
      </c>
      <c r="U782" s="1">
        <v>1</v>
      </c>
      <c r="V782" s="1" t="s">
        <v>101</v>
      </c>
      <c r="Y782" s="10">
        <v>45588</v>
      </c>
      <c r="Z782" s="1">
        <v>2024</v>
      </c>
      <c r="AA782" s="2"/>
      <c r="AB782" s="2"/>
      <c r="AC782" s="2">
        <v>467324.14327060163</v>
      </c>
      <c r="AG782" s="1" t="s">
        <v>56</v>
      </c>
      <c r="AI782" s="2">
        <v>467324.14327060163</v>
      </c>
      <c r="AL782" s="1" t="s">
        <v>4319</v>
      </c>
    </row>
    <row r="783" spans="1:38" ht="14.45" customHeight="1" x14ac:dyDescent="0.2">
      <c r="A783" s="1" t="s">
        <v>57</v>
      </c>
      <c r="B783" s="9" t="s">
        <v>39</v>
      </c>
      <c r="C783" s="1" t="s">
        <v>58</v>
      </c>
      <c r="D783" s="1" t="s">
        <v>4315</v>
      </c>
      <c r="E783" s="1" t="s">
        <v>42</v>
      </c>
      <c r="G783" s="1" t="s">
        <v>4316</v>
      </c>
      <c r="H783" s="1" t="s">
        <v>61</v>
      </c>
      <c r="I783" s="1" t="s">
        <v>4320</v>
      </c>
      <c r="J783" s="1">
        <v>2019</v>
      </c>
      <c r="P783" s="1" t="s">
        <v>4318</v>
      </c>
      <c r="Q783" s="1" t="s">
        <v>101</v>
      </c>
      <c r="R783" s="1" t="s">
        <v>102</v>
      </c>
      <c r="S783" s="1" t="s">
        <v>103</v>
      </c>
      <c r="T783" s="1" t="s">
        <v>104</v>
      </c>
      <c r="U783" s="1">
        <v>1</v>
      </c>
      <c r="V783" s="1" t="s">
        <v>101</v>
      </c>
      <c r="Y783" s="10">
        <v>43647</v>
      </c>
      <c r="Z783" s="1">
        <v>2019</v>
      </c>
      <c r="AA783" s="2"/>
      <c r="AB783" s="2"/>
      <c r="AC783" s="2">
        <v>766629.14999999991</v>
      </c>
      <c r="AG783" s="1" t="s">
        <v>56</v>
      </c>
      <c r="AI783" s="2">
        <v>766629.14999999991</v>
      </c>
      <c r="AL783" s="1" t="s">
        <v>4319</v>
      </c>
    </row>
    <row r="784" spans="1:38" ht="14.45" customHeight="1" x14ac:dyDescent="0.2">
      <c r="A784" s="1" t="s">
        <v>57</v>
      </c>
      <c r="B784" s="9" t="s">
        <v>39</v>
      </c>
      <c r="C784" s="1" t="s">
        <v>58</v>
      </c>
      <c r="D784" s="1" t="s">
        <v>4315</v>
      </c>
      <c r="E784" s="1" t="s">
        <v>42</v>
      </c>
      <c r="G784" s="1" t="s">
        <v>4316</v>
      </c>
      <c r="H784" s="1" t="s">
        <v>61</v>
      </c>
      <c r="I784" s="1" t="s">
        <v>4321</v>
      </c>
      <c r="J784" s="1">
        <v>2020</v>
      </c>
      <c r="P784" s="1" t="s">
        <v>4318</v>
      </c>
      <c r="Q784" s="1" t="s">
        <v>101</v>
      </c>
      <c r="R784" s="1" t="s">
        <v>102</v>
      </c>
      <c r="S784" s="1" t="s">
        <v>103</v>
      </c>
      <c r="T784" s="1" t="s">
        <v>104</v>
      </c>
      <c r="U784" s="1">
        <v>1</v>
      </c>
      <c r="V784" s="1" t="s">
        <v>101</v>
      </c>
      <c r="Y784" s="10">
        <v>44184</v>
      </c>
      <c r="Z784" s="1">
        <v>2020</v>
      </c>
      <c r="AA784" s="2"/>
      <c r="AB784" s="2"/>
      <c r="AC784" s="2">
        <v>531386.74</v>
      </c>
      <c r="AG784" s="1" t="s">
        <v>56</v>
      </c>
      <c r="AI784" s="2">
        <v>531386.74</v>
      </c>
      <c r="AL784" s="1" t="s">
        <v>4319</v>
      </c>
    </row>
    <row r="785" spans="1:38" ht="14.45" customHeight="1" x14ac:dyDescent="0.2">
      <c r="A785" s="1" t="s">
        <v>57</v>
      </c>
      <c r="B785" s="9" t="s">
        <v>39</v>
      </c>
      <c r="C785" s="1" t="s">
        <v>58</v>
      </c>
      <c r="D785" s="1" t="s">
        <v>4315</v>
      </c>
      <c r="E785" s="1" t="s">
        <v>42</v>
      </c>
      <c r="G785" s="1" t="s">
        <v>4316</v>
      </c>
      <c r="H785" s="1" t="s">
        <v>61</v>
      </c>
      <c r="I785" s="1" t="s">
        <v>4322</v>
      </c>
      <c r="J785" s="1">
        <v>2018</v>
      </c>
      <c r="P785" s="1" t="s">
        <v>4318</v>
      </c>
      <c r="Q785" s="1" t="s">
        <v>101</v>
      </c>
      <c r="R785" s="1" t="s">
        <v>102</v>
      </c>
      <c r="S785" s="1" t="s">
        <v>103</v>
      </c>
      <c r="T785" s="1" t="s">
        <v>104</v>
      </c>
      <c r="U785" s="1">
        <v>1</v>
      </c>
      <c r="V785" s="1" t="s">
        <v>101</v>
      </c>
      <c r="Y785" s="10">
        <v>43464</v>
      </c>
      <c r="Z785" s="1">
        <v>2018</v>
      </c>
      <c r="AA785" s="2"/>
      <c r="AB785" s="2"/>
      <c r="AC785" s="2">
        <v>573838.32000000007</v>
      </c>
      <c r="AG785" s="1" t="s">
        <v>56</v>
      </c>
      <c r="AI785" s="2">
        <v>573838.32000000007</v>
      </c>
      <c r="AL785" s="1" t="s">
        <v>4319</v>
      </c>
    </row>
    <row r="786" spans="1:38" ht="14.45" customHeight="1" x14ac:dyDescent="0.2">
      <c r="A786" s="1" t="s">
        <v>57</v>
      </c>
      <c r="B786" s="9" t="s">
        <v>39</v>
      </c>
      <c r="C786" s="1" t="s">
        <v>58</v>
      </c>
      <c r="D786" s="1" t="s">
        <v>4315</v>
      </c>
      <c r="E786" s="1" t="s">
        <v>42</v>
      </c>
      <c r="G786" s="1" t="s">
        <v>4316</v>
      </c>
      <c r="H786" s="1" t="s">
        <v>61</v>
      </c>
      <c r="I786" s="1" t="s">
        <v>4323</v>
      </c>
      <c r="J786" s="1">
        <v>2018</v>
      </c>
      <c r="P786" s="1" t="s">
        <v>4318</v>
      </c>
      <c r="Q786" s="1" t="s">
        <v>101</v>
      </c>
      <c r="R786" s="1" t="s">
        <v>102</v>
      </c>
      <c r="S786" s="1" t="s">
        <v>103</v>
      </c>
      <c r="T786" s="1" t="s">
        <v>104</v>
      </c>
      <c r="U786" s="1">
        <v>1</v>
      </c>
      <c r="V786" s="1" t="s">
        <v>101</v>
      </c>
      <c r="Y786" s="10">
        <v>43464</v>
      </c>
      <c r="Z786" s="1">
        <v>2018</v>
      </c>
      <c r="AA786" s="2"/>
      <c r="AB786" s="2"/>
      <c r="AC786" s="2">
        <v>171920.86</v>
      </c>
      <c r="AG786" s="1" t="s">
        <v>56</v>
      </c>
      <c r="AI786" s="2">
        <v>171920.86</v>
      </c>
      <c r="AL786" s="1" t="s">
        <v>4319</v>
      </c>
    </row>
    <row r="787" spans="1:38" ht="14.45" customHeight="1" x14ac:dyDescent="0.2">
      <c r="A787" s="1" t="s">
        <v>57</v>
      </c>
      <c r="B787" s="9" t="s">
        <v>39</v>
      </c>
      <c r="C787" s="1" t="s">
        <v>58</v>
      </c>
      <c r="D787" s="1" t="s">
        <v>4315</v>
      </c>
      <c r="E787" s="1" t="s">
        <v>42</v>
      </c>
      <c r="G787" s="1" t="s">
        <v>4316</v>
      </c>
      <c r="H787" s="1" t="s">
        <v>61</v>
      </c>
      <c r="I787" s="1" t="s">
        <v>4324</v>
      </c>
      <c r="J787" s="1">
        <v>2018</v>
      </c>
      <c r="P787" s="1" t="s">
        <v>4318</v>
      </c>
      <c r="Q787" s="1" t="s">
        <v>101</v>
      </c>
      <c r="R787" s="1" t="s">
        <v>102</v>
      </c>
      <c r="S787" s="1" t="s">
        <v>103</v>
      </c>
      <c r="T787" s="1" t="s">
        <v>104</v>
      </c>
      <c r="U787" s="1">
        <v>1</v>
      </c>
      <c r="V787" s="1" t="s">
        <v>101</v>
      </c>
      <c r="Y787" s="10">
        <v>43464</v>
      </c>
      <c r="Z787" s="1">
        <v>2018</v>
      </c>
      <c r="AA787" s="2"/>
      <c r="AB787" s="2"/>
      <c r="AC787" s="2">
        <v>521507.92000000004</v>
      </c>
      <c r="AG787" s="1" t="s">
        <v>56</v>
      </c>
      <c r="AI787" s="2">
        <v>521507.92000000004</v>
      </c>
      <c r="AL787" s="1" t="s">
        <v>4319</v>
      </c>
    </row>
    <row r="788" spans="1:38" ht="14.45" customHeight="1" x14ac:dyDescent="0.2">
      <c r="A788" s="1" t="s">
        <v>57</v>
      </c>
      <c r="B788" s="9" t="s">
        <v>39</v>
      </c>
      <c r="C788" s="1" t="s">
        <v>58</v>
      </c>
      <c r="D788" s="1" t="s">
        <v>4315</v>
      </c>
      <c r="E788" s="1" t="s">
        <v>42</v>
      </c>
      <c r="G788" s="1" t="s">
        <v>4316</v>
      </c>
      <c r="H788" s="1" t="s">
        <v>61</v>
      </c>
      <c r="I788" s="1" t="s">
        <v>4325</v>
      </c>
      <c r="J788" s="1">
        <v>2019</v>
      </c>
      <c r="P788" s="1" t="s">
        <v>4318</v>
      </c>
      <c r="Q788" s="1" t="s">
        <v>101</v>
      </c>
      <c r="R788" s="1" t="s">
        <v>102</v>
      </c>
      <c r="S788" s="1" t="s">
        <v>103</v>
      </c>
      <c r="T788" s="1" t="s">
        <v>104</v>
      </c>
      <c r="U788" s="1">
        <v>1</v>
      </c>
      <c r="V788" s="1" t="s">
        <v>101</v>
      </c>
      <c r="Y788" s="10">
        <v>43814</v>
      </c>
      <c r="Z788" s="1">
        <v>2019</v>
      </c>
      <c r="AA788" s="2"/>
      <c r="AB788" s="2"/>
      <c r="AC788" s="2">
        <v>431997.16</v>
      </c>
      <c r="AG788" s="1" t="s">
        <v>56</v>
      </c>
      <c r="AI788" s="2">
        <v>431997.16</v>
      </c>
      <c r="AL788" s="1" t="s">
        <v>4319</v>
      </c>
    </row>
    <row r="789" spans="1:38" ht="14.45" customHeight="1" x14ac:dyDescent="0.2">
      <c r="A789" s="1" t="s">
        <v>57</v>
      </c>
      <c r="B789" s="9" t="s">
        <v>39</v>
      </c>
      <c r="C789" s="1" t="s">
        <v>58</v>
      </c>
      <c r="D789" s="1" t="s">
        <v>4315</v>
      </c>
      <c r="E789" s="1" t="s">
        <v>42</v>
      </c>
      <c r="G789" s="1" t="s">
        <v>4316</v>
      </c>
      <c r="H789" s="1" t="s">
        <v>61</v>
      </c>
      <c r="I789" s="1" t="s">
        <v>4326</v>
      </c>
      <c r="J789" s="1">
        <v>2018</v>
      </c>
      <c r="P789" s="1" t="s">
        <v>4318</v>
      </c>
      <c r="Q789" s="1" t="s">
        <v>101</v>
      </c>
      <c r="R789" s="1" t="s">
        <v>102</v>
      </c>
      <c r="S789" s="1" t="s">
        <v>103</v>
      </c>
      <c r="T789" s="1" t="s">
        <v>104</v>
      </c>
      <c r="U789" s="1">
        <v>1</v>
      </c>
      <c r="V789" s="1" t="s">
        <v>101</v>
      </c>
      <c r="Y789" s="10">
        <v>43465</v>
      </c>
      <c r="Z789" s="1">
        <v>2018</v>
      </c>
      <c r="AA789" s="2"/>
      <c r="AB789" s="2"/>
      <c r="AC789" s="2">
        <v>605503.97</v>
      </c>
      <c r="AG789" s="1" t="s">
        <v>56</v>
      </c>
      <c r="AI789" s="2">
        <v>605503.97</v>
      </c>
      <c r="AL789" s="1" t="s">
        <v>4319</v>
      </c>
    </row>
    <row r="790" spans="1:38" ht="14.45" customHeight="1" x14ac:dyDescent="0.2">
      <c r="A790" s="1" t="s">
        <v>57</v>
      </c>
      <c r="B790" s="9" t="s">
        <v>39</v>
      </c>
      <c r="C790" s="1" t="s">
        <v>58</v>
      </c>
      <c r="D790" s="1" t="s">
        <v>4315</v>
      </c>
      <c r="E790" s="1" t="s">
        <v>42</v>
      </c>
      <c r="G790" s="1" t="s">
        <v>4316</v>
      </c>
      <c r="H790" s="1" t="s">
        <v>61</v>
      </c>
      <c r="I790" s="1" t="s">
        <v>4327</v>
      </c>
      <c r="J790" s="1">
        <v>2020</v>
      </c>
      <c r="P790" s="1" t="s">
        <v>4318</v>
      </c>
      <c r="Q790" s="1" t="s">
        <v>101</v>
      </c>
      <c r="R790" s="1" t="s">
        <v>102</v>
      </c>
      <c r="S790" s="1" t="s">
        <v>103</v>
      </c>
      <c r="T790" s="1" t="s">
        <v>104</v>
      </c>
      <c r="U790" s="1">
        <v>1</v>
      </c>
      <c r="V790" s="1" t="s">
        <v>101</v>
      </c>
      <c r="Y790" s="10">
        <v>43820</v>
      </c>
      <c r="Z790" s="1">
        <v>2019</v>
      </c>
      <c r="AA790" s="2"/>
      <c r="AB790" s="2"/>
      <c r="AC790" s="2">
        <v>217845.13999999998</v>
      </c>
      <c r="AG790" s="1" t="s">
        <v>56</v>
      </c>
      <c r="AI790" s="2">
        <v>217845.13999999998</v>
      </c>
      <c r="AL790" s="1" t="s">
        <v>4319</v>
      </c>
    </row>
    <row r="791" spans="1:38" ht="14.45" customHeight="1" x14ac:dyDescent="0.2">
      <c r="A791" s="1" t="s">
        <v>57</v>
      </c>
      <c r="B791" s="9" t="s">
        <v>39</v>
      </c>
      <c r="C791" s="1" t="s">
        <v>58</v>
      </c>
      <c r="D791" s="1" t="s">
        <v>4315</v>
      </c>
      <c r="E791" s="1" t="s">
        <v>42</v>
      </c>
      <c r="G791" s="1" t="s">
        <v>4316</v>
      </c>
      <c r="H791" s="1" t="s">
        <v>61</v>
      </c>
      <c r="I791" s="1" t="s">
        <v>4328</v>
      </c>
      <c r="J791" s="1">
        <v>2019</v>
      </c>
      <c r="P791" s="1" t="s">
        <v>4329</v>
      </c>
      <c r="Q791" s="1" t="s">
        <v>101</v>
      </c>
      <c r="R791" s="1" t="s">
        <v>102</v>
      </c>
      <c r="S791" s="1" t="s">
        <v>1486</v>
      </c>
      <c r="T791" s="1" t="s">
        <v>1487</v>
      </c>
      <c r="U791" s="1">
        <v>1</v>
      </c>
      <c r="V791" s="1" t="s">
        <v>101</v>
      </c>
      <c r="Y791" s="10">
        <v>43524</v>
      </c>
      <c r="Z791" s="1">
        <v>2019</v>
      </c>
      <c r="AA791" s="2"/>
      <c r="AB791" s="2"/>
      <c r="AC791" s="2">
        <v>407356.35000000003</v>
      </c>
      <c r="AG791" s="1" t="s">
        <v>56</v>
      </c>
      <c r="AI791" s="2">
        <v>407356.35000000003</v>
      </c>
      <c r="AL791" s="1" t="s">
        <v>4319</v>
      </c>
    </row>
    <row r="792" spans="1:38" ht="14.45" customHeight="1" x14ac:dyDescent="0.2">
      <c r="A792" s="1" t="s">
        <v>57</v>
      </c>
      <c r="B792" s="9" t="s">
        <v>39</v>
      </c>
      <c r="C792" s="1" t="s">
        <v>58</v>
      </c>
      <c r="D792" s="1" t="s">
        <v>4315</v>
      </c>
      <c r="E792" s="1" t="s">
        <v>42</v>
      </c>
      <c r="G792" s="1" t="s">
        <v>4316</v>
      </c>
      <c r="H792" s="1" t="s">
        <v>61</v>
      </c>
      <c r="I792" s="1" t="s">
        <v>4330</v>
      </c>
      <c r="J792" s="1">
        <v>2018</v>
      </c>
      <c r="P792" s="1" t="s">
        <v>4318</v>
      </c>
      <c r="Q792" s="1" t="s">
        <v>101</v>
      </c>
      <c r="R792" s="1" t="s">
        <v>102</v>
      </c>
      <c r="S792" s="1" t="s">
        <v>103</v>
      </c>
      <c r="T792" s="1" t="s">
        <v>104</v>
      </c>
      <c r="U792" s="1">
        <v>1</v>
      </c>
      <c r="V792" s="1" t="s">
        <v>101</v>
      </c>
      <c r="Y792" s="10">
        <v>43464</v>
      </c>
      <c r="Z792" s="1">
        <v>2018</v>
      </c>
      <c r="AA792" s="2"/>
      <c r="AB792" s="2"/>
      <c r="AC792" s="2">
        <v>143657.57</v>
      </c>
      <c r="AG792" s="1" t="s">
        <v>56</v>
      </c>
      <c r="AI792" s="2">
        <v>143657.57</v>
      </c>
      <c r="AL792" s="1" t="s">
        <v>4319</v>
      </c>
    </row>
    <row r="793" spans="1:38" ht="14.45" customHeight="1" x14ac:dyDescent="0.2">
      <c r="A793" s="1" t="s">
        <v>57</v>
      </c>
      <c r="B793" s="9" t="s">
        <v>39</v>
      </c>
      <c r="C793" s="1" t="s">
        <v>58</v>
      </c>
      <c r="D793" s="1" t="s">
        <v>4315</v>
      </c>
      <c r="E793" s="1" t="s">
        <v>42</v>
      </c>
      <c r="G793" s="1" t="s">
        <v>4316</v>
      </c>
      <c r="H793" s="1" t="s">
        <v>61</v>
      </c>
      <c r="I793" s="1" t="s">
        <v>4331</v>
      </c>
      <c r="J793" s="1">
        <v>2018</v>
      </c>
      <c r="P793" s="1" t="s">
        <v>4318</v>
      </c>
      <c r="Q793" s="1" t="s">
        <v>101</v>
      </c>
      <c r="R793" s="1" t="s">
        <v>102</v>
      </c>
      <c r="S793" s="1" t="s">
        <v>103</v>
      </c>
      <c r="T793" s="1" t="s">
        <v>104</v>
      </c>
      <c r="U793" s="1">
        <v>1</v>
      </c>
      <c r="V793" s="1" t="s">
        <v>101</v>
      </c>
      <c r="Y793" s="10">
        <v>43464</v>
      </c>
      <c r="Z793" s="1">
        <v>2018</v>
      </c>
      <c r="AA793" s="2"/>
      <c r="AB793" s="2"/>
      <c r="AC793" s="2">
        <v>199446.48000000004</v>
      </c>
      <c r="AG793" s="1" t="s">
        <v>56</v>
      </c>
      <c r="AI793" s="2">
        <v>199446.48000000004</v>
      </c>
      <c r="AL793" s="1" t="s">
        <v>4319</v>
      </c>
    </row>
    <row r="794" spans="1:38" ht="14.45" customHeight="1" x14ac:dyDescent="0.2">
      <c r="A794" s="1" t="s">
        <v>57</v>
      </c>
      <c r="B794" s="9" t="s">
        <v>39</v>
      </c>
      <c r="C794" s="1" t="s">
        <v>58</v>
      </c>
      <c r="D794" s="1" t="s">
        <v>4315</v>
      </c>
      <c r="E794" s="1" t="s">
        <v>42</v>
      </c>
      <c r="G794" s="1" t="s">
        <v>4316</v>
      </c>
      <c r="H794" s="1" t="s">
        <v>61</v>
      </c>
      <c r="I794" s="1" t="s">
        <v>4332</v>
      </c>
      <c r="J794" s="1">
        <v>2018</v>
      </c>
      <c r="P794" s="1" t="s">
        <v>4318</v>
      </c>
      <c r="Q794" s="1" t="s">
        <v>101</v>
      </c>
      <c r="R794" s="1" t="s">
        <v>102</v>
      </c>
      <c r="S794" s="1" t="s">
        <v>103</v>
      </c>
      <c r="T794" s="1" t="s">
        <v>104</v>
      </c>
      <c r="U794" s="1">
        <v>1</v>
      </c>
      <c r="V794" s="1" t="s">
        <v>101</v>
      </c>
      <c r="Y794" s="10">
        <v>43464</v>
      </c>
      <c r="Z794" s="1">
        <v>2018</v>
      </c>
      <c r="AA794" s="2"/>
      <c r="AB794" s="2"/>
      <c r="AC794" s="2">
        <v>191005.44</v>
      </c>
      <c r="AG794" s="1" t="s">
        <v>56</v>
      </c>
      <c r="AI794" s="2">
        <v>191005.44</v>
      </c>
      <c r="AL794" s="1" t="s">
        <v>4319</v>
      </c>
    </row>
    <row r="795" spans="1:38" ht="14.45" customHeight="1" x14ac:dyDescent="0.2">
      <c r="A795" s="1" t="s">
        <v>57</v>
      </c>
      <c r="B795" s="9" t="s">
        <v>39</v>
      </c>
      <c r="C795" s="1" t="s">
        <v>58</v>
      </c>
      <c r="D795" s="1" t="s">
        <v>4315</v>
      </c>
      <c r="E795" s="1" t="s">
        <v>42</v>
      </c>
      <c r="G795" s="1" t="s">
        <v>4316</v>
      </c>
      <c r="H795" s="1" t="s">
        <v>61</v>
      </c>
      <c r="I795" s="1" t="s">
        <v>4333</v>
      </c>
      <c r="J795" s="1">
        <v>2018</v>
      </c>
      <c r="P795" s="1" t="s">
        <v>4318</v>
      </c>
      <c r="Q795" s="1" t="s">
        <v>101</v>
      </c>
      <c r="R795" s="1" t="s">
        <v>102</v>
      </c>
      <c r="S795" s="1" t="s">
        <v>103</v>
      </c>
      <c r="T795" s="1" t="s">
        <v>104</v>
      </c>
      <c r="U795" s="1">
        <v>1</v>
      </c>
      <c r="V795" s="1" t="s">
        <v>101</v>
      </c>
      <c r="Y795" s="10">
        <v>43464</v>
      </c>
      <c r="Z795" s="1">
        <v>2018</v>
      </c>
      <c r="AA795" s="2"/>
      <c r="AB795" s="2"/>
      <c r="AC795" s="2">
        <v>287159.90000000002</v>
      </c>
      <c r="AG795" s="1" t="s">
        <v>56</v>
      </c>
      <c r="AI795" s="2">
        <v>287159.90000000002</v>
      </c>
      <c r="AL795" s="1" t="s">
        <v>4319</v>
      </c>
    </row>
    <row r="796" spans="1:38" ht="14.45" customHeight="1" x14ac:dyDescent="0.2">
      <c r="A796" s="1" t="s">
        <v>57</v>
      </c>
      <c r="B796" s="9" t="s">
        <v>39</v>
      </c>
      <c r="C796" s="1" t="s">
        <v>58</v>
      </c>
      <c r="D796" s="1" t="s">
        <v>4315</v>
      </c>
      <c r="E796" s="1" t="s">
        <v>42</v>
      </c>
      <c r="G796" s="1" t="s">
        <v>4316</v>
      </c>
      <c r="H796" s="1" t="s">
        <v>61</v>
      </c>
      <c r="I796" s="1" t="s">
        <v>4334</v>
      </c>
      <c r="J796" s="1">
        <v>2018</v>
      </c>
      <c r="P796" s="1" t="s">
        <v>4318</v>
      </c>
      <c r="Q796" s="1" t="s">
        <v>101</v>
      </c>
      <c r="R796" s="1" t="s">
        <v>102</v>
      </c>
      <c r="S796" s="1" t="s">
        <v>103</v>
      </c>
      <c r="T796" s="1" t="s">
        <v>104</v>
      </c>
      <c r="U796" s="1">
        <v>1</v>
      </c>
      <c r="V796" s="1" t="s">
        <v>101</v>
      </c>
      <c r="Y796" s="10">
        <v>43464</v>
      </c>
      <c r="Z796" s="1">
        <v>2018</v>
      </c>
      <c r="AA796" s="2"/>
      <c r="AB796" s="2"/>
      <c r="AC796" s="2">
        <v>257188.06</v>
      </c>
      <c r="AG796" s="1" t="s">
        <v>56</v>
      </c>
      <c r="AI796" s="2">
        <v>257188.06</v>
      </c>
      <c r="AL796" s="1" t="s">
        <v>4319</v>
      </c>
    </row>
    <row r="797" spans="1:38" ht="14.45" customHeight="1" x14ac:dyDescent="0.2">
      <c r="A797" s="1" t="s">
        <v>57</v>
      </c>
      <c r="B797" s="9" t="s">
        <v>39</v>
      </c>
      <c r="C797" s="1" t="s">
        <v>58</v>
      </c>
      <c r="D797" s="1" t="s">
        <v>4315</v>
      </c>
      <c r="E797" s="1" t="s">
        <v>42</v>
      </c>
      <c r="G797" s="1" t="s">
        <v>4316</v>
      </c>
      <c r="H797" s="1" t="s">
        <v>61</v>
      </c>
      <c r="I797" s="1" t="s">
        <v>4335</v>
      </c>
      <c r="J797" s="1">
        <v>2022</v>
      </c>
      <c r="P797" s="1" t="s">
        <v>4329</v>
      </c>
      <c r="Q797" s="1" t="s">
        <v>101</v>
      </c>
      <c r="R797" s="1" t="s">
        <v>102</v>
      </c>
      <c r="S797" s="1" t="s">
        <v>103</v>
      </c>
      <c r="T797" s="1" t="s">
        <v>104</v>
      </c>
      <c r="U797" s="1">
        <v>1</v>
      </c>
      <c r="V797" s="1" t="s">
        <v>101</v>
      </c>
      <c r="Y797" s="10">
        <v>44562</v>
      </c>
      <c r="Z797" s="1">
        <v>2022</v>
      </c>
      <c r="AA797" s="2"/>
      <c r="AB797" s="2"/>
      <c r="AC797" s="2">
        <v>713597.1</v>
      </c>
      <c r="AG797" s="1" t="s">
        <v>56</v>
      </c>
      <c r="AI797" s="2">
        <v>713597.1</v>
      </c>
      <c r="AL797" s="1" t="s">
        <v>4319</v>
      </c>
    </row>
    <row r="798" spans="1:38" ht="14.45" customHeight="1" x14ac:dyDescent="0.2">
      <c r="A798" s="1" t="s">
        <v>57</v>
      </c>
      <c r="B798" s="9" t="s">
        <v>39</v>
      </c>
      <c r="C798" s="1" t="s">
        <v>58</v>
      </c>
      <c r="D798" s="1" t="s">
        <v>4315</v>
      </c>
      <c r="E798" s="1" t="s">
        <v>42</v>
      </c>
      <c r="G798" s="1" t="s">
        <v>4316</v>
      </c>
      <c r="H798" s="1" t="s">
        <v>61</v>
      </c>
      <c r="I798" s="1" t="s">
        <v>4336</v>
      </c>
      <c r="J798" s="1">
        <v>2023</v>
      </c>
      <c r="P798" s="1" t="s">
        <v>4318</v>
      </c>
      <c r="Q798" s="1" t="s">
        <v>101</v>
      </c>
      <c r="R798" s="1" t="s">
        <v>102</v>
      </c>
      <c r="S798" s="1" t="s">
        <v>103</v>
      </c>
      <c r="T798" s="1" t="s">
        <v>104</v>
      </c>
      <c r="U798" s="1">
        <v>1</v>
      </c>
      <c r="V798" s="1" t="s">
        <v>101</v>
      </c>
      <c r="Y798" s="10">
        <v>45069</v>
      </c>
      <c r="Z798" s="1">
        <v>2023</v>
      </c>
      <c r="AA798" s="2"/>
      <c r="AB798" s="2"/>
      <c r="AC798" s="2">
        <v>561147.15</v>
      </c>
      <c r="AG798" s="1" t="s">
        <v>56</v>
      </c>
      <c r="AI798" s="2">
        <v>561147.15</v>
      </c>
      <c r="AL798" s="1" t="s">
        <v>4319</v>
      </c>
    </row>
    <row r="799" spans="1:38" ht="14.45" customHeight="1" x14ac:dyDescent="0.2">
      <c r="A799" s="1" t="s">
        <v>57</v>
      </c>
      <c r="B799" s="9" t="s">
        <v>39</v>
      </c>
      <c r="C799" s="1" t="s">
        <v>58</v>
      </c>
      <c r="D799" s="1" t="s">
        <v>4315</v>
      </c>
      <c r="E799" s="1" t="s">
        <v>42</v>
      </c>
      <c r="G799" s="1" t="s">
        <v>4316</v>
      </c>
      <c r="H799" s="1" t="s">
        <v>61</v>
      </c>
      <c r="I799" s="1" t="s">
        <v>4337</v>
      </c>
      <c r="J799" s="1">
        <v>2022</v>
      </c>
      <c r="P799" s="1" t="s">
        <v>4318</v>
      </c>
      <c r="Q799" s="1" t="s">
        <v>101</v>
      </c>
      <c r="R799" s="1" t="s">
        <v>102</v>
      </c>
      <c r="S799" s="1" t="s">
        <v>103</v>
      </c>
      <c r="T799" s="1" t="s">
        <v>104</v>
      </c>
      <c r="U799" s="1">
        <v>1</v>
      </c>
      <c r="V799" s="1" t="s">
        <v>101</v>
      </c>
      <c r="Y799" s="10">
        <v>44599</v>
      </c>
      <c r="Z799" s="1">
        <v>2022</v>
      </c>
      <c r="AA799" s="2"/>
      <c r="AB799" s="2"/>
      <c r="AC799" s="2">
        <v>651464.41999999993</v>
      </c>
      <c r="AG799" s="1" t="s">
        <v>56</v>
      </c>
      <c r="AI799" s="2">
        <v>651464.41999999993</v>
      </c>
      <c r="AL799" s="1" t="s">
        <v>4319</v>
      </c>
    </row>
    <row r="800" spans="1:38" ht="14.45" customHeight="1" x14ac:dyDescent="0.2">
      <c r="A800" s="1" t="s">
        <v>57</v>
      </c>
      <c r="B800" s="9" t="s">
        <v>39</v>
      </c>
      <c r="C800" s="1" t="s">
        <v>58</v>
      </c>
      <c r="D800" s="1" t="s">
        <v>4315</v>
      </c>
      <c r="E800" s="1" t="s">
        <v>42</v>
      </c>
      <c r="G800" s="1" t="s">
        <v>4316</v>
      </c>
      <c r="H800" s="1" t="s">
        <v>61</v>
      </c>
      <c r="I800" s="1" t="s">
        <v>4338</v>
      </c>
      <c r="J800" s="1">
        <v>2018</v>
      </c>
      <c r="P800" s="1" t="s">
        <v>4318</v>
      </c>
      <c r="Q800" s="1" t="s">
        <v>101</v>
      </c>
      <c r="R800" s="1" t="s">
        <v>102</v>
      </c>
      <c r="S800" s="1" t="s">
        <v>103</v>
      </c>
      <c r="T800" s="1" t="s">
        <v>104</v>
      </c>
      <c r="U800" s="1">
        <v>1</v>
      </c>
      <c r="V800" s="1" t="s">
        <v>101</v>
      </c>
      <c r="Y800" s="10">
        <v>43464</v>
      </c>
      <c r="Z800" s="1">
        <v>2018</v>
      </c>
      <c r="AA800" s="2"/>
      <c r="AB800" s="2"/>
      <c r="AC800" s="2">
        <v>531071.92000000004</v>
      </c>
      <c r="AG800" s="1" t="s">
        <v>56</v>
      </c>
      <c r="AI800" s="2">
        <v>531071.92000000004</v>
      </c>
      <c r="AL800" s="1" t="s">
        <v>4319</v>
      </c>
    </row>
    <row r="801" spans="1:38" ht="14.45" customHeight="1" x14ac:dyDescent="0.2">
      <c r="A801" s="1" t="s">
        <v>57</v>
      </c>
      <c r="B801" s="9" t="s">
        <v>39</v>
      </c>
      <c r="C801" s="1" t="s">
        <v>58</v>
      </c>
      <c r="D801" s="1" t="s">
        <v>4315</v>
      </c>
      <c r="E801" s="1" t="s">
        <v>42</v>
      </c>
      <c r="G801" s="1" t="s">
        <v>4316</v>
      </c>
      <c r="H801" s="1" t="s">
        <v>61</v>
      </c>
      <c r="I801" s="1" t="s">
        <v>4339</v>
      </c>
      <c r="J801" s="1">
        <v>2018</v>
      </c>
      <c r="P801" s="1" t="s">
        <v>4318</v>
      </c>
      <c r="Q801" s="1" t="s">
        <v>101</v>
      </c>
      <c r="R801" s="1" t="s">
        <v>102</v>
      </c>
      <c r="S801" s="1" t="s">
        <v>103</v>
      </c>
      <c r="T801" s="1" t="s">
        <v>104</v>
      </c>
      <c r="U801" s="1">
        <v>1</v>
      </c>
      <c r="V801" s="1" t="s">
        <v>101</v>
      </c>
      <c r="Y801" s="10">
        <v>43464</v>
      </c>
      <c r="Z801" s="1">
        <v>2018</v>
      </c>
      <c r="AA801" s="2"/>
      <c r="AB801" s="2"/>
      <c r="AC801" s="2">
        <v>713820.4800000001</v>
      </c>
      <c r="AG801" s="1" t="s">
        <v>56</v>
      </c>
      <c r="AI801" s="2">
        <v>713820.4800000001</v>
      </c>
      <c r="AL801" s="1" t="s">
        <v>4319</v>
      </c>
    </row>
    <row r="802" spans="1:38" ht="14.45" customHeight="1" x14ac:dyDescent="0.2">
      <c r="A802" s="1" t="s">
        <v>57</v>
      </c>
      <c r="B802" s="9" t="s">
        <v>39</v>
      </c>
      <c r="C802" s="1" t="s">
        <v>58</v>
      </c>
      <c r="D802" s="1" t="s">
        <v>4315</v>
      </c>
      <c r="E802" s="1" t="s">
        <v>42</v>
      </c>
      <c r="G802" s="1" t="s">
        <v>4340</v>
      </c>
      <c r="H802" s="1" t="s">
        <v>61</v>
      </c>
      <c r="I802" s="1" t="s">
        <v>4341</v>
      </c>
      <c r="J802" s="1">
        <v>2019</v>
      </c>
      <c r="P802" s="1" t="s">
        <v>4329</v>
      </c>
      <c r="Q802" s="1" t="s">
        <v>101</v>
      </c>
      <c r="R802" s="1" t="s">
        <v>102</v>
      </c>
      <c r="S802" s="1" t="s">
        <v>1486</v>
      </c>
      <c r="T802" s="1" t="s">
        <v>1487</v>
      </c>
      <c r="U802" s="1">
        <v>1</v>
      </c>
      <c r="V802" s="1" t="s">
        <v>101</v>
      </c>
      <c r="Y802" s="10">
        <v>43809</v>
      </c>
      <c r="Z802" s="1">
        <v>2019</v>
      </c>
      <c r="AA802" s="2"/>
      <c r="AB802" s="2"/>
      <c r="AC802" s="2">
        <v>19025.36</v>
      </c>
      <c r="AG802" s="1" t="s">
        <v>56</v>
      </c>
      <c r="AI802" s="2">
        <v>19025.36</v>
      </c>
    </row>
    <row r="803" spans="1:38" ht="14.45" customHeight="1" x14ac:dyDescent="0.2">
      <c r="A803" s="1" t="s">
        <v>57</v>
      </c>
      <c r="B803" s="9" t="s">
        <v>39</v>
      </c>
      <c r="C803" s="1" t="s">
        <v>58</v>
      </c>
      <c r="D803" s="1" t="s">
        <v>4315</v>
      </c>
      <c r="E803" s="1" t="s">
        <v>42</v>
      </c>
      <c r="G803" s="1" t="s">
        <v>4340</v>
      </c>
      <c r="H803" s="1" t="s">
        <v>61</v>
      </c>
      <c r="I803" s="1" t="s">
        <v>4342</v>
      </c>
      <c r="J803" s="1">
        <v>2019</v>
      </c>
      <c r="P803" s="1" t="s">
        <v>4329</v>
      </c>
      <c r="Q803" s="1" t="s">
        <v>101</v>
      </c>
      <c r="R803" s="1" t="s">
        <v>102</v>
      </c>
      <c r="S803" s="1" t="s">
        <v>1486</v>
      </c>
      <c r="T803" s="1" t="s">
        <v>1487</v>
      </c>
      <c r="U803" s="1">
        <v>1</v>
      </c>
      <c r="V803" s="1" t="s">
        <v>101</v>
      </c>
      <c r="Y803" s="10">
        <v>43809</v>
      </c>
      <c r="Z803" s="1">
        <v>2019</v>
      </c>
      <c r="AA803" s="2"/>
      <c r="AB803" s="2"/>
      <c r="AC803" s="2">
        <v>19273.78</v>
      </c>
      <c r="AG803" s="1" t="s">
        <v>56</v>
      </c>
      <c r="AI803" s="2">
        <v>19273.78</v>
      </c>
    </row>
    <row r="804" spans="1:38" ht="14.45" customHeight="1" x14ac:dyDescent="0.2">
      <c r="A804" s="1" t="s">
        <v>57</v>
      </c>
      <c r="B804" s="9" t="s">
        <v>39</v>
      </c>
      <c r="C804" s="1" t="s">
        <v>58</v>
      </c>
      <c r="D804" s="1" t="s">
        <v>4315</v>
      </c>
      <c r="E804" s="1" t="s">
        <v>42</v>
      </c>
      <c r="G804" s="1" t="s">
        <v>4340</v>
      </c>
      <c r="H804" s="1" t="s">
        <v>61</v>
      </c>
      <c r="I804" s="1" t="s">
        <v>4343</v>
      </c>
      <c r="J804" s="1">
        <v>2021</v>
      </c>
      <c r="P804" s="1" t="s">
        <v>4329</v>
      </c>
      <c r="Q804" s="1" t="s">
        <v>101</v>
      </c>
      <c r="R804" s="1" t="s">
        <v>102</v>
      </c>
      <c r="S804" s="1" t="s">
        <v>1486</v>
      </c>
      <c r="T804" s="1" t="s">
        <v>1487</v>
      </c>
      <c r="U804" s="1">
        <v>1</v>
      </c>
      <c r="V804" s="1" t="s">
        <v>101</v>
      </c>
      <c r="Y804" s="10">
        <v>44322</v>
      </c>
      <c r="Z804" s="1">
        <v>2021</v>
      </c>
      <c r="AA804" s="2"/>
      <c r="AB804" s="2"/>
      <c r="AC804" s="2">
        <v>15658.45</v>
      </c>
      <c r="AG804" s="1" t="s">
        <v>56</v>
      </c>
      <c r="AI804" s="2">
        <v>15658.45</v>
      </c>
    </row>
    <row r="805" spans="1:38" ht="14.45" customHeight="1" x14ac:dyDescent="0.2">
      <c r="A805" s="1" t="s">
        <v>57</v>
      </c>
      <c r="B805" s="9" t="s">
        <v>39</v>
      </c>
      <c r="C805" s="1" t="s">
        <v>58</v>
      </c>
      <c r="D805" s="1" t="s">
        <v>59</v>
      </c>
      <c r="E805" s="1" t="s">
        <v>42</v>
      </c>
      <c r="G805" s="1" t="s">
        <v>60</v>
      </c>
      <c r="H805" s="1" t="s">
        <v>61</v>
      </c>
      <c r="I805" s="1" t="s">
        <v>4344</v>
      </c>
      <c r="J805" s="1" t="s">
        <v>82</v>
      </c>
      <c r="K805" s="1" t="s">
        <v>4345</v>
      </c>
      <c r="P805" s="1" t="s">
        <v>4346</v>
      </c>
      <c r="Q805" s="1" t="s">
        <v>101</v>
      </c>
      <c r="R805" s="1" t="s">
        <v>339</v>
      </c>
      <c r="S805" s="1" t="s">
        <v>340</v>
      </c>
      <c r="T805" s="1" t="s">
        <v>341</v>
      </c>
      <c r="U805" s="1">
        <v>1</v>
      </c>
      <c r="V805" s="1" t="s">
        <v>80</v>
      </c>
      <c r="W805" s="1" t="s">
        <v>4345</v>
      </c>
      <c r="X805" s="1" t="s">
        <v>145</v>
      </c>
      <c r="Y805" s="10">
        <v>44113</v>
      </c>
      <c r="Z805" s="1">
        <v>2020</v>
      </c>
      <c r="AA805" s="2">
        <v>5980017.9100000001</v>
      </c>
      <c r="AB805" s="2"/>
      <c r="AC805" s="2">
        <v>673750</v>
      </c>
      <c r="AD805" s="1">
        <v>21</v>
      </c>
      <c r="AE805" s="1">
        <v>14</v>
      </c>
      <c r="AG805" s="1" t="s">
        <v>432</v>
      </c>
      <c r="AH805" s="1" t="s">
        <v>492</v>
      </c>
      <c r="AI805" s="2">
        <v>0</v>
      </c>
    </row>
    <row r="806" spans="1:38" ht="14.45" customHeight="1" x14ac:dyDescent="0.2">
      <c r="A806" s="1" t="s">
        <v>57</v>
      </c>
      <c r="B806" s="9" t="s">
        <v>39</v>
      </c>
      <c r="C806" s="1" t="s">
        <v>58</v>
      </c>
      <c r="D806" s="1" t="s">
        <v>59</v>
      </c>
      <c r="E806" s="1" t="s">
        <v>42</v>
      </c>
      <c r="G806" s="1" t="s">
        <v>60</v>
      </c>
      <c r="H806" s="1" t="s">
        <v>61</v>
      </c>
      <c r="I806" s="1" t="s">
        <v>4347</v>
      </c>
      <c r="J806" s="1" t="s">
        <v>82</v>
      </c>
      <c r="K806" s="38" t="s">
        <v>4348</v>
      </c>
      <c r="P806" s="1" t="s">
        <v>4349</v>
      </c>
      <c r="Q806" s="1" t="s">
        <v>101</v>
      </c>
      <c r="R806" s="1" t="s">
        <v>102</v>
      </c>
      <c r="S806" s="1" t="s">
        <v>103</v>
      </c>
      <c r="T806" s="1" t="s">
        <v>104</v>
      </c>
      <c r="U806" s="1">
        <v>1</v>
      </c>
      <c r="V806" s="1" t="s">
        <v>101</v>
      </c>
      <c r="W806" s="1" t="s">
        <v>4350</v>
      </c>
      <c r="X806" s="1" t="s">
        <v>87</v>
      </c>
      <c r="Y806" s="10">
        <v>44299</v>
      </c>
      <c r="Z806" s="1">
        <v>2021</v>
      </c>
      <c r="AA806" s="2">
        <v>307741.19</v>
      </c>
      <c r="AB806" s="2"/>
      <c r="AC806" s="2">
        <v>76935.3</v>
      </c>
      <c r="AD806" s="1">
        <v>3</v>
      </c>
      <c r="AE806" s="1">
        <v>1</v>
      </c>
      <c r="AG806" s="1" t="s">
        <v>432</v>
      </c>
      <c r="AH806" s="1" t="s">
        <v>492</v>
      </c>
      <c r="AI806" s="2">
        <v>0</v>
      </c>
    </row>
    <row r="807" spans="1:38" ht="14.45" customHeight="1" x14ac:dyDescent="0.2">
      <c r="A807" s="1" t="s">
        <v>57</v>
      </c>
      <c r="B807" s="9" t="s">
        <v>39</v>
      </c>
      <c r="C807" s="1" t="s">
        <v>58</v>
      </c>
      <c r="D807" s="1" t="s">
        <v>59</v>
      </c>
      <c r="E807" s="1" t="s">
        <v>42</v>
      </c>
      <c r="G807" s="1" t="s">
        <v>60</v>
      </c>
      <c r="H807" s="1" t="s">
        <v>61</v>
      </c>
      <c r="I807" s="1" t="s">
        <v>4351</v>
      </c>
      <c r="J807" s="1" t="s">
        <v>82</v>
      </c>
      <c r="K807" s="1" t="s">
        <v>4352</v>
      </c>
      <c r="P807" s="1" t="s">
        <v>4353</v>
      </c>
      <c r="Q807" s="1" t="s">
        <v>101</v>
      </c>
      <c r="R807" s="1" t="s">
        <v>102</v>
      </c>
      <c r="S807" s="1" t="s">
        <v>1486</v>
      </c>
      <c r="T807" s="1" t="s">
        <v>1487</v>
      </c>
      <c r="U807" s="1">
        <v>1</v>
      </c>
      <c r="V807" s="1" t="s">
        <v>101</v>
      </c>
      <c r="W807" s="1" t="s">
        <v>4354</v>
      </c>
      <c r="X807" s="1" t="s">
        <v>321</v>
      </c>
      <c r="Y807" s="10">
        <v>44181</v>
      </c>
      <c r="Z807" s="1">
        <v>2020</v>
      </c>
      <c r="AA807" s="2">
        <v>636316.31000000006</v>
      </c>
      <c r="AB807" s="2"/>
      <c r="AC807" s="2">
        <v>78750</v>
      </c>
      <c r="AD807" s="1">
        <v>3</v>
      </c>
      <c r="AG807" s="1" t="s">
        <v>432</v>
      </c>
      <c r="AH807" s="1" t="s">
        <v>492</v>
      </c>
      <c r="AI807" s="2">
        <v>0</v>
      </c>
    </row>
    <row r="808" spans="1:38" ht="14.45" customHeight="1" x14ac:dyDescent="0.2">
      <c r="A808" s="1" t="s">
        <v>57</v>
      </c>
      <c r="B808" s="9" t="s">
        <v>39</v>
      </c>
      <c r="C808" s="1" t="s">
        <v>58</v>
      </c>
      <c r="D808" s="1" t="s">
        <v>59</v>
      </c>
      <c r="E808" s="1" t="s">
        <v>42</v>
      </c>
      <c r="G808" s="1" t="s">
        <v>60</v>
      </c>
      <c r="H808" s="1" t="s">
        <v>61</v>
      </c>
      <c r="I808" s="1" t="s">
        <v>4355</v>
      </c>
      <c r="J808" s="1" t="s">
        <v>82</v>
      </c>
      <c r="K808" s="1" t="s">
        <v>4356</v>
      </c>
      <c r="P808" s="1" t="s">
        <v>4357</v>
      </c>
      <c r="Q808" s="1" t="s">
        <v>101</v>
      </c>
      <c r="R808" s="1" t="s">
        <v>326</v>
      </c>
      <c r="S808" s="1" t="s">
        <v>327</v>
      </c>
      <c r="T808" s="1" t="s">
        <v>328</v>
      </c>
      <c r="U808" s="1">
        <v>2</v>
      </c>
      <c r="V808" s="1" t="s">
        <v>80</v>
      </c>
      <c r="W808" s="1" t="s">
        <v>4358</v>
      </c>
      <c r="X808" s="1" t="s">
        <v>400</v>
      </c>
      <c r="Y808" s="10">
        <v>44817</v>
      </c>
      <c r="Z808" s="1">
        <v>2022</v>
      </c>
      <c r="AA808" s="2">
        <v>1391894.47</v>
      </c>
      <c r="AB808" s="2"/>
      <c r="AC808" s="2">
        <v>139189.45000000001</v>
      </c>
      <c r="AD808" s="1">
        <v>10</v>
      </c>
      <c r="AE808" s="1">
        <v>6</v>
      </c>
      <c r="AG808" s="1" t="s">
        <v>432</v>
      </c>
      <c r="AH808" s="1" t="s">
        <v>4359</v>
      </c>
      <c r="AI808" s="2">
        <v>0</v>
      </c>
    </row>
    <row r="809" spans="1:38" ht="14.45" customHeight="1" x14ac:dyDescent="0.2">
      <c r="A809" s="1" t="s">
        <v>57</v>
      </c>
      <c r="B809" s="9" t="s">
        <v>39</v>
      </c>
      <c r="C809" s="1" t="s">
        <v>58</v>
      </c>
      <c r="D809" s="1" t="s">
        <v>59</v>
      </c>
      <c r="E809" s="1" t="s">
        <v>42</v>
      </c>
      <c r="G809" s="1" t="s">
        <v>60</v>
      </c>
      <c r="H809" s="1" t="s">
        <v>61</v>
      </c>
      <c r="I809" s="1" t="s">
        <v>4360</v>
      </c>
      <c r="J809" s="1" t="s">
        <v>82</v>
      </c>
      <c r="K809" s="1" t="s">
        <v>4361</v>
      </c>
      <c r="P809" s="1" t="s">
        <v>1933</v>
      </c>
      <c r="Q809" s="1" t="s">
        <v>101</v>
      </c>
      <c r="R809" s="1" t="s">
        <v>102</v>
      </c>
      <c r="S809" s="1" t="s">
        <v>103</v>
      </c>
      <c r="T809" s="1" t="s">
        <v>104</v>
      </c>
      <c r="U809" s="1">
        <v>1</v>
      </c>
      <c r="V809" s="1" t="s">
        <v>101</v>
      </c>
      <c r="W809" s="1" t="s">
        <v>4362</v>
      </c>
      <c r="X809" s="1" t="s">
        <v>145</v>
      </c>
      <c r="Y809" s="10">
        <v>44299</v>
      </c>
      <c r="Z809" s="1">
        <v>2021</v>
      </c>
      <c r="AA809" s="2">
        <v>468160.4</v>
      </c>
      <c r="AB809" s="2"/>
      <c r="AC809" s="2">
        <v>105000</v>
      </c>
      <c r="AD809" s="1">
        <v>3</v>
      </c>
      <c r="AE809" s="1">
        <v>3</v>
      </c>
      <c r="AG809" s="1" t="s">
        <v>432</v>
      </c>
      <c r="AH809" s="1" t="s">
        <v>492</v>
      </c>
      <c r="AI809" s="2">
        <v>0</v>
      </c>
      <c r="AK809" s="1" t="s">
        <v>301</v>
      </c>
    </row>
    <row r="810" spans="1:38" ht="14.45" customHeight="1" x14ac:dyDescent="0.2">
      <c r="A810" s="1" t="s">
        <v>57</v>
      </c>
      <c r="B810" s="9" t="s">
        <v>39</v>
      </c>
      <c r="C810" s="1" t="s">
        <v>58</v>
      </c>
      <c r="D810" s="1" t="s">
        <v>59</v>
      </c>
      <c r="E810" s="1" t="s">
        <v>42</v>
      </c>
      <c r="G810" s="1" t="s">
        <v>60</v>
      </c>
      <c r="H810" s="1" t="s">
        <v>61</v>
      </c>
      <c r="I810" s="1" t="s">
        <v>4363</v>
      </c>
      <c r="J810" s="1" t="s">
        <v>82</v>
      </c>
      <c r="K810" s="1" t="s">
        <v>4356</v>
      </c>
      <c r="P810" s="1" t="s">
        <v>4364</v>
      </c>
      <c r="Q810" s="1" t="s">
        <v>101</v>
      </c>
      <c r="R810" s="1" t="s">
        <v>326</v>
      </c>
      <c r="S810" s="1" t="s">
        <v>327</v>
      </c>
      <c r="T810" s="1" t="s">
        <v>328</v>
      </c>
      <c r="U810" s="1">
        <v>2</v>
      </c>
      <c r="V810" s="1" t="s">
        <v>80</v>
      </c>
      <c r="W810" s="1" t="s">
        <v>4358</v>
      </c>
      <c r="X810" s="1" t="s">
        <v>400</v>
      </c>
      <c r="Y810" s="10">
        <v>44299</v>
      </c>
      <c r="Z810" s="1">
        <v>2021</v>
      </c>
      <c r="AA810" s="2">
        <v>2381991.61</v>
      </c>
      <c r="AB810" s="2"/>
      <c r="AC810" s="2">
        <v>154000</v>
      </c>
      <c r="AD810" s="1">
        <v>8</v>
      </c>
      <c r="AE810" s="1">
        <v>5</v>
      </c>
      <c r="AG810" s="1" t="s">
        <v>432</v>
      </c>
      <c r="AH810" s="1" t="s">
        <v>492</v>
      </c>
      <c r="AI810" s="2">
        <v>0</v>
      </c>
    </row>
    <row r="811" spans="1:38" ht="14.45" customHeight="1" x14ac:dyDescent="0.2">
      <c r="A811" s="1" t="s">
        <v>57</v>
      </c>
      <c r="B811" s="9" t="s">
        <v>39</v>
      </c>
      <c r="C811" s="1" t="s">
        <v>58</v>
      </c>
      <c r="D811" s="1" t="s">
        <v>59</v>
      </c>
      <c r="E811" s="1" t="s">
        <v>42</v>
      </c>
      <c r="G811" s="1" t="s">
        <v>60</v>
      </c>
      <c r="H811" s="1" t="s">
        <v>61</v>
      </c>
      <c r="I811" s="1" t="s">
        <v>4365</v>
      </c>
      <c r="J811" s="1" t="s">
        <v>82</v>
      </c>
      <c r="K811" s="1" t="s">
        <v>4366</v>
      </c>
      <c r="P811" s="1" t="s">
        <v>4367</v>
      </c>
      <c r="Q811" s="1" t="s">
        <v>101</v>
      </c>
      <c r="R811" s="1" t="s">
        <v>102</v>
      </c>
      <c r="S811" s="1" t="s">
        <v>255</v>
      </c>
      <c r="T811" s="1" t="s">
        <v>256</v>
      </c>
      <c r="U811" s="1">
        <v>1</v>
      </c>
      <c r="V811" s="1" t="s">
        <v>101</v>
      </c>
      <c r="W811" s="1" t="s">
        <v>4366</v>
      </c>
      <c r="X811" s="1" t="s">
        <v>87</v>
      </c>
      <c r="Y811" s="10">
        <v>44747</v>
      </c>
      <c r="Z811" s="1">
        <v>2022</v>
      </c>
      <c r="AA811" s="2">
        <v>819166.4</v>
      </c>
      <c r="AB811" s="2"/>
      <c r="AC811" s="2">
        <v>87500</v>
      </c>
      <c r="AD811" s="1">
        <v>3</v>
      </c>
      <c r="AE811" s="1">
        <v>1</v>
      </c>
      <c r="AG811" s="1" t="s">
        <v>432</v>
      </c>
      <c r="AH811" s="1" t="s">
        <v>492</v>
      </c>
      <c r="AI811" s="2">
        <v>0</v>
      </c>
      <c r="AK811" s="1" t="s">
        <v>600</v>
      </c>
    </row>
    <row r="812" spans="1:38" ht="14.45" customHeight="1" x14ac:dyDescent="0.2">
      <c r="A812" s="1" t="s">
        <v>57</v>
      </c>
      <c r="B812" s="9" t="s">
        <v>39</v>
      </c>
      <c r="C812" s="1" t="s">
        <v>58</v>
      </c>
      <c r="D812" s="1" t="s">
        <v>59</v>
      </c>
      <c r="E812" s="1" t="s">
        <v>42</v>
      </c>
      <c r="G812" s="1" t="s">
        <v>60</v>
      </c>
      <c r="H812" s="1" t="s">
        <v>61</v>
      </c>
      <c r="I812" s="1" t="s">
        <v>4368</v>
      </c>
      <c r="J812" s="1" t="s">
        <v>82</v>
      </c>
      <c r="K812" s="1" t="s">
        <v>4369</v>
      </c>
      <c r="P812" s="1" t="s">
        <v>4370</v>
      </c>
      <c r="Q812" s="1" t="s">
        <v>101</v>
      </c>
      <c r="R812" s="1" t="s">
        <v>102</v>
      </c>
      <c r="S812" s="1" t="s">
        <v>637</v>
      </c>
      <c r="T812" s="1" t="s">
        <v>638</v>
      </c>
      <c r="U812" s="1">
        <v>1</v>
      </c>
      <c r="V812" s="1" t="s">
        <v>101</v>
      </c>
      <c r="W812" s="1" t="s">
        <v>4369</v>
      </c>
      <c r="X812" s="1" t="s">
        <v>87</v>
      </c>
      <c r="Y812" s="10">
        <v>44893</v>
      </c>
      <c r="Z812" s="1">
        <v>2022</v>
      </c>
      <c r="AA812" s="2">
        <v>1065512</v>
      </c>
      <c r="AB812" s="2"/>
      <c r="AC812" s="2">
        <v>201250</v>
      </c>
      <c r="AD812" s="1">
        <v>6</v>
      </c>
      <c r="AE812" s="1">
        <v>5</v>
      </c>
      <c r="AG812" s="1" t="s">
        <v>432</v>
      </c>
      <c r="AH812" s="1" t="s">
        <v>4371</v>
      </c>
      <c r="AI812" s="2">
        <v>0</v>
      </c>
      <c r="AK812" s="1" t="s">
        <v>2075</v>
      </c>
    </row>
    <row r="813" spans="1:38" ht="14.45" customHeight="1" x14ac:dyDescent="0.2">
      <c r="A813" s="1" t="s">
        <v>57</v>
      </c>
      <c r="B813" s="9" t="s">
        <v>39</v>
      </c>
      <c r="C813" s="1" t="s">
        <v>58</v>
      </c>
      <c r="D813" s="1" t="s">
        <v>59</v>
      </c>
      <c r="E813" s="1" t="s">
        <v>42</v>
      </c>
      <c r="G813" s="1" t="s">
        <v>60</v>
      </c>
      <c r="H813" s="1" t="s">
        <v>61</v>
      </c>
      <c r="I813" s="1" t="s">
        <v>4372</v>
      </c>
      <c r="J813" s="1" t="s">
        <v>82</v>
      </c>
      <c r="K813" s="1" t="s">
        <v>4373</v>
      </c>
      <c r="P813" s="1" t="s">
        <v>4374</v>
      </c>
      <c r="Q813" s="1" t="s">
        <v>101</v>
      </c>
      <c r="R813" s="1" t="s">
        <v>102</v>
      </c>
      <c r="S813" s="1" t="s">
        <v>4375</v>
      </c>
      <c r="T813" s="1" t="s">
        <v>4376</v>
      </c>
      <c r="U813" s="1">
        <v>2</v>
      </c>
      <c r="V813" s="1" t="s">
        <v>80</v>
      </c>
      <c r="W813" s="1" t="s">
        <v>4373</v>
      </c>
      <c r="X813" s="1" t="s">
        <v>87</v>
      </c>
      <c r="Y813" s="10">
        <v>44895</v>
      </c>
      <c r="Z813" s="1">
        <v>2022</v>
      </c>
      <c r="AA813" s="2">
        <v>984202.82</v>
      </c>
      <c r="AB813" s="2"/>
      <c r="AC813" s="2">
        <v>42000</v>
      </c>
      <c r="AD813" s="1">
        <v>3</v>
      </c>
      <c r="AG813" s="1" t="s">
        <v>432</v>
      </c>
      <c r="AH813" s="1" t="s">
        <v>433</v>
      </c>
      <c r="AI813" s="2">
        <v>0</v>
      </c>
      <c r="AK813" s="1" t="s">
        <v>600</v>
      </c>
    </row>
    <row r="814" spans="1:38" ht="14.45" customHeight="1" x14ac:dyDescent="0.2">
      <c r="A814" s="1" t="s">
        <v>57</v>
      </c>
      <c r="B814" s="9" t="s">
        <v>39</v>
      </c>
      <c r="C814" s="1" t="s">
        <v>58</v>
      </c>
      <c r="D814" s="1" t="s">
        <v>59</v>
      </c>
      <c r="E814" s="1" t="s">
        <v>42</v>
      </c>
      <c r="G814" s="1" t="s">
        <v>60</v>
      </c>
      <c r="H814" s="1" t="s">
        <v>61</v>
      </c>
      <c r="I814" s="1" t="s">
        <v>4377</v>
      </c>
      <c r="J814" s="1" t="s">
        <v>82</v>
      </c>
      <c r="K814" s="1" t="s">
        <v>4378</v>
      </c>
      <c r="P814" s="1" t="s">
        <v>1916</v>
      </c>
      <c r="Q814" s="1" t="s">
        <v>101</v>
      </c>
      <c r="R814" s="1" t="s">
        <v>102</v>
      </c>
      <c r="S814" s="1" t="s">
        <v>1917</v>
      </c>
      <c r="T814" s="1" t="s">
        <v>1918</v>
      </c>
      <c r="U814" s="1">
        <v>2</v>
      </c>
      <c r="V814" s="1" t="s">
        <v>101</v>
      </c>
      <c r="W814" s="1" t="s">
        <v>4378</v>
      </c>
      <c r="X814" s="1" t="s">
        <v>153</v>
      </c>
      <c r="Y814" s="10">
        <v>44187</v>
      </c>
      <c r="Z814" s="1">
        <v>2020</v>
      </c>
      <c r="AA814" s="2">
        <v>6328168</v>
      </c>
      <c r="AB814" s="2"/>
      <c r="AC814" s="2">
        <v>1225000</v>
      </c>
      <c r="AD814" s="1">
        <v>35</v>
      </c>
      <c r="AG814" s="1" t="s">
        <v>432</v>
      </c>
      <c r="AH814" s="1" t="s">
        <v>492</v>
      </c>
      <c r="AI814" s="2">
        <v>0</v>
      </c>
    </row>
    <row r="815" spans="1:38" ht="14.45" customHeight="1" x14ac:dyDescent="0.2">
      <c r="A815" s="1" t="s">
        <v>57</v>
      </c>
      <c r="B815" s="9" t="s">
        <v>39</v>
      </c>
      <c r="C815" s="1" t="s">
        <v>58</v>
      </c>
      <c r="D815" s="1" t="s">
        <v>59</v>
      </c>
      <c r="E815" s="1" t="s">
        <v>42</v>
      </c>
      <c r="G815" s="1" t="s">
        <v>60</v>
      </c>
      <c r="H815" s="1" t="s">
        <v>61</v>
      </c>
      <c r="I815" s="1" t="s">
        <v>4379</v>
      </c>
      <c r="J815" s="1" t="s">
        <v>82</v>
      </c>
      <c r="K815" s="1" t="s">
        <v>4380</v>
      </c>
      <c r="P815" s="1" t="s">
        <v>4381</v>
      </c>
      <c r="Q815" s="1" t="s">
        <v>101</v>
      </c>
      <c r="R815" s="1" t="s">
        <v>339</v>
      </c>
      <c r="S815" s="1" t="s">
        <v>340</v>
      </c>
      <c r="T815" s="1" t="s">
        <v>341</v>
      </c>
      <c r="U815" s="1">
        <v>1</v>
      </c>
      <c r="V815" s="1" t="s">
        <v>80</v>
      </c>
      <c r="W815" s="1" t="s">
        <v>4380</v>
      </c>
      <c r="X815" s="1" t="s">
        <v>87</v>
      </c>
      <c r="Y815" s="10">
        <v>44321</v>
      </c>
      <c r="Z815" s="1">
        <v>2021</v>
      </c>
      <c r="AA815" s="2">
        <v>9625422</v>
      </c>
      <c r="AB815" s="2"/>
      <c r="AC815" s="2">
        <v>1155000</v>
      </c>
      <c r="AD815" s="1">
        <v>35</v>
      </c>
      <c r="AE815" s="1">
        <v>8</v>
      </c>
      <c r="AG815" s="1" t="s">
        <v>432</v>
      </c>
      <c r="AH815" s="1" t="s">
        <v>492</v>
      </c>
      <c r="AI815" s="2">
        <v>0</v>
      </c>
    </row>
    <row r="816" spans="1:38" ht="14.45" customHeight="1" x14ac:dyDescent="0.2">
      <c r="A816" s="1" t="s">
        <v>57</v>
      </c>
      <c r="B816" s="9" t="s">
        <v>39</v>
      </c>
      <c r="C816" s="1" t="s">
        <v>58</v>
      </c>
      <c r="D816" s="1" t="s">
        <v>59</v>
      </c>
      <c r="E816" s="1" t="s">
        <v>42</v>
      </c>
      <c r="G816" s="1" t="s">
        <v>88</v>
      </c>
      <c r="H816" s="1" t="s">
        <v>61</v>
      </c>
      <c r="I816" s="1" t="s">
        <v>4382</v>
      </c>
      <c r="J816" s="1" t="s">
        <v>82</v>
      </c>
      <c r="K816" s="1" t="s">
        <v>4383</v>
      </c>
      <c r="P816" s="1" t="s">
        <v>1164</v>
      </c>
      <c r="Q816" s="1" t="s">
        <v>101</v>
      </c>
      <c r="R816" s="1" t="s">
        <v>102</v>
      </c>
      <c r="S816" s="1" t="s">
        <v>637</v>
      </c>
      <c r="T816" s="1" t="s">
        <v>638</v>
      </c>
      <c r="U816" s="1">
        <v>1</v>
      </c>
      <c r="V816" s="1" t="s">
        <v>101</v>
      </c>
      <c r="W816" s="1" t="s">
        <v>4384</v>
      </c>
      <c r="X816" s="1" t="s">
        <v>153</v>
      </c>
      <c r="Y816" s="10">
        <v>44514</v>
      </c>
      <c r="Z816" s="1">
        <v>2021</v>
      </c>
      <c r="AA816" s="2">
        <v>302068</v>
      </c>
      <c r="AB816" s="2"/>
      <c r="AC816" s="2">
        <v>50000</v>
      </c>
      <c r="AD816" s="1">
        <v>1</v>
      </c>
      <c r="AG816" s="1" t="s">
        <v>432</v>
      </c>
      <c r="AH816" s="1" t="s">
        <v>492</v>
      </c>
      <c r="AI816" s="2">
        <v>0</v>
      </c>
      <c r="AK816" s="1" t="s">
        <v>418</v>
      </c>
    </row>
    <row r="817" spans="1:38" ht="14.45" customHeight="1" x14ac:dyDescent="0.2">
      <c r="A817" s="1" t="s">
        <v>57</v>
      </c>
      <c r="B817" s="9" t="s">
        <v>39</v>
      </c>
      <c r="C817" s="1" t="s">
        <v>58</v>
      </c>
      <c r="D817" s="1" t="s">
        <v>59</v>
      </c>
      <c r="E817" s="1" t="s">
        <v>42</v>
      </c>
      <c r="G817" s="1" t="s">
        <v>88</v>
      </c>
      <c r="H817" s="1" t="s">
        <v>61</v>
      </c>
      <c r="I817" s="1" t="s">
        <v>4385</v>
      </c>
      <c r="J817" s="1" t="s">
        <v>82</v>
      </c>
      <c r="K817" s="1" t="s">
        <v>4386</v>
      </c>
      <c r="P817" s="1" t="s">
        <v>4387</v>
      </c>
      <c r="Q817" s="1" t="s">
        <v>101</v>
      </c>
      <c r="R817" s="1" t="s">
        <v>102</v>
      </c>
      <c r="S817" s="1" t="s">
        <v>1486</v>
      </c>
      <c r="T817" s="1" t="s">
        <v>1487</v>
      </c>
      <c r="U817" s="1">
        <v>1</v>
      </c>
      <c r="V817" s="1" t="s">
        <v>101</v>
      </c>
      <c r="W817" s="1" t="s">
        <v>4388</v>
      </c>
      <c r="X817" s="1" t="s">
        <v>321</v>
      </c>
      <c r="Y817" s="10">
        <v>44181</v>
      </c>
      <c r="Z817" s="1">
        <v>2020</v>
      </c>
      <c r="AA817" s="2">
        <v>343532.53</v>
      </c>
      <c r="AB817" s="2"/>
      <c r="AC817" s="2">
        <v>50000</v>
      </c>
      <c r="AD817" s="1">
        <v>1</v>
      </c>
      <c r="AG817" s="1" t="s">
        <v>432</v>
      </c>
      <c r="AH817" s="1" t="s">
        <v>492</v>
      </c>
      <c r="AI817" s="2">
        <v>0</v>
      </c>
    </row>
    <row r="818" spans="1:38" ht="14.45" customHeight="1" x14ac:dyDescent="0.25">
      <c r="A818" s="1" t="s">
        <v>57</v>
      </c>
      <c r="B818" s="9" t="s">
        <v>39</v>
      </c>
      <c r="C818" s="1" t="s">
        <v>58</v>
      </c>
      <c r="D818" s="1" t="s">
        <v>59</v>
      </c>
      <c r="E818" s="1" t="s">
        <v>42</v>
      </c>
      <c r="G818" s="1" t="s">
        <v>88</v>
      </c>
      <c r="H818" s="1" t="s">
        <v>61</v>
      </c>
      <c r="I818" s="1" t="s">
        <v>4389</v>
      </c>
      <c r="J818" s="1" t="s">
        <v>82</v>
      </c>
      <c r="K818" s="1" t="s">
        <v>567</v>
      </c>
      <c r="P818" s="1" t="s">
        <v>4390</v>
      </c>
      <c r="Q818" s="1" t="s">
        <v>101</v>
      </c>
      <c r="R818" s="1" t="s">
        <v>326</v>
      </c>
      <c r="S818" s="16" t="s">
        <v>361</v>
      </c>
      <c r="T818" s="1" t="s">
        <v>362</v>
      </c>
      <c r="U818" s="1">
        <v>2</v>
      </c>
      <c r="V818" s="1" t="s">
        <v>80</v>
      </c>
      <c r="W818" s="1" t="s">
        <v>4391</v>
      </c>
      <c r="X818" s="1" t="s">
        <v>400</v>
      </c>
      <c r="Y818" s="10">
        <v>44881</v>
      </c>
      <c r="Z818" s="1">
        <v>2022</v>
      </c>
      <c r="AA818" s="2">
        <v>174852.66</v>
      </c>
      <c r="AB818" s="2"/>
      <c r="AC818" s="2">
        <v>33227.9</v>
      </c>
      <c r="AD818" s="1">
        <v>1</v>
      </c>
      <c r="AE818" s="1">
        <v>1</v>
      </c>
      <c r="AG818" s="1" t="s">
        <v>432</v>
      </c>
      <c r="AH818" s="1" t="s">
        <v>492</v>
      </c>
      <c r="AI818" s="2">
        <v>0</v>
      </c>
    </row>
    <row r="819" spans="1:38" ht="12.6" customHeight="1" x14ac:dyDescent="0.2">
      <c r="A819" s="1" t="s">
        <v>57</v>
      </c>
      <c r="B819" s="9" t="s">
        <v>39</v>
      </c>
      <c r="C819" s="1" t="s">
        <v>58</v>
      </c>
      <c r="D819" s="1" t="s">
        <v>59</v>
      </c>
      <c r="E819" s="1" t="s">
        <v>42</v>
      </c>
      <c r="G819" s="1" t="s">
        <v>88</v>
      </c>
      <c r="H819" s="1" t="s">
        <v>61</v>
      </c>
      <c r="I819" s="1" t="s">
        <v>4392</v>
      </c>
      <c r="J819" s="1" t="s">
        <v>82</v>
      </c>
      <c r="K819" s="1" t="s">
        <v>4393</v>
      </c>
      <c r="P819" s="1" t="s">
        <v>4394</v>
      </c>
      <c r="Q819" s="1" t="s">
        <v>101</v>
      </c>
      <c r="R819" s="1" t="s">
        <v>102</v>
      </c>
      <c r="S819" s="1" t="s">
        <v>523</v>
      </c>
      <c r="T819" s="1" t="s">
        <v>524</v>
      </c>
      <c r="U819" s="1">
        <v>1</v>
      </c>
      <c r="V819" s="1" t="s">
        <v>101</v>
      </c>
      <c r="W819" s="1" t="s">
        <v>4393</v>
      </c>
      <c r="X819" s="1" t="s">
        <v>87</v>
      </c>
      <c r="Y819" s="10">
        <v>44343</v>
      </c>
      <c r="Z819" s="1">
        <v>2021</v>
      </c>
      <c r="AA819" s="2">
        <v>396810</v>
      </c>
      <c r="AB819" s="2"/>
      <c r="AC819" s="2">
        <v>100000</v>
      </c>
      <c r="AD819" s="1">
        <v>0</v>
      </c>
      <c r="AG819" s="1" t="s">
        <v>432</v>
      </c>
      <c r="AH819" s="1" t="s">
        <v>492</v>
      </c>
      <c r="AI819" s="2">
        <v>0</v>
      </c>
      <c r="AK819" s="1" t="s">
        <v>418</v>
      </c>
    </row>
    <row r="820" spans="1:38" ht="14.45" customHeight="1" x14ac:dyDescent="0.2">
      <c r="A820" s="1" t="s">
        <v>57</v>
      </c>
      <c r="B820" s="9" t="s">
        <v>39</v>
      </c>
      <c r="C820" s="1" t="s">
        <v>58</v>
      </c>
      <c r="D820" s="1" t="s">
        <v>59</v>
      </c>
      <c r="E820" s="1" t="s">
        <v>42</v>
      </c>
      <c r="G820" s="1" t="s">
        <v>88</v>
      </c>
      <c r="H820" s="1" t="s">
        <v>61</v>
      </c>
      <c r="I820" s="1" t="s">
        <v>4395</v>
      </c>
      <c r="J820" s="1" t="s">
        <v>82</v>
      </c>
      <c r="K820" s="1" t="s">
        <v>4396</v>
      </c>
      <c r="P820" s="1" t="s">
        <v>2997</v>
      </c>
      <c r="Q820" s="1" t="s">
        <v>101</v>
      </c>
      <c r="R820" s="1" t="s">
        <v>102</v>
      </c>
      <c r="S820" s="1" t="s">
        <v>2998</v>
      </c>
      <c r="T820" s="1" t="s">
        <v>2999</v>
      </c>
      <c r="U820" s="1">
        <v>2</v>
      </c>
      <c r="V820" s="1" t="s">
        <v>101</v>
      </c>
      <c r="W820" s="1" t="s">
        <v>4396</v>
      </c>
      <c r="X820" s="1" t="s">
        <v>87</v>
      </c>
      <c r="Y820" s="10">
        <v>44726</v>
      </c>
      <c r="Z820" s="1">
        <v>2022</v>
      </c>
      <c r="AA820" s="2">
        <v>41392.11</v>
      </c>
      <c r="AB820" s="2"/>
      <c r="AC820" s="2">
        <v>7243.62</v>
      </c>
      <c r="AD820" s="1">
        <v>0</v>
      </c>
      <c r="AG820" s="1" t="s">
        <v>432</v>
      </c>
      <c r="AH820" s="1" t="s">
        <v>492</v>
      </c>
      <c r="AI820" s="2">
        <v>0</v>
      </c>
      <c r="AL820" s="1" t="s">
        <v>4397</v>
      </c>
    </row>
    <row r="821" spans="1:38" ht="14.45" customHeight="1" x14ac:dyDescent="0.2">
      <c r="A821" s="1" t="s">
        <v>57</v>
      </c>
      <c r="B821" s="9" t="s">
        <v>39</v>
      </c>
      <c r="C821" s="1" t="s">
        <v>58</v>
      </c>
      <c r="D821" s="1" t="s">
        <v>59</v>
      </c>
      <c r="E821" s="1" t="s">
        <v>42</v>
      </c>
      <c r="G821" s="1" t="s">
        <v>60</v>
      </c>
      <c r="H821" s="1" t="s">
        <v>61</v>
      </c>
      <c r="I821" s="1" t="s">
        <v>4398</v>
      </c>
      <c r="J821" s="1">
        <v>2021</v>
      </c>
      <c r="K821" s="1" t="s">
        <v>4399</v>
      </c>
      <c r="P821" s="1" t="s">
        <v>4400</v>
      </c>
      <c r="Q821" s="1" t="s">
        <v>101</v>
      </c>
      <c r="R821" s="1" t="s">
        <v>326</v>
      </c>
      <c r="S821" s="1" t="s">
        <v>327</v>
      </c>
      <c r="T821" s="1" t="s">
        <v>328</v>
      </c>
      <c r="U821" s="1">
        <v>2</v>
      </c>
      <c r="V821" s="1" t="s">
        <v>80</v>
      </c>
      <c r="W821" s="1" t="s">
        <v>4401</v>
      </c>
      <c r="X821" s="1" t="s">
        <v>138</v>
      </c>
      <c r="Y821" s="10">
        <v>45104</v>
      </c>
      <c r="Z821" s="1">
        <v>2023</v>
      </c>
      <c r="AA821" s="2">
        <v>6466494.8799999999</v>
      </c>
      <c r="AB821" s="2"/>
      <c r="AC821" s="2">
        <v>969974.23200000008</v>
      </c>
      <c r="AD821" s="1">
        <v>73</v>
      </c>
      <c r="AE821" s="1">
        <v>73</v>
      </c>
      <c r="AG821" s="1" t="s">
        <v>432</v>
      </c>
      <c r="AH821" s="1" t="s">
        <v>4371</v>
      </c>
      <c r="AI821" s="2">
        <v>0</v>
      </c>
    </row>
    <row r="822" spans="1:38" ht="14.45" customHeight="1" x14ac:dyDescent="0.2">
      <c r="A822" s="1" t="s">
        <v>57</v>
      </c>
      <c r="B822" s="9" t="s">
        <v>39</v>
      </c>
      <c r="C822" s="1" t="s">
        <v>58</v>
      </c>
      <c r="D822" s="1" t="s">
        <v>59</v>
      </c>
      <c r="E822" s="1" t="s">
        <v>42</v>
      </c>
      <c r="G822" s="1" t="s">
        <v>60</v>
      </c>
      <c r="H822" s="1" t="s">
        <v>61</v>
      </c>
      <c r="I822" s="1" t="s">
        <v>4402</v>
      </c>
      <c r="J822" s="1">
        <v>2021</v>
      </c>
      <c r="K822" s="1" t="s">
        <v>4403</v>
      </c>
      <c r="P822" s="1" t="s">
        <v>4353</v>
      </c>
      <c r="Q822" s="1" t="s">
        <v>101</v>
      </c>
      <c r="R822" s="1" t="s">
        <v>102</v>
      </c>
      <c r="S822" s="1" t="s">
        <v>1486</v>
      </c>
      <c r="T822" s="1" t="s">
        <v>1487</v>
      </c>
      <c r="U822" s="1">
        <v>1</v>
      </c>
      <c r="V822" s="1" t="s">
        <v>101</v>
      </c>
      <c r="W822" s="1" t="s">
        <v>4403</v>
      </c>
      <c r="X822" s="1" t="s">
        <v>321</v>
      </c>
      <c r="Y822" s="10">
        <v>44844</v>
      </c>
      <c r="Z822" s="1">
        <v>2022</v>
      </c>
      <c r="AA822" s="2">
        <v>914865.39</v>
      </c>
      <c r="AB822" s="2"/>
      <c r="AC822" s="2">
        <v>240000</v>
      </c>
      <c r="AD822" s="1">
        <v>8</v>
      </c>
      <c r="AG822" s="1" t="s">
        <v>432</v>
      </c>
      <c r="AH822" s="1" t="s">
        <v>492</v>
      </c>
      <c r="AI822" s="2">
        <v>0</v>
      </c>
    </row>
    <row r="823" spans="1:38" ht="14.45" customHeight="1" x14ac:dyDescent="0.2">
      <c r="A823" s="1" t="s">
        <v>57</v>
      </c>
      <c r="B823" s="9" t="s">
        <v>39</v>
      </c>
      <c r="C823" s="1" t="s">
        <v>58</v>
      </c>
      <c r="D823" s="1" t="s">
        <v>59</v>
      </c>
      <c r="E823" s="1" t="s">
        <v>42</v>
      </c>
      <c r="G823" s="1" t="s">
        <v>60</v>
      </c>
      <c r="H823" s="1" t="s">
        <v>61</v>
      </c>
      <c r="I823" s="1" t="s">
        <v>4404</v>
      </c>
      <c r="J823" s="1">
        <v>2021</v>
      </c>
      <c r="K823" s="1" t="s">
        <v>4405</v>
      </c>
      <c r="P823" s="1" t="s">
        <v>4406</v>
      </c>
      <c r="Q823" s="1" t="s">
        <v>101</v>
      </c>
      <c r="R823" s="1" t="s">
        <v>326</v>
      </c>
      <c r="S823" s="1" t="s">
        <v>327</v>
      </c>
      <c r="T823" s="1" t="s">
        <v>328</v>
      </c>
      <c r="U823" s="1">
        <v>2</v>
      </c>
      <c r="V823" s="1" t="s">
        <v>80</v>
      </c>
      <c r="W823" s="1" t="s">
        <v>4407</v>
      </c>
      <c r="X823" s="1" t="s">
        <v>609</v>
      </c>
      <c r="Y823" s="10">
        <v>45104</v>
      </c>
      <c r="Z823" s="1">
        <v>2023</v>
      </c>
      <c r="AA823" s="2">
        <v>3331757.85</v>
      </c>
      <c r="AB823" s="2"/>
      <c r="AC823" s="2">
        <v>105000</v>
      </c>
      <c r="AD823" s="1">
        <v>5</v>
      </c>
      <c r="AE823" s="1">
        <v>2</v>
      </c>
      <c r="AG823" s="1" t="s">
        <v>432</v>
      </c>
      <c r="AH823" s="1" t="s">
        <v>4371</v>
      </c>
      <c r="AI823" s="2">
        <v>0</v>
      </c>
    </row>
    <row r="824" spans="1:38" ht="14.45" customHeight="1" x14ac:dyDescent="0.2">
      <c r="A824" s="1" t="s">
        <v>57</v>
      </c>
      <c r="B824" s="9" t="s">
        <v>39</v>
      </c>
      <c r="C824" s="1" t="s">
        <v>58</v>
      </c>
      <c r="D824" s="1" t="s">
        <v>59</v>
      </c>
      <c r="E824" s="1" t="s">
        <v>42</v>
      </c>
      <c r="G824" s="1" t="s">
        <v>60</v>
      </c>
      <c r="H824" s="1" t="s">
        <v>61</v>
      </c>
      <c r="I824" s="1" t="s">
        <v>4408</v>
      </c>
      <c r="J824" s="1">
        <v>2021</v>
      </c>
      <c r="K824" s="1" t="s">
        <v>4409</v>
      </c>
      <c r="P824" s="1" t="s">
        <v>1933</v>
      </c>
      <c r="Q824" s="1" t="s">
        <v>101</v>
      </c>
      <c r="R824" s="1" t="s">
        <v>102</v>
      </c>
      <c r="S824" s="1" t="s">
        <v>103</v>
      </c>
      <c r="T824" s="1" t="s">
        <v>104</v>
      </c>
      <c r="U824" s="1">
        <v>1</v>
      </c>
      <c r="V824" s="1" t="s">
        <v>101</v>
      </c>
      <c r="W824" s="1" t="s">
        <v>4410</v>
      </c>
      <c r="X824" s="1" t="s">
        <v>145</v>
      </c>
      <c r="Y824" s="10">
        <v>44764</v>
      </c>
      <c r="Z824" s="1">
        <v>2022</v>
      </c>
      <c r="AA824" s="2">
        <v>293367.40000000002</v>
      </c>
      <c r="AB824" s="2"/>
      <c r="AC824" s="2">
        <v>102678.59</v>
      </c>
      <c r="AD824" s="1">
        <v>3</v>
      </c>
      <c r="AE824" s="1">
        <v>2</v>
      </c>
      <c r="AG824" s="1" t="s">
        <v>432</v>
      </c>
      <c r="AH824" s="1" t="s">
        <v>492</v>
      </c>
      <c r="AI824" s="2">
        <v>0</v>
      </c>
    </row>
    <row r="825" spans="1:38" ht="12.6" customHeight="1" x14ac:dyDescent="0.2">
      <c r="A825" s="1" t="s">
        <v>57</v>
      </c>
      <c r="B825" s="9" t="s">
        <v>39</v>
      </c>
      <c r="C825" s="1" t="s">
        <v>58</v>
      </c>
      <c r="D825" s="1" t="s">
        <v>59</v>
      </c>
      <c r="E825" s="1" t="s">
        <v>42</v>
      </c>
      <c r="G825" s="1" t="s">
        <v>60</v>
      </c>
      <c r="H825" s="1" t="s">
        <v>61</v>
      </c>
      <c r="I825" s="1" t="s">
        <v>4411</v>
      </c>
      <c r="J825" s="1">
        <v>2021</v>
      </c>
      <c r="K825" s="1" t="s">
        <v>4412</v>
      </c>
      <c r="P825" s="1" t="s">
        <v>4413</v>
      </c>
      <c r="Q825" s="1" t="s">
        <v>101</v>
      </c>
      <c r="R825" s="1" t="s">
        <v>102</v>
      </c>
      <c r="S825" s="1" t="s">
        <v>637</v>
      </c>
      <c r="T825" s="1" t="s">
        <v>638</v>
      </c>
      <c r="U825" s="1">
        <v>1</v>
      </c>
      <c r="V825" s="1" t="s">
        <v>101</v>
      </c>
      <c r="W825" s="1" t="s">
        <v>4414</v>
      </c>
      <c r="X825" s="1" t="s">
        <v>609</v>
      </c>
      <c r="Y825" s="10">
        <v>44557</v>
      </c>
      <c r="Z825" s="1">
        <v>2021</v>
      </c>
      <c r="AA825" s="2">
        <v>2555861</v>
      </c>
      <c r="AB825" s="2"/>
      <c r="AC825" s="2">
        <v>180000</v>
      </c>
      <c r="AD825" s="1">
        <v>6</v>
      </c>
      <c r="AG825" s="1" t="s">
        <v>56</v>
      </c>
      <c r="AI825" s="2">
        <v>180000</v>
      </c>
    </row>
    <row r="826" spans="1:38" ht="12.6" customHeight="1" x14ac:dyDescent="0.2">
      <c r="A826" s="1" t="s">
        <v>57</v>
      </c>
      <c r="B826" s="9" t="s">
        <v>39</v>
      </c>
      <c r="C826" s="1" t="s">
        <v>58</v>
      </c>
      <c r="D826" s="1" t="s">
        <v>59</v>
      </c>
      <c r="E826" s="1" t="s">
        <v>42</v>
      </c>
      <c r="G826" s="1" t="s">
        <v>60</v>
      </c>
      <c r="H826" s="1" t="s">
        <v>61</v>
      </c>
      <c r="I826" s="1" t="s">
        <v>4415</v>
      </c>
      <c r="J826" s="1">
        <v>2021</v>
      </c>
      <c r="K826" s="1" t="s">
        <v>4416</v>
      </c>
      <c r="P826" s="1" t="s">
        <v>4417</v>
      </c>
      <c r="Q826" s="1" t="s">
        <v>101</v>
      </c>
      <c r="R826" s="1" t="s">
        <v>102</v>
      </c>
      <c r="S826" s="1" t="s">
        <v>523</v>
      </c>
      <c r="T826" s="1" t="s">
        <v>524</v>
      </c>
      <c r="U826" s="1">
        <v>1</v>
      </c>
      <c r="V826" s="1" t="s">
        <v>101</v>
      </c>
      <c r="W826" s="1" t="s">
        <v>4416</v>
      </c>
      <c r="X826" s="1" t="s">
        <v>400</v>
      </c>
      <c r="Y826" s="10">
        <v>45104</v>
      </c>
      <c r="Z826" s="1">
        <v>2023</v>
      </c>
      <c r="AA826" s="2">
        <v>5136677.6900000004</v>
      </c>
      <c r="AB826" s="2"/>
      <c r="AC826" s="2">
        <v>130000</v>
      </c>
      <c r="AD826" s="1">
        <v>3</v>
      </c>
      <c r="AE826" s="1">
        <v>1</v>
      </c>
      <c r="AG826" s="1" t="s">
        <v>432</v>
      </c>
      <c r="AH826" s="1" t="s">
        <v>4371</v>
      </c>
      <c r="AI826" s="2">
        <v>0</v>
      </c>
    </row>
    <row r="827" spans="1:38" ht="12.6" customHeight="1" x14ac:dyDescent="0.2">
      <c r="A827" s="1" t="s">
        <v>57</v>
      </c>
      <c r="B827" s="9" t="s">
        <v>39</v>
      </c>
      <c r="C827" s="1" t="s">
        <v>58</v>
      </c>
      <c r="D827" s="1" t="s">
        <v>59</v>
      </c>
      <c r="E827" s="1" t="s">
        <v>42</v>
      </c>
      <c r="G827" s="1" t="s">
        <v>60</v>
      </c>
      <c r="H827" s="1" t="s">
        <v>61</v>
      </c>
      <c r="I827" s="1" t="s">
        <v>4418</v>
      </c>
      <c r="J827" s="1">
        <v>2021</v>
      </c>
      <c r="K827" s="1" t="s">
        <v>4419</v>
      </c>
      <c r="P827" s="1" t="s">
        <v>476</v>
      </c>
      <c r="Q827" s="1" t="s">
        <v>101</v>
      </c>
      <c r="R827" s="1" t="s">
        <v>326</v>
      </c>
      <c r="S827" s="1" t="s">
        <v>327</v>
      </c>
      <c r="T827" s="1" t="s">
        <v>328</v>
      </c>
      <c r="U827" s="1">
        <v>2</v>
      </c>
      <c r="V827" s="1" t="s">
        <v>80</v>
      </c>
      <c r="W827" s="1" t="s">
        <v>4420</v>
      </c>
      <c r="X827" s="1" t="s">
        <v>571</v>
      </c>
      <c r="Y827" s="10">
        <v>44557</v>
      </c>
      <c r="Z827" s="1">
        <v>2021</v>
      </c>
      <c r="AA827" s="2">
        <v>717933.88</v>
      </c>
      <c r="AB827" s="2"/>
      <c r="AC827" s="2">
        <v>75000</v>
      </c>
      <c r="AD827" s="1">
        <v>3</v>
      </c>
      <c r="AE827" s="1">
        <v>3</v>
      </c>
      <c r="AG827" s="1" t="s">
        <v>432</v>
      </c>
      <c r="AH827" s="1" t="s">
        <v>492</v>
      </c>
      <c r="AI827" s="2">
        <v>0</v>
      </c>
    </row>
    <row r="828" spans="1:38" ht="14.45" customHeight="1" x14ac:dyDescent="0.2">
      <c r="A828" s="1" t="s">
        <v>57</v>
      </c>
      <c r="B828" s="9" t="s">
        <v>39</v>
      </c>
      <c r="C828" s="1" t="s">
        <v>58</v>
      </c>
      <c r="D828" s="1" t="s">
        <v>59</v>
      </c>
      <c r="E828" s="1" t="s">
        <v>42</v>
      </c>
      <c r="G828" s="1" t="s">
        <v>60</v>
      </c>
      <c r="H828" s="1" t="s">
        <v>61</v>
      </c>
      <c r="I828" s="1" t="s">
        <v>4421</v>
      </c>
      <c r="J828" s="1">
        <v>2021</v>
      </c>
      <c r="K828" s="1" t="s">
        <v>4422</v>
      </c>
      <c r="P828" s="1" t="s">
        <v>1933</v>
      </c>
      <c r="Q828" s="1" t="s">
        <v>101</v>
      </c>
      <c r="R828" s="1" t="s">
        <v>102</v>
      </c>
      <c r="S828" s="1" t="s">
        <v>103</v>
      </c>
      <c r="T828" s="1" t="s">
        <v>104</v>
      </c>
      <c r="U828" s="1">
        <v>1</v>
      </c>
      <c r="V828" s="1" t="s">
        <v>101</v>
      </c>
      <c r="W828" s="1" t="s">
        <v>4423</v>
      </c>
      <c r="X828" s="1" t="s">
        <v>145</v>
      </c>
      <c r="Y828" s="10">
        <v>44764</v>
      </c>
      <c r="Z828" s="1">
        <v>2022</v>
      </c>
      <c r="AA828" s="2">
        <v>406053.62</v>
      </c>
      <c r="AB828" s="2"/>
      <c r="AC828" s="2">
        <v>142118.76699999999</v>
      </c>
      <c r="AD828" s="1">
        <v>3</v>
      </c>
      <c r="AG828" s="1" t="s">
        <v>432</v>
      </c>
      <c r="AH828" s="1" t="s">
        <v>492</v>
      </c>
      <c r="AI828" s="2">
        <v>0</v>
      </c>
    </row>
    <row r="829" spans="1:38" ht="14.45" customHeight="1" x14ac:dyDescent="0.2">
      <c r="A829" s="1" t="s">
        <v>57</v>
      </c>
      <c r="B829" s="9" t="s">
        <v>39</v>
      </c>
      <c r="C829" s="1" t="s">
        <v>58</v>
      </c>
      <c r="D829" s="1" t="s">
        <v>59</v>
      </c>
      <c r="E829" s="1" t="s">
        <v>42</v>
      </c>
      <c r="G829" s="1" t="s">
        <v>60</v>
      </c>
      <c r="H829" s="1" t="s">
        <v>61</v>
      </c>
      <c r="I829" s="1" t="s">
        <v>4424</v>
      </c>
      <c r="J829" s="1">
        <v>2021</v>
      </c>
      <c r="K829" s="1" t="s">
        <v>4425</v>
      </c>
      <c r="P829" s="1" t="s">
        <v>4374</v>
      </c>
      <c r="Q829" s="1" t="s">
        <v>101</v>
      </c>
      <c r="R829" s="1" t="s">
        <v>102</v>
      </c>
      <c r="S829" s="1" t="s">
        <v>4375</v>
      </c>
      <c r="T829" s="1" t="s">
        <v>4376</v>
      </c>
      <c r="U829" s="1">
        <v>2</v>
      </c>
      <c r="V829" s="1" t="s">
        <v>80</v>
      </c>
      <c r="W829" s="1" t="s">
        <v>4425</v>
      </c>
      <c r="X829" s="1" t="s">
        <v>609</v>
      </c>
      <c r="Y829" s="10">
        <v>45098</v>
      </c>
      <c r="Z829" s="1">
        <v>2023</v>
      </c>
      <c r="AA829" s="2">
        <v>1964443.68</v>
      </c>
      <c r="AB829" s="2"/>
      <c r="AC829" s="2">
        <v>220000</v>
      </c>
      <c r="AD829" s="1">
        <v>12</v>
      </c>
      <c r="AG829" s="1" t="s">
        <v>432</v>
      </c>
      <c r="AH829" s="1" t="s">
        <v>4371</v>
      </c>
      <c r="AI829" s="2">
        <v>0</v>
      </c>
    </row>
    <row r="830" spans="1:38" ht="14.45" customHeight="1" x14ac:dyDescent="0.2">
      <c r="A830" s="1" t="s">
        <v>57</v>
      </c>
      <c r="B830" s="9" t="s">
        <v>39</v>
      </c>
      <c r="C830" s="1" t="s">
        <v>58</v>
      </c>
      <c r="D830" s="1" t="s">
        <v>59</v>
      </c>
      <c r="E830" s="1" t="s">
        <v>42</v>
      </c>
      <c r="G830" s="1" t="s">
        <v>88</v>
      </c>
      <c r="H830" s="1" t="s">
        <v>61</v>
      </c>
      <c r="I830" s="1" t="s">
        <v>4426</v>
      </c>
      <c r="J830" s="1">
        <v>2021</v>
      </c>
      <c r="K830" s="1" t="s">
        <v>2508</v>
      </c>
      <c r="L830" s="1" t="s">
        <v>2508</v>
      </c>
      <c r="P830" s="1" t="s">
        <v>2509</v>
      </c>
      <c r="Q830" s="1" t="s">
        <v>101</v>
      </c>
      <c r="R830" s="1" t="s">
        <v>326</v>
      </c>
      <c r="S830" s="1" t="s">
        <v>327</v>
      </c>
      <c r="T830" s="1" t="s">
        <v>328</v>
      </c>
      <c r="U830" s="1">
        <v>2</v>
      </c>
      <c r="V830" s="1" t="s">
        <v>80</v>
      </c>
      <c r="W830" s="1" t="s">
        <v>4427</v>
      </c>
      <c r="X830" s="1" t="s">
        <v>571</v>
      </c>
      <c r="Y830" s="10">
        <v>44557</v>
      </c>
      <c r="Z830" s="1">
        <v>2021</v>
      </c>
      <c r="AA830" s="2">
        <v>466070.88</v>
      </c>
      <c r="AB830" s="2"/>
      <c r="AC830" s="2">
        <v>46607.09</v>
      </c>
      <c r="AD830" s="1">
        <v>2</v>
      </c>
      <c r="AE830" s="1">
        <v>2</v>
      </c>
      <c r="AG830" s="1" t="s">
        <v>432</v>
      </c>
      <c r="AH830" s="1" t="s">
        <v>492</v>
      </c>
      <c r="AI830" s="2">
        <v>0</v>
      </c>
    </row>
    <row r="831" spans="1:38" ht="14.45" customHeight="1" x14ac:dyDescent="0.2">
      <c r="A831" s="1" t="s">
        <v>57</v>
      </c>
      <c r="B831" s="9" t="s">
        <v>39</v>
      </c>
      <c r="C831" s="1" t="s">
        <v>58</v>
      </c>
      <c r="D831" s="1" t="s">
        <v>59</v>
      </c>
      <c r="E831" s="1" t="s">
        <v>42</v>
      </c>
      <c r="G831" s="1" t="s">
        <v>88</v>
      </c>
      <c r="H831" s="1" t="s">
        <v>61</v>
      </c>
      <c r="I831" s="1" t="s">
        <v>4428</v>
      </c>
      <c r="J831" s="1">
        <v>2021</v>
      </c>
      <c r="K831" s="1" t="s">
        <v>4429</v>
      </c>
      <c r="P831" s="1" t="s">
        <v>4430</v>
      </c>
      <c r="Q831" s="1" t="s">
        <v>101</v>
      </c>
      <c r="R831" s="1" t="s">
        <v>102</v>
      </c>
      <c r="S831" s="1" t="s">
        <v>372</v>
      </c>
      <c r="T831" s="1" t="s">
        <v>373</v>
      </c>
      <c r="U831" s="1">
        <v>1</v>
      </c>
      <c r="V831" s="1" t="s">
        <v>101</v>
      </c>
      <c r="W831" s="1" t="s">
        <v>4429</v>
      </c>
      <c r="X831" s="1" t="s">
        <v>609</v>
      </c>
      <c r="Y831" s="10">
        <v>44747</v>
      </c>
      <c r="Z831" s="1">
        <v>2022</v>
      </c>
      <c r="AA831" s="2">
        <v>458045.41</v>
      </c>
      <c r="AB831" s="2"/>
      <c r="AC831" s="2">
        <v>160315.89000000001</v>
      </c>
      <c r="AD831" s="1">
        <v>4</v>
      </c>
      <c r="AG831" s="1" t="s">
        <v>432</v>
      </c>
      <c r="AH831" s="1" t="s">
        <v>492</v>
      </c>
      <c r="AI831" s="2">
        <v>0</v>
      </c>
    </row>
    <row r="832" spans="1:38" ht="14.45" customHeight="1" x14ac:dyDescent="0.2">
      <c r="A832" s="1" t="s">
        <v>57</v>
      </c>
      <c r="B832" s="9" t="s">
        <v>39</v>
      </c>
      <c r="C832" s="1" t="s">
        <v>58</v>
      </c>
      <c r="D832" s="1" t="s">
        <v>59</v>
      </c>
      <c r="E832" s="1" t="s">
        <v>42</v>
      </c>
      <c r="G832" s="1" t="s">
        <v>88</v>
      </c>
      <c r="H832" s="1" t="s">
        <v>61</v>
      </c>
      <c r="I832" s="1" t="s">
        <v>4431</v>
      </c>
      <c r="J832" s="1">
        <v>2021</v>
      </c>
      <c r="K832" s="1" t="s">
        <v>4432</v>
      </c>
      <c r="P832" s="1" t="s">
        <v>4433</v>
      </c>
      <c r="Q832" s="1" t="s">
        <v>101</v>
      </c>
      <c r="R832" s="1" t="s">
        <v>102</v>
      </c>
      <c r="S832" s="1" t="s">
        <v>637</v>
      </c>
      <c r="T832" s="1" t="s">
        <v>638</v>
      </c>
      <c r="U832" s="1">
        <v>1</v>
      </c>
      <c r="V832" s="1" t="s">
        <v>101</v>
      </c>
      <c r="W832" s="1" t="s">
        <v>4432</v>
      </c>
      <c r="X832" s="1" t="s">
        <v>153</v>
      </c>
      <c r="Y832" s="10">
        <v>44619</v>
      </c>
      <c r="Z832" s="1">
        <v>2022</v>
      </c>
      <c r="AA832" s="2">
        <v>217230.05</v>
      </c>
      <c r="AB832" s="2"/>
      <c r="AC832" s="2">
        <v>30000</v>
      </c>
      <c r="AD832" s="1">
        <v>0</v>
      </c>
      <c r="AG832" s="1" t="s">
        <v>432</v>
      </c>
      <c r="AH832" s="1" t="s">
        <v>492</v>
      </c>
      <c r="AI832" s="2">
        <v>0</v>
      </c>
    </row>
    <row r="833" spans="1:35" ht="14.45" customHeight="1" x14ac:dyDescent="0.2">
      <c r="A833" s="1" t="s">
        <v>57</v>
      </c>
      <c r="B833" s="9" t="s">
        <v>39</v>
      </c>
      <c r="C833" s="1" t="s">
        <v>58</v>
      </c>
      <c r="D833" s="1" t="s">
        <v>59</v>
      </c>
      <c r="E833" s="1" t="s">
        <v>42</v>
      </c>
      <c r="G833" s="1" t="s">
        <v>88</v>
      </c>
      <c r="H833" s="1" t="s">
        <v>61</v>
      </c>
      <c r="I833" s="1" t="s">
        <v>4434</v>
      </c>
      <c r="J833" s="1">
        <v>2021</v>
      </c>
      <c r="K833" s="1" t="s">
        <v>4435</v>
      </c>
      <c r="P833" s="1" t="s">
        <v>4436</v>
      </c>
      <c r="Q833" s="1" t="s">
        <v>101</v>
      </c>
      <c r="R833" s="1" t="s">
        <v>339</v>
      </c>
      <c r="S833" s="1" t="s">
        <v>340</v>
      </c>
      <c r="T833" s="1" t="s">
        <v>341</v>
      </c>
      <c r="U833" s="1">
        <v>1</v>
      </c>
      <c r="V833" s="1" t="s">
        <v>80</v>
      </c>
      <c r="W833" s="1" t="s">
        <v>4437</v>
      </c>
      <c r="X833" s="1" t="s">
        <v>400</v>
      </c>
      <c r="Y833" s="10">
        <v>44557</v>
      </c>
      <c r="Z833" s="1">
        <v>2021</v>
      </c>
      <c r="AA833" s="2">
        <v>39541.79</v>
      </c>
      <c r="AB833" s="2"/>
      <c r="AC833" s="2">
        <v>11862.54</v>
      </c>
      <c r="AD833" s="1">
        <v>0</v>
      </c>
      <c r="AG833" s="1" t="s">
        <v>432</v>
      </c>
      <c r="AH833" s="1" t="s">
        <v>4438</v>
      </c>
      <c r="AI833" s="2">
        <v>0</v>
      </c>
    </row>
    <row r="834" spans="1:35" ht="14.45" customHeight="1" x14ac:dyDescent="0.2">
      <c r="A834" s="1" t="s">
        <v>57</v>
      </c>
      <c r="B834" s="9" t="s">
        <v>39</v>
      </c>
      <c r="C834" s="1" t="s">
        <v>58</v>
      </c>
      <c r="D834" s="1" t="s">
        <v>59</v>
      </c>
      <c r="E834" s="1" t="s">
        <v>42</v>
      </c>
      <c r="G834" s="1" t="s">
        <v>88</v>
      </c>
      <c r="H834" s="1" t="s">
        <v>61</v>
      </c>
      <c r="I834" s="1" t="s">
        <v>4439</v>
      </c>
      <c r="J834" s="1">
        <v>2021</v>
      </c>
      <c r="K834" s="1" t="s">
        <v>4440</v>
      </c>
      <c r="P834" s="1" t="s">
        <v>4441</v>
      </c>
      <c r="Q834" s="1" t="s">
        <v>101</v>
      </c>
      <c r="R834" s="1" t="s">
        <v>102</v>
      </c>
      <c r="S834" s="1" t="s">
        <v>4442</v>
      </c>
      <c r="T834" s="1" t="s">
        <v>4443</v>
      </c>
      <c r="U834" s="1">
        <v>2</v>
      </c>
      <c r="V834" s="1" t="s">
        <v>80</v>
      </c>
      <c r="W834" s="1" t="s">
        <v>4440</v>
      </c>
      <c r="X834" s="1" t="s">
        <v>87</v>
      </c>
      <c r="Y834" s="10">
        <v>44727</v>
      </c>
      <c r="Z834" s="1">
        <v>2022</v>
      </c>
      <c r="AA834" s="2">
        <v>65100</v>
      </c>
      <c r="AB834" s="2"/>
      <c r="AC834" s="2">
        <v>11392.5</v>
      </c>
      <c r="AD834" s="1">
        <v>0</v>
      </c>
      <c r="AG834" s="1" t="s">
        <v>432</v>
      </c>
      <c r="AH834" s="1" t="s">
        <v>492</v>
      </c>
      <c r="AI834" s="2">
        <v>0</v>
      </c>
    </row>
    <row r="835" spans="1:35" ht="14.45" customHeight="1" x14ac:dyDescent="0.2">
      <c r="A835" s="1" t="s">
        <v>57</v>
      </c>
      <c r="B835" s="9" t="s">
        <v>39</v>
      </c>
      <c r="C835" s="1" t="s">
        <v>58</v>
      </c>
      <c r="D835" s="1" t="s">
        <v>59</v>
      </c>
      <c r="E835" s="1" t="s">
        <v>42</v>
      </c>
      <c r="G835" s="1" t="s">
        <v>88</v>
      </c>
      <c r="H835" s="1" t="s">
        <v>61</v>
      </c>
      <c r="I835" s="1" t="s">
        <v>4444</v>
      </c>
      <c r="J835" s="1">
        <v>2021</v>
      </c>
      <c r="K835" s="1" t="s">
        <v>999</v>
      </c>
      <c r="P835" s="1" t="s">
        <v>4445</v>
      </c>
      <c r="Q835" s="1" t="s">
        <v>101</v>
      </c>
      <c r="R835" s="1" t="s">
        <v>326</v>
      </c>
      <c r="S835" s="1" t="s">
        <v>327</v>
      </c>
      <c r="T835" s="1" t="s">
        <v>328</v>
      </c>
      <c r="U835" s="1">
        <v>2</v>
      </c>
      <c r="V835" s="1" t="s">
        <v>80</v>
      </c>
      <c r="W835" s="1" t="s">
        <v>4446</v>
      </c>
      <c r="X835" s="1" t="s">
        <v>87</v>
      </c>
      <c r="Y835" s="10">
        <v>44557</v>
      </c>
      <c r="Z835" s="1">
        <v>2021</v>
      </c>
      <c r="AA835" s="2">
        <v>126749.78</v>
      </c>
      <c r="AB835" s="2"/>
      <c r="AC835" s="2">
        <v>19012.47</v>
      </c>
      <c r="AD835" s="1">
        <v>0</v>
      </c>
      <c r="AG835" s="1" t="s">
        <v>432</v>
      </c>
      <c r="AH835" s="1" t="s">
        <v>492</v>
      </c>
      <c r="AI835" s="2">
        <v>0</v>
      </c>
    </row>
    <row r="836" spans="1:35" ht="14.45" customHeight="1" x14ac:dyDescent="0.2">
      <c r="A836" s="1" t="s">
        <v>57</v>
      </c>
      <c r="B836" s="9" t="s">
        <v>39</v>
      </c>
      <c r="C836" s="1" t="s">
        <v>58</v>
      </c>
      <c r="D836" s="1" t="s">
        <v>59</v>
      </c>
      <c r="E836" s="1" t="s">
        <v>42</v>
      </c>
      <c r="G836" s="1" t="s">
        <v>105</v>
      </c>
      <c r="H836" s="1" t="s">
        <v>61</v>
      </c>
      <c r="I836" s="1" t="s">
        <v>4447</v>
      </c>
      <c r="J836" s="1">
        <v>2023</v>
      </c>
      <c r="K836" s="1" t="s">
        <v>4448</v>
      </c>
      <c r="L836" s="1" t="s">
        <v>4449</v>
      </c>
      <c r="P836" s="1" t="s">
        <v>4450</v>
      </c>
      <c r="Q836" s="1" t="s">
        <v>101</v>
      </c>
      <c r="R836" s="1" t="s">
        <v>102</v>
      </c>
      <c r="S836" s="1" t="s">
        <v>3025</v>
      </c>
      <c r="T836" s="1" t="s">
        <v>3026</v>
      </c>
      <c r="U836" s="1">
        <v>1</v>
      </c>
      <c r="V836" s="1" t="s">
        <v>101</v>
      </c>
      <c r="W836" s="1" t="s">
        <v>4451</v>
      </c>
      <c r="Y836" s="10">
        <v>45462</v>
      </c>
      <c r="Z836" s="1">
        <v>2024</v>
      </c>
      <c r="AA836" s="2">
        <v>3651748</v>
      </c>
      <c r="AB836" s="2"/>
      <c r="AC836" s="2">
        <v>590174.80000000005</v>
      </c>
      <c r="AD836" s="1">
        <v>15</v>
      </c>
      <c r="AE836" s="1">
        <v>6</v>
      </c>
      <c r="AG836" s="1" t="s">
        <v>56</v>
      </c>
      <c r="AI836" s="2">
        <v>590174.80000000005</v>
      </c>
    </row>
    <row r="837" spans="1:35" ht="14.45" customHeight="1" x14ac:dyDescent="0.25">
      <c r="A837" s="1" t="s">
        <v>57</v>
      </c>
      <c r="B837" s="9" t="s">
        <v>39</v>
      </c>
      <c r="C837" s="1" t="s">
        <v>58</v>
      </c>
      <c r="D837" s="1" t="s">
        <v>4315</v>
      </c>
      <c r="E837" s="1" t="s">
        <v>42</v>
      </c>
      <c r="G837" s="1" t="s">
        <v>4340</v>
      </c>
      <c r="H837" s="1" t="s">
        <v>61</v>
      </c>
      <c r="I837" s="1" t="s">
        <v>4452</v>
      </c>
      <c r="J837" s="1">
        <v>2020</v>
      </c>
      <c r="P837" s="1" t="s">
        <v>4453</v>
      </c>
      <c r="Q837" s="1" t="s">
        <v>264</v>
      </c>
      <c r="R837" s="1" t="s">
        <v>265</v>
      </c>
      <c r="S837" s="16" t="s">
        <v>306</v>
      </c>
      <c r="T837" s="1" t="s">
        <v>307</v>
      </c>
      <c r="U837" s="1">
        <v>1</v>
      </c>
      <c r="V837" s="1" t="s">
        <v>308</v>
      </c>
      <c r="Y837" s="10">
        <v>44005</v>
      </c>
      <c r="Z837" s="1">
        <v>2020</v>
      </c>
      <c r="AA837" s="2"/>
      <c r="AB837" s="2"/>
      <c r="AC837" s="2">
        <v>28199.88</v>
      </c>
      <c r="AG837" s="1" t="s">
        <v>56</v>
      </c>
      <c r="AI837" s="2">
        <v>28199.88</v>
      </c>
    </row>
    <row r="838" spans="1:35" ht="14.45" customHeight="1" x14ac:dyDescent="0.25">
      <c r="A838" s="1" t="s">
        <v>57</v>
      </c>
      <c r="B838" s="9" t="s">
        <v>39</v>
      </c>
      <c r="C838" s="1" t="s">
        <v>58</v>
      </c>
      <c r="D838" s="1" t="s">
        <v>4315</v>
      </c>
      <c r="E838" s="1" t="s">
        <v>42</v>
      </c>
      <c r="G838" s="1" t="s">
        <v>4340</v>
      </c>
      <c r="H838" s="1" t="s">
        <v>61</v>
      </c>
      <c r="I838" s="1" t="s">
        <v>4454</v>
      </c>
      <c r="J838" s="1">
        <v>2020</v>
      </c>
      <c r="P838" s="1" t="s">
        <v>4453</v>
      </c>
      <c r="Q838" s="1" t="s">
        <v>264</v>
      </c>
      <c r="R838" s="1" t="s">
        <v>265</v>
      </c>
      <c r="S838" s="16" t="s">
        <v>306</v>
      </c>
      <c r="T838" s="1" t="s">
        <v>307</v>
      </c>
      <c r="U838" s="1">
        <v>1</v>
      </c>
      <c r="V838" s="1" t="s">
        <v>308</v>
      </c>
      <c r="Y838" s="10">
        <v>44005</v>
      </c>
      <c r="Z838" s="1">
        <v>2020</v>
      </c>
      <c r="AA838" s="2"/>
      <c r="AB838" s="2"/>
      <c r="AC838" s="2">
        <v>61417.18</v>
      </c>
      <c r="AG838" s="1" t="s">
        <v>56</v>
      </c>
      <c r="AI838" s="2">
        <v>61417.18</v>
      </c>
    </row>
    <row r="839" spans="1:35" ht="14.45" customHeight="1" x14ac:dyDescent="0.25">
      <c r="A839" s="1" t="s">
        <v>57</v>
      </c>
      <c r="B839" s="9" t="s">
        <v>39</v>
      </c>
      <c r="C839" s="1" t="s">
        <v>58</v>
      </c>
      <c r="D839" s="1" t="s">
        <v>4315</v>
      </c>
      <c r="E839" s="1" t="s">
        <v>42</v>
      </c>
      <c r="G839" s="39" t="s">
        <v>4340</v>
      </c>
      <c r="H839" s="1" t="s">
        <v>61</v>
      </c>
      <c r="I839" s="1" t="s">
        <v>4455</v>
      </c>
      <c r="J839" s="1">
        <v>2020</v>
      </c>
      <c r="P839" s="1" t="s">
        <v>4453</v>
      </c>
      <c r="Q839" s="1" t="s">
        <v>264</v>
      </c>
      <c r="R839" s="1" t="s">
        <v>265</v>
      </c>
      <c r="S839" s="16" t="s">
        <v>306</v>
      </c>
      <c r="T839" s="39" t="s">
        <v>307</v>
      </c>
      <c r="U839" s="1">
        <v>1</v>
      </c>
      <c r="V839" s="39" t="s">
        <v>308</v>
      </c>
      <c r="Y839" s="10">
        <v>44005</v>
      </c>
      <c r="Z839" s="1">
        <v>2020</v>
      </c>
      <c r="AA839" s="2"/>
      <c r="AB839" s="2"/>
      <c r="AC839" s="2">
        <v>46284.959999999999</v>
      </c>
      <c r="AG839" s="1" t="s">
        <v>56</v>
      </c>
      <c r="AI839" s="2">
        <v>46284.959999999999</v>
      </c>
    </row>
    <row r="840" spans="1:35" ht="14.45" customHeight="1" x14ac:dyDescent="0.2">
      <c r="A840" s="1" t="s">
        <v>57</v>
      </c>
      <c r="B840" s="9" t="s">
        <v>39</v>
      </c>
      <c r="C840" s="1" t="s">
        <v>58</v>
      </c>
      <c r="D840" s="1" t="s">
        <v>4315</v>
      </c>
      <c r="E840" s="1" t="s">
        <v>42</v>
      </c>
      <c r="G840" s="1" t="s">
        <v>4340</v>
      </c>
      <c r="H840" s="1" t="s">
        <v>61</v>
      </c>
      <c r="I840" s="1" t="s">
        <v>4456</v>
      </c>
      <c r="J840" s="1">
        <v>2020</v>
      </c>
      <c r="P840" s="1" t="s">
        <v>4457</v>
      </c>
      <c r="Q840" s="1" t="s">
        <v>264</v>
      </c>
      <c r="R840" s="1" t="s">
        <v>265</v>
      </c>
      <c r="S840" s="1" t="s">
        <v>2680</v>
      </c>
      <c r="T840" s="39" t="s">
        <v>2681</v>
      </c>
      <c r="U840" s="1">
        <v>1</v>
      </c>
      <c r="V840" s="39" t="s">
        <v>308</v>
      </c>
      <c r="Y840" s="10">
        <v>44005</v>
      </c>
      <c r="Z840" s="1">
        <v>2020</v>
      </c>
      <c r="AA840" s="2"/>
      <c r="AB840" s="2"/>
      <c r="AC840" s="2">
        <v>35219.72</v>
      </c>
      <c r="AG840" s="1" t="s">
        <v>56</v>
      </c>
      <c r="AI840" s="2">
        <v>35219.72</v>
      </c>
    </row>
    <row r="841" spans="1:35" ht="14.45" customHeight="1" x14ac:dyDescent="0.2">
      <c r="A841" s="1" t="s">
        <v>57</v>
      </c>
      <c r="B841" s="9" t="s">
        <v>39</v>
      </c>
      <c r="C841" s="1" t="s">
        <v>58</v>
      </c>
      <c r="D841" s="1" t="s">
        <v>4315</v>
      </c>
      <c r="E841" s="1" t="s">
        <v>42</v>
      </c>
      <c r="G841" s="1" t="s">
        <v>4340</v>
      </c>
      <c r="H841" s="1" t="s">
        <v>61</v>
      </c>
      <c r="I841" s="1" t="s">
        <v>4458</v>
      </c>
      <c r="J841" s="1">
        <v>2020</v>
      </c>
      <c r="P841" s="1" t="s">
        <v>4457</v>
      </c>
      <c r="Q841" s="1" t="s">
        <v>264</v>
      </c>
      <c r="R841" s="1" t="s">
        <v>265</v>
      </c>
      <c r="S841" s="1" t="s">
        <v>2680</v>
      </c>
      <c r="T841" s="1" t="s">
        <v>2681</v>
      </c>
      <c r="U841" s="1">
        <v>1</v>
      </c>
      <c r="V841" s="39" t="s">
        <v>308</v>
      </c>
      <c r="Y841" s="10">
        <v>44005</v>
      </c>
      <c r="Z841" s="1">
        <v>2020</v>
      </c>
      <c r="AA841" s="2"/>
      <c r="AB841" s="2"/>
      <c r="AC841" s="2">
        <v>14501.13</v>
      </c>
      <c r="AG841" s="1" t="s">
        <v>56</v>
      </c>
      <c r="AI841" s="2">
        <v>14501.13</v>
      </c>
    </row>
    <row r="842" spans="1:35" ht="14.45" customHeight="1" x14ac:dyDescent="0.2">
      <c r="A842" s="1" t="s">
        <v>57</v>
      </c>
      <c r="B842" s="9" t="s">
        <v>39</v>
      </c>
      <c r="C842" s="1" t="s">
        <v>58</v>
      </c>
      <c r="D842" s="1" t="s">
        <v>4315</v>
      </c>
      <c r="E842" s="1" t="s">
        <v>42</v>
      </c>
      <c r="G842" s="1" t="s">
        <v>4340</v>
      </c>
      <c r="H842" s="1" t="s">
        <v>61</v>
      </c>
      <c r="I842" s="1" t="s">
        <v>4459</v>
      </c>
      <c r="J842" s="1">
        <v>2020</v>
      </c>
      <c r="P842" s="1" t="s">
        <v>4457</v>
      </c>
      <c r="Q842" s="1" t="s">
        <v>264</v>
      </c>
      <c r="R842" s="1" t="s">
        <v>265</v>
      </c>
      <c r="S842" s="1" t="s">
        <v>2680</v>
      </c>
      <c r="T842" s="39" t="s">
        <v>2681</v>
      </c>
      <c r="U842" s="1">
        <v>1</v>
      </c>
      <c r="V842" s="39" t="s">
        <v>308</v>
      </c>
      <c r="Y842" s="10">
        <v>44005</v>
      </c>
      <c r="Z842" s="1">
        <v>2020</v>
      </c>
      <c r="AA842" s="2"/>
      <c r="AB842" s="2"/>
      <c r="AC842" s="2">
        <v>13968.52</v>
      </c>
      <c r="AG842" s="1" t="s">
        <v>56</v>
      </c>
      <c r="AI842" s="2">
        <v>13968.52</v>
      </c>
    </row>
    <row r="843" spans="1:35" ht="14.45" customHeight="1" x14ac:dyDescent="0.2">
      <c r="A843" s="1" t="s">
        <v>57</v>
      </c>
      <c r="B843" s="9" t="s">
        <v>39</v>
      </c>
      <c r="C843" s="1" t="s">
        <v>58</v>
      </c>
      <c r="D843" s="1" t="s">
        <v>4315</v>
      </c>
      <c r="E843" s="1" t="s">
        <v>42</v>
      </c>
      <c r="G843" s="1" t="s">
        <v>4340</v>
      </c>
      <c r="H843" s="1" t="s">
        <v>61</v>
      </c>
      <c r="I843" s="1" t="s">
        <v>4460</v>
      </c>
      <c r="J843" s="1">
        <v>2020</v>
      </c>
      <c r="P843" s="1" t="s">
        <v>4457</v>
      </c>
      <c r="Q843" s="1" t="s">
        <v>264</v>
      </c>
      <c r="R843" s="1" t="s">
        <v>265</v>
      </c>
      <c r="S843" s="1" t="s">
        <v>2680</v>
      </c>
      <c r="T843" s="1" t="s">
        <v>2681</v>
      </c>
      <c r="U843" s="1">
        <v>1</v>
      </c>
      <c r="V843" s="39" t="s">
        <v>308</v>
      </c>
      <c r="Y843" s="10">
        <v>44005</v>
      </c>
      <c r="Z843" s="1">
        <v>2020</v>
      </c>
      <c r="AA843" s="2"/>
      <c r="AB843" s="2"/>
      <c r="AC843" s="2">
        <v>14001.26</v>
      </c>
      <c r="AG843" s="1" t="s">
        <v>56</v>
      </c>
      <c r="AI843" s="2">
        <v>14001.26</v>
      </c>
    </row>
    <row r="844" spans="1:35" ht="12.6" customHeight="1" x14ac:dyDescent="0.2">
      <c r="A844" s="1" t="s">
        <v>57</v>
      </c>
      <c r="B844" s="9" t="s">
        <v>39</v>
      </c>
      <c r="C844" s="1" t="s">
        <v>58</v>
      </c>
      <c r="D844" s="1" t="s">
        <v>4315</v>
      </c>
      <c r="E844" s="1" t="s">
        <v>42</v>
      </c>
      <c r="G844" s="1" t="s">
        <v>4340</v>
      </c>
      <c r="H844" s="1" t="s">
        <v>61</v>
      </c>
      <c r="I844" s="1" t="s">
        <v>4461</v>
      </c>
      <c r="J844" s="1">
        <v>2021</v>
      </c>
      <c r="P844" s="1" t="s">
        <v>4457</v>
      </c>
      <c r="Q844" s="1" t="s">
        <v>264</v>
      </c>
      <c r="R844" s="1" t="s">
        <v>265</v>
      </c>
      <c r="S844" s="1" t="s">
        <v>2680</v>
      </c>
      <c r="T844" s="39" t="s">
        <v>2681</v>
      </c>
      <c r="U844" s="1">
        <v>1</v>
      </c>
      <c r="V844" s="39" t="s">
        <v>308</v>
      </c>
      <c r="Y844" s="10">
        <v>44299</v>
      </c>
      <c r="Z844" s="1">
        <v>2021</v>
      </c>
      <c r="AA844" s="2"/>
      <c r="AB844" s="2"/>
      <c r="AC844" s="2">
        <v>19185.91</v>
      </c>
      <c r="AG844" s="1" t="s">
        <v>56</v>
      </c>
      <c r="AI844" s="2">
        <v>19185.91</v>
      </c>
    </row>
    <row r="845" spans="1:35" ht="14.45" customHeight="1" x14ac:dyDescent="0.2">
      <c r="A845" s="1" t="s">
        <v>57</v>
      </c>
      <c r="B845" s="9" t="s">
        <v>39</v>
      </c>
      <c r="C845" s="1" t="s">
        <v>58</v>
      </c>
      <c r="D845" s="1" t="s">
        <v>4315</v>
      </c>
      <c r="E845" s="1" t="s">
        <v>42</v>
      </c>
      <c r="G845" s="39" t="s">
        <v>4340</v>
      </c>
      <c r="H845" s="1" t="s">
        <v>61</v>
      </c>
      <c r="I845" s="1" t="s">
        <v>4462</v>
      </c>
      <c r="J845" s="1">
        <v>2020</v>
      </c>
      <c r="P845" s="1" t="s">
        <v>4457</v>
      </c>
      <c r="Q845" s="1" t="s">
        <v>264</v>
      </c>
      <c r="R845" s="1" t="s">
        <v>265</v>
      </c>
      <c r="S845" s="1" t="s">
        <v>2680</v>
      </c>
      <c r="T845" s="39" t="s">
        <v>2681</v>
      </c>
      <c r="U845" s="1">
        <v>1</v>
      </c>
      <c r="V845" s="39" t="s">
        <v>308</v>
      </c>
      <c r="Y845" s="10">
        <v>44005</v>
      </c>
      <c r="Z845" s="1">
        <v>2020</v>
      </c>
      <c r="AA845" s="2"/>
      <c r="AB845" s="2"/>
      <c r="AC845" s="2">
        <v>13949.23</v>
      </c>
      <c r="AG845" s="1" t="s">
        <v>56</v>
      </c>
      <c r="AI845" s="2">
        <v>13949.23</v>
      </c>
    </row>
    <row r="846" spans="1:35" ht="14.45" customHeight="1" x14ac:dyDescent="0.2">
      <c r="A846" s="1" t="s">
        <v>57</v>
      </c>
      <c r="B846" s="9" t="s">
        <v>39</v>
      </c>
      <c r="C846" s="1" t="s">
        <v>58</v>
      </c>
      <c r="D846" s="1" t="s">
        <v>4315</v>
      </c>
      <c r="E846" s="1" t="s">
        <v>42</v>
      </c>
      <c r="G846" s="39" t="s">
        <v>4340</v>
      </c>
      <c r="H846" s="1" t="s">
        <v>61</v>
      </c>
      <c r="I846" s="1" t="s">
        <v>4463</v>
      </c>
      <c r="J846" s="1">
        <v>2020</v>
      </c>
      <c r="P846" s="1" t="s">
        <v>4457</v>
      </c>
      <c r="Q846" s="1" t="s">
        <v>264</v>
      </c>
      <c r="R846" s="1" t="s">
        <v>265</v>
      </c>
      <c r="S846" s="1" t="s">
        <v>2680</v>
      </c>
      <c r="T846" s="39" t="s">
        <v>2681</v>
      </c>
      <c r="U846" s="1">
        <v>1</v>
      </c>
      <c r="V846" s="39" t="s">
        <v>308</v>
      </c>
      <c r="Y846" s="10">
        <v>44005</v>
      </c>
      <c r="Z846" s="1">
        <v>2020</v>
      </c>
      <c r="AA846" s="2"/>
      <c r="AB846" s="2"/>
      <c r="AC846" s="2">
        <v>48114.43</v>
      </c>
      <c r="AG846" s="1" t="s">
        <v>56</v>
      </c>
      <c r="AI846" s="2">
        <v>48114.43</v>
      </c>
    </row>
    <row r="847" spans="1:35" ht="14.45" customHeight="1" x14ac:dyDescent="0.2">
      <c r="A847" s="1" t="s">
        <v>57</v>
      </c>
      <c r="B847" s="9" t="s">
        <v>39</v>
      </c>
      <c r="C847" s="1" t="s">
        <v>58</v>
      </c>
      <c r="D847" s="1" t="s">
        <v>4315</v>
      </c>
      <c r="E847" s="1" t="s">
        <v>42</v>
      </c>
      <c r="G847" s="39" t="s">
        <v>4340</v>
      </c>
      <c r="H847" s="1" t="s">
        <v>61</v>
      </c>
      <c r="I847" s="1" t="s">
        <v>4464</v>
      </c>
      <c r="J847" s="1">
        <v>2020</v>
      </c>
      <c r="P847" s="1" t="s">
        <v>4457</v>
      </c>
      <c r="Q847" s="1" t="s">
        <v>264</v>
      </c>
      <c r="R847" s="1" t="s">
        <v>265</v>
      </c>
      <c r="S847" s="1" t="s">
        <v>2680</v>
      </c>
      <c r="T847" s="39" t="s">
        <v>2681</v>
      </c>
      <c r="U847" s="1">
        <v>1</v>
      </c>
      <c r="V847" s="39" t="s">
        <v>308</v>
      </c>
      <c r="Y847" s="10">
        <v>44005</v>
      </c>
      <c r="Z847" s="1">
        <v>2020</v>
      </c>
      <c r="AA847" s="2"/>
      <c r="AB847" s="2"/>
      <c r="AC847" s="2">
        <v>19956.560000000001</v>
      </c>
      <c r="AG847" s="1" t="s">
        <v>56</v>
      </c>
      <c r="AI847" s="2">
        <v>19956.560000000001</v>
      </c>
    </row>
    <row r="848" spans="1:35" ht="14.45" customHeight="1" x14ac:dyDescent="0.2">
      <c r="A848" s="1" t="s">
        <v>57</v>
      </c>
      <c r="B848" s="9" t="s">
        <v>39</v>
      </c>
      <c r="C848" s="1" t="s">
        <v>58</v>
      </c>
      <c r="D848" s="1" t="s">
        <v>4315</v>
      </c>
      <c r="E848" s="1" t="s">
        <v>42</v>
      </c>
      <c r="G848" s="39" t="s">
        <v>4340</v>
      </c>
      <c r="H848" s="1" t="s">
        <v>61</v>
      </c>
      <c r="I848" s="1" t="s">
        <v>4465</v>
      </c>
      <c r="J848" s="1">
        <v>2020</v>
      </c>
      <c r="P848" s="1" t="s">
        <v>4457</v>
      </c>
      <c r="Q848" s="1" t="s">
        <v>264</v>
      </c>
      <c r="R848" s="1" t="s">
        <v>265</v>
      </c>
      <c r="S848" s="1" t="s">
        <v>2680</v>
      </c>
      <c r="T848" s="39" t="s">
        <v>2681</v>
      </c>
      <c r="U848" s="1">
        <v>1</v>
      </c>
      <c r="V848" s="39" t="s">
        <v>308</v>
      </c>
      <c r="Y848" s="10">
        <v>44005</v>
      </c>
      <c r="Z848" s="1">
        <v>2020</v>
      </c>
      <c r="AA848" s="2"/>
      <c r="AB848" s="2"/>
      <c r="AC848" s="2">
        <v>12726.67</v>
      </c>
      <c r="AG848" s="1" t="s">
        <v>56</v>
      </c>
      <c r="AI848" s="2">
        <v>12726.67</v>
      </c>
    </row>
    <row r="849" spans="1:38" ht="14.45" customHeight="1" x14ac:dyDescent="0.2">
      <c r="A849" s="1" t="s">
        <v>57</v>
      </c>
      <c r="B849" s="9" t="s">
        <v>39</v>
      </c>
      <c r="C849" s="1" t="s">
        <v>58</v>
      </c>
      <c r="D849" s="1" t="s">
        <v>4315</v>
      </c>
      <c r="E849" s="1" t="s">
        <v>42</v>
      </c>
      <c r="G849" s="39" t="s">
        <v>4340</v>
      </c>
      <c r="H849" s="1" t="s">
        <v>61</v>
      </c>
      <c r="I849" s="1" t="s">
        <v>4466</v>
      </c>
      <c r="J849" s="1">
        <v>2020</v>
      </c>
      <c r="P849" s="1" t="s">
        <v>4457</v>
      </c>
      <c r="Q849" s="1" t="s">
        <v>264</v>
      </c>
      <c r="R849" s="1" t="s">
        <v>265</v>
      </c>
      <c r="S849" s="1" t="s">
        <v>2680</v>
      </c>
      <c r="T849" s="39" t="s">
        <v>2681</v>
      </c>
      <c r="U849" s="1">
        <v>1</v>
      </c>
      <c r="V849" s="39" t="s">
        <v>308</v>
      </c>
      <c r="Y849" s="10">
        <v>44005</v>
      </c>
      <c r="Z849" s="1">
        <v>2020</v>
      </c>
      <c r="AA849" s="2"/>
      <c r="AB849" s="2"/>
      <c r="AC849" s="2">
        <v>20068.2</v>
      </c>
      <c r="AG849" s="1" t="s">
        <v>56</v>
      </c>
      <c r="AI849" s="2">
        <v>20068.2</v>
      </c>
    </row>
    <row r="850" spans="1:38" ht="14.45" customHeight="1" x14ac:dyDescent="0.2">
      <c r="A850" s="1" t="s">
        <v>57</v>
      </c>
      <c r="B850" s="9" t="s">
        <v>39</v>
      </c>
      <c r="C850" s="1" t="s">
        <v>58</v>
      </c>
      <c r="D850" s="1" t="s">
        <v>4315</v>
      </c>
      <c r="E850" s="1" t="s">
        <v>42</v>
      </c>
      <c r="G850" s="39" t="s">
        <v>4340</v>
      </c>
      <c r="H850" s="1" t="s">
        <v>61</v>
      </c>
      <c r="I850" s="1" t="s">
        <v>4467</v>
      </c>
      <c r="J850" s="1">
        <v>2020</v>
      </c>
      <c r="P850" s="1" t="s">
        <v>4457</v>
      </c>
      <c r="Q850" s="1" t="s">
        <v>264</v>
      </c>
      <c r="R850" s="1" t="s">
        <v>265</v>
      </c>
      <c r="S850" s="1" t="s">
        <v>2680</v>
      </c>
      <c r="T850" s="39" t="s">
        <v>2681</v>
      </c>
      <c r="U850" s="1">
        <v>1</v>
      </c>
      <c r="V850" s="39" t="s">
        <v>308</v>
      </c>
      <c r="Y850" s="10">
        <v>44005</v>
      </c>
      <c r="Z850" s="1">
        <v>2020</v>
      </c>
      <c r="AA850" s="2"/>
      <c r="AB850" s="2"/>
      <c r="AC850" s="2">
        <v>19469.95</v>
      </c>
      <c r="AG850" s="1" t="s">
        <v>56</v>
      </c>
      <c r="AI850" s="2">
        <v>19469.95</v>
      </c>
    </row>
    <row r="851" spans="1:38" ht="14.45" customHeight="1" x14ac:dyDescent="0.2">
      <c r="A851" s="1" t="s">
        <v>57</v>
      </c>
      <c r="B851" s="9" t="s">
        <v>39</v>
      </c>
      <c r="C851" s="1" t="s">
        <v>58</v>
      </c>
      <c r="D851" s="1" t="s">
        <v>4315</v>
      </c>
      <c r="E851" s="1" t="s">
        <v>42</v>
      </c>
      <c r="G851" s="39" t="s">
        <v>4340</v>
      </c>
      <c r="H851" s="1" t="s">
        <v>61</v>
      </c>
      <c r="I851" s="1" t="s">
        <v>4468</v>
      </c>
      <c r="J851" s="1">
        <v>2020</v>
      </c>
      <c r="P851" s="1" t="s">
        <v>4457</v>
      </c>
      <c r="Q851" s="1" t="s">
        <v>264</v>
      </c>
      <c r="R851" s="1" t="s">
        <v>265</v>
      </c>
      <c r="S851" s="1" t="s">
        <v>2680</v>
      </c>
      <c r="T851" s="39" t="s">
        <v>2681</v>
      </c>
      <c r="U851" s="1">
        <v>1</v>
      </c>
      <c r="V851" s="39" t="s">
        <v>308</v>
      </c>
      <c r="Y851" s="10">
        <v>44005</v>
      </c>
      <c r="Z851" s="1">
        <v>2020</v>
      </c>
      <c r="AA851" s="2"/>
      <c r="AB851" s="2"/>
      <c r="AC851" s="2">
        <v>13061.16</v>
      </c>
      <c r="AG851" s="1" t="s">
        <v>56</v>
      </c>
      <c r="AI851" s="2">
        <v>13061.16</v>
      </c>
    </row>
    <row r="852" spans="1:38" ht="12.6" customHeight="1" x14ac:dyDescent="0.2">
      <c r="A852" s="1" t="s">
        <v>57</v>
      </c>
      <c r="B852" s="9" t="s">
        <v>39</v>
      </c>
      <c r="C852" s="1" t="s">
        <v>58</v>
      </c>
      <c r="D852" s="1" t="s">
        <v>4315</v>
      </c>
      <c r="E852" s="1" t="s">
        <v>42</v>
      </c>
      <c r="G852" s="39" t="s">
        <v>4340</v>
      </c>
      <c r="H852" s="1" t="s">
        <v>61</v>
      </c>
      <c r="I852" s="1" t="s">
        <v>4469</v>
      </c>
      <c r="J852" s="1">
        <v>2020</v>
      </c>
      <c r="P852" s="1" t="s">
        <v>4457</v>
      </c>
      <c r="Q852" s="1" t="s">
        <v>264</v>
      </c>
      <c r="R852" s="1" t="s">
        <v>265</v>
      </c>
      <c r="S852" s="1" t="s">
        <v>2680</v>
      </c>
      <c r="T852" s="39" t="s">
        <v>2681</v>
      </c>
      <c r="U852" s="1">
        <v>1</v>
      </c>
      <c r="V852" s="39" t="s">
        <v>308</v>
      </c>
      <c r="Y852" s="10">
        <v>44160</v>
      </c>
      <c r="Z852" s="1">
        <v>2020</v>
      </c>
      <c r="AA852" s="2"/>
      <c r="AB852" s="2"/>
      <c r="AC852" s="2">
        <v>18666.36</v>
      </c>
      <c r="AG852" s="1" t="s">
        <v>56</v>
      </c>
      <c r="AI852" s="2">
        <v>18666.36</v>
      </c>
    </row>
    <row r="853" spans="1:38" ht="12.6" customHeight="1" x14ac:dyDescent="0.2">
      <c r="A853" s="1" t="s">
        <v>57</v>
      </c>
      <c r="B853" s="9" t="s">
        <v>39</v>
      </c>
      <c r="C853" s="1" t="s">
        <v>58</v>
      </c>
      <c r="D853" s="1" t="s">
        <v>4315</v>
      </c>
      <c r="E853" s="1" t="s">
        <v>42</v>
      </c>
      <c r="G853" s="39" t="s">
        <v>4316</v>
      </c>
      <c r="H853" s="1" t="s">
        <v>61</v>
      </c>
      <c r="I853" s="1" t="s">
        <v>4470</v>
      </c>
      <c r="J853" s="1">
        <v>2019</v>
      </c>
      <c r="P853" s="1" t="s">
        <v>4471</v>
      </c>
      <c r="Q853" s="1" t="s">
        <v>50</v>
      </c>
      <c r="R853" s="1" t="s">
        <v>68</v>
      </c>
      <c r="S853" s="1" t="s">
        <v>425</v>
      </c>
      <c r="T853" s="1" t="s">
        <v>426</v>
      </c>
      <c r="U853" s="1">
        <v>1</v>
      </c>
      <c r="V853" s="39" t="s">
        <v>195</v>
      </c>
      <c r="Y853" s="10">
        <v>43466</v>
      </c>
      <c r="Z853" s="1">
        <v>2019</v>
      </c>
      <c r="AA853" s="2"/>
      <c r="AB853" s="2"/>
      <c r="AC853" s="2">
        <v>176215.02999999997</v>
      </c>
      <c r="AG853" s="1" t="s">
        <v>56</v>
      </c>
      <c r="AI853" s="2">
        <v>176215.02999999997</v>
      </c>
      <c r="AL853" s="1" t="s">
        <v>4319</v>
      </c>
    </row>
    <row r="854" spans="1:38" ht="12.6" customHeight="1" x14ac:dyDescent="0.2">
      <c r="A854" s="1" t="s">
        <v>57</v>
      </c>
      <c r="B854" s="9" t="s">
        <v>39</v>
      </c>
      <c r="C854" s="1" t="s">
        <v>58</v>
      </c>
      <c r="D854" s="1" t="s">
        <v>4315</v>
      </c>
      <c r="E854" s="1" t="s">
        <v>42</v>
      </c>
      <c r="G854" s="39" t="s">
        <v>4316</v>
      </c>
      <c r="H854" s="1" t="s">
        <v>61</v>
      </c>
      <c r="I854" s="1" t="s">
        <v>4472</v>
      </c>
      <c r="J854" s="1">
        <v>2019</v>
      </c>
      <c r="P854" s="1" t="s">
        <v>4471</v>
      </c>
      <c r="Q854" s="1" t="s">
        <v>50</v>
      </c>
      <c r="R854" s="1" t="s">
        <v>68</v>
      </c>
      <c r="S854" s="1" t="s">
        <v>425</v>
      </c>
      <c r="T854" s="39" t="s">
        <v>426</v>
      </c>
      <c r="U854" s="1">
        <v>1</v>
      </c>
      <c r="V854" s="39" t="s">
        <v>195</v>
      </c>
      <c r="Y854" s="10">
        <v>43617</v>
      </c>
      <c r="Z854" s="1">
        <v>2019</v>
      </c>
      <c r="AA854" s="2"/>
      <c r="AB854" s="2"/>
      <c r="AC854" s="2">
        <v>486839.55000000005</v>
      </c>
      <c r="AG854" s="1" t="s">
        <v>56</v>
      </c>
      <c r="AI854" s="2">
        <v>486839.55000000005</v>
      </c>
      <c r="AL854" s="1" t="s">
        <v>4319</v>
      </c>
    </row>
    <row r="855" spans="1:38" ht="12.6" customHeight="1" x14ac:dyDescent="0.2">
      <c r="A855" s="1" t="s">
        <v>57</v>
      </c>
      <c r="B855" s="9" t="s">
        <v>39</v>
      </c>
      <c r="C855" s="1" t="s">
        <v>58</v>
      </c>
      <c r="D855" s="1" t="s">
        <v>4315</v>
      </c>
      <c r="E855" s="1" t="s">
        <v>42</v>
      </c>
      <c r="G855" s="39" t="s">
        <v>4316</v>
      </c>
      <c r="H855" s="1" t="s">
        <v>61</v>
      </c>
      <c r="I855" s="1" t="s">
        <v>4473</v>
      </c>
      <c r="J855" s="1">
        <v>2018</v>
      </c>
      <c r="P855" s="1" t="s">
        <v>4474</v>
      </c>
      <c r="Q855" s="1" t="s">
        <v>50</v>
      </c>
      <c r="R855" s="1" t="s">
        <v>68</v>
      </c>
      <c r="S855" s="1" t="s">
        <v>430</v>
      </c>
      <c r="T855" s="39" t="s">
        <v>431</v>
      </c>
      <c r="U855" s="1">
        <v>1</v>
      </c>
      <c r="V855" s="39" t="s">
        <v>71</v>
      </c>
      <c r="Y855" s="10">
        <v>43461</v>
      </c>
      <c r="Z855" s="1">
        <v>2018</v>
      </c>
      <c r="AA855" s="2"/>
      <c r="AB855" s="2"/>
      <c r="AC855" s="2">
        <v>352724.26</v>
      </c>
      <c r="AG855" s="1" t="s">
        <v>56</v>
      </c>
      <c r="AI855" s="2">
        <v>352724.26</v>
      </c>
      <c r="AL855" s="1" t="s">
        <v>4319</v>
      </c>
    </row>
    <row r="856" spans="1:38" ht="12.6" customHeight="1" x14ac:dyDescent="0.2">
      <c r="A856" s="1" t="s">
        <v>57</v>
      </c>
      <c r="B856" s="9" t="s">
        <v>39</v>
      </c>
      <c r="C856" s="1" t="s">
        <v>58</v>
      </c>
      <c r="D856" s="1" t="s">
        <v>4315</v>
      </c>
      <c r="E856" s="1" t="s">
        <v>42</v>
      </c>
      <c r="G856" s="39" t="s">
        <v>4340</v>
      </c>
      <c r="H856" s="1" t="s">
        <v>61</v>
      </c>
      <c r="I856" s="1" t="s">
        <v>4475</v>
      </c>
      <c r="J856" s="1">
        <v>2019</v>
      </c>
      <c r="P856" s="1" t="s">
        <v>4474</v>
      </c>
      <c r="Q856" s="1" t="s">
        <v>264</v>
      </c>
      <c r="R856" s="1" t="s">
        <v>265</v>
      </c>
      <c r="S856" s="1" t="s">
        <v>935</v>
      </c>
      <c r="T856" s="39" t="s">
        <v>936</v>
      </c>
      <c r="U856" s="1">
        <v>1</v>
      </c>
      <c r="V856" s="39" t="s">
        <v>308</v>
      </c>
      <c r="Y856" s="10">
        <v>43809</v>
      </c>
      <c r="Z856" s="1">
        <v>2019</v>
      </c>
      <c r="AA856" s="2"/>
      <c r="AB856" s="2"/>
      <c r="AC856" s="2">
        <v>24279.99</v>
      </c>
      <c r="AG856" s="1" t="s">
        <v>56</v>
      </c>
      <c r="AI856" s="2">
        <v>24279.99</v>
      </c>
    </row>
    <row r="857" spans="1:38" ht="12.6" customHeight="1" x14ac:dyDescent="0.2">
      <c r="A857" s="1" t="s">
        <v>57</v>
      </c>
      <c r="B857" s="9" t="s">
        <v>39</v>
      </c>
      <c r="C857" s="1" t="s">
        <v>58</v>
      </c>
      <c r="D857" s="1" t="s">
        <v>146</v>
      </c>
      <c r="E857" s="1" t="s">
        <v>42</v>
      </c>
      <c r="G857" s="39" t="s">
        <v>1172</v>
      </c>
      <c r="H857" s="1" t="s">
        <v>61</v>
      </c>
      <c r="I857" s="1" t="s">
        <v>4476</v>
      </c>
      <c r="J857" s="1">
        <v>2020</v>
      </c>
      <c r="K857" s="1" t="s">
        <v>4477</v>
      </c>
      <c r="P857" s="1" t="s">
        <v>3033</v>
      </c>
      <c r="Q857" s="1" t="s">
        <v>1149</v>
      </c>
      <c r="R857" s="1" t="s">
        <v>1150</v>
      </c>
      <c r="S857" s="1" t="s">
        <v>1218</v>
      </c>
      <c r="T857" s="39" t="s">
        <v>1219</v>
      </c>
      <c r="V857" s="39" t="s">
        <v>1153</v>
      </c>
      <c r="W857" s="1" t="s">
        <v>4477</v>
      </c>
      <c r="X857" s="1" t="s">
        <v>309</v>
      </c>
      <c r="Y857" s="10">
        <v>44337</v>
      </c>
      <c r="Z857" s="1">
        <v>2021</v>
      </c>
      <c r="AA857" s="2">
        <v>539035</v>
      </c>
      <c r="AB857" s="2"/>
      <c r="AC857" s="2">
        <v>288814.95</v>
      </c>
      <c r="AD857" s="1">
        <v>1</v>
      </c>
      <c r="AE857" s="1">
        <v>1</v>
      </c>
      <c r="AG857" s="1" t="s">
        <v>432</v>
      </c>
      <c r="AH857" s="1" t="s">
        <v>492</v>
      </c>
      <c r="AI857" s="2">
        <v>0</v>
      </c>
      <c r="AK857" s="1">
        <v>1</v>
      </c>
      <c r="AL857" s="1" t="s">
        <v>1336</v>
      </c>
    </row>
    <row r="858" spans="1:38" ht="12.6" customHeight="1" x14ac:dyDescent="0.2">
      <c r="A858" s="1" t="s">
        <v>57</v>
      </c>
      <c r="B858" s="9" t="s">
        <v>39</v>
      </c>
      <c r="C858" s="1" t="s">
        <v>58</v>
      </c>
      <c r="D858" s="1" t="s">
        <v>146</v>
      </c>
      <c r="E858" s="1" t="s">
        <v>42</v>
      </c>
      <c r="G858" s="39" t="s">
        <v>1172</v>
      </c>
      <c r="H858" s="1" t="s">
        <v>61</v>
      </c>
      <c r="I858" s="1" t="s">
        <v>4478</v>
      </c>
      <c r="J858" s="1">
        <v>2020</v>
      </c>
      <c r="K858" s="1" t="s">
        <v>4479</v>
      </c>
      <c r="P858" s="1" t="s">
        <v>3033</v>
      </c>
      <c r="Q858" s="1" t="s">
        <v>1149</v>
      </c>
      <c r="R858" s="1" t="s">
        <v>1150</v>
      </c>
      <c r="S858" s="1" t="s">
        <v>1218</v>
      </c>
      <c r="T858" s="39" t="s">
        <v>1219</v>
      </c>
      <c r="V858" s="39" t="s">
        <v>1153</v>
      </c>
      <c r="W858" s="1" t="s">
        <v>4479</v>
      </c>
      <c r="X858" s="1" t="s">
        <v>309</v>
      </c>
      <c r="Y858" s="10">
        <v>44337</v>
      </c>
      <c r="Z858" s="1">
        <v>2021</v>
      </c>
      <c r="AA858" s="2">
        <v>890800</v>
      </c>
      <c r="AB858" s="2"/>
      <c r="AC858" s="2">
        <v>445400</v>
      </c>
      <c r="AD858" s="1">
        <v>5</v>
      </c>
      <c r="AE858" s="1">
        <v>2</v>
      </c>
      <c r="AG858" s="1" t="s">
        <v>432</v>
      </c>
      <c r="AH858" s="1" t="s">
        <v>492</v>
      </c>
      <c r="AI858" s="2">
        <v>0</v>
      </c>
      <c r="AK858" s="1">
        <v>5</v>
      </c>
      <c r="AL858" s="1" t="s">
        <v>4480</v>
      </c>
    </row>
    <row r="859" spans="1:38" ht="12.6" customHeight="1" x14ac:dyDescent="0.25">
      <c r="A859" s="1" t="s">
        <v>57</v>
      </c>
      <c r="B859" s="9" t="s">
        <v>39</v>
      </c>
      <c r="C859" s="1" t="s">
        <v>58</v>
      </c>
      <c r="D859" s="1" t="s">
        <v>146</v>
      </c>
      <c r="E859" s="1" t="s">
        <v>42</v>
      </c>
      <c r="G859" s="39" t="s">
        <v>1172</v>
      </c>
      <c r="H859" s="1" t="s">
        <v>61</v>
      </c>
      <c r="I859" s="1" t="s">
        <v>4481</v>
      </c>
      <c r="J859" s="1">
        <v>2020</v>
      </c>
      <c r="K859" s="1" t="s">
        <v>4482</v>
      </c>
      <c r="P859" s="1" t="s">
        <v>1176</v>
      </c>
      <c r="Q859" s="1" t="s">
        <v>842</v>
      </c>
      <c r="R859" s="1" t="s">
        <v>1177</v>
      </c>
      <c r="S859" s="16" t="s">
        <v>1178</v>
      </c>
      <c r="T859" s="39" t="s">
        <v>1179</v>
      </c>
      <c r="V859" s="39" t="s">
        <v>1178</v>
      </c>
      <c r="W859" s="1" t="s">
        <v>4482</v>
      </c>
      <c r="X859" s="1" t="s">
        <v>309</v>
      </c>
      <c r="Y859" s="10">
        <v>44337</v>
      </c>
      <c r="Z859" s="1">
        <v>2021</v>
      </c>
      <c r="AA859" s="2">
        <v>349960</v>
      </c>
      <c r="AB859" s="2"/>
      <c r="AC859" s="2">
        <v>215085.42</v>
      </c>
      <c r="AD859" s="1">
        <v>4</v>
      </c>
      <c r="AE859" s="1">
        <v>2</v>
      </c>
      <c r="AG859" s="1" t="s">
        <v>432</v>
      </c>
      <c r="AI859" s="2">
        <v>0</v>
      </c>
      <c r="AK859" s="1">
        <v>4</v>
      </c>
      <c r="AL859" s="1" t="s">
        <v>4483</v>
      </c>
    </row>
    <row r="860" spans="1:38" ht="12.6" customHeight="1" x14ac:dyDescent="0.25">
      <c r="A860" s="1" t="s">
        <v>57</v>
      </c>
      <c r="B860" s="9" t="s">
        <v>39</v>
      </c>
      <c r="C860" s="1" t="s">
        <v>58</v>
      </c>
      <c r="D860" s="1" t="s">
        <v>146</v>
      </c>
      <c r="E860" s="1" t="s">
        <v>42</v>
      </c>
      <c r="G860" s="39" t="s">
        <v>1172</v>
      </c>
      <c r="H860" s="1" t="s">
        <v>61</v>
      </c>
      <c r="I860" s="1" t="s">
        <v>4484</v>
      </c>
      <c r="J860" s="1">
        <v>2020</v>
      </c>
      <c r="K860" s="1" t="s">
        <v>3827</v>
      </c>
      <c r="P860" s="1" t="s">
        <v>1176</v>
      </c>
      <c r="Q860" s="1" t="s">
        <v>842</v>
      </c>
      <c r="R860" s="1" t="s">
        <v>1177</v>
      </c>
      <c r="S860" s="16" t="s">
        <v>1178</v>
      </c>
      <c r="T860" s="39" t="s">
        <v>1179</v>
      </c>
      <c r="V860" s="39" t="s">
        <v>1178</v>
      </c>
      <c r="W860" s="1" t="s">
        <v>3827</v>
      </c>
      <c r="X860" s="1" t="s">
        <v>138</v>
      </c>
      <c r="Y860" s="10">
        <v>44337</v>
      </c>
      <c r="Z860" s="1">
        <v>2021</v>
      </c>
      <c r="AA860" s="2">
        <v>1000000</v>
      </c>
      <c r="AB860" s="2"/>
      <c r="AC860" s="2">
        <v>500000</v>
      </c>
      <c r="AD860" s="1">
        <v>60</v>
      </c>
      <c r="AE860" s="1">
        <v>55</v>
      </c>
      <c r="AG860" s="1" t="s">
        <v>432</v>
      </c>
      <c r="AH860" s="1" t="s">
        <v>4485</v>
      </c>
      <c r="AI860" s="2">
        <v>0</v>
      </c>
      <c r="AK860" s="1">
        <v>60</v>
      </c>
      <c r="AL860" s="1" t="s">
        <v>4486</v>
      </c>
    </row>
    <row r="861" spans="1:38" ht="12.6" customHeight="1" x14ac:dyDescent="0.2">
      <c r="A861" s="1" t="s">
        <v>57</v>
      </c>
      <c r="B861" s="9" t="s">
        <v>39</v>
      </c>
      <c r="C861" s="1" t="s">
        <v>58</v>
      </c>
      <c r="D861" s="1" t="s">
        <v>4315</v>
      </c>
      <c r="E861" s="1" t="s">
        <v>42</v>
      </c>
      <c r="G861" s="39" t="s">
        <v>4316</v>
      </c>
      <c r="H861" s="1" t="s">
        <v>61</v>
      </c>
      <c r="I861" s="1" t="s">
        <v>4487</v>
      </c>
      <c r="J861" s="1">
        <v>2018</v>
      </c>
      <c r="P861" s="1" t="s">
        <v>4474</v>
      </c>
      <c r="Q861" s="1" t="s">
        <v>50</v>
      </c>
      <c r="R861" s="1" t="s">
        <v>68</v>
      </c>
      <c r="S861" s="1" t="s">
        <v>430</v>
      </c>
      <c r="T861" s="39" t="s">
        <v>431</v>
      </c>
      <c r="U861" s="1">
        <v>1</v>
      </c>
      <c r="V861" s="39" t="s">
        <v>71</v>
      </c>
      <c r="Y861" s="10">
        <v>43461</v>
      </c>
      <c r="Z861" s="1">
        <v>2018</v>
      </c>
      <c r="AA861" s="2"/>
      <c r="AB861" s="2"/>
      <c r="AC861" s="2">
        <v>614320.43000000005</v>
      </c>
      <c r="AG861" s="1" t="s">
        <v>56</v>
      </c>
      <c r="AI861" s="2">
        <v>614320.43000000005</v>
      </c>
      <c r="AL861" s="1" t="s">
        <v>4319</v>
      </c>
    </row>
    <row r="862" spans="1:38" ht="12.6" customHeight="1" x14ac:dyDescent="0.2">
      <c r="A862" s="1" t="s">
        <v>57</v>
      </c>
      <c r="B862" s="9" t="s">
        <v>39</v>
      </c>
      <c r="C862" s="1" t="s">
        <v>58</v>
      </c>
      <c r="D862" s="1" t="s">
        <v>59</v>
      </c>
      <c r="E862" s="1" t="s">
        <v>42</v>
      </c>
      <c r="G862" s="39" t="s">
        <v>105</v>
      </c>
      <c r="H862" s="1" t="s">
        <v>61</v>
      </c>
      <c r="I862" s="1" t="s">
        <v>4488</v>
      </c>
      <c r="J862" s="1">
        <v>2023</v>
      </c>
      <c r="K862" s="1" t="s">
        <v>4489</v>
      </c>
      <c r="L862" s="1" t="s">
        <v>4490</v>
      </c>
      <c r="P862" s="1" t="s">
        <v>4491</v>
      </c>
      <c r="Q862" s="1" t="s">
        <v>1149</v>
      </c>
      <c r="R862" s="1" t="s">
        <v>1150</v>
      </c>
      <c r="S862" s="1" t="s">
        <v>1535</v>
      </c>
      <c r="T862" s="39" t="s">
        <v>1536</v>
      </c>
      <c r="V862" s="39" t="s">
        <v>1537</v>
      </c>
      <c r="W862" s="1" t="s">
        <v>4492</v>
      </c>
      <c r="Y862" s="10">
        <v>45462</v>
      </c>
      <c r="Z862" s="1">
        <v>2024</v>
      </c>
      <c r="AA862" s="2">
        <v>3670237</v>
      </c>
      <c r="AB862" s="2"/>
      <c r="AC862" s="2">
        <v>500267.78</v>
      </c>
      <c r="AD862" s="1">
        <v>15</v>
      </c>
      <c r="AE862" s="1">
        <v>5</v>
      </c>
      <c r="AG862" s="1" t="s">
        <v>56</v>
      </c>
      <c r="AI862" s="2">
        <v>500267.78</v>
      </c>
    </row>
    <row r="863" spans="1:38" ht="12.6" customHeight="1" x14ac:dyDescent="0.2">
      <c r="A863" s="1" t="s">
        <v>57</v>
      </c>
      <c r="B863" s="9" t="s">
        <v>39</v>
      </c>
      <c r="C863" s="1" t="s">
        <v>58</v>
      </c>
      <c r="D863" s="1" t="s">
        <v>4315</v>
      </c>
      <c r="E863" s="1" t="s">
        <v>42</v>
      </c>
      <c r="G863" s="39" t="s">
        <v>4316</v>
      </c>
      <c r="H863" s="1" t="s">
        <v>61</v>
      </c>
      <c r="I863" s="1" t="s">
        <v>4493</v>
      </c>
      <c r="J863" s="1">
        <v>2024</v>
      </c>
      <c r="P863" s="1" t="s">
        <v>4318</v>
      </c>
      <c r="Q863" s="1" t="s">
        <v>101</v>
      </c>
      <c r="R863" s="1" t="s">
        <v>102</v>
      </c>
      <c r="S863" s="1" t="s">
        <v>103</v>
      </c>
      <c r="T863" s="39" t="s">
        <v>104</v>
      </c>
      <c r="U863" s="1">
        <v>1</v>
      </c>
      <c r="V863" s="39" t="s">
        <v>101</v>
      </c>
      <c r="Y863" s="10">
        <v>45404</v>
      </c>
      <c r="Z863" s="1">
        <v>2024</v>
      </c>
      <c r="AA863" s="2"/>
      <c r="AB863" s="2"/>
      <c r="AC863" s="2">
        <v>384637.12999999983</v>
      </c>
      <c r="AG863" s="1" t="s">
        <v>56</v>
      </c>
      <c r="AI863" s="2">
        <v>384637.12999999983</v>
      </c>
      <c r="AL863" s="1" t="s">
        <v>4319</v>
      </c>
    </row>
    <row r="864" spans="1:38" ht="12.6" customHeight="1" x14ac:dyDescent="0.2">
      <c r="A864" s="1" t="s">
        <v>57</v>
      </c>
      <c r="B864" s="9" t="s">
        <v>39</v>
      </c>
      <c r="C864" s="1" t="s">
        <v>58</v>
      </c>
      <c r="D864" s="1" t="s">
        <v>59</v>
      </c>
      <c r="E864" s="1" t="s">
        <v>42</v>
      </c>
      <c r="G864" s="39" t="s">
        <v>60</v>
      </c>
      <c r="H864" s="1" t="s">
        <v>61</v>
      </c>
      <c r="I864" s="1" t="s">
        <v>4494</v>
      </c>
      <c r="J864" s="1">
        <v>2021</v>
      </c>
      <c r="K864" s="1" t="s">
        <v>4495</v>
      </c>
      <c r="P864" s="1" t="s">
        <v>4496</v>
      </c>
      <c r="Q864" s="1" t="s">
        <v>264</v>
      </c>
      <c r="R864" s="1" t="s">
        <v>265</v>
      </c>
      <c r="S864" s="1" t="s">
        <v>784</v>
      </c>
      <c r="T864" s="39" t="s">
        <v>785</v>
      </c>
      <c r="U864" s="1">
        <v>2</v>
      </c>
      <c r="V864" s="39" t="s">
        <v>80</v>
      </c>
      <c r="W864" s="1" t="s">
        <v>4497</v>
      </c>
      <c r="X864" s="1" t="s">
        <v>609</v>
      </c>
      <c r="Y864" s="10">
        <v>44817</v>
      </c>
      <c r="Z864" s="1">
        <v>2022</v>
      </c>
      <c r="AA864" s="2">
        <v>3482043</v>
      </c>
      <c r="AB864" s="2"/>
      <c r="AC864" s="2">
        <v>45000</v>
      </c>
      <c r="AD864" s="1">
        <v>3</v>
      </c>
      <c r="AG864" s="1" t="s">
        <v>432</v>
      </c>
      <c r="AH864" s="1" t="s">
        <v>492</v>
      </c>
      <c r="AI864" s="2">
        <v>0</v>
      </c>
    </row>
    <row r="865" spans="1:54" ht="12.6" customHeight="1" x14ac:dyDescent="0.2">
      <c r="A865" s="1" t="s">
        <v>57</v>
      </c>
      <c r="B865" s="9" t="s">
        <v>39</v>
      </c>
      <c r="C865" s="1" t="s">
        <v>58</v>
      </c>
      <c r="D865" s="1" t="s">
        <v>59</v>
      </c>
      <c r="E865" s="1" t="s">
        <v>42</v>
      </c>
      <c r="G865" s="39" t="s">
        <v>60</v>
      </c>
      <c r="H865" s="1" t="s">
        <v>61</v>
      </c>
      <c r="I865" s="1" t="s">
        <v>4498</v>
      </c>
      <c r="J865" s="1" t="s">
        <v>82</v>
      </c>
      <c r="K865" s="1" t="s">
        <v>4499</v>
      </c>
      <c r="P865" s="1" t="s">
        <v>4500</v>
      </c>
      <c r="Q865" s="1" t="s">
        <v>264</v>
      </c>
      <c r="R865" s="1" t="s">
        <v>265</v>
      </c>
      <c r="S865" s="1" t="s">
        <v>533</v>
      </c>
      <c r="T865" s="39" t="s">
        <v>534</v>
      </c>
      <c r="U865" s="1">
        <v>1</v>
      </c>
      <c r="V865" s="39" t="s">
        <v>535</v>
      </c>
      <c r="W865" s="1" t="s">
        <v>4499</v>
      </c>
      <c r="X865" s="1" t="s">
        <v>87</v>
      </c>
      <c r="Y865" s="10">
        <v>44998</v>
      </c>
      <c r="Z865" s="1">
        <v>2023</v>
      </c>
      <c r="AA865" s="2">
        <v>992100</v>
      </c>
      <c r="AB865" s="2"/>
      <c r="AC865" s="2">
        <v>113750</v>
      </c>
      <c r="AD865" s="1">
        <v>4</v>
      </c>
      <c r="AE865" s="1">
        <v>1</v>
      </c>
      <c r="AG865" s="1" t="s">
        <v>432</v>
      </c>
      <c r="AH865" s="1" t="s">
        <v>4501</v>
      </c>
      <c r="AI865" s="2">
        <v>0</v>
      </c>
    </row>
    <row r="866" spans="1:54" ht="12.6" customHeight="1" x14ac:dyDescent="0.2">
      <c r="A866" s="1" t="s">
        <v>57</v>
      </c>
      <c r="B866" s="9" t="s">
        <v>39</v>
      </c>
      <c r="C866" s="1" t="s">
        <v>58</v>
      </c>
      <c r="D866" s="1" t="s">
        <v>4315</v>
      </c>
      <c r="E866" s="1" t="s">
        <v>42</v>
      </c>
      <c r="G866" s="39" t="s">
        <v>4316</v>
      </c>
      <c r="H866" s="1" t="s">
        <v>61</v>
      </c>
      <c r="I866" s="1" t="s">
        <v>4502</v>
      </c>
      <c r="J866" s="1">
        <v>2018</v>
      </c>
      <c r="P866" s="1" t="s">
        <v>4318</v>
      </c>
      <c r="Q866" s="1" t="s">
        <v>101</v>
      </c>
      <c r="R866" s="1" t="s">
        <v>102</v>
      </c>
      <c r="S866" s="1" t="s">
        <v>103</v>
      </c>
      <c r="T866" s="39" t="s">
        <v>104</v>
      </c>
      <c r="U866" s="1">
        <v>1</v>
      </c>
      <c r="V866" s="39" t="s">
        <v>101</v>
      </c>
      <c r="Y866" s="10">
        <v>43464</v>
      </c>
      <c r="Z866" s="1">
        <v>2018</v>
      </c>
      <c r="AA866" s="2"/>
      <c r="AB866" s="2"/>
      <c r="AC866" s="2">
        <v>594820.59</v>
      </c>
      <c r="AG866" s="1" t="s">
        <v>56</v>
      </c>
      <c r="AI866" s="2">
        <v>594820.59</v>
      </c>
      <c r="AL866" s="1" t="s">
        <v>4319</v>
      </c>
    </row>
    <row r="867" spans="1:54" ht="12.6" customHeight="1" x14ac:dyDescent="0.2">
      <c r="A867" s="1" t="s">
        <v>57</v>
      </c>
      <c r="B867" s="9" t="s">
        <v>39</v>
      </c>
      <c r="C867" s="1" t="s">
        <v>58</v>
      </c>
      <c r="D867" s="1" t="s">
        <v>4315</v>
      </c>
      <c r="E867" s="1" t="s">
        <v>42</v>
      </c>
      <c r="G867" s="39" t="s">
        <v>4316</v>
      </c>
      <c r="H867" s="1" t="s">
        <v>61</v>
      </c>
      <c r="I867" s="1" t="s">
        <v>4503</v>
      </c>
      <c r="J867" s="1">
        <v>2019</v>
      </c>
      <c r="P867" s="1" t="s">
        <v>4471</v>
      </c>
      <c r="Q867" s="1" t="s">
        <v>50</v>
      </c>
      <c r="R867" s="1" t="s">
        <v>68</v>
      </c>
      <c r="S867" s="1" t="s">
        <v>425</v>
      </c>
      <c r="T867" s="39" t="s">
        <v>426</v>
      </c>
      <c r="U867" s="1">
        <v>1</v>
      </c>
      <c r="V867" s="39" t="s">
        <v>195</v>
      </c>
      <c r="Y867" s="10">
        <v>43466</v>
      </c>
      <c r="Z867" s="1">
        <v>2019</v>
      </c>
      <c r="AA867" s="2"/>
      <c r="AB867" s="2"/>
      <c r="AC867" s="2">
        <v>492208.64000000001</v>
      </c>
      <c r="AG867" s="1" t="s">
        <v>56</v>
      </c>
      <c r="AI867" s="2">
        <v>492208.64000000001</v>
      </c>
      <c r="AL867" s="1" t="s">
        <v>4319</v>
      </c>
    </row>
    <row r="868" spans="1:54" x14ac:dyDescent="0.2">
      <c r="A868" s="1" t="s">
        <v>57</v>
      </c>
      <c r="B868" s="9" t="s">
        <v>39</v>
      </c>
      <c r="C868" s="1" t="s">
        <v>58</v>
      </c>
      <c r="D868" s="1" t="s">
        <v>4315</v>
      </c>
      <c r="E868" s="1" t="s">
        <v>42</v>
      </c>
      <c r="G868" s="39" t="s">
        <v>4316</v>
      </c>
      <c r="H868" s="1" t="s">
        <v>61</v>
      </c>
      <c r="I868" s="1" t="s">
        <v>4504</v>
      </c>
      <c r="J868" s="1">
        <v>2018</v>
      </c>
      <c r="P868" s="1" t="s">
        <v>4318</v>
      </c>
      <c r="Q868" s="1" t="s">
        <v>101</v>
      </c>
      <c r="R868" s="1" t="s">
        <v>102</v>
      </c>
      <c r="S868" s="1" t="s">
        <v>103</v>
      </c>
      <c r="T868" s="39" t="s">
        <v>104</v>
      </c>
      <c r="U868" s="1">
        <v>1</v>
      </c>
      <c r="V868" s="39" t="s">
        <v>101</v>
      </c>
      <c r="Y868" s="10">
        <v>43464</v>
      </c>
      <c r="Z868" s="1">
        <v>2018</v>
      </c>
      <c r="AA868" s="2"/>
      <c r="AB868" s="2"/>
      <c r="AC868" s="2">
        <v>651747.36999999988</v>
      </c>
      <c r="AG868" s="1" t="s">
        <v>56</v>
      </c>
      <c r="AI868" s="2">
        <v>651747.36999999988</v>
      </c>
      <c r="AL868" s="1" t="s">
        <v>4319</v>
      </c>
    </row>
    <row r="869" spans="1:54" ht="12.6" customHeight="1" x14ac:dyDescent="0.2">
      <c r="A869" s="1" t="s">
        <v>57</v>
      </c>
      <c r="B869" s="9" t="s">
        <v>39</v>
      </c>
      <c r="C869" s="1" t="s">
        <v>58</v>
      </c>
      <c r="D869" s="1" t="s">
        <v>59</v>
      </c>
      <c r="E869" s="1" t="s">
        <v>42</v>
      </c>
      <c r="G869" s="39" t="s">
        <v>60</v>
      </c>
      <c r="H869" s="1" t="s">
        <v>61</v>
      </c>
      <c r="I869" s="1" t="s">
        <v>4505</v>
      </c>
      <c r="J869" s="1">
        <v>2021</v>
      </c>
      <c r="K869" s="1" t="s">
        <v>4506</v>
      </c>
      <c r="P869" s="1" t="s">
        <v>4507</v>
      </c>
      <c r="Q869" s="1" t="s">
        <v>264</v>
      </c>
      <c r="R869" s="1" t="s">
        <v>265</v>
      </c>
      <c r="S869" s="1" t="s">
        <v>350</v>
      </c>
      <c r="T869" s="39" t="s">
        <v>351</v>
      </c>
      <c r="U869" s="1">
        <v>1</v>
      </c>
      <c r="V869" s="39" t="s">
        <v>80</v>
      </c>
      <c r="W869" s="1" t="s">
        <v>4508</v>
      </c>
      <c r="X869" s="1" t="s">
        <v>138</v>
      </c>
      <c r="Y869" s="10">
        <v>44832</v>
      </c>
      <c r="Z869" s="1">
        <v>2022</v>
      </c>
      <c r="AA869" s="2">
        <v>4279130</v>
      </c>
      <c r="AB869" s="2"/>
      <c r="AC869" s="2">
        <v>1283739.0000000002</v>
      </c>
      <c r="AD869" s="1">
        <v>34</v>
      </c>
      <c r="AE869" s="1">
        <v>30</v>
      </c>
      <c r="AG869" s="1" t="s">
        <v>432</v>
      </c>
      <c r="AH869" s="1" t="s">
        <v>492</v>
      </c>
      <c r="AI869" s="2">
        <v>0</v>
      </c>
    </row>
    <row r="870" spans="1:54" ht="12.6" customHeight="1" x14ac:dyDescent="0.2">
      <c r="A870" s="1" t="s">
        <v>57</v>
      </c>
      <c r="B870" s="9" t="s">
        <v>39</v>
      </c>
      <c r="C870" s="1" t="s">
        <v>58</v>
      </c>
      <c r="D870" s="1" t="s">
        <v>4315</v>
      </c>
      <c r="E870" s="1" t="s">
        <v>42</v>
      </c>
      <c r="G870" s="39" t="s">
        <v>4316</v>
      </c>
      <c r="H870" s="1" t="s">
        <v>61</v>
      </c>
      <c r="I870" s="1" t="s">
        <v>4509</v>
      </c>
      <c r="J870" s="1">
        <v>2018</v>
      </c>
      <c r="P870" s="1" t="s">
        <v>4318</v>
      </c>
      <c r="Q870" s="1" t="s">
        <v>101</v>
      </c>
      <c r="R870" s="1" t="s">
        <v>102</v>
      </c>
      <c r="S870" s="1" t="s">
        <v>103</v>
      </c>
      <c r="T870" s="39" t="s">
        <v>104</v>
      </c>
      <c r="U870" s="1">
        <v>1</v>
      </c>
      <c r="V870" s="39" t="s">
        <v>101</v>
      </c>
      <c r="Y870" s="10">
        <v>43464</v>
      </c>
      <c r="Z870" s="1">
        <v>2018</v>
      </c>
      <c r="AA870" s="2"/>
      <c r="AB870" s="2"/>
      <c r="AC870" s="2">
        <v>622855.6100000001</v>
      </c>
      <c r="AG870" s="1" t="s">
        <v>56</v>
      </c>
      <c r="AI870" s="2">
        <v>622855.6100000001</v>
      </c>
      <c r="AL870" s="1" t="s">
        <v>4319</v>
      </c>
    </row>
    <row r="871" spans="1:54" ht="12.6" customHeight="1" x14ac:dyDescent="0.2">
      <c r="A871" s="1" t="s">
        <v>57</v>
      </c>
      <c r="B871" s="9" t="s">
        <v>39</v>
      </c>
      <c r="C871" s="1" t="s">
        <v>58</v>
      </c>
      <c r="D871" s="1" t="s">
        <v>4315</v>
      </c>
      <c r="E871" s="1" t="s">
        <v>42</v>
      </c>
      <c r="G871" s="39" t="s">
        <v>4316</v>
      </c>
      <c r="H871" s="1" t="s">
        <v>61</v>
      </c>
      <c r="I871" s="1" t="s">
        <v>4510</v>
      </c>
      <c r="J871" s="1">
        <v>2018</v>
      </c>
      <c r="P871" s="1" t="s">
        <v>4318</v>
      </c>
      <c r="Q871" s="1" t="s">
        <v>101</v>
      </c>
      <c r="R871" s="1" t="s">
        <v>102</v>
      </c>
      <c r="S871" s="1" t="s">
        <v>103</v>
      </c>
      <c r="T871" s="39" t="s">
        <v>104</v>
      </c>
      <c r="U871" s="1">
        <v>1</v>
      </c>
      <c r="V871" s="39" t="s">
        <v>101</v>
      </c>
      <c r="Y871" s="10">
        <v>43464</v>
      </c>
      <c r="Z871" s="1">
        <v>2018</v>
      </c>
      <c r="AA871" s="2"/>
      <c r="AB871" s="2"/>
      <c r="AC871" s="2">
        <v>765327.62000000011</v>
      </c>
      <c r="AG871" s="1" t="s">
        <v>56</v>
      </c>
      <c r="AI871" s="2">
        <v>765327.62000000011</v>
      </c>
      <c r="AL871" s="1" t="s">
        <v>4319</v>
      </c>
    </row>
    <row r="872" spans="1:54" ht="12.6" customHeight="1" x14ac:dyDescent="0.2">
      <c r="A872" s="1" t="s">
        <v>57</v>
      </c>
      <c r="B872" s="9" t="s">
        <v>39</v>
      </c>
      <c r="C872" s="1" t="s">
        <v>58</v>
      </c>
      <c r="D872" s="1" t="s">
        <v>59</v>
      </c>
      <c r="E872" s="1" t="s">
        <v>42</v>
      </c>
      <c r="G872" s="39" t="s">
        <v>60</v>
      </c>
      <c r="H872" s="1" t="s">
        <v>61</v>
      </c>
      <c r="I872" s="1" t="s">
        <v>4511</v>
      </c>
      <c r="J872" s="1">
        <v>2021</v>
      </c>
      <c r="K872" s="1" t="s">
        <v>4512</v>
      </c>
      <c r="P872" s="1" t="s">
        <v>4513</v>
      </c>
      <c r="Q872" s="1" t="s">
        <v>264</v>
      </c>
      <c r="R872" s="1" t="s">
        <v>265</v>
      </c>
      <c r="S872" s="1" t="s">
        <v>350</v>
      </c>
      <c r="T872" s="39" t="s">
        <v>351</v>
      </c>
      <c r="U872" s="1">
        <v>1</v>
      </c>
      <c r="V872" s="39" t="s">
        <v>80</v>
      </c>
      <c r="W872" s="1" t="s">
        <v>4512</v>
      </c>
      <c r="X872" s="1" t="s">
        <v>138</v>
      </c>
      <c r="Y872" s="10">
        <v>44557</v>
      </c>
      <c r="Z872" s="1">
        <v>2021</v>
      </c>
      <c r="AA872" s="2">
        <v>2179987.96</v>
      </c>
      <c r="AB872" s="2"/>
      <c r="AC872" s="2">
        <v>217998.796</v>
      </c>
      <c r="AD872" s="1">
        <v>26</v>
      </c>
      <c r="AE872" s="1">
        <v>22</v>
      </c>
      <c r="AG872" s="1" t="s">
        <v>432</v>
      </c>
      <c r="AH872" s="1" t="s">
        <v>4501</v>
      </c>
      <c r="AI872" s="2">
        <v>0</v>
      </c>
    </row>
    <row r="873" spans="1:54" ht="12.6" customHeight="1" x14ac:dyDescent="0.2">
      <c r="A873" s="1" t="s">
        <v>57</v>
      </c>
      <c r="B873" s="9" t="s">
        <v>39</v>
      </c>
      <c r="C873" s="1" t="s">
        <v>58</v>
      </c>
      <c r="D873" s="1" t="s">
        <v>4315</v>
      </c>
      <c r="E873" s="1" t="s">
        <v>42</v>
      </c>
      <c r="G873" s="39" t="s">
        <v>4316</v>
      </c>
      <c r="H873" s="1" t="s">
        <v>61</v>
      </c>
      <c r="I873" s="1" t="s">
        <v>4514</v>
      </c>
      <c r="J873" s="1">
        <v>2018</v>
      </c>
      <c r="P873" s="1" t="s">
        <v>4474</v>
      </c>
      <c r="Q873" s="1" t="s">
        <v>50</v>
      </c>
      <c r="R873" s="1" t="s">
        <v>68</v>
      </c>
      <c r="S873" s="1" t="s">
        <v>430</v>
      </c>
      <c r="T873" s="39" t="s">
        <v>431</v>
      </c>
      <c r="U873" s="1">
        <v>1</v>
      </c>
      <c r="V873" s="1" t="s">
        <v>71</v>
      </c>
      <c r="Y873" s="10">
        <v>43461</v>
      </c>
      <c r="Z873" s="1">
        <v>2018</v>
      </c>
      <c r="AA873" s="2"/>
      <c r="AB873" s="2"/>
      <c r="AC873" s="2">
        <v>474800.50000000006</v>
      </c>
      <c r="AG873" s="1" t="s">
        <v>56</v>
      </c>
      <c r="AI873" s="2">
        <v>474800.50000000006</v>
      </c>
      <c r="AL873" s="1" t="s">
        <v>4319</v>
      </c>
    </row>
    <row r="874" spans="1:54" ht="12.6" customHeight="1" x14ac:dyDescent="0.25">
      <c r="A874" s="1" t="s">
        <v>57</v>
      </c>
      <c r="B874" s="9" t="s">
        <v>39</v>
      </c>
      <c r="C874" s="1" t="s">
        <v>58</v>
      </c>
      <c r="D874" s="1" t="s">
        <v>59</v>
      </c>
      <c r="E874" s="1" t="s">
        <v>42</v>
      </c>
      <c r="G874" s="39" t="s">
        <v>60</v>
      </c>
      <c r="H874" s="1" t="s">
        <v>61</v>
      </c>
      <c r="I874" s="1" t="s">
        <v>4515</v>
      </c>
      <c r="J874" s="1" t="s">
        <v>82</v>
      </c>
      <c r="K874" s="1" t="s">
        <v>4516</v>
      </c>
      <c r="P874" s="1" t="s">
        <v>4517</v>
      </c>
      <c r="Q874" s="1" t="s">
        <v>50</v>
      </c>
      <c r="R874" s="1" t="s">
        <v>68</v>
      </c>
      <c r="S874" s="16" t="s">
        <v>814</v>
      </c>
      <c r="T874" s="39" t="s">
        <v>815</v>
      </c>
      <c r="U874" s="1">
        <v>2</v>
      </c>
      <c r="V874" s="39" t="s">
        <v>71</v>
      </c>
      <c r="W874" s="1" t="s">
        <v>4516</v>
      </c>
      <c r="X874" s="1" t="s">
        <v>87</v>
      </c>
      <c r="Y874" s="10">
        <v>44827</v>
      </c>
      <c r="Z874" s="1">
        <v>2022</v>
      </c>
      <c r="AA874" s="2">
        <v>992376.6</v>
      </c>
      <c r="AB874" s="2"/>
      <c r="AC874" s="2">
        <v>56000</v>
      </c>
      <c r="AD874" s="1">
        <v>4</v>
      </c>
      <c r="AG874" s="1" t="s">
        <v>432</v>
      </c>
      <c r="AH874" s="1" t="s">
        <v>433</v>
      </c>
      <c r="AI874" s="2">
        <v>0</v>
      </c>
    </row>
    <row r="875" spans="1:54" ht="12.6" customHeight="1" x14ac:dyDescent="0.2">
      <c r="A875" s="1" t="s">
        <v>57</v>
      </c>
      <c r="B875" s="9" t="s">
        <v>39</v>
      </c>
      <c r="C875" s="1" t="s">
        <v>58</v>
      </c>
      <c r="D875" s="1" t="s">
        <v>4315</v>
      </c>
      <c r="E875" s="1" t="s">
        <v>42</v>
      </c>
      <c r="G875" s="39" t="s">
        <v>4316</v>
      </c>
      <c r="H875" s="1" t="s">
        <v>61</v>
      </c>
      <c r="I875" s="1" t="s">
        <v>4518</v>
      </c>
      <c r="J875" s="1">
        <v>2021</v>
      </c>
      <c r="P875" s="1" t="s">
        <v>4318</v>
      </c>
      <c r="Q875" s="1" t="s">
        <v>101</v>
      </c>
      <c r="R875" s="1" t="s">
        <v>102</v>
      </c>
      <c r="S875" s="1" t="s">
        <v>103</v>
      </c>
      <c r="T875" s="39" t="s">
        <v>104</v>
      </c>
      <c r="U875" s="1">
        <v>1</v>
      </c>
      <c r="V875" s="39" t="s">
        <v>101</v>
      </c>
      <c r="Y875" s="10">
        <v>44523</v>
      </c>
      <c r="Z875" s="1">
        <v>2021</v>
      </c>
      <c r="AA875" s="2"/>
      <c r="AB875" s="2"/>
      <c r="AC875" s="2">
        <v>656111.99999999988</v>
      </c>
      <c r="AG875" s="1" t="s">
        <v>56</v>
      </c>
      <c r="AI875" s="2">
        <v>656111.99999999988</v>
      </c>
      <c r="AL875" s="1" t="s">
        <v>4319</v>
      </c>
      <c r="AR875" s="39"/>
      <c r="AT875" s="39"/>
      <c r="AW875" s="2"/>
      <c r="AX875" s="2"/>
      <c r="AY875" s="2"/>
      <c r="BB875" s="2"/>
    </row>
    <row r="876" spans="1:54" ht="12.6" customHeight="1" x14ac:dyDescent="0.2">
      <c r="A876" s="1" t="s">
        <v>57</v>
      </c>
      <c r="B876" s="9" t="s">
        <v>39</v>
      </c>
      <c r="C876" s="1" t="s">
        <v>58</v>
      </c>
      <c r="D876" s="1" t="s">
        <v>4315</v>
      </c>
      <c r="E876" s="1" t="s">
        <v>42</v>
      </c>
      <c r="G876" s="39" t="s">
        <v>4340</v>
      </c>
      <c r="H876" s="1" t="s">
        <v>61</v>
      </c>
      <c r="I876" s="1" t="s">
        <v>4519</v>
      </c>
      <c r="J876" s="1">
        <v>2021</v>
      </c>
      <c r="P876" s="1" t="s">
        <v>4318</v>
      </c>
      <c r="Q876" s="1" t="s">
        <v>101</v>
      </c>
      <c r="R876" s="1" t="s">
        <v>102</v>
      </c>
      <c r="S876" s="1" t="s">
        <v>103</v>
      </c>
      <c r="T876" s="39" t="s">
        <v>104</v>
      </c>
      <c r="U876" s="1">
        <v>1</v>
      </c>
      <c r="V876" s="39" t="s">
        <v>101</v>
      </c>
      <c r="Y876" s="10">
        <v>44299</v>
      </c>
      <c r="Z876" s="1">
        <v>2021</v>
      </c>
      <c r="AA876" s="2"/>
      <c r="AB876" s="2"/>
      <c r="AC876" s="2">
        <v>57906.39</v>
      </c>
      <c r="AG876" s="1" t="s">
        <v>56</v>
      </c>
      <c r="AI876" s="2">
        <v>57906.39</v>
      </c>
      <c r="AR876" s="39"/>
      <c r="AT876" s="39"/>
      <c r="AW876" s="2"/>
      <c r="AX876" s="2"/>
      <c r="AY876" s="2"/>
      <c r="BB876" s="2"/>
    </row>
    <row r="877" spans="1:54" ht="12.6" customHeight="1" x14ac:dyDescent="0.2">
      <c r="A877" s="1" t="s">
        <v>57</v>
      </c>
      <c r="B877" s="9" t="s">
        <v>39</v>
      </c>
      <c r="C877" s="1" t="s">
        <v>58</v>
      </c>
      <c r="D877" s="1" t="s">
        <v>59</v>
      </c>
      <c r="E877" s="1" t="s">
        <v>42</v>
      </c>
      <c r="G877" s="39" t="s">
        <v>60</v>
      </c>
      <c r="H877" s="1" t="s">
        <v>61</v>
      </c>
      <c r="I877" s="1" t="s">
        <v>4520</v>
      </c>
      <c r="J877" s="1">
        <v>2021</v>
      </c>
      <c r="K877" s="1" t="s">
        <v>4521</v>
      </c>
      <c r="P877" s="1" t="s">
        <v>4522</v>
      </c>
      <c r="Q877" s="1" t="s">
        <v>264</v>
      </c>
      <c r="R877" s="1" t="s">
        <v>265</v>
      </c>
      <c r="S877" s="1" t="s">
        <v>778</v>
      </c>
      <c r="T877" s="39" t="s">
        <v>779</v>
      </c>
      <c r="U877" s="1">
        <v>2</v>
      </c>
      <c r="V877" s="39" t="s">
        <v>80</v>
      </c>
      <c r="W877" s="1" t="s">
        <v>4521</v>
      </c>
      <c r="X877" s="1" t="s">
        <v>145</v>
      </c>
      <c r="Y877" s="10">
        <v>44741</v>
      </c>
      <c r="Z877" s="1">
        <v>2022</v>
      </c>
      <c r="AA877" s="2">
        <v>1915491.64</v>
      </c>
      <c r="AB877" s="2"/>
      <c r="AC877" s="2">
        <v>287323.74600000004</v>
      </c>
      <c r="AD877" s="1">
        <v>15</v>
      </c>
      <c r="AE877" s="1">
        <v>11</v>
      </c>
      <c r="AG877" s="1" t="s">
        <v>432</v>
      </c>
      <c r="AH877" s="1" t="s">
        <v>492</v>
      </c>
      <c r="AI877" s="2">
        <v>0</v>
      </c>
      <c r="AR877" s="39"/>
      <c r="AT877" s="39"/>
      <c r="AW877" s="2"/>
      <c r="AX877" s="2"/>
      <c r="AY877" s="2"/>
      <c r="BB877" s="2"/>
    </row>
    <row r="878" spans="1:54" ht="12.6" customHeight="1" x14ac:dyDescent="0.2">
      <c r="A878" s="1" t="s">
        <v>57</v>
      </c>
      <c r="B878" s="9" t="s">
        <v>39</v>
      </c>
      <c r="C878" s="1" t="s">
        <v>58</v>
      </c>
      <c r="D878" s="1" t="s">
        <v>4315</v>
      </c>
      <c r="E878" s="1" t="s">
        <v>42</v>
      </c>
      <c r="G878" s="39" t="s">
        <v>4316</v>
      </c>
      <c r="H878" s="1" t="s">
        <v>61</v>
      </c>
      <c r="I878" s="1" t="s">
        <v>4523</v>
      </c>
      <c r="J878" s="1">
        <v>2019</v>
      </c>
      <c r="P878" s="1" t="s">
        <v>4471</v>
      </c>
      <c r="Q878" s="1" t="s">
        <v>50</v>
      </c>
      <c r="R878" s="1" t="s">
        <v>68</v>
      </c>
      <c r="S878" s="1" t="s">
        <v>425</v>
      </c>
      <c r="T878" s="39" t="s">
        <v>426</v>
      </c>
      <c r="U878" s="1">
        <v>1</v>
      </c>
      <c r="V878" s="39" t="s">
        <v>195</v>
      </c>
      <c r="Y878" s="10">
        <v>43466</v>
      </c>
      <c r="Z878" s="1">
        <v>2019</v>
      </c>
      <c r="AA878" s="2"/>
      <c r="AB878" s="2"/>
      <c r="AC878" s="2">
        <v>455002.91</v>
      </c>
      <c r="AG878" s="1" t="s">
        <v>56</v>
      </c>
      <c r="AI878" s="2">
        <v>455002.91</v>
      </c>
      <c r="AL878" s="1" t="s">
        <v>4319</v>
      </c>
      <c r="AR878" s="39"/>
      <c r="AT878" s="39"/>
      <c r="AW878" s="2"/>
      <c r="AX878" s="2"/>
      <c r="AY878" s="2"/>
      <c r="BB878" s="2"/>
    </row>
    <row r="879" spans="1:54" ht="12.6" customHeight="1" x14ac:dyDescent="0.2">
      <c r="A879" s="1" t="s">
        <v>57</v>
      </c>
      <c r="B879" s="9" t="s">
        <v>39</v>
      </c>
      <c r="C879" s="1" t="s">
        <v>58</v>
      </c>
      <c r="D879" s="1" t="s">
        <v>4315</v>
      </c>
      <c r="E879" s="1" t="s">
        <v>42</v>
      </c>
      <c r="G879" s="39" t="s">
        <v>4316</v>
      </c>
      <c r="H879" s="1" t="s">
        <v>61</v>
      </c>
      <c r="I879" s="1" t="s">
        <v>4524</v>
      </c>
      <c r="J879" s="1">
        <v>2019</v>
      </c>
      <c r="P879" s="1" t="s">
        <v>4471</v>
      </c>
      <c r="Q879" s="1" t="s">
        <v>50</v>
      </c>
      <c r="R879" s="1" t="s">
        <v>68</v>
      </c>
      <c r="S879" s="1" t="s">
        <v>425</v>
      </c>
      <c r="T879" s="39" t="s">
        <v>426</v>
      </c>
      <c r="U879" s="1">
        <v>1</v>
      </c>
      <c r="V879" s="39" t="s">
        <v>195</v>
      </c>
      <c r="Y879" s="10">
        <v>43466</v>
      </c>
      <c r="Z879" s="1">
        <v>2019</v>
      </c>
      <c r="AA879" s="2"/>
      <c r="AB879" s="2"/>
      <c r="AC879" s="2">
        <v>409715.19</v>
      </c>
      <c r="AG879" s="1" t="s">
        <v>56</v>
      </c>
      <c r="AI879" s="2">
        <v>409715.19</v>
      </c>
      <c r="AL879" s="1" t="s">
        <v>4319</v>
      </c>
      <c r="AR879" s="39"/>
      <c r="AT879" s="39"/>
      <c r="AW879" s="2"/>
      <c r="AX879" s="2"/>
      <c r="AY879" s="2"/>
      <c r="BB879" s="2"/>
    </row>
    <row r="880" spans="1:54" ht="12.6" customHeight="1" x14ac:dyDescent="0.2">
      <c r="A880" s="1" t="s">
        <v>57</v>
      </c>
      <c r="B880" s="9" t="s">
        <v>39</v>
      </c>
      <c r="C880" s="1" t="s">
        <v>58</v>
      </c>
      <c r="D880" s="1" t="s">
        <v>4315</v>
      </c>
      <c r="E880" s="1" t="s">
        <v>42</v>
      </c>
      <c r="G880" s="39" t="s">
        <v>4316</v>
      </c>
      <c r="H880" s="1" t="s">
        <v>61</v>
      </c>
      <c r="I880" s="1" t="s">
        <v>4525</v>
      </c>
      <c r="J880" s="1">
        <v>2018</v>
      </c>
      <c r="P880" s="1" t="s">
        <v>4318</v>
      </c>
      <c r="Q880" s="1" t="s">
        <v>101</v>
      </c>
      <c r="R880" s="1" t="s">
        <v>102</v>
      </c>
      <c r="S880" s="1" t="s">
        <v>103</v>
      </c>
      <c r="T880" s="39" t="s">
        <v>104</v>
      </c>
      <c r="U880" s="1">
        <v>1</v>
      </c>
      <c r="V880" s="39" t="s">
        <v>101</v>
      </c>
      <c r="Y880" s="10">
        <v>43464</v>
      </c>
      <c r="Z880" s="1">
        <v>2018</v>
      </c>
      <c r="AA880" s="2"/>
      <c r="AB880" s="2"/>
      <c r="AC880" s="2">
        <v>586339.82999999996</v>
      </c>
      <c r="AG880" s="1" t="s">
        <v>56</v>
      </c>
      <c r="AI880" s="2">
        <v>586339.82999999996</v>
      </c>
      <c r="AL880" s="1" t="s">
        <v>4319</v>
      </c>
      <c r="AR880" s="39"/>
      <c r="AT880" s="39"/>
      <c r="AW880" s="2"/>
      <c r="AX880" s="2"/>
      <c r="AY880" s="2"/>
      <c r="BB880" s="2"/>
    </row>
    <row r="881" spans="1:54" ht="12.6" customHeight="1" x14ac:dyDescent="0.2">
      <c r="A881" s="1" t="s">
        <v>57</v>
      </c>
      <c r="B881" s="9" t="s">
        <v>39</v>
      </c>
      <c r="C881" s="1" t="s">
        <v>58</v>
      </c>
      <c r="D881" s="1" t="s">
        <v>59</v>
      </c>
      <c r="E881" s="1" t="s">
        <v>42</v>
      </c>
      <c r="G881" s="39" t="s">
        <v>60</v>
      </c>
      <c r="H881" s="1" t="s">
        <v>61</v>
      </c>
      <c r="I881" s="1" t="s">
        <v>4526</v>
      </c>
      <c r="J881" s="1">
        <v>2021</v>
      </c>
      <c r="K881" s="1" t="s">
        <v>4527</v>
      </c>
      <c r="P881" s="1" t="s">
        <v>4528</v>
      </c>
      <c r="Q881" s="1" t="s">
        <v>50</v>
      </c>
      <c r="R881" s="1" t="s">
        <v>77</v>
      </c>
      <c r="S881" s="1" t="s">
        <v>78</v>
      </c>
      <c r="T881" s="39" t="s">
        <v>79</v>
      </c>
      <c r="U881" s="1">
        <v>2</v>
      </c>
      <c r="V881" s="39" t="s">
        <v>80</v>
      </c>
      <c r="W881" s="1" t="s">
        <v>4527</v>
      </c>
      <c r="X881" s="1" t="s">
        <v>138</v>
      </c>
      <c r="Y881" s="10">
        <v>44610</v>
      </c>
      <c r="Z881" s="1">
        <v>2022</v>
      </c>
      <c r="AA881" s="2">
        <v>157307.97</v>
      </c>
      <c r="AB881" s="2"/>
      <c r="AC881" s="2">
        <v>23596.195500000005</v>
      </c>
      <c r="AD881" s="1">
        <v>3</v>
      </c>
      <c r="AE881" s="1">
        <v>3</v>
      </c>
      <c r="AG881" s="1" t="s">
        <v>432</v>
      </c>
      <c r="AH881" s="1" t="s">
        <v>492</v>
      </c>
      <c r="AI881" s="2">
        <v>0</v>
      </c>
      <c r="AL881" s="15" t="s">
        <v>4529</v>
      </c>
      <c r="AR881" s="39"/>
      <c r="AT881" s="39"/>
      <c r="AW881" s="2"/>
      <c r="AX881" s="2"/>
      <c r="AY881" s="2"/>
      <c r="BB881" s="2"/>
    </row>
    <row r="882" spans="1:54" ht="13.15" customHeight="1" x14ac:dyDescent="0.2">
      <c r="A882" s="1" t="s">
        <v>57</v>
      </c>
      <c r="B882" s="9" t="s">
        <v>39</v>
      </c>
      <c r="C882" s="1" t="s">
        <v>58</v>
      </c>
      <c r="D882" s="1" t="s">
        <v>4315</v>
      </c>
      <c r="E882" s="1" t="s">
        <v>42</v>
      </c>
      <c r="G882" s="39" t="s">
        <v>4340</v>
      </c>
      <c r="H882" s="1" t="s">
        <v>61</v>
      </c>
      <c r="I882" s="1" t="s">
        <v>4530</v>
      </c>
      <c r="J882" s="1">
        <v>2022</v>
      </c>
      <c r="P882" s="1" t="s">
        <v>4318</v>
      </c>
      <c r="Q882" s="1" t="s">
        <v>101</v>
      </c>
      <c r="R882" s="1" t="s">
        <v>102</v>
      </c>
      <c r="S882" s="1" t="s">
        <v>103</v>
      </c>
      <c r="T882" s="39" t="s">
        <v>104</v>
      </c>
      <c r="U882" s="1">
        <v>1</v>
      </c>
      <c r="V882" s="39" t="s">
        <v>101</v>
      </c>
      <c r="Y882" s="10">
        <v>44912</v>
      </c>
      <c r="Z882" s="1">
        <v>2022</v>
      </c>
      <c r="AA882" s="2"/>
      <c r="AB882" s="2"/>
      <c r="AC882" s="2">
        <v>90893.25</v>
      </c>
      <c r="AG882" s="1" t="s">
        <v>56</v>
      </c>
      <c r="AI882" s="2">
        <v>90893.25</v>
      </c>
      <c r="AR882" s="39"/>
      <c r="AT882" s="39"/>
      <c r="AW882" s="2"/>
      <c r="AX882" s="2"/>
      <c r="AY882" s="2"/>
      <c r="BB882" s="2"/>
    </row>
    <row r="883" spans="1:54" ht="13.15" customHeight="1" x14ac:dyDescent="0.2">
      <c r="A883" s="1" t="s">
        <v>57</v>
      </c>
      <c r="B883" s="40" t="s">
        <v>39</v>
      </c>
      <c r="C883" s="41" t="s">
        <v>58</v>
      </c>
      <c r="D883" s="39" t="s">
        <v>4315</v>
      </c>
      <c r="E883" s="39" t="s">
        <v>42</v>
      </c>
      <c r="F883" s="39"/>
      <c r="G883" s="39" t="s">
        <v>4316</v>
      </c>
      <c r="H883" s="39" t="s">
        <v>61</v>
      </c>
      <c r="I883" s="39" t="s">
        <v>4531</v>
      </c>
      <c r="J883" s="39">
        <v>2023</v>
      </c>
      <c r="K883" s="39"/>
      <c r="L883" s="39"/>
      <c r="M883" s="39"/>
      <c r="N883" s="39"/>
      <c r="O883" s="39"/>
      <c r="P883" s="39" t="s">
        <v>4318</v>
      </c>
      <c r="Q883" s="39" t="s">
        <v>101</v>
      </c>
      <c r="R883" s="1" t="s">
        <v>102</v>
      </c>
      <c r="S883" s="39" t="s">
        <v>103</v>
      </c>
      <c r="T883" s="1" t="s">
        <v>104</v>
      </c>
      <c r="U883" s="1">
        <v>1</v>
      </c>
      <c r="V883" s="39" t="s">
        <v>101</v>
      </c>
      <c r="X883" s="39"/>
      <c r="Y883" s="42">
        <v>45013</v>
      </c>
      <c r="Z883" s="39">
        <v>2023</v>
      </c>
      <c r="AA883" s="4"/>
      <c r="AB883" s="4"/>
      <c r="AC883" s="4">
        <v>226665.25</v>
      </c>
      <c r="AD883" s="39"/>
      <c r="AE883" s="39"/>
      <c r="AG883" s="39" t="s">
        <v>56</v>
      </c>
      <c r="AI883" s="4">
        <v>226665.25</v>
      </c>
      <c r="AJ883" s="39"/>
      <c r="AL883" s="39" t="s">
        <v>4319</v>
      </c>
      <c r="AW883" s="2"/>
      <c r="AX883" s="2"/>
      <c r="AY883" s="2"/>
      <c r="BB883" s="2"/>
    </row>
    <row r="884" spans="1:54" ht="13.15" customHeight="1" x14ac:dyDescent="0.2">
      <c r="A884" s="1" t="s">
        <v>57</v>
      </c>
      <c r="B884" s="9" t="s">
        <v>39</v>
      </c>
      <c r="C884" s="1" t="s">
        <v>58</v>
      </c>
      <c r="D884" s="1" t="s">
        <v>4315</v>
      </c>
      <c r="E884" s="1" t="s">
        <v>42</v>
      </c>
      <c r="G884" s="1" t="s">
        <v>4316</v>
      </c>
      <c r="H884" s="1" t="s">
        <v>61</v>
      </c>
      <c r="I884" s="1" t="s">
        <v>4532</v>
      </c>
      <c r="J884" s="1">
        <v>2022</v>
      </c>
      <c r="P884" s="1" t="s">
        <v>4329</v>
      </c>
      <c r="Q884" s="1" t="s">
        <v>101</v>
      </c>
      <c r="R884" s="1" t="s">
        <v>102</v>
      </c>
      <c r="S884" s="1" t="s">
        <v>103</v>
      </c>
      <c r="T884" s="1" t="s">
        <v>104</v>
      </c>
      <c r="U884" s="1">
        <v>1</v>
      </c>
      <c r="V884" s="1" t="s">
        <v>101</v>
      </c>
      <c r="Y884" s="10">
        <v>44562</v>
      </c>
      <c r="Z884" s="1">
        <v>2022</v>
      </c>
      <c r="AA884" s="2"/>
      <c r="AB884" s="2"/>
      <c r="AC884" s="2">
        <v>429279.89</v>
      </c>
      <c r="AG884" s="1" t="s">
        <v>56</v>
      </c>
      <c r="AI884" s="2">
        <v>429279.89</v>
      </c>
      <c r="AL884" s="1" t="s">
        <v>4319</v>
      </c>
    </row>
    <row r="885" spans="1:54" ht="13.15" customHeight="1" x14ac:dyDescent="0.2">
      <c r="A885" s="1" t="s">
        <v>57</v>
      </c>
      <c r="B885" s="43" t="s">
        <v>39</v>
      </c>
      <c r="C885" s="44" t="s">
        <v>58</v>
      </c>
      <c r="D885" s="39" t="s">
        <v>4315</v>
      </c>
      <c r="E885" s="39" t="s">
        <v>42</v>
      </c>
      <c r="G885" s="1" t="s">
        <v>4316</v>
      </c>
      <c r="H885" s="1" t="s">
        <v>61</v>
      </c>
      <c r="I885" s="1" t="s">
        <v>4533</v>
      </c>
      <c r="J885" s="1">
        <v>2019</v>
      </c>
      <c r="P885" s="1" t="s">
        <v>4471</v>
      </c>
      <c r="Q885" s="1" t="s">
        <v>50</v>
      </c>
      <c r="R885" s="1" t="s">
        <v>68</v>
      </c>
      <c r="S885" s="45" t="s">
        <v>425</v>
      </c>
      <c r="T885" s="1" t="s">
        <v>426</v>
      </c>
      <c r="U885" s="1">
        <v>1</v>
      </c>
      <c r="V885" s="1" t="s">
        <v>195</v>
      </c>
      <c r="Y885" s="10">
        <v>43466</v>
      </c>
      <c r="Z885" s="1">
        <v>2019</v>
      </c>
      <c r="AA885" s="2"/>
      <c r="AB885" s="2"/>
      <c r="AC885" s="2">
        <v>485538.8</v>
      </c>
      <c r="AG885" s="1" t="s">
        <v>56</v>
      </c>
      <c r="AI885" s="2">
        <v>485538.8</v>
      </c>
      <c r="AL885" s="1" t="s">
        <v>4319</v>
      </c>
      <c r="AW885" s="2"/>
      <c r="AX885" s="2"/>
      <c r="AY885" s="2"/>
      <c r="BB885" s="2"/>
    </row>
    <row r="886" spans="1:54" ht="13.15" customHeight="1" x14ac:dyDescent="0.2">
      <c r="A886" s="1" t="s">
        <v>57</v>
      </c>
      <c r="B886" s="9" t="s">
        <v>39</v>
      </c>
      <c r="C886" s="1" t="s">
        <v>58</v>
      </c>
      <c r="D886" s="39" t="s">
        <v>59</v>
      </c>
      <c r="E886" s="39" t="s">
        <v>42</v>
      </c>
      <c r="G886" s="1" t="s">
        <v>60</v>
      </c>
      <c r="H886" s="1" t="s">
        <v>61</v>
      </c>
      <c r="I886" s="1" t="s">
        <v>4534</v>
      </c>
      <c r="J886" s="1" t="s">
        <v>82</v>
      </c>
      <c r="K886" s="1" t="s">
        <v>4535</v>
      </c>
      <c r="P886" s="1" t="s">
        <v>4536</v>
      </c>
      <c r="Q886" s="1" t="s">
        <v>264</v>
      </c>
      <c r="R886" s="1" t="s">
        <v>265</v>
      </c>
      <c r="S886" s="1" t="s">
        <v>450</v>
      </c>
      <c r="T886" s="1" t="s">
        <v>451</v>
      </c>
      <c r="U886" s="1">
        <v>2</v>
      </c>
      <c r="V886" s="1" t="s">
        <v>80</v>
      </c>
      <c r="W886" s="1" t="s">
        <v>4535</v>
      </c>
      <c r="X886" s="1" t="s">
        <v>153</v>
      </c>
      <c r="Y886" s="10">
        <v>44813</v>
      </c>
      <c r="Z886" s="1">
        <v>2022</v>
      </c>
      <c r="AA886" s="2">
        <v>1139201.21</v>
      </c>
      <c r="AB886" s="2"/>
      <c r="AC886" s="2">
        <v>77000</v>
      </c>
      <c r="AD886" s="1">
        <v>4</v>
      </c>
      <c r="AE886" s="1">
        <v>2</v>
      </c>
      <c r="AG886" s="1" t="s">
        <v>432</v>
      </c>
      <c r="AH886" s="1" t="s">
        <v>4501</v>
      </c>
      <c r="AI886" s="2">
        <v>0</v>
      </c>
      <c r="AW886" s="2"/>
      <c r="AX886" s="2"/>
      <c r="AY886" s="2"/>
      <c r="BB886" s="2"/>
    </row>
    <row r="887" spans="1:54" ht="13.15" customHeight="1" x14ac:dyDescent="0.2">
      <c r="A887" s="1" t="s">
        <v>57</v>
      </c>
      <c r="B887" s="9" t="s">
        <v>39</v>
      </c>
      <c r="C887" s="1" t="s">
        <v>58</v>
      </c>
      <c r="D887" s="39" t="s">
        <v>59</v>
      </c>
      <c r="E887" s="39" t="s">
        <v>42</v>
      </c>
      <c r="G887" s="1" t="s">
        <v>60</v>
      </c>
      <c r="H887" s="1" t="s">
        <v>61</v>
      </c>
      <c r="I887" s="1" t="s">
        <v>4537</v>
      </c>
      <c r="J887" s="1">
        <v>2021</v>
      </c>
      <c r="K887" s="1" t="s">
        <v>4538</v>
      </c>
      <c r="P887" s="1" t="s">
        <v>4539</v>
      </c>
      <c r="Q887" s="1" t="s">
        <v>264</v>
      </c>
      <c r="R887" s="1" t="s">
        <v>265</v>
      </c>
      <c r="S887" s="1" t="s">
        <v>923</v>
      </c>
      <c r="T887" s="1" t="s">
        <v>924</v>
      </c>
      <c r="U887" s="1">
        <v>1</v>
      </c>
      <c r="V887" s="1" t="s">
        <v>268</v>
      </c>
      <c r="W887" s="1" t="s">
        <v>4538</v>
      </c>
      <c r="X887" s="1" t="s">
        <v>145</v>
      </c>
      <c r="Y887" s="10">
        <v>45098</v>
      </c>
      <c r="Z887" s="1">
        <v>2023</v>
      </c>
      <c r="AA887" s="2">
        <v>1240814.19</v>
      </c>
      <c r="AB887" s="2"/>
      <c r="AC887" s="2">
        <v>160000</v>
      </c>
      <c r="AD887" s="1">
        <v>3</v>
      </c>
      <c r="AE887" s="1">
        <v>1</v>
      </c>
      <c r="AG887" s="1" t="s">
        <v>432</v>
      </c>
      <c r="AH887" s="1" t="s">
        <v>4501</v>
      </c>
      <c r="AI887" s="2">
        <v>0</v>
      </c>
      <c r="AW887" s="2"/>
      <c r="AX887" s="2"/>
      <c r="AY887" s="2"/>
      <c r="BB887" s="2"/>
    </row>
    <row r="888" spans="1:54" ht="13.15" customHeight="1" x14ac:dyDescent="0.2">
      <c r="A888" s="1" t="s">
        <v>57</v>
      </c>
      <c r="B888" s="9" t="s">
        <v>39</v>
      </c>
      <c r="C888" s="1" t="s">
        <v>58</v>
      </c>
      <c r="D888" s="39" t="s">
        <v>4315</v>
      </c>
      <c r="E888" s="39" t="s">
        <v>42</v>
      </c>
      <c r="G888" s="1" t="s">
        <v>4316</v>
      </c>
      <c r="H888" s="1" t="s">
        <v>61</v>
      </c>
      <c r="I888" s="1" t="s">
        <v>4540</v>
      </c>
      <c r="J888" s="1">
        <v>2018</v>
      </c>
      <c r="P888" s="1" t="s">
        <v>4318</v>
      </c>
      <c r="Q888" s="1" t="s">
        <v>101</v>
      </c>
      <c r="R888" s="1" t="s">
        <v>102</v>
      </c>
      <c r="S888" s="1" t="s">
        <v>103</v>
      </c>
      <c r="T888" s="1" t="s">
        <v>104</v>
      </c>
      <c r="U888" s="1">
        <v>1</v>
      </c>
      <c r="V888" s="1" t="s">
        <v>101</v>
      </c>
      <c r="Y888" s="10">
        <v>43464</v>
      </c>
      <c r="Z888" s="1">
        <v>2018</v>
      </c>
      <c r="AA888" s="2"/>
      <c r="AB888" s="2"/>
      <c r="AC888" s="2">
        <v>577201.77</v>
      </c>
      <c r="AG888" s="1" t="s">
        <v>56</v>
      </c>
      <c r="AI888" s="2">
        <v>577201.77</v>
      </c>
      <c r="AL888" s="1" t="s">
        <v>4319</v>
      </c>
      <c r="AW888" s="2"/>
      <c r="AX888" s="2"/>
      <c r="AY888" s="2"/>
      <c r="BB888" s="2"/>
    </row>
    <row r="889" spans="1:54" ht="13.15" customHeight="1" x14ac:dyDescent="0.2">
      <c r="A889" s="1" t="s">
        <v>57</v>
      </c>
      <c r="B889" s="9" t="s">
        <v>39</v>
      </c>
      <c r="C889" s="1" t="s">
        <v>58</v>
      </c>
      <c r="D889" s="39" t="s">
        <v>4315</v>
      </c>
      <c r="E889" s="39" t="s">
        <v>42</v>
      </c>
      <c r="G889" s="1" t="s">
        <v>4316</v>
      </c>
      <c r="H889" s="1" t="s">
        <v>61</v>
      </c>
      <c r="I889" s="1" t="s">
        <v>4541</v>
      </c>
      <c r="J889" s="1">
        <v>2018</v>
      </c>
      <c r="P889" s="1" t="s">
        <v>4318</v>
      </c>
      <c r="Q889" s="1" t="s">
        <v>101</v>
      </c>
      <c r="R889" s="1" t="s">
        <v>102</v>
      </c>
      <c r="S889" s="1" t="s">
        <v>103</v>
      </c>
      <c r="T889" s="1" t="s">
        <v>104</v>
      </c>
      <c r="U889" s="1">
        <v>1</v>
      </c>
      <c r="V889" s="1" t="s">
        <v>101</v>
      </c>
      <c r="Y889" s="10">
        <v>43464</v>
      </c>
      <c r="Z889" s="1">
        <v>2018</v>
      </c>
      <c r="AA889" s="2"/>
      <c r="AB889" s="2"/>
      <c r="AC889" s="2">
        <v>632483.11</v>
      </c>
      <c r="AG889" s="1" t="s">
        <v>56</v>
      </c>
      <c r="AI889" s="2">
        <v>632483.11</v>
      </c>
      <c r="AL889" s="1" t="s">
        <v>4319</v>
      </c>
      <c r="AW889" s="2"/>
      <c r="AX889" s="2"/>
      <c r="AY889" s="2"/>
      <c r="BB889" s="2"/>
    </row>
    <row r="890" spans="1:54" ht="13.15" customHeight="1" x14ac:dyDescent="0.2">
      <c r="A890" s="1" t="s">
        <v>57</v>
      </c>
      <c r="B890" s="9" t="s">
        <v>39</v>
      </c>
      <c r="C890" s="1" t="s">
        <v>58</v>
      </c>
      <c r="D890" s="39" t="s">
        <v>4315</v>
      </c>
      <c r="E890" s="39" t="s">
        <v>42</v>
      </c>
      <c r="G890" s="1" t="s">
        <v>4316</v>
      </c>
      <c r="H890" s="1" t="s">
        <v>61</v>
      </c>
      <c r="I890" s="1" t="s">
        <v>4542</v>
      </c>
      <c r="J890" s="1">
        <v>2018</v>
      </c>
      <c r="P890" s="1" t="s">
        <v>4318</v>
      </c>
      <c r="Q890" s="1" t="s">
        <v>101</v>
      </c>
      <c r="R890" s="1" t="s">
        <v>102</v>
      </c>
      <c r="S890" s="1" t="s">
        <v>103</v>
      </c>
      <c r="T890" s="1" t="s">
        <v>104</v>
      </c>
      <c r="U890" s="1">
        <v>1</v>
      </c>
      <c r="V890" s="1" t="s">
        <v>101</v>
      </c>
      <c r="Y890" s="10">
        <v>43464</v>
      </c>
      <c r="Z890" s="1">
        <v>2018</v>
      </c>
      <c r="AA890" s="2"/>
      <c r="AB890" s="2"/>
      <c r="AC890" s="2">
        <v>672729.12</v>
      </c>
      <c r="AG890" s="1" t="s">
        <v>56</v>
      </c>
      <c r="AI890" s="2">
        <v>672729.12</v>
      </c>
      <c r="AL890" s="1" t="s">
        <v>4319</v>
      </c>
      <c r="AW890" s="2"/>
      <c r="AX890" s="2"/>
      <c r="AY890" s="2"/>
      <c r="BB890" s="2"/>
    </row>
    <row r="891" spans="1:54" ht="13.15" customHeight="1" x14ac:dyDescent="0.2">
      <c r="A891" s="1" t="s">
        <v>57</v>
      </c>
      <c r="B891" s="9" t="s">
        <v>39</v>
      </c>
      <c r="C891" s="1" t="s">
        <v>58</v>
      </c>
      <c r="D891" s="39" t="s">
        <v>4315</v>
      </c>
      <c r="E891" s="39" t="s">
        <v>42</v>
      </c>
      <c r="G891" s="1" t="s">
        <v>4316</v>
      </c>
      <c r="H891" s="1" t="s">
        <v>61</v>
      </c>
      <c r="I891" s="1" t="s">
        <v>4543</v>
      </c>
      <c r="J891" s="1">
        <v>2021</v>
      </c>
      <c r="P891" s="1" t="s">
        <v>4318</v>
      </c>
      <c r="Q891" s="1" t="s">
        <v>101</v>
      </c>
      <c r="R891" s="1" t="s">
        <v>102</v>
      </c>
      <c r="S891" s="1" t="s">
        <v>103</v>
      </c>
      <c r="T891" s="1" t="s">
        <v>104</v>
      </c>
      <c r="U891" s="1">
        <v>1</v>
      </c>
      <c r="V891" s="1" t="s">
        <v>101</v>
      </c>
      <c r="Y891" s="10">
        <v>44274</v>
      </c>
      <c r="Z891" s="1">
        <v>2021</v>
      </c>
      <c r="AA891" s="2"/>
      <c r="AB891" s="2"/>
      <c r="AC891" s="2">
        <v>621527.9</v>
      </c>
      <c r="AG891" s="1" t="s">
        <v>56</v>
      </c>
      <c r="AI891" s="2">
        <v>621527.9</v>
      </c>
      <c r="AL891" s="1" t="s">
        <v>4319</v>
      </c>
      <c r="AW891" s="2"/>
      <c r="AX891" s="2"/>
      <c r="AY891" s="2"/>
      <c r="BB891" s="2"/>
    </row>
    <row r="892" spans="1:54" ht="13.15" customHeight="1" x14ac:dyDescent="0.2">
      <c r="A892" s="1" t="s">
        <v>57</v>
      </c>
      <c r="B892" s="9" t="s">
        <v>39</v>
      </c>
      <c r="C892" s="1" t="s">
        <v>58</v>
      </c>
      <c r="D892" s="39" t="s">
        <v>4315</v>
      </c>
      <c r="E892" s="39" t="s">
        <v>42</v>
      </c>
      <c r="G892" s="1" t="s">
        <v>4316</v>
      </c>
      <c r="H892" s="1" t="s">
        <v>61</v>
      </c>
      <c r="I892" s="1" t="s">
        <v>4544</v>
      </c>
      <c r="J892" s="1">
        <v>2018</v>
      </c>
      <c r="P892" s="1" t="s">
        <v>4318</v>
      </c>
      <c r="Q892" s="1" t="s">
        <v>101</v>
      </c>
      <c r="R892" s="1" t="s">
        <v>102</v>
      </c>
      <c r="S892" s="1" t="s">
        <v>103</v>
      </c>
      <c r="T892" s="1" t="s">
        <v>104</v>
      </c>
      <c r="U892" s="1">
        <v>1</v>
      </c>
      <c r="V892" s="1" t="s">
        <v>101</v>
      </c>
      <c r="Y892" s="10">
        <v>43465</v>
      </c>
      <c r="Z892" s="1">
        <v>2018</v>
      </c>
      <c r="AA892" s="2"/>
      <c r="AB892" s="2"/>
      <c r="AC892" s="2">
        <v>623702.29</v>
      </c>
      <c r="AG892" s="1" t="s">
        <v>56</v>
      </c>
      <c r="AI892" s="2">
        <v>623702.29</v>
      </c>
      <c r="AL892" s="1" t="s">
        <v>4319</v>
      </c>
      <c r="AW892" s="2"/>
      <c r="AX892" s="2"/>
      <c r="AY892" s="2"/>
      <c r="BB892" s="2"/>
    </row>
    <row r="893" spans="1:54" ht="13.15" customHeight="1" x14ac:dyDescent="0.2">
      <c r="A893" s="1" t="s">
        <v>57</v>
      </c>
      <c r="B893" s="9" t="s">
        <v>39</v>
      </c>
      <c r="C893" s="1" t="s">
        <v>58</v>
      </c>
      <c r="D893" s="39" t="s">
        <v>4315</v>
      </c>
      <c r="E893" s="39" t="s">
        <v>42</v>
      </c>
      <c r="G893" s="1" t="s">
        <v>4316</v>
      </c>
      <c r="H893" s="1" t="s">
        <v>61</v>
      </c>
      <c r="I893" s="1" t="s">
        <v>4545</v>
      </c>
      <c r="J893" s="1">
        <v>2018</v>
      </c>
      <c r="P893" s="1" t="s">
        <v>4318</v>
      </c>
      <c r="Q893" s="1" t="s">
        <v>101</v>
      </c>
      <c r="R893" s="1" t="s">
        <v>102</v>
      </c>
      <c r="S893" s="1" t="s">
        <v>103</v>
      </c>
      <c r="T893" s="1" t="s">
        <v>104</v>
      </c>
      <c r="U893" s="1">
        <v>1</v>
      </c>
      <c r="V893" s="1" t="s">
        <v>101</v>
      </c>
      <c r="Y893" s="10">
        <v>43465</v>
      </c>
      <c r="Z893" s="1">
        <v>2018</v>
      </c>
      <c r="AA893" s="2"/>
      <c r="AB893" s="2"/>
      <c r="AC893" s="2">
        <v>749694.95000000007</v>
      </c>
      <c r="AG893" s="1" t="s">
        <v>56</v>
      </c>
      <c r="AI893" s="2">
        <v>749694.95000000007</v>
      </c>
      <c r="AL893" s="1" t="s">
        <v>4319</v>
      </c>
      <c r="AW893" s="2"/>
      <c r="AX893" s="2"/>
      <c r="AY893" s="2"/>
      <c r="BB893" s="2"/>
    </row>
    <row r="894" spans="1:54" ht="13.15" customHeight="1" x14ac:dyDescent="0.2">
      <c r="A894" s="1" t="s">
        <v>57</v>
      </c>
      <c r="B894" s="9" t="s">
        <v>39</v>
      </c>
      <c r="C894" s="1" t="s">
        <v>58</v>
      </c>
      <c r="D894" s="39" t="s">
        <v>4315</v>
      </c>
      <c r="E894" s="39" t="s">
        <v>42</v>
      </c>
      <c r="G894" s="1" t="s">
        <v>4316</v>
      </c>
      <c r="H894" s="1" t="s">
        <v>61</v>
      </c>
      <c r="I894" s="1" t="s">
        <v>4546</v>
      </c>
      <c r="J894" s="1">
        <v>2019</v>
      </c>
      <c r="P894" s="1" t="s">
        <v>4471</v>
      </c>
      <c r="Q894" s="1" t="s">
        <v>50</v>
      </c>
      <c r="R894" s="1" t="s">
        <v>68</v>
      </c>
      <c r="S894" s="1" t="s">
        <v>425</v>
      </c>
      <c r="T894" s="1" t="s">
        <v>426</v>
      </c>
      <c r="U894" s="1">
        <v>1</v>
      </c>
      <c r="V894" s="1" t="s">
        <v>195</v>
      </c>
      <c r="Y894" s="10">
        <v>43466</v>
      </c>
      <c r="Z894" s="1">
        <v>2019</v>
      </c>
      <c r="AA894" s="2"/>
      <c r="AB894" s="2"/>
      <c r="AC894" s="2">
        <v>402767.21</v>
      </c>
      <c r="AG894" s="1" t="s">
        <v>56</v>
      </c>
      <c r="AI894" s="2">
        <v>402767.21</v>
      </c>
      <c r="AL894" s="1" t="s">
        <v>4319</v>
      </c>
      <c r="AW894" s="2"/>
      <c r="AX894" s="2"/>
      <c r="AY894" s="2"/>
      <c r="BB894" s="2"/>
    </row>
    <row r="895" spans="1:54" ht="13.15" customHeight="1" x14ac:dyDescent="0.2">
      <c r="A895" s="1" t="s">
        <v>57</v>
      </c>
      <c r="B895" s="9" t="s">
        <v>39</v>
      </c>
      <c r="C895" s="1" t="s">
        <v>58</v>
      </c>
      <c r="D895" s="39" t="s">
        <v>59</v>
      </c>
      <c r="E895" s="39" t="s">
        <v>42</v>
      </c>
      <c r="G895" s="1" t="s">
        <v>60</v>
      </c>
      <c r="H895" s="1" t="s">
        <v>61</v>
      </c>
      <c r="I895" s="1" t="s">
        <v>4547</v>
      </c>
      <c r="J895" s="1" t="s">
        <v>82</v>
      </c>
      <c r="K895" s="1" t="s">
        <v>4548</v>
      </c>
      <c r="P895" s="1" t="s">
        <v>4549</v>
      </c>
      <c r="Q895" s="1" t="s">
        <v>264</v>
      </c>
      <c r="R895" s="1" t="s">
        <v>265</v>
      </c>
      <c r="S895" s="1" t="s">
        <v>923</v>
      </c>
      <c r="T895" s="1" t="s">
        <v>924</v>
      </c>
      <c r="U895" s="1">
        <v>1</v>
      </c>
      <c r="V895" s="1" t="s">
        <v>268</v>
      </c>
      <c r="W895" s="1" t="s">
        <v>4548</v>
      </c>
      <c r="X895" s="1" t="s">
        <v>87</v>
      </c>
      <c r="Y895" s="10">
        <v>44338</v>
      </c>
      <c r="Z895" s="1">
        <v>2021</v>
      </c>
      <c r="AA895" s="2">
        <v>607297.06000000006</v>
      </c>
      <c r="AB895" s="2"/>
      <c r="AC895" s="2">
        <v>55646.7</v>
      </c>
      <c r="AD895" s="1">
        <v>3</v>
      </c>
      <c r="AG895" s="1" t="s">
        <v>432</v>
      </c>
      <c r="AH895" s="1" t="s">
        <v>4501</v>
      </c>
      <c r="AI895" s="2">
        <v>0</v>
      </c>
      <c r="AK895" s="1" t="s">
        <v>418</v>
      </c>
      <c r="AW895" s="2"/>
      <c r="AX895" s="2"/>
      <c r="AY895" s="2"/>
      <c r="BB895" s="2"/>
    </row>
    <row r="896" spans="1:54" ht="13.15" customHeight="1" x14ac:dyDescent="0.2">
      <c r="A896" s="1" t="s">
        <v>57</v>
      </c>
      <c r="B896" s="9" t="s">
        <v>39</v>
      </c>
      <c r="C896" s="1" t="s">
        <v>58</v>
      </c>
      <c r="D896" s="39" t="s">
        <v>4315</v>
      </c>
      <c r="E896" s="39" t="s">
        <v>42</v>
      </c>
      <c r="G896" s="1" t="s">
        <v>4316</v>
      </c>
      <c r="H896" s="1" t="s">
        <v>61</v>
      </c>
      <c r="I896" s="1" t="s">
        <v>4550</v>
      </c>
      <c r="J896" s="1">
        <v>2018</v>
      </c>
      <c r="P896" s="1" t="s">
        <v>4318</v>
      </c>
      <c r="Q896" s="1" t="s">
        <v>101</v>
      </c>
      <c r="R896" s="1" t="s">
        <v>102</v>
      </c>
      <c r="S896" s="1" t="s">
        <v>103</v>
      </c>
      <c r="T896" s="1" t="s">
        <v>104</v>
      </c>
      <c r="U896" s="1">
        <v>1</v>
      </c>
      <c r="V896" s="1" t="s">
        <v>101</v>
      </c>
      <c r="Y896" s="10">
        <v>43464</v>
      </c>
      <c r="Z896" s="1">
        <v>2018</v>
      </c>
      <c r="AA896" s="2"/>
      <c r="AB896" s="2"/>
      <c r="AC896" s="2">
        <v>548248.93999999994</v>
      </c>
      <c r="AG896" s="1" t="s">
        <v>56</v>
      </c>
      <c r="AI896" s="2">
        <v>548248.93999999994</v>
      </c>
      <c r="AL896" s="1" t="s">
        <v>4319</v>
      </c>
      <c r="AW896" s="2"/>
      <c r="AX896" s="2"/>
      <c r="AY896" s="2"/>
      <c r="BB896" s="2"/>
    </row>
    <row r="897" spans="1:54" ht="13.15" customHeight="1" x14ac:dyDescent="0.2">
      <c r="A897" s="1" t="s">
        <v>57</v>
      </c>
      <c r="B897" s="9" t="s">
        <v>39</v>
      </c>
      <c r="C897" s="1" t="s">
        <v>58</v>
      </c>
      <c r="D897" s="39" t="s">
        <v>59</v>
      </c>
      <c r="E897" s="39" t="s">
        <v>42</v>
      </c>
      <c r="G897" s="1" t="s">
        <v>60</v>
      </c>
      <c r="H897" s="1" t="s">
        <v>61</v>
      </c>
      <c r="I897" s="1" t="s">
        <v>4551</v>
      </c>
      <c r="J897" s="1" t="s">
        <v>82</v>
      </c>
      <c r="K897" s="1" t="s">
        <v>4552</v>
      </c>
      <c r="P897" s="1" t="s">
        <v>722</v>
      </c>
      <c r="Q897" s="1" t="s">
        <v>264</v>
      </c>
      <c r="R897" s="1" t="s">
        <v>265</v>
      </c>
      <c r="S897" s="1" t="s">
        <v>275</v>
      </c>
      <c r="T897" s="1" t="s">
        <v>276</v>
      </c>
      <c r="U897" s="1">
        <v>2</v>
      </c>
      <c r="V897" s="1" t="s">
        <v>80</v>
      </c>
      <c r="W897" s="1" t="s">
        <v>4552</v>
      </c>
      <c r="X897" s="1" t="s">
        <v>145</v>
      </c>
      <c r="Y897" s="10">
        <v>44299</v>
      </c>
      <c r="Z897" s="1">
        <v>2021</v>
      </c>
      <c r="AA897" s="2">
        <v>3235359.01</v>
      </c>
      <c r="AB897" s="2"/>
      <c r="AC897" s="2">
        <v>288750</v>
      </c>
      <c r="AD897" s="1">
        <v>15</v>
      </c>
      <c r="AE897" s="1">
        <v>6.5</v>
      </c>
      <c r="AG897" s="1" t="s">
        <v>432</v>
      </c>
      <c r="AH897" s="1" t="s">
        <v>492</v>
      </c>
      <c r="AI897" s="2">
        <v>0</v>
      </c>
      <c r="AW897" s="2"/>
      <c r="AX897" s="2"/>
      <c r="AY897" s="2"/>
      <c r="BB897" s="2"/>
    </row>
    <row r="898" spans="1:54" ht="13.15" customHeight="1" x14ac:dyDescent="0.2">
      <c r="A898" s="1" t="s">
        <v>57</v>
      </c>
      <c r="B898" s="9" t="s">
        <v>39</v>
      </c>
      <c r="C898" s="1" t="s">
        <v>58</v>
      </c>
      <c r="D898" s="39" t="s">
        <v>59</v>
      </c>
      <c r="E898" s="39" t="s">
        <v>42</v>
      </c>
      <c r="G898" s="1" t="s">
        <v>60</v>
      </c>
      <c r="H898" s="1" t="s">
        <v>61</v>
      </c>
      <c r="I898" s="1" t="s">
        <v>4553</v>
      </c>
      <c r="J898" s="1">
        <v>2021</v>
      </c>
      <c r="K898" s="1" t="s">
        <v>4554</v>
      </c>
      <c r="P898" s="1" t="s">
        <v>349</v>
      </c>
      <c r="Q898" s="1" t="s">
        <v>264</v>
      </c>
      <c r="R898" s="1" t="s">
        <v>265</v>
      </c>
      <c r="S898" s="1" t="s">
        <v>350</v>
      </c>
      <c r="T898" s="1" t="s">
        <v>351</v>
      </c>
      <c r="U898" s="1">
        <v>1</v>
      </c>
      <c r="V898" s="1" t="s">
        <v>80</v>
      </c>
      <c r="W898" s="1" t="s">
        <v>4555</v>
      </c>
      <c r="X898" s="1" t="s">
        <v>138</v>
      </c>
      <c r="Y898" s="10">
        <v>45098</v>
      </c>
      <c r="Z898" s="1">
        <v>2023</v>
      </c>
      <c r="AA898" s="2">
        <v>760208.25</v>
      </c>
      <c r="AB898" s="2"/>
      <c r="AC898" s="2">
        <v>150000</v>
      </c>
      <c r="AD898" s="1">
        <v>3</v>
      </c>
      <c r="AE898" s="1">
        <v>3</v>
      </c>
      <c r="AG898" s="1" t="s">
        <v>432</v>
      </c>
      <c r="AH898" s="1" t="s">
        <v>4501</v>
      </c>
      <c r="AI898" s="2">
        <v>0</v>
      </c>
      <c r="AW898" s="2"/>
      <c r="AX898" s="2"/>
      <c r="AY898" s="2"/>
      <c r="BB898" s="2"/>
    </row>
    <row r="899" spans="1:54" ht="13.15" customHeight="1" x14ac:dyDescent="0.2">
      <c r="A899" s="1" t="s">
        <v>57</v>
      </c>
      <c r="B899" s="9" t="s">
        <v>39</v>
      </c>
      <c r="C899" s="1" t="s">
        <v>58</v>
      </c>
      <c r="D899" s="39" t="s">
        <v>4315</v>
      </c>
      <c r="E899" s="39" t="s">
        <v>42</v>
      </c>
      <c r="G899" s="1" t="s">
        <v>4316</v>
      </c>
      <c r="H899" s="1" t="s">
        <v>61</v>
      </c>
      <c r="I899" s="1" t="s">
        <v>4556</v>
      </c>
      <c r="J899" s="1">
        <v>2018</v>
      </c>
      <c r="P899" s="1" t="s">
        <v>4318</v>
      </c>
      <c r="Q899" s="1" t="s">
        <v>101</v>
      </c>
      <c r="R899" s="1" t="s">
        <v>102</v>
      </c>
      <c r="S899" s="1" t="s">
        <v>103</v>
      </c>
      <c r="T899" s="1" t="s">
        <v>104</v>
      </c>
      <c r="U899" s="1">
        <v>1</v>
      </c>
      <c r="V899" s="1" t="s">
        <v>101</v>
      </c>
      <c r="Y899" s="10">
        <v>43464</v>
      </c>
      <c r="Z899" s="1">
        <v>2018</v>
      </c>
      <c r="AA899" s="2"/>
      <c r="AB899" s="2"/>
      <c r="AC899" s="2">
        <v>561757.24</v>
      </c>
      <c r="AG899" s="1" t="s">
        <v>56</v>
      </c>
      <c r="AI899" s="2">
        <v>561757.24</v>
      </c>
      <c r="AL899" s="1" t="s">
        <v>4319</v>
      </c>
      <c r="AW899" s="2"/>
      <c r="AX899" s="2"/>
      <c r="AY899" s="2"/>
      <c r="BB899" s="2"/>
    </row>
    <row r="900" spans="1:54" ht="13.15" customHeight="1" x14ac:dyDescent="0.2">
      <c r="A900" s="1" t="s">
        <v>57</v>
      </c>
      <c r="B900" s="9" t="s">
        <v>39</v>
      </c>
      <c r="C900" s="1" t="s">
        <v>58</v>
      </c>
      <c r="D900" s="39" t="s">
        <v>4315</v>
      </c>
      <c r="E900" s="39" t="s">
        <v>42</v>
      </c>
      <c r="G900" s="1" t="s">
        <v>4316</v>
      </c>
      <c r="H900" s="1" t="s">
        <v>61</v>
      </c>
      <c r="I900" s="1" t="s">
        <v>4557</v>
      </c>
      <c r="J900" s="1">
        <v>2018</v>
      </c>
      <c r="P900" s="1" t="s">
        <v>4318</v>
      </c>
      <c r="Q900" s="1" t="s">
        <v>101</v>
      </c>
      <c r="R900" s="1" t="s">
        <v>102</v>
      </c>
      <c r="S900" s="1" t="s">
        <v>103</v>
      </c>
      <c r="T900" s="1" t="s">
        <v>104</v>
      </c>
      <c r="U900" s="1">
        <v>1</v>
      </c>
      <c r="V900" s="1" t="s">
        <v>101</v>
      </c>
      <c r="Y900" s="10">
        <v>43464</v>
      </c>
      <c r="Z900" s="1">
        <v>2018</v>
      </c>
      <c r="AA900" s="2"/>
      <c r="AB900" s="2"/>
      <c r="AC900" s="2">
        <v>600031.56999999995</v>
      </c>
      <c r="AG900" s="1" t="s">
        <v>56</v>
      </c>
      <c r="AI900" s="2">
        <v>600031.56999999995</v>
      </c>
      <c r="AL900" s="1" t="s">
        <v>4319</v>
      </c>
      <c r="AW900" s="2"/>
      <c r="AX900" s="2"/>
      <c r="AY900" s="2"/>
      <c r="BB900" s="2"/>
    </row>
    <row r="901" spans="1:54" ht="13.15" customHeight="1" x14ac:dyDescent="0.2">
      <c r="A901" s="1" t="s">
        <v>57</v>
      </c>
      <c r="B901" s="9" t="s">
        <v>39</v>
      </c>
      <c r="C901" s="1" t="s">
        <v>58</v>
      </c>
      <c r="D901" s="39" t="s">
        <v>4315</v>
      </c>
      <c r="E901" s="39" t="s">
        <v>42</v>
      </c>
      <c r="G901" s="1" t="s">
        <v>4316</v>
      </c>
      <c r="H901" s="1" t="s">
        <v>61</v>
      </c>
      <c r="I901" s="1" t="s">
        <v>4558</v>
      </c>
      <c r="J901" s="1">
        <v>2019</v>
      </c>
      <c r="P901" s="1" t="s">
        <v>4471</v>
      </c>
      <c r="Q901" s="1" t="s">
        <v>50</v>
      </c>
      <c r="R901" s="1" t="s">
        <v>68</v>
      </c>
      <c r="S901" s="1" t="s">
        <v>425</v>
      </c>
      <c r="T901" s="1" t="s">
        <v>426</v>
      </c>
      <c r="U901" s="1">
        <v>1</v>
      </c>
      <c r="V901" s="1" t="s">
        <v>195</v>
      </c>
      <c r="Y901" s="10">
        <v>43466</v>
      </c>
      <c r="Z901" s="1">
        <v>2019</v>
      </c>
      <c r="AA901" s="2"/>
      <c r="AB901" s="2"/>
      <c r="AC901" s="2">
        <v>489243.20000000007</v>
      </c>
      <c r="AG901" s="1" t="s">
        <v>56</v>
      </c>
      <c r="AI901" s="2">
        <v>489243.20000000007</v>
      </c>
      <c r="AL901" s="1" t="s">
        <v>4319</v>
      </c>
      <c r="AW901" s="2"/>
      <c r="AX901" s="2"/>
      <c r="AY901" s="2"/>
      <c r="BB901" s="2"/>
    </row>
    <row r="902" spans="1:54" ht="13.15" customHeight="1" x14ac:dyDescent="0.2">
      <c r="A902" s="1" t="s">
        <v>57</v>
      </c>
      <c r="B902" s="9" t="s">
        <v>39</v>
      </c>
      <c r="C902" s="1" t="s">
        <v>58</v>
      </c>
      <c r="D902" s="39" t="s">
        <v>4315</v>
      </c>
      <c r="E902" s="39" t="s">
        <v>42</v>
      </c>
      <c r="G902" s="1" t="s">
        <v>4316</v>
      </c>
      <c r="H902" s="1" t="s">
        <v>61</v>
      </c>
      <c r="I902" s="1" t="s">
        <v>4559</v>
      </c>
      <c r="J902" s="1">
        <v>2022</v>
      </c>
      <c r="P902" s="1" t="s">
        <v>4329</v>
      </c>
      <c r="Q902" s="1" t="s">
        <v>101</v>
      </c>
      <c r="R902" s="1" t="s">
        <v>102</v>
      </c>
      <c r="S902" s="1" t="s">
        <v>103</v>
      </c>
      <c r="T902" s="1" t="s">
        <v>104</v>
      </c>
      <c r="U902" s="1">
        <v>1</v>
      </c>
      <c r="V902" s="1" t="s">
        <v>101</v>
      </c>
      <c r="Y902" s="10">
        <v>44562</v>
      </c>
      <c r="Z902" s="1">
        <v>2022</v>
      </c>
      <c r="AA902" s="2"/>
      <c r="AB902" s="2"/>
      <c r="AC902" s="2">
        <v>596893.71000000008</v>
      </c>
      <c r="AG902" s="1" t="s">
        <v>56</v>
      </c>
      <c r="AI902" s="2">
        <v>596893.71000000008</v>
      </c>
      <c r="AL902" s="1" t="s">
        <v>4319</v>
      </c>
      <c r="AW902" s="2"/>
      <c r="AX902" s="2"/>
      <c r="AY902" s="2"/>
      <c r="BB902" s="2"/>
    </row>
    <row r="903" spans="1:54" ht="13.15" customHeight="1" x14ac:dyDescent="0.2">
      <c r="A903" s="1" t="s">
        <v>57</v>
      </c>
      <c r="B903" s="9" t="s">
        <v>39</v>
      </c>
      <c r="C903" s="1" t="s">
        <v>58</v>
      </c>
      <c r="D903" s="39" t="s">
        <v>59</v>
      </c>
      <c r="E903" s="39" t="s">
        <v>42</v>
      </c>
      <c r="G903" s="1" t="s">
        <v>88</v>
      </c>
      <c r="H903" s="1" t="s">
        <v>61</v>
      </c>
      <c r="I903" s="1" t="s">
        <v>4560</v>
      </c>
      <c r="J903" s="1" t="s">
        <v>82</v>
      </c>
      <c r="K903" s="1" t="s">
        <v>4561</v>
      </c>
      <c r="P903" s="1" t="s">
        <v>4562</v>
      </c>
      <c r="Q903" s="1" t="s">
        <v>264</v>
      </c>
      <c r="R903" s="1" t="s">
        <v>265</v>
      </c>
      <c r="S903" s="1" t="s">
        <v>350</v>
      </c>
      <c r="T903" s="1" t="s">
        <v>351</v>
      </c>
      <c r="U903" s="1">
        <v>1</v>
      </c>
      <c r="V903" s="1" t="s">
        <v>80</v>
      </c>
      <c r="W903" s="1" t="s">
        <v>4563</v>
      </c>
      <c r="X903" s="1" t="s">
        <v>309</v>
      </c>
      <c r="Y903" s="10">
        <v>44993</v>
      </c>
      <c r="Z903" s="1">
        <v>2023</v>
      </c>
      <c r="AA903" s="2">
        <v>106681.17</v>
      </c>
      <c r="AB903" s="2"/>
      <c r="AC903" s="2">
        <v>39004.35</v>
      </c>
      <c r="AD903" s="1">
        <v>6</v>
      </c>
      <c r="AG903" s="1" t="s">
        <v>432</v>
      </c>
      <c r="AH903" s="1" t="s">
        <v>4501</v>
      </c>
      <c r="AI903" s="2">
        <v>0</v>
      </c>
      <c r="AW903" s="2"/>
      <c r="AX903" s="2"/>
      <c r="AY903" s="2"/>
      <c r="BB903" s="2"/>
    </row>
    <row r="904" spans="1:54" ht="13.15" customHeight="1" x14ac:dyDescent="0.2">
      <c r="A904" s="1" t="s">
        <v>57</v>
      </c>
      <c r="B904" s="9" t="s">
        <v>39</v>
      </c>
      <c r="C904" s="1" t="s">
        <v>58</v>
      </c>
      <c r="D904" s="39" t="s">
        <v>59</v>
      </c>
      <c r="E904" s="39" t="s">
        <v>42</v>
      </c>
      <c r="G904" s="1" t="s">
        <v>88</v>
      </c>
      <c r="H904" s="1" t="s">
        <v>61</v>
      </c>
      <c r="I904" s="1" t="s">
        <v>4564</v>
      </c>
      <c r="J904" s="1">
        <v>2021</v>
      </c>
      <c r="K904" s="1" t="s">
        <v>4565</v>
      </c>
      <c r="P904" s="1" t="s">
        <v>4566</v>
      </c>
      <c r="Q904" s="1" t="s">
        <v>264</v>
      </c>
      <c r="R904" s="1" t="s">
        <v>265</v>
      </c>
      <c r="S904" s="1" t="s">
        <v>275</v>
      </c>
      <c r="T904" s="1" t="s">
        <v>276</v>
      </c>
      <c r="U904" s="1">
        <v>2</v>
      </c>
      <c r="V904" s="1" t="s">
        <v>80</v>
      </c>
      <c r="W904" s="1" t="s">
        <v>4567</v>
      </c>
      <c r="X904" s="1" t="s">
        <v>145</v>
      </c>
      <c r="Y904" s="10">
        <v>44557</v>
      </c>
      <c r="Z904" s="1">
        <v>2021</v>
      </c>
      <c r="AA904" s="2">
        <v>197576.25</v>
      </c>
      <c r="AB904" s="2"/>
      <c r="AC904" s="2">
        <v>29636.44</v>
      </c>
      <c r="AD904" s="1">
        <v>2</v>
      </c>
      <c r="AE904" s="1">
        <v>2</v>
      </c>
      <c r="AG904" s="1" t="s">
        <v>432</v>
      </c>
      <c r="AH904" s="1" t="s">
        <v>4501</v>
      </c>
      <c r="AI904" s="2">
        <v>0</v>
      </c>
      <c r="AW904" s="2"/>
      <c r="AX904" s="2"/>
      <c r="AY904" s="2"/>
      <c r="BB904" s="2"/>
    </row>
    <row r="905" spans="1:54" ht="13.15" customHeight="1" x14ac:dyDescent="0.2">
      <c r="A905" s="1" t="s">
        <v>57</v>
      </c>
      <c r="B905" s="9" t="s">
        <v>39</v>
      </c>
      <c r="C905" s="1" t="s">
        <v>58</v>
      </c>
      <c r="D905" s="39" t="s">
        <v>59</v>
      </c>
      <c r="E905" s="39" t="s">
        <v>42</v>
      </c>
      <c r="G905" s="1" t="s">
        <v>88</v>
      </c>
      <c r="H905" s="1" t="s">
        <v>61</v>
      </c>
      <c r="I905" s="1" t="s">
        <v>4568</v>
      </c>
      <c r="J905" s="1">
        <v>2021</v>
      </c>
      <c r="K905" s="1" t="s">
        <v>4569</v>
      </c>
      <c r="P905" s="1" t="s">
        <v>4570</v>
      </c>
      <c r="Q905" s="1" t="s">
        <v>264</v>
      </c>
      <c r="R905" s="1" t="s">
        <v>265</v>
      </c>
      <c r="S905" s="1" t="s">
        <v>266</v>
      </c>
      <c r="T905" s="1" t="s">
        <v>267</v>
      </c>
      <c r="U905" s="1">
        <v>2</v>
      </c>
      <c r="V905" s="1" t="s">
        <v>268</v>
      </c>
      <c r="W905" s="1" t="s">
        <v>4569</v>
      </c>
      <c r="X905" s="1" t="s">
        <v>145</v>
      </c>
      <c r="Y905" s="10">
        <v>44557</v>
      </c>
      <c r="Z905" s="1">
        <v>2021</v>
      </c>
      <c r="AA905" s="2">
        <v>71712.45</v>
      </c>
      <c r="AB905" s="2"/>
      <c r="AC905" s="2">
        <v>21513.74</v>
      </c>
      <c r="AD905" s="1">
        <v>1.5</v>
      </c>
      <c r="AE905" s="1">
        <v>1.5</v>
      </c>
      <c r="AG905" s="1" t="s">
        <v>432</v>
      </c>
      <c r="AH905" s="1" t="s">
        <v>4501</v>
      </c>
      <c r="AI905" s="2">
        <v>0</v>
      </c>
      <c r="AW905" s="2"/>
      <c r="AX905" s="2"/>
      <c r="AY905" s="2"/>
      <c r="BB905" s="2"/>
    </row>
    <row r="906" spans="1:54" ht="13.15" customHeight="1" x14ac:dyDescent="0.2">
      <c r="A906" s="1" t="s">
        <v>57</v>
      </c>
      <c r="B906" s="9" t="s">
        <v>39</v>
      </c>
      <c r="C906" s="1" t="s">
        <v>58</v>
      </c>
      <c r="D906" s="39" t="s">
        <v>59</v>
      </c>
      <c r="E906" s="39" t="s">
        <v>42</v>
      </c>
      <c r="G906" s="1" t="s">
        <v>88</v>
      </c>
      <c r="H906" s="1" t="s">
        <v>61</v>
      </c>
      <c r="I906" s="1" t="s">
        <v>4571</v>
      </c>
      <c r="J906" s="1" t="s">
        <v>82</v>
      </c>
      <c r="K906" s="1" t="s">
        <v>4572</v>
      </c>
      <c r="P906" s="1" t="s">
        <v>4573</v>
      </c>
      <c r="Q906" s="1" t="s">
        <v>264</v>
      </c>
      <c r="R906" s="1" t="s">
        <v>265</v>
      </c>
      <c r="S906" s="1" t="s">
        <v>266</v>
      </c>
      <c r="T906" s="1" t="s">
        <v>267</v>
      </c>
      <c r="U906" s="1">
        <v>2</v>
      </c>
      <c r="V906" s="1" t="s">
        <v>268</v>
      </c>
      <c r="W906" s="1" t="s">
        <v>4574</v>
      </c>
      <c r="X906" s="1" t="s">
        <v>87</v>
      </c>
      <c r="Y906" s="10">
        <v>44795</v>
      </c>
      <c r="Z906" s="1">
        <v>2022</v>
      </c>
      <c r="AA906" s="2">
        <v>107000</v>
      </c>
      <c r="AB906" s="2"/>
      <c r="AC906" s="2">
        <v>16050</v>
      </c>
      <c r="AD906" s="1">
        <v>0</v>
      </c>
      <c r="AG906" s="1" t="s">
        <v>432</v>
      </c>
      <c r="AH906" s="1" t="s">
        <v>4438</v>
      </c>
      <c r="AI906" s="2">
        <v>0</v>
      </c>
      <c r="AW906" s="2"/>
      <c r="AX906" s="2"/>
      <c r="AY906" s="2"/>
      <c r="BB906" s="2"/>
    </row>
    <row r="907" spans="1:54" ht="13.15" customHeight="1" x14ac:dyDescent="0.2">
      <c r="A907" s="1" t="s">
        <v>57</v>
      </c>
      <c r="B907" s="9" t="s">
        <v>38</v>
      </c>
      <c r="C907" s="1" t="s">
        <v>58</v>
      </c>
      <c r="D907" s="39" t="s">
        <v>1409</v>
      </c>
      <c r="E907" s="39" t="s">
        <v>42</v>
      </c>
      <c r="F907" s="1" t="s">
        <v>3663</v>
      </c>
      <c r="G907" s="1" t="s">
        <v>2146</v>
      </c>
      <c r="H907" s="1" t="s">
        <v>156</v>
      </c>
      <c r="I907" s="1" t="s">
        <v>4575</v>
      </c>
      <c r="J907" s="1">
        <v>2021</v>
      </c>
      <c r="K907" s="1" t="s">
        <v>4576</v>
      </c>
      <c r="L907" s="1" t="s">
        <v>4577</v>
      </c>
      <c r="M907" s="1" t="s">
        <v>4578</v>
      </c>
      <c r="N907" s="1" t="s">
        <v>4579</v>
      </c>
      <c r="P907" s="1" t="s">
        <v>2151</v>
      </c>
      <c r="Q907" s="1" t="s">
        <v>50</v>
      </c>
      <c r="R907" s="1" t="s">
        <v>68</v>
      </c>
      <c r="S907" s="1" t="s">
        <v>4580</v>
      </c>
      <c r="T907" s="1" t="s">
        <v>4581</v>
      </c>
      <c r="U907" s="1">
        <v>1</v>
      </c>
      <c r="V907" s="1" t="s">
        <v>71</v>
      </c>
      <c r="W907" s="1" t="s">
        <v>4582</v>
      </c>
      <c r="Y907" s="10">
        <v>44530</v>
      </c>
      <c r="Z907" s="1">
        <v>2021</v>
      </c>
      <c r="AA907" s="2">
        <v>38231906.829999998</v>
      </c>
      <c r="AB907" s="2"/>
      <c r="AC907" s="2">
        <v>36759961.26275</v>
      </c>
      <c r="AF907" s="1">
        <v>74</v>
      </c>
      <c r="AG907" s="1" t="s">
        <v>56</v>
      </c>
      <c r="AI907" s="2">
        <v>36759961.26275</v>
      </c>
      <c r="AJ907" s="1">
        <v>722.24</v>
      </c>
      <c r="AK907" s="1" t="s">
        <v>2108</v>
      </c>
      <c r="AW907" s="2"/>
      <c r="AX907" s="2"/>
      <c r="AY907" s="2"/>
      <c r="BB907" s="2"/>
    </row>
    <row r="908" spans="1:54" ht="13.15" customHeight="1" x14ac:dyDescent="0.2">
      <c r="A908" s="1" t="s">
        <v>57</v>
      </c>
      <c r="B908" s="9" t="s">
        <v>39</v>
      </c>
      <c r="C908" s="1" t="s">
        <v>58</v>
      </c>
      <c r="D908" s="39" t="s">
        <v>59</v>
      </c>
      <c r="E908" s="39" t="s">
        <v>42</v>
      </c>
      <c r="G908" s="1" t="s">
        <v>88</v>
      </c>
      <c r="H908" s="1" t="s">
        <v>61</v>
      </c>
      <c r="I908" s="1" t="s">
        <v>4583</v>
      </c>
      <c r="J908" s="1" t="s">
        <v>82</v>
      </c>
      <c r="K908" s="1" t="s">
        <v>4584</v>
      </c>
      <c r="P908" s="1" t="s">
        <v>4585</v>
      </c>
      <c r="Q908" s="1" t="s">
        <v>264</v>
      </c>
      <c r="R908" s="1" t="s">
        <v>265</v>
      </c>
      <c r="S908" s="1" t="s">
        <v>4586</v>
      </c>
      <c r="T908" s="1" t="s">
        <v>4587</v>
      </c>
      <c r="U908" s="1">
        <v>2</v>
      </c>
      <c r="V908" s="39" t="s">
        <v>80</v>
      </c>
      <c r="W908" s="1" t="s">
        <v>4584</v>
      </c>
      <c r="X908" s="1" t="s">
        <v>145</v>
      </c>
      <c r="Y908" s="10">
        <v>44993</v>
      </c>
      <c r="Z908" s="1">
        <v>2023</v>
      </c>
      <c r="AA908" s="2">
        <v>122699.48</v>
      </c>
      <c r="AB908" s="2"/>
      <c r="AC908" s="2">
        <v>18404.919999999998</v>
      </c>
      <c r="AD908" s="1">
        <v>2</v>
      </c>
      <c r="AG908" s="1" t="s">
        <v>432</v>
      </c>
      <c r="AH908" s="1" t="s">
        <v>4501</v>
      </c>
      <c r="AI908" s="2">
        <v>0</v>
      </c>
      <c r="AW908" s="2"/>
      <c r="AX908" s="2"/>
      <c r="AY908" s="2"/>
      <c r="BB908" s="2"/>
    </row>
    <row r="909" spans="1:54" ht="13.15" customHeight="1" x14ac:dyDescent="0.2">
      <c r="A909" s="1" t="s">
        <v>57</v>
      </c>
      <c r="B909" s="9" t="s">
        <v>39</v>
      </c>
      <c r="C909" s="1" t="s">
        <v>58</v>
      </c>
      <c r="D909" s="39" t="s">
        <v>59</v>
      </c>
      <c r="E909" s="39" t="s">
        <v>42</v>
      </c>
      <c r="G909" s="1" t="s">
        <v>88</v>
      </c>
      <c r="H909" s="1" t="s">
        <v>61</v>
      </c>
      <c r="I909" s="1" t="s">
        <v>4588</v>
      </c>
      <c r="J909" s="1" t="s">
        <v>82</v>
      </c>
      <c r="K909" s="1" t="s">
        <v>4589</v>
      </c>
      <c r="P909" s="1" t="s">
        <v>4590</v>
      </c>
      <c r="Q909" s="1" t="s">
        <v>264</v>
      </c>
      <c r="R909" s="1" t="s">
        <v>265</v>
      </c>
      <c r="S909" s="1" t="s">
        <v>266</v>
      </c>
      <c r="T909" s="1" t="s">
        <v>267</v>
      </c>
      <c r="U909" s="1">
        <v>2</v>
      </c>
      <c r="V909" s="1" t="s">
        <v>268</v>
      </c>
      <c r="W909" s="1" t="s">
        <v>4589</v>
      </c>
      <c r="X909" s="1" t="s">
        <v>138</v>
      </c>
      <c r="Y909" s="10">
        <v>44403</v>
      </c>
      <c r="Z909" s="1">
        <v>2021</v>
      </c>
      <c r="AA909" s="2">
        <v>40368.43</v>
      </c>
      <c r="AB909" s="2"/>
      <c r="AC909" s="2">
        <v>20184.22</v>
      </c>
      <c r="AD909" s="1">
        <v>4.13</v>
      </c>
      <c r="AE909" s="1">
        <v>2</v>
      </c>
      <c r="AG909" s="1" t="s">
        <v>432</v>
      </c>
      <c r="AH909" s="1" t="s">
        <v>433</v>
      </c>
      <c r="AI909" s="2">
        <v>0</v>
      </c>
      <c r="AL909" s="15" t="s">
        <v>4591</v>
      </c>
      <c r="AW909" s="2"/>
      <c r="AX909" s="2"/>
      <c r="AY909" s="2"/>
      <c r="BB909" s="2"/>
    </row>
    <row r="910" spans="1:54" ht="13.15" customHeight="1" x14ac:dyDescent="0.2">
      <c r="A910" s="1" t="s">
        <v>57</v>
      </c>
      <c r="B910" s="9" t="s">
        <v>39</v>
      </c>
      <c r="C910" s="1" t="s">
        <v>58</v>
      </c>
      <c r="D910" s="39" t="s">
        <v>59</v>
      </c>
      <c r="E910" s="39" t="s">
        <v>42</v>
      </c>
      <c r="G910" s="1" t="s">
        <v>88</v>
      </c>
      <c r="H910" s="1" t="s">
        <v>61</v>
      </c>
      <c r="I910" s="1" t="s">
        <v>4592</v>
      </c>
      <c r="J910" s="1" t="s">
        <v>82</v>
      </c>
      <c r="K910" s="1" t="s">
        <v>4593</v>
      </c>
      <c r="P910" s="1" t="s">
        <v>2379</v>
      </c>
      <c r="Q910" s="1" t="s">
        <v>264</v>
      </c>
      <c r="R910" s="1" t="s">
        <v>265</v>
      </c>
      <c r="S910" s="1" t="s">
        <v>350</v>
      </c>
      <c r="T910" s="1" t="s">
        <v>351</v>
      </c>
      <c r="U910" s="1">
        <v>1</v>
      </c>
      <c r="V910" s="1" t="s">
        <v>80</v>
      </c>
      <c r="W910" s="1" t="s">
        <v>4593</v>
      </c>
      <c r="X910" s="1" t="s">
        <v>599</v>
      </c>
      <c r="Y910" s="10">
        <v>45132</v>
      </c>
      <c r="Z910" s="1">
        <v>2023</v>
      </c>
      <c r="AA910" s="2">
        <v>229415.87</v>
      </c>
      <c r="AB910" s="2"/>
      <c r="AC910" s="2">
        <v>82824.759999999995</v>
      </c>
      <c r="AD910" s="1">
        <v>2</v>
      </c>
      <c r="AE910" s="1">
        <v>1</v>
      </c>
      <c r="AG910" s="1" t="s">
        <v>432</v>
      </c>
      <c r="AH910" s="1" t="s">
        <v>4501</v>
      </c>
      <c r="AI910" s="2">
        <v>0</v>
      </c>
      <c r="AW910" s="2"/>
      <c r="AX910" s="2"/>
      <c r="AY910" s="2"/>
      <c r="BB910" s="2"/>
    </row>
    <row r="911" spans="1:54" ht="13.15" customHeight="1" thickBot="1" x14ac:dyDescent="0.25">
      <c r="A911" s="1" t="s">
        <v>57</v>
      </c>
      <c r="B911" s="9" t="s">
        <v>39</v>
      </c>
      <c r="C911" s="1" t="s">
        <v>58</v>
      </c>
      <c r="D911" s="39" t="s">
        <v>4315</v>
      </c>
      <c r="E911" s="39" t="s">
        <v>42</v>
      </c>
      <c r="G911" s="39" t="s">
        <v>4316</v>
      </c>
      <c r="H911" s="1" t="s">
        <v>61</v>
      </c>
      <c r="I911" s="1" t="s">
        <v>4594</v>
      </c>
      <c r="J911" s="1">
        <v>2019</v>
      </c>
      <c r="P911" s="1" t="s">
        <v>4318</v>
      </c>
      <c r="Q911" s="1" t="s">
        <v>101</v>
      </c>
      <c r="R911" s="1" t="s">
        <v>102</v>
      </c>
      <c r="S911" s="1" t="s">
        <v>103</v>
      </c>
      <c r="T911" s="1" t="s">
        <v>104</v>
      </c>
      <c r="U911" s="1">
        <v>1</v>
      </c>
      <c r="V911" s="39" t="s">
        <v>101</v>
      </c>
      <c r="Y911" s="10">
        <v>43678</v>
      </c>
      <c r="Z911" s="1">
        <v>2019</v>
      </c>
      <c r="AA911" s="2"/>
      <c r="AB911" s="2"/>
      <c r="AC911" s="2">
        <v>663596.74000000011</v>
      </c>
      <c r="AD911" s="46"/>
      <c r="AG911" s="1" t="s">
        <v>56</v>
      </c>
      <c r="AI911" s="2">
        <v>663596.74000000011</v>
      </c>
      <c r="AL911" s="1" t="s">
        <v>4319</v>
      </c>
      <c r="AW911" s="2"/>
      <c r="AX911" s="2"/>
      <c r="AY911" s="2"/>
      <c r="BB911" s="2"/>
    </row>
    <row r="912" spans="1:54" ht="13.15" customHeight="1" thickBot="1" x14ac:dyDescent="0.25">
      <c r="A912" s="1" t="s">
        <v>57</v>
      </c>
      <c r="B912" s="9" t="s">
        <v>39</v>
      </c>
      <c r="C912" s="1" t="s">
        <v>58</v>
      </c>
      <c r="D912" s="39" t="s">
        <v>59</v>
      </c>
      <c r="E912" s="39" t="s">
        <v>42</v>
      </c>
      <c r="G912" s="39" t="s">
        <v>88</v>
      </c>
      <c r="H912" s="1" t="s">
        <v>61</v>
      </c>
      <c r="I912" s="1" t="s">
        <v>4595</v>
      </c>
      <c r="J912" s="1" t="s">
        <v>82</v>
      </c>
      <c r="K912" s="1" t="s">
        <v>4596</v>
      </c>
      <c r="P912" s="1" t="s">
        <v>4597</v>
      </c>
      <c r="Q912" s="1" t="s">
        <v>264</v>
      </c>
      <c r="R912" s="1" t="s">
        <v>265</v>
      </c>
      <c r="S912" s="1" t="s">
        <v>533</v>
      </c>
      <c r="T912" s="1" t="s">
        <v>534</v>
      </c>
      <c r="U912" s="1">
        <v>1</v>
      </c>
      <c r="V912" s="1" t="s">
        <v>535</v>
      </c>
      <c r="W912" s="1" t="s">
        <v>4596</v>
      </c>
      <c r="X912" s="1" t="s">
        <v>309</v>
      </c>
      <c r="Y912" s="10">
        <v>44183</v>
      </c>
      <c r="Z912" s="1">
        <v>2020</v>
      </c>
      <c r="AA912" s="2">
        <v>34500</v>
      </c>
      <c r="AB912" s="2"/>
      <c r="AC912" s="2">
        <v>10350</v>
      </c>
      <c r="AD912" s="46">
        <v>1</v>
      </c>
      <c r="AG912" s="1" t="s">
        <v>432</v>
      </c>
      <c r="AH912" s="1" t="s">
        <v>4598</v>
      </c>
      <c r="AI912" s="2">
        <v>0</v>
      </c>
      <c r="AW912" s="2"/>
      <c r="AX912" s="2"/>
      <c r="AY912" s="2"/>
      <c r="BB912" s="2"/>
    </row>
    <row r="913" spans="1:54" ht="13.15" customHeight="1" thickBot="1" x14ac:dyDescent="0.25">
      <c r="A913" s="1" t="s">
        <v>57</v>
      </c>
      <c r="B913" s="9" t="s">
        <v>39</v>
      </c>
      <c r="C913" s="1" t="s">
        <v>58</v>
      </c>
      <c r="D913" s="39" t="s">
        <v>59</v>
      </c>
      <c r="E913" s="39" t="s">
        <v>42</v>
      </c>
      <c r="G913" s="39" t="s">
        <v>88</v>
      </c>
      <c r="H913" s="1" t="s">
        <v>61</v>
      </c>
      <c r="I913" s="1" t="s">
        <v>4599</v>
      </c>
      <c r="J913" s="1" t="s">
        <v>82</v>
      </c>
      <c r="K913" s="1" t="s">
        <v>4600</v>
      </c>
      <c r="P913" s="1" t="s">
        <v>4601</v>
      </c>
      <c r="Q913" s="1" t="s">
        <v>264</v>
      </c>
      <c r="R913" s="1" t="s">
        <v>265</v>
      </c>
      <c r="S913" s="1" t="s">
        <v>350</v>
      </c>
      <c r="T913" s="1" t="s">
        <v>351</v>
      </c>
      <c r="U913" s="1">
        <v>1</v>
      </c>
      <c r="V913" s="39" t="s">
        <v>80</v>
      </c>
      <c r="W913" s="1" t="s">
        <v>4600</v>
      </c>
      <c r="X913" s="1" t="s">
        <v>87</v>
      </c>
      <c r="Y913" s="10">
        <v>44993</v>
      </c>
      <c r="Z913" s="1">
        <v>2023</v>
      </c>
      <c r="AA913" s="2">
        <v>36677.11</v>
      </c>
      <c r="AB913" s="2"/>
      <c r="AC913" s="2">
        <v>11003.13</v>
      </c>
      <c r="AD913" s="46">
        <v>0</v>
      </c>
      <c r="AG913" s="1" t="s">
        <v>432</v>
      </c>
      <c r="AH913" s="1" t="s">
        <v>4501</v>
      </c>
      <c r="AI913" s="2">
        <v>0</v>
      </c>
      <c r="AW913" s="2"/>
      <c r="AX913" s="2"/>
      <c r="AY913" s="2"/>
      <c r="BB913" s="2"/>
    </row>
    <row r="914" spans="1:54" ht="13.15" customHeight="1" thickBot="1" x14ac:dyDescent="0.25">
      <c r="A914" s="1" t="s">
        <v>57</v>
      </c>
      <c r="B914" s="9" t="s">
        <v>39</v>
      </c>
      <c r="C914" s="1" t="s">
        <v>58</v>
      </c>
      <c r="D914" s="39" t="s">
        <v>59</v>
      </c>
      <c r="E914" s="39" t="s">
        <v>42</v>
      </c>
      <c r="G914" s="39" t="s">
        <v>88</v>
      </c>
      <c r="H914" s="1" t="s">
        <v>61</v>
      </c>
      <c r="I914" s="1" t="s">
        <v>4602</v>
      </c>
      <c r="J914" s="1" t="s">
        <v>82</v>
      </c>
      <c r="K914" s="1" t="s">
        <v>4603</v>
      </c>
      <c r="P914" s="1" t="s">
        <v>4604</v>
      </c>
      <c r="Q914" s="1" t="s">
        <v>264</v>
      </c>
      <c r="R914" s="1" t="s">
        <v>265</v>
      </c>
      <c r="S914" s="1" t="s">
        <v>717</v>
      </c>
      <c r="T914" s="1" t="s">
        <v>718</v>
      </c>
      <c r="U914" s="1">
        <v>1</v>
      </c>
      <c r="V914" s="1" t="s">
        <v>535</v>
      </c>
      <c r="W914" s="1" t="s">
        <v>4603</v>
      </c>
      <c r="X914" s="1" t="s">
        <v>87</v>
      </c>
      <c r="Y914" s="10">
        <v>44435</v>
      </c>
      <c r="Z914" s="1">
        <v>2021</v>
      </c>
      <c r="AA914" s="2">
        <v>39614.36</v>
      </c>
      <c r="AB914" s="2"/>
      <c r="AC914" s="2">
        <v>19807.18</v>
      </c>
      <c r="AD914" s="46">
        <v>4</v>
      </c>
      <c r="AE914" s="1">
        <v>1</v>
      </c>
      <c r="AG914" s="1" t="s">
        <v>432</v>
      </c>
      <c r="AH914" s="1" t="s">
        <v>492</v>
      </c>
      <c r="AI914" s="2">
        <v>0</v>
      </c>
      <c r="AW914" s="2"/>
      <c r="AX914" s="2"/>
      <c r="AY914" s="2"/>
      <c r="BB914" s="2"/>
    </row>
    <row r="915" spans="1:54" ht="13.15" customHeight="1" thickBot="1" x14ac:dyDescent="0.25">
      <c r="A915" s="1" t="s">
        <v>57</v>
      </c>
      <c r="B915" s="9" t="s">
        <v>39</v>
      </c>
      <c r="C915" s="1" t="s">
        <v>58</v>
      </c>
      <c r="D915" s="39" t="s">
        <v>4315</v>
      </c>
      <c r="E915" s="39" t="s">
        <v>42</v>
      </c>
      <c r="G915" s="39" t="s">
        <v>4316</v>
      </c>
      <c r="H915" s="1" t="s">
        <v>61</v>
      </c>
      <c r="I915" s="1" t="s">
        <v>4605</v>
      </c>
      <c r="J915" s="1">
        <v>2019</v>
      </c>
      <c r="P915" s="1" t="s">
        <v>4471</v>
      </c>
      <c r="Q915" s="1" t="s">
        <v>50</v>
      </c>
      <c r="R915" s="1" t="s">
        <v>68</v>
      </c>
      <c r="S915" s="1" t="s">
        <v>425</v>
      </c>
      <c r="T915" s="1" t="s">
        <v>426</v>
      </c>
      <c r="U915" s="1">
        <v>1</v>
      </c>
      <c r="V915" s="39" t="s">
        <v>195</v>
      </c>
      <c r="Y915" s="10">
        <v>43466</v>
      </c>
      <c r="Z915" s="1">
        <v>2019</v>
      </c>
      <c r="AA915" s="2"/>
      <c r="AB915" s="2"/>
      <c r="AC915" s="2">
        <v>496982.76</v>
      </c>
      <c r="AD915" s="46"/>
      <c r="AG915" s="1" t="s">
        <v>56</v>
      </c>
      <c r="AI915" s="2">
        <v>496982.76</v>
      </c>
      <c r="AL915" s="1" t="s">
        <v>4319</v>
      </c>
      <c r="AW915" s="2"/>
      <c r="AX915" s="2"/>
      <c r="AY915" s="2"/>
      <c r="BB915" s="2"/>
    </row>
    <row r="916" spans="1:54" ht="13.15" customHeight="1" thickBot="1" x14ac:dyDescent="0.25">
      <c r="A916" s="1" t="s">
        <v>57</v>
      </c>
      <c r="B916" s="9" t="s">
        <v>39</v>
      </c>
      <c r="C916" s="1" t="s">
        <v>58</v>
      </c>
      <c r="D916" s="39" t="s">
        <v>59</v>
      </c>
      <c r="E916" s="39" t="s">
        <v>42</v>
      </c>
      <c r="G916" s="39" t="s">
        <v>88</v>
      </c>
      <c r="H916" s="1" t="s">
        <v>61</v>
      </c>
      <c r="I916" s="1" t="s">
        <v>4606</v>
      </c>
      <c r="J916" s="1" t="s">
        <v>82</v>
      </c>
      <c r="K916" s="1" t="s">
        <v>4607</v>
      </c>
      <c r="P916" s="1" t="s">
        <v>4608</v>
      </c>
      <c r="Q916" s="1" t="s">
        <v>50</v>
      </c>
      <c r="R916" s="1" t="s">
        <v>68</v>
      </c>
      <c r="S916" s="1" t="s">
        <v>136</v>
      </c>
      <c r="T916" s="1" t="s">
        <v>137</v>
      </c>
      <c r="U916" s="1">
        <v>2</v>
      </c>
      <c r="V916" s="39" t="s">
        <v>80</v>
      </c>
      <c r="W916" s="1" t="s">
        <v>4607</v>
      </c>
      <c r="X916" s="1" t="s">
        <v>153</v>
      </c>
      <c r="Y916" s="10">
        <v>44484</v>
      </c>
      <c r="Z916" s="1">
        <v>2021</v>
      </c>
      <c r="AA916" s="2">
        <v>367045.05</v>
      </c>
      <c r="AB916" s="2"/>
      <c r="AC916" s="2">
        <v>62056.76</v>
      </c>
      <c r="AD916" s="46">
        <v>2</v>
      </c>
      <c r="AE916" s="1">
        <v>1</v>
      </c>
      <c r="AG916" s="1" t="s">
        <v>432</v>
      </c>
      <c r="AH916" s="1" t="s">
        <v>492</v>
      </c>
      <c r="AI916" s="2">
        <v>0</v>
      </c>
      <c r="AK916" s="1" t="s">
        <v>418</v>
      </c>
      <c r="AW916" s="2"/>
      <c r="AX916" s="2"/>
      <c r="AY916" s="2"/>
      <c r="BB916" s="2"/>
    </row>
    <row r="917" spans="1:54" ht="13.15" customHeight="1" thickBot="1" x14ac:dyDescent="0.25">
      <c r="A917" s="1" t="s">
        <v>57</v>
      </c>
      <c r="B917" s="9" t="s">
        <v>39</v>
      </c>
      <c r="C917" s="1" t="s">
        <v>58</v>
      </c>
      <c r="D917" s="39" t="s">
        <v>59</v>
      </c>
      <c r="E917" s="39" t="s">
        <v>42</v>
      </c>
      <c r="G917" s="39" t="s">
        <v>88</v>
      </c>
      <c r="H917" s="1" t="s">
        <v>61</v>
      </c>
      <c r="I917" s="1" t="s">
        <v>4609</v>
      </c>
      <c r="J917" s="1" t="s">
        <v>82</v>
      </c>
      <c r="K917" s="1" t="s">
        <v>4610</v>
      </c>
      <c r="P917" s="1" t="s">
        <v>4611</v>
      </c>
      <c r="Q917" s="1" t="s">
        <v>50</v>
      </c>
      <c r="R917" s="1" t="s">
        <v>77</v>
      </c>
      <c r="S917" s="1" t="s">
        <v>78</v>
      </c>
      <c r="T917" s="1" t="s">
        <v>79</v>
      </c>
      <c r="U917" s="1">
        <v>2</v>
      </c>
      <c r="V917" s="1" t="s">
        <v>80</v>
      </c>
      <c r="W917" s="1" t="s">
        <v>4610</v>
      </c>
      <c r="X917" s="1" t="s">
        <v>145</v>
      </c>
      <c r="Y917" s="10">
        <v>45069</v>
      </c>
      <c r="Z917" s="1">
        <v>2023</v>
      </c>
      <c r="AA917" s="2">
        <v>161970.72</v>
      </c>
      <c r="AB917" s="2"/>
      <c r="AC917" s="2">
        <v>31295.61</v>
      </c>
      <c r="AD917" s="46">
        <v>2</v>
      </c>
      <c r="AE917" s="1">
        <v>1</v>
      </c>
      <c r="AG917" s="1" t="s">
        <v>432</v>
      </c>
      <c r="AH917" s="1" t="s">
        <v>4371</v>
      </c>
      <c r="AI917" s="2">
        <v>0</v>
      </c>
      <c r="AW917" s="2"/>
      <c r="AX917" s="2"/>
      <c r="AY917" s="2"/>
      <c r="BB917" s="2"/>
    </row>
    <row r="918" spans="1:54" ht="13.15" customHeight="1" thickBot="1" x14ac:dyDescent="0.25">
      <c r="A918" s="1" t="s">
        <v>57</v>
      </c>
      <c r="B918" s="9" t="s">
        <v>39</v>
      </c>
      <c r="C918" s="1" t="s">
        <v>58</v>
      </c>
      <c r="D918" s="39" t="s">
        <v>59</v>
      </c>
      <c r="E918" s="39" t="s">
        <v>42</v>
      </c>
      <c r="G918" s="39" t="s">
        <v>88</v>
      </c>
      <c r="H918" s="1" t="s">
        <v>61</v>
      </c>
      <c r="I918" s="1" t="s">
        <v>4612</v>
      </c>
      <c r="J918" s="1" t="s">
        <v>82</v>
      </c>
      <c r="K918" s="1" t="s">
        <v>4613</v>
      </c>
      <c r="P918" s="1" t="s">
        <v>4614</v>
      </c>
      <c r="Q918" s="1" t="s">
        <v>50</v>
      </c>
      <c r="R918" s="1" t="s">
        <v>68</v>
      </c>
      <c r="S918" s="1" t="s">
        <v>193</v>
      </c>
      <c r="T918" s="1" t="s">
        <v>194</v>
      </c>
      <c r="U918" s="1">
        <v>1</v>
      </c>
      <c r="V918" s="1" t="s">
        <v>195</v>
      </c>
      <c r="W918" s="1" t="s">
        <v>4613</v>
      </c>
      <c r="X918" s="1" t="s">
        <v>87</v>
      </c>
      <c r="Y918" s="10">
        <v>44392</v>
      </c>
      <c r="Z918" s="1">
        <v>2021</v>
      </c>
      <c r="AA918" s="2">
        <v>498195</v>
      </c>
      <c r="AB918" s="2"/>
      <c r="AC918" s="2">
        <v>50000</v>
      </c>
      <c r="AD918" s="46">
        <v>1</v>
      </c>
      <c r="AG918" s="1" t="s">
        <v>432</v>
      </c>
      <c r="AH918" s="1" t="s">
        <v>492</v>
      </c>
      <c r="AI918" s="2">
        <v>0</v>
      </c>
      <c r="AW918" s="2"/>
      <c r="AX918" s="2"/>
      <c r="AY918" s="2"/>
      <c r="BB918" s="2"/>
    </row>
    <row r="919" spans="1:54" ht="13.15" customHeight="1" thickBot="1" x14ac:dyDescent="0.25">
      <c r="A919" s="1" t="s">
        <v>57</v>
      </c>
      <c r="B919" s="9" t="s">
        <v>39</v>
      </c>
      <c r="C919" s="1" t="s">
        <v>58</v>
      </c>
      <c r="D919" s="39" t="s">
        <v>59</v>
      </c>
      <c r="E919" s="39" t="s">
        <v>42</v>
      </c>
      <c r="G919" s="39" t="s">
        <v>88</v>
      </c>
      <c r="H919" s="1" t="s">
        <v>61</v>
      </c>
      <c r="I919" s="1" t="s">
        <v>4615</v>
      </c>
      <c r="J919" s="1" t="s">
        <v>82</v>
      </c>
      <c r="K919" s="1" t="s">
        <v>4616</v>
      </c>
      <c r="P919" s="1" t="s">
        <v>4617</v>
      </c>
      <c r="Q919" s="1" t="s">
        <v>264</v>
      </c>
      <c r="R919" s="1" t="s">
        <v>265</v>
      </c>
      <c r="S919" s="1" t="s">
        <v>266</v>
      </c>
      <c r="T919" s="1" t="s">
        <v>267</v>
      </c>
      <c r="U919" s="1">
        <v>2</v>
      </c>
      <c r="V919" s="1" t="s">
        <v>268</v>
      </c>
      <c r="W919" s="1" t="s">
        <v>4616</v>
      </c>
      <c r="X919" s="1" t="s">
        <v>321</v>
      </c>
      <c r="Y919" s="10">
        <v>44802</v>
      </c>
      <c r="Z919" s="1">
        <v>2022</v>
      </c>
      <c r="AA919" s="2">
        <v>30000</v>
      </c>
      <c r="AB919" s="2"/>
      <c r="AC919" s="2">
        <v>4500</v>
      </c>
      <c r="AD919" s="46">
        <v>1</v>
      </c>
      <c r="AG919" s="1" t="s">
        <v>432</v>
      </c>
      <c r="AH919" s="1" t="s">
        <v>4501</v>
      </c>
      <c r="AI919" s="2">
        <v>0</v>
      </c>
      <c r="AW919" s="2"/>
      <c r="AX919" s="2"/>
      <c r="AY919" s="2"/>
      <c r="BB919" s="2"/>
    </row>
    <row r="920" spans="1:54" ht="13.15" customHeight="1" thickBot="1" x14ac:dyDescent="0.25">
      <c r="A920" s="1" t="s">
        <v>57</v>
      </c>
      <c r="B920" s="9" t="s">
        <v>39</v>
      </c>
      <c r="C920" s="1" t="s">
        <v>58</v>
      </c>
      <c r="D920" s="39" t="s">
        <v>59</v>
      </c>
      <c r="E920" s="39" t="s">
        <v>42</v>
      </c>
      <c r="G920" s="39" t="s">
        <v>88</v>
      </c>
      <c r="H920" s="1" t="s">
        <v>61</v>
      </c>
      <c r="I920" s="1" t="s">
        <v>4618</v>
      </c>
      <c r="J920" s="1" t="s">
        <v>82</v>
      </c>
      <c r="K920" s="1" t="s">
        <v>4619</v>
      </c>
      <c r="P920" s="1" t="s">
        <v>4620</v>
      </c>
      <c r="Q920" s="1" t="s">
        <v>264</v>
      </c>
      <c r="R920" s="1" t="s">
        <v>265</v>
      </c>
      <c r="S920" s="1" t="s">
        <v>282</v>
      </c>
      <c r="T920" s="1" t="s">
        <v>283</v>
      </c>
      <c r="U920" s="1">
        <v>2</v>
      </c>
      <c r="V920" s="1" t="s">
        <v>80</v>
      </c>
      <c r="W920" s="1" t="s">
        <v>4619</v>
      </c>
      <c r="X920" s="1" t="s">
        <v>145</v>
      </c>
      <c r="Y920" s="10">
        <v>44113</v>
      </c>
      <c r="Z920" s="1">
        <v>2020</v>
      </c>
      <c r="AA920" s="2">
        <v>346151.77</v>
      </c>
      <c r="AB920" s="2"/>
      <c r="AC920" s="2">
        <v>58922.77</v>
      </c>
      <c r="AD920" s="46">
        <v>2</v>
      </c>
      <c r="AE920" s="1">
        <v>1</v>
      </c>
      <c r="AG920" s="1" t="s">
        <v>432</v>
      </c>
      <c r="AH920" s="1" t="s">
        <v>492</v>
      </c>
      <c r="AI920" s="2">
        <v>0</v>
      </c>
      <c r="AW920" s="2"/>
      <c r="AX920" s="2"/>
      <c r="AY920" s="2"/>
      <c r="BB920" s="2"/>
    </row>
    <row r="921" spans="1:54" ht="13.15" customHeight="1" thickBot="1" x14ac:dyDescent="0.25">
      <c r="A921" s="1" t="s">
        <v>57</v>
      </c>
      <c r="B921" s="9" t="s">
        <v>39</v>
      </c>
      <c r="C921" s="1" t="s">
        <v>58</v>
      </c>
      <c r="D921" s="39" t="s">
        <v>59</v>
      </c>
      <c r="E921" s="39" t="s">
        <v>42</v>
      </c>
      <c r="G921" s="39" t="s">
        <v>88</v>
      </c>
      <c r="H921" s="1" t="s">
        <v>61</v>
      </c>
      <c r="I921" s="1" t="s">
        <v>4621</v>
      </c>
      <c r="J921" s="1" t="s">
        <v>82</v>
      </c>
      <c r="K921" s="1" t="s">
        <v>4622</v>
      </c>
      <c r="P921" s="1" t="s">
        <v>2429</v>
      </c>
      <c r="Q921" s="1" t="s">
        <v>264</v>
      </c>
      <c r="R921" s="1" t="s">
        <v>265</v>
      </c>
      <c r="S921" s="1" t="s">
        <v>935</v>
      </c>
      <c r="T921" s="1" t="s">
        <v>936</v>
      </c>
      <c r="U921" s="1">
        <v>1</v>
      </c>
      <c r="V921" s="1" t="s">
        <v>308</v>
      </c>
      <c r="W921" s="1" t="s">
        <v>4623</v>
      </c>
      <c r="X921" s="1" t="s">
        <v>87</v>
      </c>
      <c r="Y921" s="10">
        <v>44183</v>
      </c>
      <c r="Z921" s="1">
        <v>2020</v>
      </c>
      <c r="AA921" s="2">
        <v>171784.95</v>
      </c>
      <c r="AB921" s="2"/>
      <c r="AC921" s="2">
        <v>34356.99</v>
      </c>
      <c r="AD921" s="46">
        <v>1</v>
      </c>
      <c r="AG921" s="1" t="s">
        <v>432</v>
      </c>
      <c r="AH921" s="1" t="s">
        <v>492</v>
      </c>
      <c r="AI921" s="2">
        <v>0</v>
      </c>
      <c r="AW921" s="2"/>
      <c r="AX921" s="2"/>
      <c r="AY921" s="2"/>
      <c r="BB921" s="2"/>
    </row>
    <row r="922" spans="1:54" ht="13.15" customHeight="1" thickBot="1" x14ac:dyDescent="0.25">
      <c r="A922" s="1" t="s">
        <v>57</v>
      </c>
      <c r="B922" s="9" t="s">
        <v>39</v>
      </c>
      <c r="C922" s="1" t="s">
        <v>58</v>
      </c>
      <c r="D922" s="39" t="s">
        <v>59</v>
      </c>
      <c r="E922" s="39" t="s">
        <v>42</v>
      </c>
      <c r="G922" s="39" t="s">
        <v>88</v>
      </c>
      <c r="H922" s="1" t="s">
        <v>61</v>
      </c>
      <c r="I922" s="1" t="s">
        <v>4624</v>
      </c>
      <c r="J922" s="1">
        <v>2021</v>
      </c>
      <c r="K922" s="1" t="s">
        <v>4625</v>
      </c>
      <c r="P922" s="1" t="s">
        <v>4626</v>
      </c>
      <c r="Q922" s="1" t="s">
        <v>264</v>
      </c>
      <c r="R922" s="1" t="s">
        <v>265</v>
      </c>
      <c r="S922" s="1" t="s">
        <v>784</v>
      </c>
      <c r="T922" s="1" t="s">
        <v>785</v>
      </c>
      <c r="U922" s="1">
        <v>2</v>
      </c>
      <c r="V922" s="1" t="s">
        <v>80</v>
      </c>
      <c r="W922" s="1" t="s">
        <v>4625</v>
      </c>
      <c r="X922" s="1" t="s">
        <v>609</v>
      </c>
      <c r="Y922" s="10">
        <v>44557</v>
      </c>
      <c r="Z922" s="1">
        <v>2021</v>
      </c>
      <c r="AA922" s="2">
        <v>206299</v>
      </c>
      <c r="AB922" s="2"/>
      <c r="AC922" s="2">
        <v>25000</v>
      </c>
      <c r="AD922" s="46">
        <v>1</v>
      </c>
      <c r="AG922" s="1" t="s">
        <v>432</v>
      </c>
      <c r="AH922" s="1" t="s">
        <v>433</v>
      </c>
      <c r="AI922" s="2">
        <v>0</v>
      </c>
      <c r="AW922" s="2"/>
      <c r="AX922" s="2"/>
      <c r="AY922" s="2"/>
      <c r="BB922" s="2"/>
    </row>
    <row r="923" spans="1:54" ht="13.15" customHeight="1" thickBot="1" x14ac:dyDescent="0.25">
      <c r="A923" s="1" t="s">
        <v>57</v>
      </c>
      <c r="B923" s="9" t="s">
        <v>39</v>
      </c>
      <c r="C923" s="1" t="s">
        <v>58</v>
      </c>
      <c r="D923" s="39" t="s">
        <v>59</v>
      </c>
      <c r="E923" s="39" t="s">
        <v>42</v>
      </c>
      <c r="G923" s="39" t="s">
        <v>88</v>
      </c>
      <c r="H923" s="1" t="s">
        <v>61</v>
      </c>
      <c r="I923" s="1" t="s">
        <v>4627</v>
      </c>
      <c r="J923" s="1">
        <v>2021</v>
      </c>
      <c r="K923" s="1" t="s">
        <v>4628</v>
      </c>
      <c r="P923" s="1" t="s">
        <v>4629</v>
      </c>
      <c r="Q923" s="1" t="s">
        <v>264</v>
      </c>
      <c r="R923" s="1" t="s">
        <v>265</v>
      </c>
      <c r="S923" s="1" t="s">
        <v>784</v>
      </c>
      <c r="T923" s="1" t="s">
        <v>785</v>
      </c>
      <c r="U923" s="1">
        <v>2</v>
      </c>
      <c r="V923" s="1" t="s">
        <v>80</v>
      </c>
      <c r="W923" s="1" t="s">
        <v>4628</v>
      </c>
      <c r="X923" s="1" t="s">
        <v>145</v>
      </c>
      <c r="Y923" s="10">
        <v>44557</v>
      </c>
      <c r="Z923" s="1">
        <v>2021</v>
      </c>
      <c r="AA923" s="2">
        <v>39017.35</v>
      </c>
      <c r="AB923" s="2"/>
      <c r="AC923" s="2">
        <v>5852.6</v>
      </c>
      <c r="AD923" s="46">
        <v>0</v>
      </c>
      <c r="AG923" s="1" t="s">
        <v>432</v>
      </c>
      <c r="AH923" s="1" t="s">
        <v>4501</v>
      </c>
      <c r="AI923" s="2">
        <v>0</v>
      </c>
      <c r="AW923" s="2"/>
      <c r="AX923" s="2"/>
      <c r="AY923" s="2"/>
      <c r="BB923" s="2"/>
    </row>
    <row r="924" spans="1:54" ht="13.15" customHeight="1" thickBot="1" x14ac:dyDescent="0.25">
      <c r="A924" s="1" t="s">
        <v>57</v>
      </c>
      <c r="B924" s="9" t="s">
        <v>39</v>
      </c>
      <c r="C924" s="1" t="s">
        <v>58</v>
      </c>
      <c r="D924" s="39" t="s">
        <v>4315</v>
      </c>
      <c r="E924" s="39" t="s">
        <v>42</v>
      </c>
      <c r="G924" s="39" t="s">
        <v>4316</v>
      </c>
      <c r="H924" s="1" t="s">
        <v>61</v>
      </c>
      <c r="I924" s="1" t="s">
        <v>4630</v>
      </c>
      <c r="J924" s="1">
        <v>2019</v>
      </c>
      <c r="P924" s="1" t="s">
        <v>4471</v>
      </c>
      <c r="Q924" s="1" t="s">
        <v>50</v>
      </c>
      <c r="R924" s="1" t="s">
        <v>68</v>
      </c>
      <c r="S924" s="1" t="s">
        <v>425</v>
      </c>
      <c r="T924" s="1" t="s">
        <v>426</v>
      </c>
      <c r="U924" s="1">
        <v>1</v>
      </c>
      <c r="V924" s="1" t="s">
        <v>195</v>
      </c>
      <c r="Y924" s="10">
        <v>43466</v>
      </c>
      <c r="Z924" s="1">
        <v>2019</v>
      </c>
      <c r="AA924" s="2"/>
      <c r="AB924" s="2"/>
      <c r="AC924" s="2">
        <v>504981.52</v>
      </c>
      <c r="AD924" s="46"/>
      <c r="AG924" s="1" t="s">
        <v>56</v>
      </c>
      <c r="AI924" s="2">
        <v>504981.52</v>
      </c>
      <c r="AL924" s="1" t="s">
        <v>4319</v>
      </c>
      <c r="AW924" s="2"/>
      <c r="AX924" s="2"/>
      <c r="AY924" s="2"/>
      <c r="BB924" s="2"/>
    </row>
    <row r="925" spans="1:54" ht="13.15" customHeight="1" thickBot="1" x14ac:dyDescent="0.25">
      <c r="A925" s="1" t="s">
        <v>57</v>
      </c>
      <c r="B925" s="9" t="s">
        <v>39</v>
      </c>
      <c r="C925" s="1" t="s">
        <v>58</v>
      </c>
      <c r="D925" s="39" t="s">
        <v>59</v>
      </c>
      <c r="E925" s="39" t="s">
        <v>42</v>
      </c>
      <c r="G925" s="39" t="s">
        <v>88</v>
      </c>
      <c r="H925" s="1" t="s">
        <v>61</v>
      </c>
      <c r="I925" s="1" t="s">
        <v>4631</v>
      </c>
      <c r="J925" s="1">
        <v>2021</v>
      </c>
      <c r="K925" s="1" t="s">
        <v>4632</v>
      </c>
      <c r="P925" s="1" t="s">
        <v>4633</v>
      </c>
      <c r="Q925" s="1" t="s">
        <v>264</v>
      </c>
      <c r="R925" s="1" t="s">
        <v>265</v>
      </c>
      <c r="S925" s="1" t="s">
        <v>717</v>
      </c>
      <c r="T925" s="1" t="s">
        <v>718</v>
      </c>
      <c r="U925" s="1">
        <v>1</v>
      </c>
      <c r="V925" s="1" t="s">
        <v>535</v>
      </c>
      <c r="W925" s="1" t="s">
        <v>4632</v>
      </c>
      <c r="X925" s="1" t="s">
        <v>917</v>
      </c>
      <c r="Y925" s="10">
        <v>44630</v>
      </c>
      <c r="Z925" s="1">
        <v>2022</v>
      </c>
      <c r="AA925" s="2">
        <v>159276.38</v>
      </c>
      <c r="AB925" s="2"/>
      <c r="AC925" s="2">
        <v>47782.91</v>
      </c>
      <c r="AD925" s="46">
        <v>3</v>
      </c>
      <c r="AE925" s="1">
        <v>2</v>
      </c>
      <c r="AG925" s="1" t="s">
        <v>432</v>
      </c>
      <c r="AH925" s="1" t="s">
        <v>492</v>
      </c>
      <c r="AI925" s="2">
        <v>0</v>
      </c>
      <c r="AL925" s="15" t="s">
        <v>4634</v>
      </c>
      <c r="AW925" s="2"/>
      <c r="AX925" s="2"/>
      <c r="AY925" s="2"/>
      <c r="BB925" s="2"/>
    </row>
    <row r="926" spans="1:54" ht="13.15" customHeight="1" thickBot="1" x14ac:dyDescent="0.25">
      <c r="A926" s="1" t="s">
        <v>57</v>
      </c>
      <c r="B926" s="9" t="s">
        <v>39</v>
      </c>
      <c r="C926" s="1" t="s">
        <v>58</v>
      </c>
      <c r="D926" s="39" t="s">
        <v>59</v>
      </c>
      <c r="E926" s="39" t="s">
        <v>42</v>
      </c>
      <c r="G926" s="39" t="s">
        <v>88</v>
      </c>
      <c r="H926" s="1" t="s">
        <v>61</v>
      </c>
      <c r="I926" s="1" t="s">
        <v>4635</v>
      </c>
      <c r="J926" s="1" t="s">
        <v>82</v>
      </c>
      <c r="K926" s="1" t="s">
        <v>4636</v>
      </c>
      <c r="P926" s="1" t="s">
        <v>4637</v>
      </c>
      <c r="Q926" s="1" t="s">
        <v>264</v>
      </c>
      <c r="R926" s="1" t="s">
        <v>265</v>
      </c>
      <c r="S926" s="1" t="s">
        <v>4638</v>
      </c>
      <c r="T926" s="1" t="s">
        <v>4639</v>
      </c>
      <c r="U926" s="1">
        <v>2</v>
      </c>
      <c r="V926" s="1" t="s">
        <v>80</v>
      </c>
      <c r="W926" s="1" t="s">
        <v>4636</v>
      </c>
      <c r="X926" s="1" t="s">
        <v>309</v>
      </c>
      <c r="Y926" s="10">
        <v>43825</v>
      </c>
      <c r="Z926" s="1">
        <v>2019</v>
      </c>
      <c r="AA926" s="2">
        <v>318243.78999999998</v>
      </c>
      <c r="AB926" s="2"/>
      <c r="AC926" s="2">
        <v>30000</v>
      </c>
      <c r="AD926" s="46">
        <v>1</v>
      </c>
      <c r="AG926" s="1" t="s">
        <v>432</v>
      </c>
      <c r="AH926" s="1" t="s">
        <v>4438</v>
      </c>
      <c r="AI926" s="2">
        <v>0</v>
      </c>
      <c r="AL926" s="1" t="s">
        <v>4640</v>
      </c>
      <c r="AW926" s="2"/>
      <c r="AX926" s="2"/>
      <c r="AY926" s="2"/>
      <c r="BB926" s="2"/>
    </row>
    <row r="927" spans="1:54" ht="13.15" customHeight="1" thickBot="1" x14ac:dyDescent="0.25">
      <c r="A927" s="1" t="s">
        <v>57</v>
      </c>
      <c r="B927" s="9" t="s">
        <v>39</v>
      </c>
      <c r="C927" s="1" t="s">
        <v>58</v>
      </c>
      <c r="D927" s="39" t="s">
        <v>59</v>
      </c>
      <c r="E927" s="39" t="s">
        <v>42</v>
      </c>
      <c r="G927" s="39" t="s">
        <v>88</v>
      </c>
      <c r="H927" s="1" t="s">
        <v>61</v>
      </c>
      <c r="I927" s="1" t="s">
        <v>4641</v>
      </c>
      <c r="J927" s="1" t="s">
        <v>82</v>
      </c>
      <c r="K927" s="1" t="s">
        <v>4642</v>
      </c>
      <c r="P927" s="1" t="s">
        <v>4643</v>
      </c>
      <c r="Q927" s="1" t="s">
        <v>264</v>
      </c>
      <c r="R927" s="1" t="s">
        <v>265</v>
      </c>
      <c r="S927" s="1" t="s">
        <v>533</v>
      </c>
      <c r="T927" s="1" t="s">
        <v>534</v>
      </c>
      <c r="U927" s="1">
        <v>1</v>
      </c>
      <c r="V927" s="1" t="s">
        <v>535</v>
      </c>
      <c r="W927" s="1" t="s">
        <v>4642</v>
      </c>
      <c r="X927" s="1" t="s">
        <v>87</v>
      </c>
      <c r="Y927" s="10">
        <v>44603</v>
      </c>
      <c r="Z927" s="1">
        <v>2022</v>
      </c>
      <c r="AA927" s="2">
        <v>277087.34999999998</v>
      </c>
      <c r="AB927" s="2"/>
      <c r="AC927" s="2">
        <v>55417.47</v>
      </c>
      <c r="AD927" s="46">
        <v>0</v>
      </c>
      <c r="AG927" s="1" t="s">
        <v>432</v>
      </c>
      <c r="AH927" s="1" t="s">
        <v>492</v>
      </c>
      <c r="AI927" s="2">
        <v>0</v>
      </c>
      <c r="AW927" s="2"/>
      <c r="AX927" s="2"/>
      <c r="AY927" s="2"/>
      <c r="BB927" s="2"/>
    </row>
    <row r="928" spans="1:54" ht="13.15" customHeight="1" thickBot="1" x14ac:dyDescent="0.25">
      <c r="A928" s="1" t="s">
        <v>57</v>
      </c>
      <c r="B928" s="9" t="s">
        <v>39</v>
      </c>
      <c r="C928" s="1" t="s">
        <v>58</v>
      </c>
      <c r="D928" s="39" t="s">
        <v>59</v>
      </c>
      <c r="E928" s="39" t="s">
        <v>42</v>
      </c>
      <c r="G928" s="39" t="s">
        <v>88</v>
      </c>
      <c r="H928" s="1" t="s">
        <v>61</v>
      </c>
      <c r="I928" s="1" t="s">
        <v>4644</v>
      </c>
      <c r="J928" s="1" t="s">
        <v>82</v>
      </c>
      <c r="K928" s="1" t="s">
        <v>4645</v>
      </c>
      <c r="P928" s="1" t="s">
        <v>4646</v>
      </c>
      <c r="Q928" s="1" t="s">
        <v>264</v>
      </c>
      <c r="R928" s="1" t="s">
        <v>265</v>
      </c>
      <c r="S928" s="1" t="s">
        <v>4638</v>
      </c>
      <c r="T928" s="1" t="s">
        <v>4639</v>
      </c>
      <c r="U928" s="1">
        <v>2</v>
      </c>
      <c r="V928" s="39" t="s">
        <v>80</v>
      </c>
      <c r="W928" s="1" t="s">
        <v>4645</v>
      </c>
      <c r="X928" s="1" t="s">
        <v>87</v>
      </c>
      <c r="Y928" s="10">
        <v>44804</v>
      </c>
      <c r="Z928" s="1">
        <v>2022</v>
      </c>
      <c r="AA928" s="2">
        <v>100000</v>
      </c>
      <c r="AB928" s="2"/>
      <c r="AC928" s="2">
        <v>15000</v>
      </c>
      <c r="AD928" s="46">
        <v>0</v>
      </c>
      <c r="AG928" s="1" t="s">
        <v>432</v>
      </c>
      <c r="AH928" s="1" t="s">
        <v>4501</v>
      </c>
      <c r="AI928" s="2">
        <v>0</v>
      </c>
      <c r="AW928" s="2"/>
      <c r="AX928" s="2"/>
      <c r="AY928" s="2"/>
      <c r="BB928" s="2"/>
    </row>
    <row r="929" spans="1:54" ht="13.15" customHeight="1" thickBot="1" x14ac:dyDescent="0.25">
      <c r="A929" s="1" t="s">
        <v>57</v>
      </c>
      <c r="B929" s="9" t="s">
        <v>39</v>
      </c>
      <c r="C929" s="1" t="s">
        <v>58</v>
      </c>
      <c r="D929" s="39" t="s">
        <v>59</v>
      </c>
      <c r="E929" s="39" t="s">
        <v>42</v>
      </c>
      <c r="G929" s="39" t="s">
        <v>88</v>
      </c>
      <c r="H929" s="1" t="s">
        <v>61</v>
      </c>
      <c r="I929" s="1" t="s">
        <v>4647</v>
      </c>
      <c r="J929" s="1">
        <v>2021</v>
      </c>
      <c r="K929" s="1" t="s">
        <v>4648</v>
      </c>
      <c r="P929" s="1" t="s">
        <v>2959</v>
      </c>
      <c r="Q929" s="1" t="s">
        <v>264</v>
      </c>
      <c r="R929" s="1" t="s">
        <v>265</v>
      </c>
      <c r="S929" s="1" t="s">
        <v>673</v>
      </c>
      <c r="T929" s="1" t="s">
        <v>674</v>
      </c>
      <c r="U929" s="1">
        <v>2</v>
      </c>
      <c r="V929" s="1" t="s">
        <v>268</v>
      </c>
      <c r="W929" s="1" t="s">
        <v>4649</v>
      </c>
      <c r="X929" s="1" t="s">
        <v>87</v>
      </c>
      <c r="Y929" s="10">
        <v>44557</v>
      </c>
      <c r="Z929" s="1">
        <v>2021</v>
      </c>
      <c r="AA929" s="2">
        <v>79800</v>
      </c>
      <c r="AB929" s="2"/>
      <c r="AC929" s="2">
        <v>11970</v>
      </c>
      <c r="AD929" s="46">
        <v>0</v>
      </c>
      <c r="AG929" s="1" t="s">
        <v>432</v>
      </c>
      <c r="AH929" s="1" t="s">
        <v>4501</v>
      </c>
      <c r="AI929" s="2">
        <v>0</v>
      </c>
      <c r="AW929" s="2"/>
      <c r="AX929" s="2"/>
      <c r="AY929" s="2"/>
      <c r="BB929" s="2"/>
    </row>
    <row r="930" spans="1:54" ht="13.15" customHeight="1" thickBot="1" x14ac:dyDescent="0.25">
      <c r="A930" s="1" t="s">
        <v>57</v>
      </c>
      <c r="B930" s="9" t="s">
        <v>39</v>
      </c>
      <c r="C930" s="1" t="s">
        <v>58</v>
      </c>
      <c r="D930" s="39" t="s">
        <v>4315</v>
      </c>
      <c r="E930" s="39" t="s">
        <v>42</v>
      </c>
      <c r="G930" s="39" t="s">
        <v>4316</v>
      </c>
      <c r="H930" s="1" t="s">
        <v>61</v>
      </c>
      <c r="I930" s="1" t="s">
        <v>4650</v>
      </c>
      <c r="J930" s="1">
        <v>2019</v>
      </c>
      <c r="P930" s="1" t="s">
        <v>4471</v>
      </c>
      <c r="Q930" s="1" t="s">
        <v>50</v>
      </c>
      <c r="R930" s="1" t="s">
        <v>68</v>
      </c>
      <c r="S930" s="1" t="s">
        <v>425</v>
      </c>
      <c r="T930" s="1" t="s">
        <v>426</v>
      </c>
      <c r="U930" s="1">
        <v>1</v>
      </c>
      <c r="V930" s="1" t="s">
        <v>195</v>
      </c>
      <c r="Y930" s="10">
        <v>43466</v>
      </c>
      <c r="Z930" s="1">
        <v>2019</v>
      </c>
      <c r="AA930" s="2"/>
      <c r="AB930" s="2"/>
      <c r="AC930" s="2">
        <v>419619.83999999997</v>
      </c>
      <c r="AD930" s="46"/>
      <c r="AG930" s="1" t="s">
        <v>56</v>
      </c>
      <c r="AI930" s="2">
        <v>419619.83999999997</v>
      </c>
      <c r="AL930" s="1" t="s">
        <v>4319</v>
      </c>
      <c r="AW930" s="2"/>
      <c r="AX930" s="2"/>
      <c r="AY930" s="2"/>
      <c r="BB930" s="2"/>
    </row>
    <row r="931" spans="1:54" ht="13.15" customHeight="1" thickBot="1" x14ac:dyDescent="0.25">
      <c r="A931" s="1" t="s">
        <v>57</v>
      </c>
      <c r="B931" s="9" t="s">
        <v>39</v>
      </c>
      <c r="C931" s="1" t="s">
        <v>58</v>
      </c>
      <c r="D931" s="39" t="s">
        <v>59</v>
      </c>
      <c r="E931" s="39" t="s">
        <v>42</v>
      </c>
      <c r="G931" s="39" t="s">
        <v>88</v>
      </c>
      <c r="H931" s="1" t="s">
        <v>61</v>
      </c>
      <c r="I931" s="1" t="s">
        <v>4651</v>
      </c>
      <c r="J931" s="1">
        <v>2021</v>
      </c>
      <c r="K931" s="1" t="s">
        <v>4652</v>
      </c>
      <c r="P931" s="1" t="s">
        <v>4653</v>
      </c>
      <c r="Q931" s="1" t="s">
        <v>264</v>
      </c>
      <c r="R931" s="1" t="s">
        <v>265</v>
      </c>
      <c r="S931" s="1" t="s">
        <v>542</v>
      </c>
      <c r="T931" s="1" t="s">
        <v>543</v>
      </c>
      <c r="U931" s="1">
        <v>1</v>
      </c>
      <c r="V931" s="39" t="s">
        <v>268</v>
      </c>
      <c r="W931" s="1" t="s">
        <v>4652</v>
      </c>
      <c r="X931" s="1" t="s">
        <v>321</v>
      </c>
      <c r="Y931" s="10">
        <v>44557</v>
      </c>
      <c r="Z931" s="1">
        <v>2021</v>
      </c>
      <c r="AA931" s="2">
        <v>49591</v>
      </c>
      <c r="AB931" s="2"/>
      <c r="AC931" s="2">
        <v>14877.3</v>
      </c>
      <c r="AD931" s="46">
        <v>0</v>
      </c>
      <c r="AG931" s="1" t="s">
        <v>432</v>
      </c>
      <c r="AH931" s="1" t="s">
        <v>4501</v>
      </c>
      <c r="AI931" s="2">
        <v>0</v>
      </c>
      <c r="AW931" s="2"/>
      <c r="AX931" s="2"/>
      <c r="AY931" s="2"/>
      <c r="BB931" s="2"/>
    </row>
    <row r="932" spans="1:54" ht="13.15" customHeight="1" thickBot="1" x14ac:dyDescent="0.25">
      <c r="A932" s="1" t="s">
        <v>57</v>
      </c>
      <c r="B932" s="9" t="s">
        <v>39</v>
      </c>
      <c r="C932" s="1" t="s">
        <v>58</v>
      </c>
      <c r="D932" s="39" t="s">
        <v>59</v>
      </c>
      <c r="E932" s="39" t="s">
        <v>42</v>
      </c>
      <c r="G932" s="39" t="s">
        <v>88</v>
      </c>
      <c r="H932" s="1" t="s">
        <v>61</v>
      </c>
      <c r="I932" s="1" t="s">
        <v>4654</v>
      </c>
      <c r="J932" s="1" t="s">
        <v>82</v>
      </c>
      <c r="K932" s="1" t="s">
        <v>4655</v>
      </c>
      <c r="P932" s="1" t="s">
        <v>4656</v>
      </c>
      <c r="Q932" s="1" t="s">
        <v>264</v>
      </c>
      <c r="R932" s="1" t="s">
        <v>265</v>
      </c>
      <c r="S932" s="1" t="s">
        <v>3377</v>
      </c>
      <c r="T932" s="1" t="s">
        <v>3378</v>
      </c>
      <c r="U932" s="1">
        <v>1</v>
      </c>
      <c r="V932" s="39" t="s">
        <v>308</v>
      </c>
      <c r="W932" s="1" t="s">
        <v>4655</v>
      </c>
      <c r="X932" s="1" t="s">
        <v>145</v>
      </c>
      <c r="Y932" s="10">
        <v>44993</v>
      </c>
      <c r="Z932" s="1">
        <v>2023</v>
      </c>
      <c r="AA932" s="2">
        <v>83982.97</v>
      </c>
      <c r="AB932" s="2"/>
      <c r="AC932" s="2">
        <v>32194.89</v>
      </c>
      <c r="AD932" s="46">
        <v>1</v>
      </c>
      <c r="AE932" s="1">
        <v>1</v>
      </c>
      <c r="AG932" s="1" t="s">
        <v>432</v>
      </c>
      <c r="AH932" s="1" t="s">
        <v>4501</v>
      </c>
      <c r="AI932" s="2">
        <v>0</v>
      </c>
      <c r="AW932" s="2"/>
      <c r="AX932" s="2"/>
      <c r="AY932" s="2"/>
      <c r="BB932" s="2"/>
    </row>
    <row r="933" spans="1:54" ht="13.15" customHeight="1" thickBot="1" x14ac:dyDescent="0.25">
      <c r="A933" s="1" t="s">
        <v>57</v>
      </c>
      <c r="B933" s="9" t="s">
        <v>39</v>
      </c>
      <c r="C933" s="1" t="s">
        <v>58</v>
      </c>
      <c r="D933" s="39" t="s">
        <v>59</v>
      </c>
      <c r="E933" s="39" t="s">
        <v>42</v>
      </c>
      <c r="G933" s="39" t="s">
        <v>88</v>
      </c>
      <c r="H933" s="1" t="s">
        <v>61</v>
      </c>
      <c r="I933" s="1" t="s">
        <v>4657</v>
      </c>
      <c r="J933" s="1" t="s">
        <v>82</v>
      </c>
      <c r="K933" s="1" t="s">
        <v>4658</v>
      </c>
      <c r="P933" s="1" t="s">
        <v>4659</v>
      </c>
      <c r="Q933" s="1" t="s">
        <v>264</v>
      </c>
      <c r="R933" s="1" t="s">
        <v>265</v>
      </c>
      <c r="S933" s="1" t="s">
        <v>350</v>
      </c>
      <c r="T933" s="1" t="s">
        <v>351</v>
      </c>
      <c r="U933" s="1">
        <v>1</v>
      </c>
      <c r="V933" s="1" t="s">
        <v>80</v>
      </c>
      <c r="W933" s="1" t="s">
        <v>4658</v>
      </c>
      <c r="X933" s="1" t="s">
        <v>309</v>
      </c>
      <c r="Y933" s="10">
        <v>44858</v>
      </c>
      <c r="Z933" s="1">
        <v>2022</v>
      </c>
      <c r="AA933" s="2">
        <v>47141.74</v>
      </c>
      <c r="AB933" s="2"/>
      <c r="AC933" s="2">
        <v>19392.52</v>
      </c>
      <c r="AD933" s="46">
        <v>1.75</v>
      </c>
      <c r="AG933" s="1" t="s">
        <v>432</v>
      </c>
      <c r="AH933" s="1" t="s">
        <v>492</v>
      </c>
      <c r="AI933" s="2">
        <v>0</v>
      </c>
      <c r="AL933" s="1" t="s">
        <v>1462</v>
      </c>
      <c r="AW933" s="2"/>
      <c r="AX933" s="2"/>
      <c r="AY933" s="2"/>
      <c r="BB933" s="2"/>
    </row>
    <row r="934" spans="1:54" ht="13.15" customHeight="1" thickBot="1" x14ac:dyDescent="0.25">
      <c r="A934" s="1" t="s">
        <v>57</v>
      </c>
      <c r="B934" s="9" t="s">
        <v>39</v>
      </c>
      <c r="C934" s="1" t="s">
        <v>58</v>
      </c>
      <c r="D934" s="39" t="s">
        <v>59</v>
      </c>
      <c r="E934" s="39" t="s">
        <v>42</v>
      </c>
      <c r="G934" s="39" t="s">
        <v>88</v>
      </c>
      <c r="H934" s="1" t="s">
        <v>61</v>
      </c>
      <c r="I934" s="1" t="s">
        <v>4660</v>
      </c>
      <c r="J934" s="1">
        <v>2021</v>
      </c>
      <c r="K934" s="1" t="s">
        <v>4661</v>
      </c>
      <c r="P934" s="1" t="s">
        <v>4662</v>
      </c>
      <c r="Q934" s="1" t="s">
        <v>264</v>
      </c>
      <c r="R934" s="1" t="s">
        <v>265</v>
      </c>
      <c r="S934" s="1" t="s">
        <v>266</v>
      </c>
      <c r="T934" s="1" t="s">
        <v>267</v>
      </c>
      <c r="U934" s="1">
        <v>2</v>
      </c>
      <c r="V934" s="1" t="s">
        <v>268</v>
      </c>
      <c r="W934" s="1" t="s">
        <v>4663</v>
      </c>
      <c r="X934" s="1" t="s">
        <v>609</v>
      </c>
      <c r="Y934" s="10">
        <v>44557</v>
      </c>
      <c r="Z934" s="1">
        <v>2021</v>
      </c>
      <c r="AA934" s="2">
        <v>129637.5</v>
      </c>
      <c r="AB934" s="2"/>
      <c r="AC934" s="2">
        <v>19445.63</v>
      </c>
      <c r="AD934" s="46">
        <v>0</v>
      </c>
      <c r="AG934" s="1" t="s">
        <v>432</v>
      </c>
      <c r="AH934" s="1" t="s">
        <v>4501</v>
      </c>
      <c r="AI934" s="2">
        <v>0</v>
      </c>
      <c r="AW934" s="2"/>
      <c r="AX934" s="2"/>
      <c r="AY934" s="2"/>
      <c r="BB934" s="2"/>
    </row>
    <row r="935" spans="1:54" ht="13.15" customHeight="1" thickBot="1" x14ac:dyDescent="0.25">
      <c r="A935" s="1" t="s">
        <v>57</v>
      </c>
      <c r="B935" s="9" t="s">
        <v>39</v>
      </c>
      <c r="C935" s="1" t="s">
        <v>58</v>
      </c>
      <c r="D935" s="39" t="s">
        <v>4315</v>
      </c>
      <c r="E935" s="39" t="s">
        <v>42</v>
      </c>
      <c r="G935" s="39" t="s">
        <v>4316</v>
      </c>
      <c r="H935" s="1" t="s">
        <v>61</v>
      </c>
      <c r="I935" s="1" t="s">
        <v>4664</v>
      </c>
      <c r="J935" s="1">
        <v>2019</v>
      </c>
      <c r="P935" s="1" t="s">
        <v>4471</v>
      </c>
      <c r="Q935" s="1" t="s">
        <v>50</v>
      </c>
      <c r="R935" s="1" t="s">
        <v>68</v>
      </c>
      <c r="S935" s="1" t="s">
        <v>425</v>
      </c>
      <c r="T935" s="1" t="s">
        <v>426</v>
      </c>
      <c r="U935" s="1">
        <v>1</v>
      </c>
      <c r="V935" s="39" t="s">
        <v>195</v>
      </c>
      <c r="Y935" s="10">
        <v>43466</v>
      </c>
      <c r="Z935" s="1">
        <v>2019</v>
      </c>
      <c r="AA935" s="2"/>
      <c r="AB935" s="2"/>
      <c r="AC935" s="2">
        <v>731795.95000000007</v>
      </c>
      <c r="AD935" s="46"/>
      <c r="AG935" s="1" t="s">
        <v>56</v>
      </c>
      <c r="AI935" s="2">
        <v>731795.95000000007</v>
      </c>
      <c r="AL935" s="1" t="s">
        <v>4319</v>
      </c>
      <c r="AW935" s="2"/>
      <c r="AX935" s="2"/>
      <c r="AY935" s="2"/>
      <c r="BB935" s="2"/>
    </row>
    <row r="936" spans="1:54" ht="13.15" customHeight="1" thickBot="1" x14ac:dyDescent="0.25">
      <c r="A936" s="1" t="s">
        <v>57</v>
      </c>
      <c r="B936" s="9" t="s">
        <v>39</v>
      </c>
      <c r="C936" s="1" t="s">
        <v>58</v>
      </c>
      <c r="D936" s="39" t="s">
        <v>59</v>
      </c>
      <c r="E936" s="39" t="s">
        <v>42</v>
      </c>
      <c r="G936" s="39" t="s">
        <v>88</v>
      </c>
      <c r="H936" s="1" t="s">
        <v>61</v>
      </c>
      <c r="I936" s="1" t="s">
        <v>4665</v>
      </c>
      <c r="J936" s="1" t="s">
        <v>82</v>
      </c>
      <c r="K936" s="1" t="s">
        <v>4666</v>
      </c>
      <c r="P936" s="1" t="s">
        <v>4667</v>
      </c>
      <c r="Q936" s="1" t="s">
        <v>264</v>
      </c>
      <c r="R936" s="1" t="s">
        <v>265</v>
      </c>
      <c r="S936" s="1" t="s">
        <v>533</v>
      </c>
      <c r="T936" s="1" t="s">
        <v>534</v>
      </c>
      <c r="U936" s="1">
        <v>1</v>
      </c>
      <c r="V936" s="1" t="s">
        <v>535</v>
      </c>
      <c r="W936" s="1" t="s">
        <v>4666</v>
      </c>
      <c r="X936" s="1" t="s">
        <v>400</v>
      </c>
      <c r="Y936" s="10">
        <v>44139</v>
      </c>
      <c r="Z936" s="1">
        <v>2020</v>
      </c>
      <c r="AA936" s="2">
        <v>58924.22</v>
      </c>
      <c r="AB936" s="2"/>
      <c r="AC936" s="2">
        <v>24677.27</v>
      </c>
      <c r="AD936" s="46">
        <v>2</v>
      </c>
      <c r="AG936" s="1" t="s">
        <v>432</v>
      </c>
      <c r="AH936" s="1" t="s">
        <v>492</v>
      </c>
      <c r="AI936" s="2">
        <v>0</v>
      </c>
      <c r="AW936" s="2"/>
      <c r="AX936" s="2"/>
      <c r="AY936" s="2"/>
      <c r="BB936" s="2"/>
    </row>
    <row r="937" spans="1:54" ht="13.15" customHeight="1" thickBot="1" x14ac:dyDescent="0.25">
      <c r="A937" s="1" t="s">
        <v>57</v>
      </c>
      <c r="B937" s="9" t="s">
        <v>39</v>
      </c>
      <c r="C937" s="1" t="s">
        <v>58</v>
      </c>
      <c r="D937" s="39" t="s">
        <v>4315</v>
      </c>
      <c r="E937" s="39" t="s">
        <v>42</v>
      </c>
      <c r="G937" s="39" t="s">
        <v>4316</v>
      </c>
      <c r="H937" s="1" t="s">
        <v>61</v>
      </c>
      <c r="I937" s="1" t="s">
        <v>4668</v>
      </c>
      <c r="J937" s="1">
        <v>2019</v>
      </c>
      <c r="P937" s="1" t="s">
        <v>4471</v>
      </c>
      <c r="Q937" s="1" t="s">
        <v>50</v>
      </c>
      <c r="R937" s="1" t="s">
        <v>68</v>
      </c>
      <c r="S937" s="1" t="s">
        <v>425</v>
      </c>
      <c r="T937" s="1" t="s">
        <v>426</v>
      </c>
      <c r="U937" s="1">
        <v>1</v>
      </c>
      <c r="V937" s="39" t="s">
        <v>195</v>
      </c>
      <c r="Y937" s="10">
        <v>43466</v>
      </c>
      <c r="Z937" s="1">
        <v>2019</v>
      </c>
      <c r="AA937" s="2"/>
      <c r="AB937" s="2"/>
      <c r="AC937" s="2">
        <v>324148.20999999996</v>
      </c>
      <c r="AD937" s="46"/>
      <c r="AG937" s="1" t="s">
        <v>56</v>
      </c>
      <c r="AI937" s="2">
        <v>324148.20999999996</v>
      </c>
      <c r="AL937" s="1" t="s">
        <v>4319</v>
      </c>
      <c r="AW937" s="2"/>
      <c r="AX937" s="2"/>
      <c r="AY937" s="2"/>
      <c r="BB937" s="2"/>
    </row>
    <row r="938" spans="1:54" ht="13.15" customHeight="1" thickBot="1" x14ac:dyDescent="0.25">
      <c r="A938" s="1" t="s">
        <v>57</v>
      </c>
      <c r="B938" s="9" t="s">
        <v>39</v>
      </c>
      <c r="C938" s="1" t="s">
        <v>58</v>
      </c>
      <c r="D938" s="39" t="s">
        <v>4315</v>
      </c>
      <c r="E938" s="39" t="s">
        <v>42</v>
      </c>
      <c r="G938" s="39" t="s">
        <v>4316</v>
      </c>
      <c r="H938" s="1" t="s">
        <v>61</v>
      </c>
      <c r="I938" s="1" t="s">
        <v>4669</v>
      </c>
      <c r="J938" s="1">
        <v>2019</v>
      </c>
      <c r="P938" s="1" t="s">
        <v>4471</v>
      </c>
      <c r="Q938" s="1" t="s">
        <v>50</v>
      </c>
      <c r="R938" s="1" t="s">
        <v>68</v>
      </c>
      <c r="S938" s="1" t="s">
        <v>425</v>
      </c>
      <c r="T938" s="1" t="s">
        <v>426</v>
      </c>
      <c r="U938" s="1">
        <v>1</v>
      </c>
      <c r="V938" s="1" t="s">
        <v>195</v>
      </c>
      <c r="Y938" s="10">
        <v>43466</v>
      </c>
      <c r="Z938" s="1">
        <v>2019</v>
      </c>
      <c r="AA938" s="2"/>
      <c r="AB938" s="2"/>
      <c r="AC938" s="2">
        <v>706727.48999999987</v>
      </c>
      <c r="AD938" s="46"/>
      <c r="AG938" s="1" t="s">
        <v>56</v>
      </c>
      <c r="AI938" s="2">
        <v>706727.48999999987</v>
      </c>
      <c r="AL938" s="1" t="s">
        <v>4319</v>
      </c>
      <c r="AW938" s="2"/>
      <c r="AX938" s="2"/>
      <c r="AY938" s="2"/>
      <c r="BB938" s="2"/>
    </row>
    <row r="939" spans="1:54" ht="13.15" customHeight="1" thickBot="1" x14ac:dyDescent="0.25">
      <c r="A939" s="1" t="s">
        <v>57</v>
      </c>
      <c r="B939" s="9" t="s">
        <v>39</v>
      </c>
      <c r="C939" s="1" t="s">
        <v>58</v>
      </c>
      <c r="D939" s="39" t="s">
        <v>4315</v>
      </c>
      <c r="E939" s="39" t="s">
        <v>42</v>
      </c>
      <c r="G939" s="39" t="s">
        <v>4316</v>
      </c>
      <c r="H939" s="1" t="s">
        <v>61</v>
      </c>
      <c r="I939" s="1" t="s">
        <v>4670</v>
      </c>
      <c r="J939" s="1">
        <v>2018</v>
      </c>
      <c r="P939" s="1" t="s">
        <v>4318</v>
      </c>
      <c r="Q939" s="1" t="s">
        <v>101</v>
      </c>
      <c r="R939" s="1" t="s">
        <v>102</v>
      </c>
      <c r="S939" s="1" t="s">
        <v>103</v>
      </c>
      <c r="T939" s="1" t="s">
        <v>104</v>
      </c>
      <c r="U939" s="1">
        <v>1</v>
      </c>
      <c r="V939" s="1" t="s">
        <v>101</v>
      </c>
      <c r="Y939" s="10">
        <v>43464</v>
      </c>
      <c r="Z939" s="1">
        <v>2018</v>
      </c>
      <c r="AA939" s="2"/>
      <c r="AB939" s="2"/>
      <c r="AC939" s="2">
        <v>613563.67999999993</v>
      </c>
      <c r="AD939" s="46"/>
      <c r="AG939" s="1" t="s">
        <v>56</v>
      </c>
      <c r="AI939" s="2">
        <v>613563.67999999993</v>
      </c>
      <c r="AL939" s="1" t="s">
        <v>4319</v>
      </c>
      <c r="AW939" s="2"/>
      <c r="AX939" s="2"/>
      <c r="AY939" s="2"/>
      <c r="BB939" s="2"/>
    </row>
    <row r="940" spans="1:54" ht="13.15" customHeight="1" x14ac:dyDescent="0.2">
      <c r="A940" s="1" t="s">
        <v>57</v>
      </c>
      <c r="B940" s="9" t="s">
        <v>39</v>
      </c>
      <c r="C940" s="1" t="s">
        <v>58</v>
      </c>
      <c r="D940" s="39" t="s">
        <v>59</v>
      </c>
      <c r="E940" s="39" t="s">
        <v>42</v>
      </c>
      <c r="G940" s="1" t="s">
        <v>88</v>
      </c>
      <c r="H940" s="1" t="s">
        <v>61</v>
      </c>
      <c r="I940" s="1" t="s">
        <v>4671</v>
      </c>
      <c r="J940" s="1">
        <v>2021</v>
      </c>
      <c r="K940" s="1" t="s">
        <v>4672</v>
      </c>
      <c r="P940" s="1" t="s">
        <v>4673</v>
      </c>
      <c r="Q940" s="1" t="s">
        <v>264</v>
      </c>
      <c r="R940" s="1" t="s">
        <v>265</v>
      </c>
      <c r="S940" s="1" t="s">
        <v>266</v>
      </c>
      <c r="T940" s="1" t="s">
        <v>267</v>
      </c>
      <c r="U940" s="1">
        <v>2</v>
      </c>
      <c r="V940" s="1" t="s">
        <v>268</v>
      </c>
      <c r="W940" s="1" t="s">
        <v>4674</v>
      </c>
      <c r="X940" s="1" t="s">
        <v>609</v>
      </c>
      <c r="Y940" s="10">
        <v>44557</v>
      </c>
      <c r="Z940" s="1">
        <v>2021</v>
      </c>
      <c r="AA940" s="2">
        <v>67500</v>
      </c>
      <c r="AB940" s="2"/>
      <c r="AC940" s="2">
        <v>10125</v>
      </c>
      <c r="AD940" s="1">
        <v>1</v>
      </c>
      <c r="AG940" s="1" t="s">
        <v>432</v>
      </c>
      <c r="AH940" s="1" t="s">
        <v>4501</v>
      </c>
      <c r="AI940" s="2">
        <v>0</v>
      </c>
      <c r="AW940" s="2"/>
      <c r="AX940" s="2"/>
      <c r="AY940" s="2"/>
      <c r="BB940" s="2"/>
    </row>
    <row r="941" spans="1:54" ht="13.15" customHeight="1" x14ac:dyDescent="0.2">
      <c r="A941" s="1" t="s">
        <v>57</v>
      </c>
      <c r="B941" s="9" t="s">
        <v>39</v>
      </c>
      <c r="C941" s="1" t="s">
        <v>58</v>
      </c>
      <c r="D941" s="39" t="s">
        <v>4315</v>
      </c>
      <c r="E941" s="39" t="s">
        <v>42</v>
      </c>
      <c r="G941" s="1" t="s">
        <v>4316</v>
      </c>
      <c r="H941" s="1" t="s">
        <v>61</v>
      </c>
      <c r="I941" s="1" t="s">
        <v>4675</v>
      </c>
      <c r="J941" s="1">
        <v>2018</v>
      </c>
      <c r="P941" s="1" t="s">
        <v>4318</v>
      </c>
      <c r="Q941" s="1" t="s">
        <v>101</v>
      </c>
      <c r="R941" s="1" t="s">
        <v>102</v>
      </c>
      <c r="S941" s="1" t="s">
        <v>103</v>
      </c>
      <c r="T941" s="1" t="s">
        <v>104</v>
      </c>
      <c r="U941" s="1">
        <v>1</v>
      </c>
      <c r="V941" s="1" t="s">
        <v>101</v>
      </c>
      <c r="Y941" s="10">
        <v>43465</v>
      </c>
      <c r="Z941" s="1">
        <v>2018</v>
      </c>
      <c r="AA941" s="2"/>
      <c r="AB941" s="2"/>
      <c r="AC941" s="2">
        <v>506585.4599999999</v>
      </c>
      <c r="AG941" s="1" t="s">
        <v>56</v>
      </c>
      <c r="AI941" s="2">
        <v>506585.4599999999</v>
      </c>
      <c r="AL941" s="1" t="s">
        <v>4319</v>
      </c>
      <c r="AW941" s="2"/>
      <c r="AX941" s="2"/>
      <c r="AY941" s="2"/>
      <c r="BB941" s="2"/>
    </row>
    <row r="942" spans="1:54" ht="13.15" customHeight="1" x14ac:dyDescent="0.2">
      <c r="A942" s="1" t="s">
        <v>57</v>
      </c>
      <c r="B942" s="9" t="s">
        <v>39</v>
      </c>
      <c r="C942" s="1" t="s">
        <v>58</v>
      </c>
      <c r="D942" s="39" t="s">
        <v>59</v>
      </c>
      <c r="E942" s="39" t="s">
        <v>42</v>
      </c>
      <c r="G942" s="1" t="s">
        <v>88</v>
      </c>
      <c r="H942" s="1" t="s">
        <v>61</v>
      </c>
      <c r="I942" s="1" t="s">
        <v>4676</v>
      </c>
      <c r="J942" s="1">
        <v>2021</v>
      </c>
      <c r="K942" s="1" t="s">
        <v>4677</v>
      </c>
      <c r="P942" s="1" t="s">
        <v>4678</v>
      </c>
      <c r="Q942" s="1" t="s">
        <v>264</v>
      </c>
      <c r="R942" s="1" t="s">
        <v>265</v>
      </c>
      <c r="S942" s="1" t="s">
        <v>266</v>
      </c>
      <c r="T942" s="1" t="s">
        <v>267</v>
      </c>
      <c r="U942" s="1">
        <v>2</v>
      </c>
      <c r="V942" s="1" t="s">
        <v>268</v>
      </c>
      <c r="W942" s="1" t="s">
        <v>4677</v>
      </c>
      <c r="X942" s="1" t="s">
        <v>609</v>
      </c>
      <c r="Y942" s="10">
        <v>44619</v>
      </c>
      <c r="Z942" s="1">
        <v>2022</v>
      </c>
      <c r="AA942" s="2">
        <v>150000</v>
      </c>
      <c r="AB942" s="2"/>
      <c r="AC942" s="2">
        <v>15000</v>
      </c>
      <c r="AD942" s="1">
        <v>0</v>
      </c>
      <c r="AG942" s="1" t="s">
        <v>432</v>
      </c>
      <c r="AH942" s="1" t="s">
        <v>492</v>
      </c>
      <c r="AI942" s="2">
        <v>0</v>
      </c>
      <c r="AW942" s="2"/>
      <c r="AX942" s="2"/>
      <c r="AY942" s="2"/>
      <c r="BB942" s="2"/>
    </row>
    <row r="943" spans="1:54" ht="13.15" customHeight="1" x14ac:dyDescent="0.2">
      <c r="A943" s="1" t="s">
        <v>57</v>
      </c>
      <c r="B943" s="9" t="s">
        <v>39</v>
      </c>
      <c r="C943" s="1" t="s">
        <v>58</v>
      </c>
      <c r="D943" s="39" t="s">
        <v>4315</v>
      </c>
      <c r="E943" s="39" t="s">
        <v>42</v>
      </c>
      <c r="G943" s="1" t="s">
        <v>4316</v>
      </c>
      <c r="H943" s="1" t="s">
        <v>61</v>
      </c>
      <c r="I943" s="1" t="s">
        <v>4679</v>
      </c>
      <c r="J943" s="1">
        <v>2019</v>
      </c>
      <c r="P943" s="1" t="s">
        <v>4318</v>
      </c>
      <c r="Q943" s="1" t="s">
        <v>101</v>
      </c>
      <c r="R943" s="1" t="s">
        <v>102</v>
      </c>
      <c r="S943" s="1" t="s">
        <v>103</v>
      </c>
      <c r="T943" s="1" t="s">
        <v>104</v>
      </c>
      <c r="U943" s="1">
        <v>1</v>
      </c>
      <c r="V943" s="1" t="s">
        <v>101</v>
      </c>
      <c r="Y943" s="10">
        <v>43497</v>
      </c>
      <c r="Z943" s="1">
        <v>2019</v>
      </c>
      <c r="AA943" s="2"/>
      <c r="AB943" s="2"/>
      <c r="AC943" s="2">
        <v>280562.68000000005</v>
      </c>
      <c r="AG943" s="1" t="s">
        <v>56</v>
      </c>
      <c r="AI943" s="2">
        <v>280562.68000000005</v>
      </c>
      <c r="AL943" s="1" t="s">
        <v>4319</v>
      </c>
      <c r="AW943" s="2"/>
      <c r="AX943" s="2"/>
      <c r="AY943" s="2"/>
      <c r="BB943" s="2"/>
    </row>
    <row r="944" spans="1:54" ht="13.15" customHeight="1" x14ac:dyDescent="0.2">
      <c r="A944" s="1" t="s">
        <v>57</v>
      </c>
      <c r="B944" s="9" t="s">
        <v>39</v>
      </c>
      <c r="C944" s="1" t="s">
        <v>58</v>
      </c>
      <c r="D944" s="39" t="s">
        <v>4315</v>
      </c>
      <c r="E944" s="39" t="s">
        <v>42</v>
      </c>
      <c r="G944" s="1" t="s">
        <v>4316</v>
      </c>
      <c r="H944" s="1" t="s">
        <v>61</v>
      </c>
      <c r="I944" s="1" t="s">
        <v>4680</v>
      </c>
      <c r="J944" s="1">
        <v>2019</v>
      </c>
      <c r="P944" s="1" t="s">
        <v>4471</v>
      </c>
      <c r="Q944" s="1" t="s">
        <v>50</v>
      </c>
      <c r="R944" s="1" t="s">
        <v>68</v>
      </c>
      <c r="S944" s="1" t="s">
        <v>425</v>
      </c>
      <c r="T944" s="1" t="s">
        <v>426</v>
      </c>
      <c r="U944" s="1">
        <v>1</v>
      </c>
      <c r="V944" s="1" t="s">
        <v>195</v>
      </c>
      <c r="Y944" s="10">
        <v>43466</v>
      </c>
      <c r="Z944" s="1">
        <v>2019</v>
      </c>
      <c r="AA944" s="2"/>
      <c r="AB944" s="2"/>
      <c r="AC944" s="2">
        <v>880147.22</v>
      </c>
      <c r="AG944" s="1" t="s">
        <v>56</v>
      </c>
      <c r="AI944" s="2">
        <v>880147.22</v>
      </c>
      <c r="AL944" s="1" t="s">
        <v>4319</v>
      </c>
      <c r="AW944" s="2"/>
      <c r="AX944" s="2"/>
      <c r="AY944" s="2"/>
      <c r="BB944" s="2"/>
    </row>
    <row r="945" spans="1:54" ht="13.15" customHeight="1" x14ac:dyDescent="0.2">
      <c r="A945" s="1" t="s">
        <v>57</v>
      </c>
      <c r="B945" s="9" t="s">
        <v>39</v>
      </c>
      <c r="C945" s="1" t="s">
        <v>58</v>
      </c>
      <c r="D945" s="39" t="s">
        <v>59</v>
      </c>
      <c r="E945" s="39" t="s">
        <v>42</v>
      </c>
      <c r="G945" s="1" t="s">
        <v>88</v>
      </c>
      <c r="H945" s="1" t="s">
        <v>61</v>
      </c>
      <c r="I945" s="1" t="s">
        <v>4681</v>
      </c>
      <c r="J945" s="1" t="s">
        <v>82</v>
      </c>
      <c r="K945" s="1" t="s">
        <v>4682</v>
      </c>
      <c r="P945" s="1" t="s">
        <v>4683</v>
      </c>
      <c r="Q945" s="1" t="s">
        <v>264</v>
      </c>
      <c r="R945" s="1" t="s">
        <v>265</v>
      </c>
      <c r="S945" s="1" t="s">
        <v>350</v>
      </c>
      <c r="T945" s="1" t="s">
        <v>351</v>
      </c>
      <c r="U945" s="1">
        <v>1</v>
      </c>
      <c r="V945" s="1" t="s">
        <v>80</v>
      </c>
      <c r="W945" s="1" t="s">
        <v>4682</v>
      </c>
      <c r="X945" s="1" t="s">
        <v>87</v>
      </c>
      <c r="Y945" s="10">
        <v>44813</v>
      </c>
      <c r="Z945" s="1">
        <v>2022</v>
      </c>
      <c r="AA945" s="2">
        <v>213631.38</v>
      </c>
      <c r="AB945" s="2"/>
      <c r="AC945" s="2">
        <v>74589.41</v>
      </c>
      <c r="AD945" s="1">
        <v>1.5</v>
      </c>
      <c r="AE945" s="1">
        <v>1</v>
      </c>
      <c r="AG945" s="1" t="s">
        <v>432</v>
      </c>
      <c r="AH945" s="1" t="s">
        <v>433</v>
      </c>
      <c r="AI945" s="2">
        <v>0</v>
      </c>
      <c r="AW945" s="2"/>
      <c r="AX945" s="2"/>
      <c r="AY945" s="2"/>
      <c r="BB945" s="2"/>
    </row>
    <row r="946" spans="1:54" ht="13.15" customHeight="1" x14ac:dyDescent="0.2">
      <c r="A946" s="1" t="s">
        <v>57</v>
      </c>
      <c r="B946" s="9" t="s">
        <v>39</v>
      </c>
      <c r="C946" s="1" t="s">
        <v>58</v>
      </c>
      <c r="D946" s="39" t="s">
        <v>59</v>
      </c>
      <c r="E946" s="39" t="s">
        <v>42</v>
      </c>
      <c r="G946" s="1" t="s">
        <v>88</v>
      </c>
      <c r="H946" s="1" t="s">
        <v>61</v>
      </c>
      <c r="I946" s="1" t="s">
        <v>4684</v>
      </c>
      <c r="J946" s="1">
        <v>2021</v>
      </c>
      <c r="K946" s="1" t="s">
        <v>4685</v>
      </c>
      <c r="P946" s="1" t="s">
        <v>4686</v>
      </c>
      <c r="Q946" s="1" t="s">
        <v>264</v>
      </c>
      <c r="R946" s="1" t="s">
        <v>265</v>
      </c>
      <c r="S946" s="1" t="s">
        <v>784</v>
      </c>
      <c r="T946" s="1" t="s">
        <v>785</v>
      </c>
      <c r="U946" s="1">
        <v>2</v>
      </c>
      <c r="V946" s="1" t="s">
        <v>80</v>
      </c>
      <c r="W946" s="1" t="s">
        <v>4685</v>
      </c>
      <c r="X946" s="1" t="s">
        <v>145</v>
      </c>
      <c r="Y946" s="10">
        <v>44557</v>
      </c>
      <c r="Z946" s="1">
        <v>2021</v>
      </c>
      <c r="AA946" s="2">
        <v>362445</v>
      </c>
      <c r="AB946" s="2"/>
      <c r="AC946" s="2">
        <v>54366.75</v>
      </c>
      <c r="AD946" s="1">
        <v>3</v>
      </c>
      <c r="AE946" s="1">
        <v>1</v>
      </c>
      <c r="AG946" s="1" t="s">
        <v>432</v>
      </c>
      <c r="AH946" s="1" t="s">
        <v>492</v>
      </c>
      <c r="AI946" s="2">
        <v>0</v>
      </c>
      <c r="AW946" s="2"/>
      <c r="AX946" s="2"/>
      <c r="AY946" s="2"/>
      <c r="BB946" s="2"/>
    </row>
    <row r="947" spans="1:54" ht="13.15" customHeight="1" x14ac:dyDescent="0.2">
      <c r="A947" s="1" t="s">
        <v>57</v>
      </c>
      <c r="B947" s="9" t="s">
        <v>39</v>
      </c>
      <c r="C947" s="1" t="s">
        <v>58</v>
      </c>
      <c r="D947" s="39" t="s">
        <v>59</v>
      </c>
      <c r="E947" s="39" t="s">
        <v>42</v>
      </c>
      <c r="G947" s="1" t="s">
        <v>88</v>
      </c>
      <c r="H947" s="1" t="s">
        <v>61</v>
      </c>
      <c r="I947" s="1" t="s">
        <v>4687</v>
      </c>
      <c r="J947" s="1" t="s">
        <v>82</v>
      </c>
      <c r="K947" s="1" t="s">
        <v>4688</v>
      </c>
      <c r="P947" s="1" t="s">
        <v>4689</v>
      </c>
      <c r="Q947" s="1" t="s">
        <v>264</v>
      </c>
      <c r="R947" s="1" t="s">
        <v>265</v>
      </c>
      <c r="S947" s="1" t="s">
        <v>350</v>
      </c>
      <c r="T947" s="1" t="s">
        <v>351</v>
      </c>
      <c r="U947" s="1">
        <v>1</v>
      </c>
      <c r="V947" s="1" t="s">
        <v>80</v>
      </c>
      <c r="W947" s="1" t="s">
        <v>4688</v>
      </c>
      <c r="X947" s="1" t="s">
        <v>309</v>
      </c>
      <c r="Y947" s="10">
        <v>44181</v>
      </c>
      <c r="Z947" s="1">
        <v>2020</v>
      </c>
      <c r="AA947" s="2">
        <v>269389.96000000002</v>
      </c>
      <c r="AB947" s="2"/>
      <c r="AC947" s="2">
        <v>80816.990000000005</v>
      </c>
      <c r="AD947" s="1">
        <v>0</v>
      </c>
      <c r="AG947" s="1" t="s">
        <v>432</v>
      </c>
      <c r="AH947" s="1" t="s">
        <v>433</v>
      </c>
      <c r="AI947" s="2">
        <v>0</v>
      </c>
      <c r="AW947" s="2"/>
      <c r="AX947" s="2"/>
      <c r="AY947" s="2"/>
      <c r="BB947" s="2"/>
    </row>
    <row r="948" spans="1:54" ht="13.15" customHeight="1" x14ac:dyDescent="0.2">
      <c r="A948" s="1" t="s">
        <v>57</v>
      </c>
      <c r="B948" s="9" t="s">
        <v>39</v>
      </c>
      <c r="C948" s="1" t="s">
        <v>58</v>
      </c>
      <c r="D948" s="39" t="s">
        <v>59</v>
      </c>
      <c r="E948" s="39" t="s">
        <v>42</v>
      </c>
      <c r="G948" s="1" t="s">
        <v>88</v>
      </c>
      <c r="H948" s="1" t="s">
        <v>61</v>
      </c>
      <c r="I948" s="1" t="s">
        <v>4690</v>
      </c>
      <c r="J948" s="1">
        <v>2021</v>
      </c>
      <c r="K948" s="1" t="s">
        <v>4691</v>
      </c>
      <c r="P948" s="1" t="s">
        <v>4689</v>
      </c>
      <c r="Q948" s="1" t="s">
        <v>264</v>
      </c>
      <c r="R948" s="1" t="s">
        <v>265</v>
      </c>
      <c r="S948" s="1" t="s">
        <v>350</v>
      </c>
      <c r="T948" s="1" t="s">
        <v>351</v>
      </c>
      <c r="U948" s="1">
        <v>1</v>
      </c>
      <c r="V948" s="1" t="s">
        <v>80</v>
      </c>
      <c r="W948" s="1" t="s">
        <v>4691</v>
      </c>
      <c r="X948" s="1" t="s">
        <v>321</v>
      </c>
      <c r="Y948" s="10">
        <v>44557</v>
      </c>
      <c r="Z948" s="1">
        <v>2021</v>
      </c>
      <c r="AA948" s="2">
        <v>285651.06</v>
      </c>
      <c r="AB948" s="2"/>
      <c r="AC948" s="2">
        <v>60000</v>
      </c>
      <c r="AD948" s="1">
        <v>0</v>
      </c>
      <c r="AG948" s="1" t="s">
        <v>432</v>
      </c>
      <c r="AH948" s="1" t="s">
        <v>4501</v>
      </c>
      <c r="AI948" s="2">
        <v>0</v>
      </c>
      <c r="AW948" s="2"/>
      <c r="AX948" s="2"/>
      <c r="AY948" s="2"/>
      <c r="BB948" s="2"/>
    </row>
    <row r="949" spans="1:54" ht="13.15" customHeight="1" x14ac:dyDescent="0.2">
      <c r="A949" s="1" t="s">
        <v>57</v>
      </c>
      <c r="B949" s="9" t="s">
        <v>39</v>
      </c>
      <c r="C949" s="1" t="s">
        <v>58</v>
      </c>
      <c r="D949" s="39" t="s">
        <v>59</v>
      </c>
      <c r="E949" s="39" t="s">
        <v>42</v>
      </c>
      <c r="G949" s="1" t="s">
        <v>88</v>
      </c>
      <c r="H949" s="1" t="s">
        <v>61</v>
      </c>
      <c r="I949" s="1" t="s">
        <v>4692</v>
      </c>
      <c r="J949" s="1">
        <v>2021</v>
      </c>
      <c r="K949" s="1" t="s">
        <v>4693</v>
      </c>
      <c r="P949" s="1" t="s">
        <v>4694</v>
      </c>
      <c r="Q949" s="1" t="s">
        <v>264</v>
      </c>
      <c r="R949" s="1" t="s">
        <v>265</v>
      </c>
      <c r="S949" s="1" t="s">
        <v>350</v>
      </c>
      <c r="T949" s="1" t="s">
        <v>351</v>
      </c>
      <c r="U949" s="1">
        <v>1</v>
      </c>
      <c r="V949" s="1" t="s">
        <v>80</v>
      </c>
      <c r="W949" s="1" t="s">
        <v>4693</v>
      </c>
      <c r="X949" s="1" t="s">
        <v>609</v>
      </c>
      <c r="Y949" s="10">
        <v>44684</v>
      </c>
      <c r="Z949" s="1">
        <v>2022</v>
      </c>
      <c r="AA949" s="2">
        <v>364944.35</v>
      </c>
      <c r="AB949" s="2"/>
      <c r="AC949" s="2">
        <v>90000</v>
      </c>
      <c r="AD949" s="1">
        <v>0</v>
      </c>
      <c r="AG949" s="1" t="s">
        <v>432</v>
      </c>
      <c r="AH949" s="1" t="s">
        <v>492</v>
      </c>
      <c r="AI949" s="2">
        <v>0</v>
      </c>
      <c r="AW949" s="2"/>
      <c r="AX949" s="2"/>
      <c r="AY949" s="2"/>
      <c r="BB949" s="2"/>
    </row>
    <row r="950" spans="1:54" ht="13.15" customHeight="1" x14ac:dyDescent="0.2">
      <c r="A950" s="1" t="s">
        <v>57</v>
      </c>
      <c r="B950" s="9" t="s">
        <v>39</v>
      </c>
      <c r="C950" s="1" t="s">
        <v>58</v>
      </c>
      <c r="D950" s="39" t="s">
        <v>4315</v>
      </c>
      <c r="E950" s="39" t="s">
        <v>42</v>
      </c>
      <c r="G950" s="1" t="s">
        <v>4316</v>
      </c>
      <c r="H950" s="1" t="s">
        <v>61</v>
      </c>
      <c r="I950" s="1" t="s">
        <v>4695</v>
      </c>
      <c r="J950" s="1">
        <v>2021</v>
      </c>
      <c r="P950" s="1" t="s">
        <v>4318</v>
      </c>
      <c r="Q950" s="1" t="s">
        <v>101</v>
      </c>
      <c r="R950" s="1" t="s">
        <v>102</v>
      </c>
      <c r="S950" s="1" t="s">
        <v>103</v>
      </c>
      <c r="T950" s="1" t="s">
        <v>104</v>
      </c>
      <c r="U950" s="1">
        <v>1</v>
      </c>
      <c r="V950" s="1" t="s">
        <v>101</v>
      </c>
      <c r="Y950" s="10">
        <v>44560</v>
      </c>
      <c r="Z950" s="1">
        <v>2021</v>
      </c>
      <c r="AA950" s="2"/>
      <c r="AB950" s="2"/>
      <c r="AC950" s="2">
        <v>515807.07</v>
      </c>
      <c r="AG950" s="1" t="s">
        <v>56</v>
      </c>
      <c r="AI950" s="2">
        <v>515807.07</v>
      </c>
      <c r="AL950" s="1" t="s">
        <v>4319</v>
      </c>
      <c r="AW950" s="2"/>
      <c r="AX950" s="2"/>
      <c r="AY950" s="2"/>
      <c r="BB950" s="2"/>
    </row>
    <row r="951" spans="1:54" ht="13.15" customHeight="1" x14ac:dyDescent="0.25">
      <c r="A951" s="1" t="s">
        <v>57</v>
      </c>
      <c r="B951" s="9" t="s">
        <v>39</v>
      </c>
      <c r="C951" s="1" t="s">
        <v>58</v>
      </c>
      <c r="D951" s="39" t="s">
        <v>59</v>
      </c>
      <c r="E951" s="39" t="s">
        <v>42</v>
      </c>
      <c r="G951" s="1" t="s">
        <v>88</v>
      </c>
      <c r="H951" s="1" t="s">
        <v>61</v>
      </c>
      <c r="I951" s="1" t="s">
        <v>4696</v>
      </c>
      <c r="J951" s="1" t="s">
        <v>82</v>
      </c>
      <c r="K951" s="1" t="s">
        <v>4697</v>
      </c>
      <c r="P951" s="1" t="s">
        <v>4698</v>
      </c>
      <c r="Q951" s="1" t="s">
        <v>264</v>
      </c>
      <c r="R951" s="1" t="s">
        <v>265</v>
      </c>
      <c r="S951" s="16" t="s">
        <v>306</v>
      </c>
      <c r="T951" s="1" t="s">
        <v>307</v>
      </c>
      <c r="U951" s="1">
        <v>1</v>
      </c>
      <c r="V951" s="1" t="s">
        <v>308</v>
      </c>
      <c r="W951" s="1" t="s">
        <v>4697</v>
      </c>
      <c r="X951" s="1" t="s">
        <v>87</v>
      </c>
      <c r="Y951" s="10">
        <v>44393</v>
      </c>
      <c r="Z951" s="1">
        <v>2021</v>
      </c>
      <c r="AA951" s="2">
        <v>444136</v>
      </c>
      <c r="AB951" s="2"/>
      <c r="AC951" s="2">
        <v>133240.79999999999</v>
      </c>
      <c r="AD951" s="1">
        <v>0</v>
      </c>
      <c r="AG951" s="1" t="s">
        <v>432</v>
      </c>
      <c r="AH951" s="1" t="s">
        <v>492</v>
      </c>
      <c r="AI951" s="2">
        <v>0</v>
      </c>
      <c r="AK951" s="1" t="s">
        <v>600</v>
      </c>
      <c r="AW951" s="2"/>
      <c r="AX951" s="2"/>
      <c r="AY951" s="2"/>
      <c r="BB951" s="2"/>
    </row>
    <row r="952" spans="1:54" ht="13.15" customHeight="1" x14ac:dyDescent="0.2">
      <c r="A952" s="1" t="s">
        <v>57</v>
      </c>
      <c r="B952" s="9" t="s">
        <v>39</v>
      </c>
      <c r="C952" s="1" t="s">
        <v>58</v>
      </c>
      <c r="D952" s="39" t="s">
        <v>59</v>
      </c>
      <c r="E952" s="39" t="s">
        <v>42</v>
      </c>
      <c r="G952" s="1" t="s">
        <v>88</v>
      </c>
      <c r="H952" s="1" t="s">
        <v>61</v>
      </c>
      <c r="I952" s="1" t="s">
        <v>4699</v>
      </c>
      <c r="J952" s="1" t="s">
        <v>82</v>
      </c>
      <c r="K952" s="1" t="s">
        <v>4700</v>
      </c>
      <c r="P952" s="1" t="s">
        <v>4701</v>
      </c>
      <c r="Q952" s="1" t="s">
        <v>264</v>
      </c>
      <c r="R952" s="1" t="s">
        <v>265</v>
      </c>
      <c r="S952" s="1" t="s">
        <v>275</v>
      </c>
      <c r="T952" s="1" t="s">
        <v>276</v>
      </c>
      <c r="U952" s="1">
        <v>2</v>
      </c>
      <c r="V952" s="1" t="s">
        <v>80</v>
      </c>
      <c r="W952" s="1" t="s">
        <v>4700</v>
      </c>
      <c r="X952" s="1" t="s">
        <v>321</v>
      </c>
      <c r="Y952" s="10">
        <v>44993</v>
      </c>
      <c r="Z952" s="1">
        <v>2023</v>
      </c>
      <c r="AA952" s="2">
        <v>351746.1</v>
      </c>
      <c r="AB952" s="2"/>
      <c r="AC952" s="2">
        <v>80761.919999999998</v>
      </c>
      <c r="AD952" s="1">
        <v>7</v>
      </c>
      <c r="AE952" s="1">
        <v>3</v>
      </c>
      <c r="AG952" s="1" t="s">
        <v>432</v>
      </c>
      <c r="AH952" s="1" t="s">
        <v>4501</v>
      </c>
      <c r="AI952" s="2">
        <v>0</v>
      </c>
      <c r="AW952" s="2"/>
      <c r="AX952" s="2"/>
      <c r="AY952" s="2"/>
      <c r="BB952" s="2"/>
    </row>
    <row r="953" spans="1:54" ht="13.15" customHeight="1" x14ac:dyDescent="0.2">
      <c r="A953" s="1" t="s">
        <v>57</v>
      </c>
      <c r="B953" s="9" t="s">
        <v>39</v>
      </c>
      <c r="C953" s="1" t="s">
        <v>58</v>
      </c>
      <c r="D953" s="39" t="s">
        <v>59</v>
      </c>
      <c r="E953" s="39" t="s">
        <v>42</v>
      </c>
      <c r="G953" s="1" t="s">
        <v>88</v>
      </c>
      <c r="H953" s="1" t="s">
        <v>61</v>
      </c>
      <c r="I953" s="1" t="s">
        <v>4702</v>
      </c>
      <c r="J953" s="1">
        <v>2021</v>
      </c>
      <c r="K953" s="1" t="s">
        <v>4703</v>
      </c>
      <c r="P953" s="1" t="s">
        <v>4704</v>
      </c>
      <c r="Q953" s="1" t="s">
        <v>264</v>
      </c>
      <c r="R953" s="1" t="s">
        <v>265</v>
      </c>
      <c r="S953" s="1" t="s">
        <v>266</v>
      </c>
      <c r="T953" s="1" t="s">
        <v>267</v>
      </c>
      <c r="U953" s="1">
        <v>2</v>
      </c>
      <c r="V953" s="1" t="s">
        <v>268</v>
      </c>
      <c r="W953" s="1" t="s">
        <v>4703</v>
      </c>
      <c r="X953" s="1" t="s">
        <v>87</v>
      </c>
      <c r="Y953" s="10">
        <v>44557</v>
      </c>
      <c r="Z953" s="1">
        <v>2021</v>
      </c>
      <c r="AA953" s="2">
        <v>43930</v>
      </c>
      <c r="AB953" s="2"/>
      <c r="AC953" s="2">
        <v>6589.5</v>
      </c>
      <c r="AD953" s="1">
        <v>0</v>
      </c>
      <c r="AG953" s="1" t="s">
        <v>432</v>
      </c>
      <c r="AH953" s="1" t="s">
        <v>4501</v>
      </c>
      <c r="AI953" s="2">
        <v>0</v>
      </c>
      <c r="AW953" s="2"/>
      <c r="AX953" s="2"/>
      <c r="AY953" s="2"/>
      <c r="BB953" s="2"/>
    </row>
    <row r="954" spans="1:54" ht="13.15" customHeight="1" x14ac:dyDescent="0.25">
      <c r="A954" s="1" t="s">
        <v>57</v>
      </c>
      <c r="B954" s="9" t="s">
        <v>38</v>
      </c>
      <c r="C954" s="1" t="s">
        <v>40</v>
      </c>
      <c r="D954" s="39" t="s">
        <v>41</v>
      </c>
      <c r="E954" s="39" t="s">
        <v>42</v>
      </c>
      <c r="F954" s="1" t="s">
        <v>4705</v>
      </c>
      <c r="G954" s="1" t="s">
        <v>4706</v>
      </c>
      <c r="H954" s="1" t="s">
        <v>45</v>
      </c>
      <c r="I954" s="1" t="s">
        <v>4707</v>
      </c>
      <c r="J954" s="1">
        <v>2023</v>
      </c>
      <c r="K954" s="1" t="s">
        <v>4708</v>
      </c>
      <c r="L954" s="1" t="s">
        <v>4709</v>
      </c>
      <c r="M954" s="1" t="s">
        <v>4710</v>
      </c>
      <c r="N954" s="1" t="s">
        <v>4711</v>
      </c>
      <c r="P954" s="1" t="s">
        <v>4712</v>
      </c>
      <c r="Q954" s="1" t="s">
        <v>50</v>
      </c>
      <c r="R954" s="1" t="s">
        <v>68</v>
      </c>
      <c r="S954" s="1" t="s">
        <v>430</v>
      </c>
      <c r="T954" s="1" t="s">
        <v>431</v>
      </c>
      <c r="U954" s="1">
        <v>1</v>
      </c>
      <c r="V954" s="1" t="s">
        <v>71</v>
      </c>
      <c r="W954" s="1" t="s">
        <v>4713</v>
      </c>
      <c r="X954" s="1" t="s">
        <v>240</v>
      </c>
      <c r="Y954" s="10">
        <v>45496</v>
      </c>
      <c r="Z954" s="1">
        <v>2024</v>
      </c>
      <c r="AA954" s="35">
        <v>153560986.62</v>
      </c>
      <c r="AB954" s="35"/>
      <c r="AC954" s="35">
        <v>35319026.920000002</v>
      </c>
      <c r="AG954" s="1" t="s">
        <v>3912</v>
      </c>
      <c r="AI954" s="2">
        <v>35319026.920000002</v>
      </c>
      <c r="AK954" s="1" t="s">
        <v>4714</v>
      </c>
      <c r="AL954" s="2" t="s">
        <v>4715</v>
      </c>
      <c r="AW954" s="2"/>
      <c r="AX954" s="2"/>
      <c r="AY954" s="2"/>
      <c r="BB954" s="2"/>
    </row>
    <row r="955" spans="1:54" ht="13.15" customHeight="1" x14ac:dyDescent="0.2">
      <c r="A955" s="1" t="s">
        <v>57</v>
      </c>
      <c r="B955" s="9" t="s">
        <v>39</v>
      </c>
      <c r="C955" s="1" t="s">
        <v>58</v>
      </c>
      <c r="D955" s="39" t="s">
        <v>59</v>
      </c>
      <c r="E955" s="39" t="s">
        <v>42</v>
      </c>
      <c r="G955" s="1" t="s">
        <v>88</v>
      </c>
      <c r="H955" s="1" t="s">
        <v>61</v>
      </c>
      <c r="I955" s="1" t="s">
        <v>4716</v>
      </c>
      <c r="J955" s="1">
        <v>2021</v>
      </c>
      <c r="K955" s="1" t="s">
        <v>4717</v>
      </c>
      <c r="P955" s="1" t="s">
        <v>4718</v>
      </c>
      <c r="Q955" s="1" t="s">
        <v>264</v>
      </c>
      <c r="R955" s="1" t="s">
        <v>265</v>
      </c>
      <c r="S955" s="1" t="s">
        <v>266</v>
      </c>
      <c r="T955" s="1" t="s">
        <v>267</v>
      </c>
      <c r="U955" s="1">
        <v>2</v>
      </c>
      <c r="V955" s="1" t="s">
        <v>268</v>
      </c>
      <c r="W955" s="1" t="s">
        <v>4717</v>
      </c>
      <c r="X955" s="1" t="s">
        <v>609</v>
      </c>
      <c r="Y955" s="10">
        <v>44557</v>
      </c>
      <c r="Z955" s="1">
        <v>2021</v>
      </c>
      <c r="AA955" s="2">
        <v>102000</v>
      </c>
      <c r="AB955" s="2"/>
      <c r="AC955" s="2">
        <v>15000</v>
      </c>
      <c r="AD955" s="1">
        <v>0</v>
      </c>
      <c r="AG955" s="1" t="s">
        <v>432</v>
      </c>
      <c r="AH955" s="1" t="s">
        <v>492</v>
      </c>
      <c r="AI955" s="2">
        <v>0</v>
      </c>
      <c r="AW955" s="2"/>
      <c r="AX955" s="2"/>
      <c r="AY955" s="2"/>
      <c r="BB955" s="2"/>
    </row>
    <row r="956" spans="1:54" ht="13.15" customHeight="1" x14ac:dyDescent="0.2">
      <c r="A956" s="1" t="s">
        <v>57</v>
      </c>
      <c r="B956" s="9" t="s">
        <v>39</v>
      </c>
      <c r="C956" s="1" t="s">
        <v>58</v>
      </c>
      <c r="D956" s="39" t="s">
        <v>4315</v>
      </c>
      <c r="E956" s="39" t="s">
        <v>42</v>
      </c>
      <c r="G956" s="1" t="s">
        <v>4316</v>
      </c>
      <c r="H956" s="1" t="s">
        <v>61</v>
      </c>
      <c r="I956" s="1" t="s">
        <v>4719</v>
      </c>
      <c r="J956" s="1">
        <v>2019</v>
      </c>
      <c r="P956" s="1" t="s">
        <v>4471</v>
      </c>
      <c r="Q956" s="1" t="s">
        <v>50</v>
      </c>
      <c r="R956" s="1" t="s">
        <v>68</v>
      </c>
      <c r="S956" s="1" t="s">
        <v>425</v>
      </c>
      <c r="T956" s="1" t="s">
        <v>426</v>
      </c>
      <c r="U956" s="1">
        <v>1</v>
      </c>
      <c r="V956" s="1" t="s">
        <v>195</v>
      </c>
      <c r="Y956" s="10">
        <v>43466</v>
      </c>
      <c r="Z956" s="1">
        <v>2019</v>
      </c>
      <c r="AA956" s="2"/>
      <c r="AB956" s="2"/>
      <c r="AC956" s="2">
        <v>484522.89999999991</v>
      </c>
      <c r="AG956" s="1" t="s">
        <v>56</v>
      </c>
      <c r="AI956" s="2">
        <v>484522.89999999991</v>
      </c>
      <c r="AL956" s="1" t="s">
        <v>4319</v>
      </c>
      <c r="AW956" s="2"/>
      <c r="AX956" s="2"/>
      <c r="AY956" s="2"/>
      <c r="BB956" s="2"/>
    </row>
    <row r="957" spans="1:54" ht="13.15" customHeight="1" x14ac:dyDescent="0.2">
      <c r="A957" s="1" t="s">
        <v>57</v>
      </c>
      <c r="B957" s="9" t="s">
        <v>39</v>
      </c>
      <c r="C957" s="1" t="s">
        <v>58</v>
      </c>
      <c r="D957" s="39" t="s">
        <v>59</v>
      </c>
      <c r="E957" s="39" t="s">
        <v>42</v>
      </c>
      <c r="G957" s="1" t="s">
        <v>88</v>
      </c>
      <c r="H957" s="1" t="s">
        <v>61</v>
      </c>
      <c r="I957" s="1" t="s">
        <v>4720</v>
      </c>
      <c r="J957" s="1" t="s">
        <v>82</v>
      </c>
      <c r="K957" s="1" t="s">
        <v>4721</v>
      </c>
      <c r="P957" s="1" t="s">
        <v>4722</v>
      </c>
      <c r="Q957" s="1" t="s">
        <v>264</v>
      </c>
      <c r="R957" s="1" t="s">
        <v>265</v>
      </c>
      <c r="S957" s="1" t="s">
        <v>266</v>
      </c>
      <c r="T957" s="1" t="s">
        <v>267</v>
      </c>
      <c r="U957" s="1">
        <v>2</v>
      </c>
      <c r="V957" s="1" t="s">
        <v>268</v>
      </c>
      <c r="W957" s="1" t="s">
        <v>4721</v>
      </c>
      <c r="X957" s="1" t="s">
        <v>145</v>
      </c>
      <c r="Y957" s="10">
        <v>44993</v>
      </c>
      <c r="Z957" s="1">
        <v>2023</v>
      </c>
      <c r="AA957" s="2">
        <v>428189.98</v>
      </c>
      <c r="AB957" s="2"/>
      <c r="AC957" s="2">
        <v>30000</v>
      </c>
      <c r="AD957" s="1">
        <v>1</v>
      </c>
      <c r="AG957" s="1" t="s">
        <v>432</v>
      </c>
      <c r="AH957" s="1" t="s">
        <v>4501</v>
      </c>
      <c r="AI957" s="2">
        <v>0</v>
      </c>
      <c r="AL957" s="1" t="s">
        <v>4723</v>
      </c>
      <c r="AW957" s="2"/>
      <c r="AX957" s="2"/>
      <c r="AY957" s="2"/>
      <c r="BB957" s="2"/>
    </row>
    <row r="958" spans="1:54" ht="13.15" customHeight="1" x14ac:dyDescent="0.2">
      <c r="A958" s="1" t="s">
        <v>57</v>
      </c>
      <c r="B958" s="9" t="s">
        <v>39</v>
      </c>
      <c r="C958" s="1" t="s">
        <v>58</v>
      </c>
      <c r="D958" s="39" t="s">
        <v>59</v>
      </c>
      <c r="E958" s="39" t="s">
        <v>42</v>
      </c>
      <c r="G958" s="1" t="s">
        <v>88</v>
      </c>
      <c r="H958" s="1" t="s">
        <v>61</v>
      </c>
      <c r="I958" s="1" t="s">
        <v>4724</v>
      </c>
      <c r="J958" s="1" t="s">
        <v>82</v>
      </c>
      <c r="K958" s="1" t="s">
        <v>4725</v>
      </c>
      <c r="P958" s="1" t="s">
        <v>4726</v>
      </c>
      <c r="Q958" s="1" t="s">
        <v>264</v>
      </c>
      <c r="R958" s="1" t="s">
        <v>265</v>
      </c>
      <c r="S958" s="1" t="s">
        <v>350</v>
      </c>
      <c r="T958" s="1" t="s">
        <v>351</v>
      </c>
      <c r="U958" s="1">
        <v>1</v>
      </c>
      <c r="V958" s="1" t="s">
        <v>80</v>
      </c>
      <c r="W958" s="1" t="s">
        <v>4725</v>
      </c>
      <c r="X958" s="1" t="s">
        <v>153</v>
      </c>
      <c r="Y958" s="10">
        <v>44858</v>
      </c>
      <c r="Z958" s="1">
        <v>2022</v>
      </c>
      <c r="AA958" s="2">
        <v>349355.04</v>
      </c>
      <c r="AB958" s="2"/>
      <c r="AC958" s="2">
        <v>50000</v>
      </c>
      <c r="AD958" s="1">
        <v>1</v>
      </c>
      <c r="AG958" s="1" t="s">
        <v>432</v>
      </c>
      <c r="AH958" s="1" t="s">
        <v>492</v>
      </c>
      <c r="AI958" s="2">
        <v>0</v>
      </c>
      <c r="AW958" s="2"/>
      <c r="AX958" s="2"/>
      <c r="AY958" s="2"/>
      <c r="BB958" s="2"/>
    </row>
    <row r="959" spans="1:54" ht="13.15" customHeight="1" x14ac:dyDescent="0.2">
      <c r="A959" s="1" t="s">
        <v>57</v>
      </c>
      <c r="B959" s="9" t="s">
        <v>39</v>
      </c>
      <c r="C959" s="1" t="s">
        <v>58</v>
      </c>
      <c r="D959" s="39" t="s">
        <v>59</v>
      </c>
      <c r="E959" s="39" t="s">
        <v>42</v>
      </c>
      <c r="G959" s="1" t="s">
        <v>88</v>
      </c>
      <c r="H959" s="1" t="s">
        <v>61</v>
      </c>
      <c r="I959" s="1" t="s">
        <v>4727</v>
      </c>
      <c r="J959" s="1" t="s">
        <v>82</v>
      </c>
      <c r="K959" s="1" t="s">
        <v>4728</v>
      </c>
      <c r="P959" s="1" t="s">
        <v>4729</v>
      </c>
      <c r="Q959" s="1" t="s">
        <v>50</v>
      </c>
      <c r="R959" s="1" t="s">
        <v>68</v>
      </c>
      <c r="S959" s="1" t="s">
        <v>172</v>
      </c>
      <c r="T959" s="1" t="s">
        <v>173</v>
      </c>
      <c r="U959" s="1">
        <v>2</v>
      </c>
      <c r="V959" s="1" t="s">
        <v>80</v>
      </c>
      <c r="W959" s="1" t="s">
        <v>4728</v>
      </c>
      <c r="X959" s="1" t="s">
        <v>145</v>
      </c>
      <c r="Y959" s="10">
        <v>45069</v>
      </c>
      <c r="Z959" s="1">
        <v>2023</v>
      </c>
      <c r="AA959" s="2">
        <v>317492.06</v>
      </c>
      <c r="AB959" s="2"/>
      <c r="AC959" s="2">
        <v>39000</v>
      </c>
      <c r="AD959" s="1">
        <v>1</v>
      </c>
      <c r="AE959" s="1">
        <v>1</v>
      </c>
      <c r="AG959" s="1" t="s">
        <v>432</v>
      </c>
      <c r="AH959" s="1" t="s">
        <v>4371</v>
      </c>
      <c r="AI959" s="2">
        <v>0</v>
      </c>
      <c r="AW959" s="2"/>
      <c r="AX959" s="2"/>
      <c r="AY959" s="2"/>
      <c r="BB959" s="2"/>
    </row>
    <row r="960" spans="1:54" ht="13.15" customHeight="1" x14ac:dyDescent="0.2">
      <c r="A960" s="1" t="s">
        <v>57</v>
      </c>
      <c r="B960" s="9" t="s">
        <v>39</v>
      </c>
      <c r="C960" s="1" t="s">
        <v>58</v>
      </c>
      <c r="D960" s="39" t="s">
        <v>59</v>
      </c>
      <c r="E960" s="39" t="s">
        <v>42</v>
      </c>
      <c r="G960" s="1" t="s">
        <v>88</v>
      </c>
      <c r="H960" s="1" t="s">
        <v>61</v>
      </c>
      <c r="I960" s="1" t="s">
        <v>4730</v>
      </c>
      <c r="J960" s="1">
        <v>2021</v>
      </c>
      <c r="K960" s="1" t="s">
        <v>4731</v>
      </c>
      <c r="P960" s="1" t="s">
        <v>4732</v>
      </c>
      <c r="Q960" s="1" t="s">
        <v>264</v>
      </c>
      <c r="R960" s="1" t="s">
        <v>265</v>
      </c>
      <c r="S960" s="1" t="s">
        <v>533</v>
      </c>
      <c r="T960" s="1" t="s">
        <v>534</v>
      </c>
      <c r="U960" s="1">
        <v>1</v>
      </c>
      <c r="V960" s="1" t="s">
        <v>535</v>
      </c>
      <c r="W960" s="1" t="s">
        <v>4731</v>
      </c>
      <c r="X960" s="1" t="s">
        <v>609</v>
      </c>
      <c r="Y960" s="10">
        <v>44557</v>
      </c>
      <c r="Z960" s="1">
        <v>2021</v>
      </c>
      <c r="AA960" s="2">
        <v>57844.32</v>
      </c>
      <c r="AB960" s="2"/>
      <c r="AC960" s="2">
        <v>11568.86</v>
      </c>
      <c r="AD960" s="1">
        <v>1</v>
      </c>
      <c r="AG960" s="1" t="s">
        <v>432</v>
      </c>
      <c r="AH960" s="1" t="s">
        <v>4501</v>
      </c>
      <c r="AI960" s="2">
        <v>0</v>
      </c>
      <c r="AW960" s="2"/>
      <c r="AX960" s="2"/>
      <c r="AY960" s="2"/>
      <c r="BB960" s="2"/>
    </row>
    <row r="961" spans="1:54" ht="13.15" customHeight="1" x14ac:dyDescent="0.2">
      <c r="A961" s="1" t="s">
        <v>57</v>
      </c>
      <c r="B961" s="9" t="s">
        <v>39</v>
      </c>
      <c r="C961" s="1" t="s">
        <v>58</v>
      </c>
      <c r="D961" s="39" t="s">
        <v>59</v>
      </c>
      <c r="E961" s="39" t="s">
        <v>42</v>
      </c>
      <c r="G961" s="1" t="s">
        <v>88</v>
      </c>
      <c r="H961" s="1" t="s">
        <v>61</v>
      </c>
      <c r="I961" s="1" t="s">
        <v>4733</v>
      </c>
      <c r="J961" s="1">
        <v>2021</v>
      </c>
      <c r="K961" s="1" t="s">
        <v>4734</v>
      </c>
      <c r="P961" s="1" t="s">
        <v>4735</v>
      </c>
      <c r="Q961" s="1" t="s">
        <v>264</v>
      </c>
      <c r="R961" s="1" t="s">
        <v>265</v>
      </c>
      <c r="S961" s="1" t="s">
        <v>350</v>
      </c>
      <c r="T961" s="1" t="s">
        <v>351</v>
      </c>
      <c r="U961" s="1">
        <v>1</v>
      </c>
      <c r="V961" s="1" t="s">
        <v>80</v>
      </c>
      <c r="W961" s="1" t="s">
        <v>4734</v>
      </c>
      <c r="X961" s="1" t="s">
        <v>609</v>
      </c>
      <c r="Y961" s="10">
        <v>44557</v>
      </c>
      <c r="Z961" s="1">
        <v>2021</v>
      </c>
      <c r="AA961" s="2">
        <v>60273.22</v>
      </c>
      <c r="AB961" s="2"/>
      <c r="AC961" s="2">
        <v>18081.97</v>
      </c>
      <c r="AD961" s="1">
        <v>0</v>
      </c>
      <c r="AG961" s="1" t="s">
        <v>432</v>
      </c>
      <c r="AH961" s="1" t="s">
        <v>4501</v>
      </c>
      <c r="AI961" s="2">
        <v>0</v>
      </c>
      <c r="AW961" s="2"/>
      <c r="AX961" s="2"/>
      <c r="AY961" s="2"/>
      <c r="BB961" s="2"/>
    </row>
    <row r="962" spans="1:54" ht="13.15" customHeight="1" x14ac:dyDescent="0.2">
      <c r="A962" s="1" t="s">
        <v>57</v>
      </c>
      <c r="B962" s="9" t="s">
        <v>39</v>
      </c>
      <c r="C962" s="1" t="s">
        <v>58</v>
      </c>
      <c r="D962" s="39" t="s">
        <v>4315</v>
      </c>
      <c r="E962" s="39" t="s">
        <v>42</v>
      </c>
      <c r="G962" s="1" t="s">
        <v>4316</v>
      </c>
      <c r="H962" s="1" t="s">
        <v>61</v>
      </c>
      <c r="I962" s="1" t="s">
        <v>4736</v>
      </c>
      <c r="J962" s="1">
        <v>2019</v>
      </c>
      <c r="P962" s="1" t="s">
        <v>4471</v>
      </c>
      <c r="Q962" s="1" t="s">
        <v>50</v>
      </c>
      <c r="R962" s="1" t="s">
        <v>68</v>
      </c>
      <c r="S962" s="1" t="s">
        <v>425</v>
      </c>
      <c r="T962" s="1" t="s">
        <v>426</v>
      </c>
      <c r="U962" s="1">
        <v>1</v>
      </c>
      <c r="V962" s="1" t="s">
        <v>195</v>
      </c>
      <c r="Y962" s="10">
        <v>43466</v>
      </c>
      <c r="Z962" s="1">
        <v>2019</v>
      </c>
      <c r="AA962" s="2"/>
      <c r="AB962" s="2"/>
      <c r="AC962" s="2">
        <v>413815.69999999995</v>
      </c>
      <c r="AG962" s="1" t="s">
        <v>56</v>
      </c>
      <c r="AI962" s="2">
        <v>413815.69999999995</v>
      </c>
      <c r="AL962" s="1" t="s">
        <v>4319</v>
      </c>
      <c r="AW962" s="2"/>
      <c r="AX962" s="2"/>
      <c r="AY962" s="2"/>
      <c r="BB962" s="2"/>
    </row>
    <row r="963" spans="1:54" ht="13.15" customHeight="1" x14ac:dyDescent="0.2">
      <c r="A963" s="1" t="s">
        <v>57</v>
      </c>
      <c r="B963" s="9" t="s">
        <v>39</v>
      </c>
      <c r="C963" s="1" t="s">
        <v>58</v>
      </c>
      <c r="D963" s="39" t="s">
        <v>4315</v>
      </c>
      <c r="E963" s="39" t="s">
        <v>42</v>
      </c>
      <c r="G963" s="1" t="s">
        <v>4316</v>
      </c>
      <c r="H963" s="1" t="s">
        <v>61</v>
      </c>
      <c r="I963" s="1" t="s">
        <v>4737</v>
      </c>
      <c r="J963" s="1">
        <v>2019</v>
      </c>
      <c r="P963" s="1" t="s">
        <v>4471</v>
      </c>
      <c r="Q963" s="1" t="s">
        <v>50</v>
      </c>
      <c r="R963" s="1" t="s">
        <v>68</v>
      </c>
      <c r="S963" s="1" t="s">
        <v>425</v>
      </c>
      <c r="T963" s="1" t="s">
        <v>426</v>
      </c>
      <c r="U963" s="1">
        <v>1</v>
      </c>
      <c r="V963" s="1" t="s">
        <v>195</v>
      </c>
      <c r="Y963" s="10">
        <v>43466</v>
      </c>
      <c r="Z963" s="1">
        <v>2019</v>
      </c>
      <c r="AA963" s="2"/>
      <c r="AB963" s="2"/>
      <c r="AC963" s="2">
        <v>387692.1100000001</v>
      </c>
      <c r="AG963" s="1" t="s">
        <v>56</v>
      </c>
      <c r="AI963" s="2">
        <v>387692.1100000001</v>
      </c>
      <c r="AL963" s="1" t="s">
        <v>4319</v>
      </c>
      <c r="AW963" s="2"/>
      <c r="AX963" s="2"/>
      <c r="AY963" s="2"/>
      <c r="BB963" s="2"/>
    </row>
    <row r="964" spans="1:54" ht="13.15" customHeight="1" x14ac:dyDescent="0.2">
      <c r="A964" s="1" t="s">
        <v>57</v>
      </c>
      <c r="B964" s="9" t="s">
        <v>39</v>
      </c>
      <c r="C964" s="1" t="s">
        <v>58</v>
      </c>
      <c r="D964" s="39" t="s">
        <v>4315</v>
      </c>
      <c r="E964" s="39" t="s">
        <v>42</v>
      </c>
      <c r="G964" s="1" t="s">
        <v>4316</v>
      </c>
      <c r="H964" s="1" t="s">
        <v>61</v>
      </c>
      <c r="I964" s="1" t="s">
        <v>4738</v>
      </c>
      <c r="J964" s="1">
        <v>2019</v>
      </c>
      <c r="P964" s="1" t="s">
        <v>4471</v>
      </c>
      <c r="Q964" s="1" t="s">
        <v>50</v>
      </c>
      <c r="R964" s="1" t="s">
        <v>68</v>
      </c>
      <c r="S964" s="1" t="s">
        <v>425</v>
      </c>
      <c r="T964" s="1" t="s">
        <v>426</v>
      </c>
      <c r="U964" s="1">
        <v>1</v>
      </c>
      <c r="V964" s="1" t="s">
        <v>195</v>
      </c>
      <c r="Y964" s="10">
        <v>43617</v>
      </c>
      <c r="Z964" s="1">
        <v>2019</v>
      </c>
      <c r="AA964" s="2"/>
      <c r="AB964" s="2"/>
      <c r="AC964" s="2">
        <v>629541.70000000007</v>
      </c>
      <c r="AG964" s="1" t="s">
        <v>56</v>
      </c>
      <c r="AI964" s="2">
        <v>629541.70000000007</v>
      </c>
      <c r="AL964" s="1" t="s">
        <v>4319</v>
      </c>
      <c r="AW964" s="2"/>
      <c r="AX964" s="2"/>
      <c r="AY964" s="2"/>
      <c r="BB964" s="2"/>
    </row>
    <row r="965" spans="1:54" ht="13.15" customHeight="1" x14ac:dyDescent="0.2">
      <c r="A965" s="1" t="s">
        <v>57</v>
      </c>
      <c r="B965" s="9" t="s">
        <v>39</v>
      </c>
      <c r="C965" s="1" t="s">
        <v>58</v>
      </c>
      <c r="D965" s="39" t="s">
        <v>59</v>
      </c>
      <c r="E965" s="39" t="s">
        <v>42</v>
      </c>
      <c r="G965" s="1" t="s">
        <v>88</v>
      </c>
      <c r="H965" s="1" t="s">
        <v>61</v>
      </c>
      <c r="I965" s="1" t="s">
        <v>4739</v>
      </c>
      <c r="J965" s="1" t="s">
        <v>82</v>
      </c>
      <c r="K965" s="1" t="s">
        <v>4740</v>
      </c>
      <c r="P965" s="1" t="s">
        <v>4741</v>
      </c>
      <c r="Q965" s="1" t="s">
        <v>264</v>
      </c>
      <c r="R965" s="1" t="s">
        <v>265</v>
      </c>
      <c r="S965" s="1" t="s">
        <v>542</v>
      </c>
      <c r="T965" s="1" t="s">
        <v>543</v>
      </c>
      <c r="U965" s="1">
        <v>1</v>
      </c>
      <c r="V965" s="1" t="s">
        <v>268</v>
      </c>
      <c r="W965" s="1" t="s">
        <v>4740</v>
      </c>
      <c r="X965" s="1" t="s">
        <v>153</v>
      </c>
      <c r="Y965" s="10">
        <v>45132</v>
      </c>
      <c r="Z965" s="1">
        <v>2023</v>
      </c>
      <c r="AA965" s="2">
        <v>112685.56</v>
      </c>
      <c r="AB965" s="2"/>
      <c r="AC965" s="2">
        <v>54805.67</v>
      </c>
      <c r="AD965" s="1">
        <v>3</v>
      </c>
      <c r="AE965" s="1">
        <v>1</v>
      </c>
      <c r="AG965" s="1" t="s">
        <v>432</v>
      </c>
      <c r="AH965" s="1" t="s">
        <v>4501</v>
      </c>
      <c r="AI965" s="2">
        <v>0</v>
      </c>
      <c r="AL965" s="1" t="s">
        <v>395</v>
      </c>
      <c r="AW965" s="2"/>
      <c r="AX965" s="2"/>
      <c r="AY965" s="2"/>
      <c r="BB965" s="2"/>
    </row>
    <row r="966" spans="1:54" ht="13.15" customHeight="1" x14ac:dyDescent="0.2">
      <c r="A966" s="1" t="s">
        <v>57</v>
      </c>
      <c r="B966" s="9" t="s">
        <v>39</v>
      </c>
      <c r="C966" s="1" t="s">
        <v>58</v>
      </c>
      <c r="D966" s="39" t="s">
        <v>4315</v>
      </c>
      <c r="E966" s="39" t="s">
        <v>42</v>
      </c>
      <c r="G966" s="1" t="s">
        <v>4316</v>
      </c>
      <c r="H966" s="1" t="s">
        <v>61</v>
      </c>
      <c r="I966" s="1" t="s">
        <v>4742</v>
      </c>
      <c r="J966" s="1">
        <v>2021</v>
      </c>
      <c r="P966" s="1" t="s">
        <v>4318</v>
      </c>
      <c r="Q966" s="1" t="s">
        <v>101</v>
      </c>
      <c r="R966" s="1" t="s">
        <v>102</v>
      </c>
      <c r="S966" s="1" t="s">
        <v>103</v>
      </c>
      <c r="T966" s="1" t="s">
        <v>104</v>
      </c>
      <c r="U966" s="1">
        <v>1</v>
      </c>
      <c r="V966" s="1" t="s">
        <v>101</v>
      </c>
      <c r="Y966" s="10">
        <v>44555</v>
      </c>
      <c r="Z966" s="1">
        <v>2021</v>
      </c>
      <c r="AA966" s="2"/>
      <c r="AB966" s="2"/>
      <c r="AC966" s="2">
        <v>830819.55</v>
      </c>
      <c r="AG966" s="1" t="s">
        <v>56</v>
      </c>
      <c r="AI966" s="2">
        <v>830819.55</v>
      </c>
      <c r="AL966" s="1" t="s">
        <v>4319</v>
      </c>
      <c r="AW966" s="2"/>
      <c r="AX966" s="2"/>
      <c r="AY966" s="2"/>
      <c r="BB966" s="2"/>
    </row>
    <row r="967" spans="1:54" ht="13.15" customHeight="1" x14ac:dyDescent="0.2">
      <c r="A967" s="1" t="s">
        <v>57</v>
      </c>
      <c r="B967" s="9" t="s">
        <v>39</v>
      </c>
      <c r="C967" s="1" t="s">
        <v>58</v>
      </c>
      <c r="D967" s="39" t="s">
        <v>59</v>
      </c>
      <c r="E967" s="39" t="s">
        <v>42</v>
      </c>
      <c r="G967" s="1" t="s">
        <v>88</v>
      </c>
      <c r="H967" s="1" t="s">
        <v>61</v>
      </c>
      <c r="I967" s="1" t="s">
        <v>4743</v>
      </c>
      <c r="J967" s="1">
        <v>2021</v>
      </c>
      <c r="K967" s="1" t="s">
        <v>4744</v>
      </c>
      <c r="P967" s="1" t="s">
        <v>4745</v>
      </c>
      <c r="Q967" s="1" t="s">
        <v>264</v>
      </c>
      <c r="R967" s="1" t="s">
        <v>265</v>
      </c>
      <c r="S967" s="1" t="s">
        <v>935</v>
      </c>
      <c r="T967" s="1" t="s">
        <v>936</v>
      </c>
      <c r="U967" s="1">
        <v>1</v>
      </c>
      <c r="V967" s="1" t="s">
        <v>308</v>
      </c>
      <c r="W967" s="1" t="s">
        <v>4744</v>
      </c>
      <c r="X967" s="1" t="s">
        <v>609</v>
      </c>
      <c r="Y967" s="10">
        <v>44557</v>
      </c>
      <c r="Z967" s="1">
        <v>2021</v>
      </c>
      <c r="AA967" s="2">
        <v>313971.65999999997</v>
      </c>
      <c r="AB967" s="2"/>
      <c r="AC967" s="2">
        <v>94191.5</v>
      </c>
      <c r="AD967" s="1">
        <v>2</v>
      </c>
      <c r="AG967" s="1" t="s">
        <v>432</v>
      </c>
      <c r="AH967" s="1" t="s">
        <v>4501</v>
      </c>
      <c r="AI967" s="2">
        <v>0</v>
      </c>
      <c r="AW967" s="2"/>
      <c r="AX967" s="2"/>
      <c r="AY967" s="2"/>
      <c r="BB967" s="2"/>
    </row>
    <row r="968" spans="1:54" ht="13.15" customHeight="1" x14ac:dyDescent="0.2">
      <c r="A968" s="1" t="s">
        <v>57</v>
      </c>
      <c r="B968" s="9" t="s">
        <v>39</v>
      </c>
      <c r="C968" s="1" t="s">
        <v>58</v>
      </c>
      <c r="D968" s="39" t="s">
        <v>4315</v>
      </c>
      <c r="E968" s="39" t="s">
        <v>42</v>
      </c>
      <c r="G968" s="1" t="s">
        <v>4316</v>
      </c>
      <c r="H968" s="1" t="s">
        <v>61</v>
      </c>
      <c r="I968" s="1" t="s">
        <v>4746</v>
      </c>
      <c r="J968" s="1">
        <v>2019</v>
      </c>
      <c r="P968" s="1" t="s">
        <v>4471</v>
      </c>
      <c r="Q968" s="1" t="s">
        <v>50</v>
      </c>
      <c r="R968" s="1" t="s">
        <v>68</v>
      </c>
      <c r="S968" s="1" t="s">
        <v>425</v>
      </c>
      <c r="T968" s="1" t="s">
        <v>426</v>
      </c>
      <c r="U968" s="1">
        <v>1</v>
      </c>
      <c r="V968" s="1" t="s">
        <v>195</v>
      </c>
      <c r="Y968" s="10">
        <v>43466</v>
      </c>
      <c r="Z968" s="1">
        <v>2019</v>
      </c>
      <c r="AA968" s="2"/>
      <c r="AB968" s="2"/>
      <c r="AC968" s="2">
        <v>492105.07000000007</v>
      </c>
      <c r="AG968" s="1" t="s">
        <v>56</v>
      </c>
      <c r="AI968" s="2">
        <v>492105.07000000007</v>
      </c>
      <c r="AL968" s="1" t="s">
        <v>4319</v>
      </c>
      <c r="AW968" s="2"/>
      <c r="AX968" s="2"/>
      <c r="AY968" s="2"/>
      <c r="BB968" s="2"/>
    </row>
    <row r="969" spans="1:54" ht="13.15" customHeight="1" x14ac:dyDescent="0.2">
      <c r="A969" s="1" t="s">
        <v>57</v>
      </c>
      <c r="B969" s="9" t="s">
        <v>39</v>
      </c>
      <c r="C969" s="1" t="s">
        <v>58</v>
      </c>
      <c r="D969" s="39" t="s">
        <v>4315</v>
      </c>
      <c r="E969" s="39" t="s">
        <v>42</v>
      </c>
      <c r="G969" s="1" t="s">
        <v>4316</v>
      </c>
      <c r="H969" s="1" t="s">
        <v>61</v>
      </c>
      <c r="I969" s="1" t="s">
        <v>4747</v>
      </c>
      <c r="J969" s="1">
        <v>2018</v>
      </c>
      <c r="P969" s="1" t="s">
        <v>4471</v>
      </c>
      <c r="Q969" s="1" t="s">
        <v>50</v>
      </c>
      <c r="R969" s="1" t="s">
        <v>68</v>
      </c>
      <c r="S969" s="1" t="s">
        <v>425</v>
      </c>
      <c r="T969" s="1" t="s">
        <v>426</v>
      </c>
      <c r="U969" s="1">
        <v>1</v>
      </c>
      <c r="V969" s="1" t="s">
        <v>195</v>
      </c>
      <c r="Y969" s="10">
        <v>43463</v>
      </c>
      <c r="Z969" s="1">
        <v>2018</v>
      </c>
      <c r="AA969" s="2"/>
      <c r="AB969" s="2"/>
      <c r="AC969" s="2">
        <v>586369.19000000006</v>
      </c>
      <c r="AG969" s="1" t="s">
        <v>56</v>
      </c>
      <c r="AI969" s="2">
        <v>586369.19000000006</v>
      </c>
      <c r="AL969" s="1" t="s">
        <v>4319</v>
      </c>
      <c r="AW969" s="2"/>
      <c r="AX969" s="2"/>
      <c r="AY969" s="2"/>
      <c r="BB969" s="2"/>
    </row>
    <row r="970" spans="1:54" ht="13.15" customHeight="1" x14ac:dyDescent="0.2">
      <c r="A970" s="1" t="s">
        <v>57</v>
      </c>
      <c r="B970" s="9" t="s">
        <v>39</v>
      </c>
      <c r="C970" s="1" t="s">
        <v>58</v>
      </c>
      <c r="D970" s="39" t="s">
        <v>59</v>
      </c>
      <c r="E970" s="39" t="s">
        <v>42</v>
      </c>
      <c r="G970" s="1" t="s">
        <v>88</v>
      </c>
      <c r="H970" s="1" t="s">
        <v>61</v>
      </c>
      <c r="I970" s="1" t="s">
        <v>4748</v>
      </c>
      <c r="J970" s="1" t="s">
        <v>82</v>
      </c>
      <c r="K970" s="1" t="s">
        <v>4749</v>
      </c>
      <c r="P970" s="1" t="s">
        <v>4750</v>
      </c>
      <c r="Q970" s="1" t="s">
        <v>264</v>
      </c>
      <c r="R970" s="1" t="s">
        <v>265</v>
      </c>
      <c r="S970" s="1" t="s">
        <v>542</v>
      </c>
      <c r="T970" s="1" t="s">
        <v>543</v>
      </c>
      <c r="U970" s="1">
        <v>1</v>
      </c>
      <c r="V970" s="1" t="s">
        <v>268</v>
      </c>
      <c r="W970" s="1" t="s">
        <v>4749</v>
      </c>
      <c r="X970" s="1" t="s">
        <v>321</v>
      </c>
      <c r="Y970" s="10">
        <v>44435</v>
      </c>
      <c r="Z970" s="1">
        <v>2021</v>
      </c>
      <c r="AA970" s="2">
        <v>182255.86</v>
      </c>
      <c r="AB970" s="2"/>
      <c r="AC970" s="2">
        <v>50000</v>
      </c>
      <c r="AD970" s="1">
        <v>1</v>
      </c>
      <c r="AG970" s="1" t="s">
        <v>432</v>
      </c>
      <c r="AH970" s="1" t="s">
        <v>492</v>
      </c>
      <c r="AI970" s="2">
        <v>0</v>
      </c>
      <c r="AW970" s="2"/>
      <c r="AX970" s="2"/>
      <c r="AY970" s="2"/>
      <c r="BB970" s="2"/>
    </row>
    <row r="971" spans="1:54" ht="13.15" customHeight="1" x14ac:dyDescent="0.2">
      <c r="A971" s="1" t="s">
        <v>57</v>
      </c>
      <c r="B971" s="9" t="s">
        <v>39</v>
      </c>
      <c r="C971" s="1" t="s">
        <v>58</v>
      </c>
      <c r="D971" s="39" t="s">
        <v>59</v>
      </c>
      <c r="E971" s="39" t="s">
        <v>42</v>
      </c>
      <c r="G971" s="1" t="s">
        <v>88</v>
      </c>
      <c r="H971" s="1" t="s">
        <v>61</v>
      </c>
      <c r="I971" s="1" t="s">
        <v>4751</v>
      </c>
      <c r="J971" s="1" t="s">
        <v>82</v>
      </c>
      <c r="K971" s="1" t="s">
        <v>4752</v>
      </c>
      <c r="P971" s="1" t="s">
        <v>4753</v>
      </c>
      <c r="Q971" s="1" t="s">
        <v>264</v>
      </c>
      <c r="R971" s="1" t="s">
        <v>265</v>
      </c>
      <c r="S971" s="1" t="s">
        <v>275</v>
      </c>
      <c r="T971" s="1" t="s">
        <v>276</v>
      </c>
      <c r="U971" s="1">
        <v>1</v>
      </c>
      <c r="V971" s="1" t="s">
        <v>80</v>
      </c>
      <c r="W971" s="1" t="s">
        <v>4752</v>
      </c>
      <c r="X971" s="1" t="s">
        <v>87</v>
      </c>
      <c r="Y971" s="10">
        <v>44181</v>
      </c>
      <c r="Z971" s="1">
        <v>2020</v>
      </c>
      <c r="AA971" s="2">
        <v>152000</v>
      </c>
      <c r="AB971" s="2"/>
      <c r="AC971" s="2">
        <v>60600</v>
      </c>
      <c r="AD971" s="1">
        <v>1</v>
      </c>
      <c r="AG971" s="1" t="s">
        <v>432</v>
      </c>
      <c r="AH971" s="1" t="s">
        <v>4501</v>
      </c>
      <c r="AI971" s="2">
        <v>0</v>
      </c>
      <c r="AW971" s="2"/>
      <c r="AX971" s="2"/>
      <c r="AY971" s="2"/>
      <c r="BB971" s="2"/>
    </row>
    <row r="972" spans="1:54" ht="13.15" customHeight="1" x14ac:dyDescent="0.2">
      <c r="A972" s="1" t="s">
        <v>57</v>
      </c>
      <c r="B972" s="9" t="s">
        <v>39</v>
      </c>
      <c r="C972" s="1" t="s">
        <v>58</v>
      </c>
      <c r="D972" s="39" t="s">
        <v>59</v>
      </c>
      <c r="E972" s="39" t="s">
        <v>42</v>
      </c>
      <c r="G972" s="1" t="s">
        <v>88</v>
      </c>
      <c r="H972" s="1" t="s">
        <v>61</v>
      </c>
      <c r="I972" s="1" t="s">
        <v>4754</v>
      </c>
      <c r="J972" s="1" t="s">
        <v>82</v>
      </c>
      <c r="K972" s="1" t="s">
        <v>4755</v>
      </c>
      <c r="P972" s="1" t="s">
        <v>4756</v>
      </c>
      <c r="Q972" s="1" t="s">
        <v>264</v>
      </c>
      <c r="R972" s="1" t="s">
        <v>265</v>
      </c>
      <c r="S972" s="1" t="s">
        <v>266</v>
      </c>
      <c r="T972" s="1" t="s">
        <v>267</v>
      </c>
      <c r="U972" s="1">
        <v>2</v>
      </c>
      <c r="V972" s="1" t="s">
        <v>268</v>
      </c>
      <c r="W972" s="1" t="s">
        <v>4757</v>
      </c>
      <c r="X972" s="1" t="s">
        <v>153</v>
      </c>
      <c r="Y972" s="10">
        <v>44991</v>
      </c>
      <c r="Z972" s="1">
        <v>2023</v>
      </c>
      <c r="AA972" s="2">
        <v>213935</v>
      </c>
      <c r="AB972" s="2"/>
      <c r="AC972" s="2">
        <v>60090.25</v>
      </c>
      <c r="AD972" s="1">
        <v>4</v>
      </c>
      <c r="AE972" s="1">
        <v>1</v>
      </c>
      <c r="AG972" s="1" t="s">
        <v>432</v>
      </c>
      <c r="AH972" s="1" t="s">
        <v>4501</v>
      </c>
      <c r="AI972" s="2">
        <v>0</v>
      </c>
      <c r="AL972" s="1" t="s">
        <v>4758</v>
      </c>
      <c r="AW972" s="2"/>
      <c r="AX972" s="2"/>
      <c r="AY972" s="2"/>
      <c r="BB972" s="2"/>
    </row>
    <row r="973" spans="1:54" ht="13.15" customHeight="1" x14ac:dyDescent="0.2">
      <c r="A973" s="1" t="s">
        <v>57</v>
      </c>
      <c r="B973" s="9" t="s">
        <v>39</v>
      </c>
      <c r="C973" s="1" t="s">
        <v>58</v>
      </c>
      <c r="D973" s="39" t="s">
        <v>59</v>
      </c>
      <c r="E973" s="39" t="s">
        <v>42</v>
      </c>
      <c r="G973" s="1" t="s">
        <v>88</v>
      </c>
      <c r="H973" s="1" t="s">
        <v>61</v>
      </c>
      <c r="I973" s="1" t="s">
        <v>4759</v>
      </c>
      <c r="J973" s="1">
        <v>2021</v>
      </c>
      <c r="K973" s="1" t="s">
        <v>4760</v>
      </c>
      <c r="P973" s="1" t="s">
        <v>4761</v>
      </c>
      <c r="Q973" s="1" t="s">
        <v>264</v>
      </c>
      <c r="R973" s="1" t="s">
        <v>265</v>
      </c>
      <c r="S973" s="1" t="s">
        <v>542</v>
      </c>
      <c r="T973" s="1" t="s">
        <v>543</v>
      </c>
      <c r="U973" s="1">
        <v>1</v>
      </c>
      <c r="V973" s="1" t="s">
        <v>268</v>
      </c>
      <c r="W973" s="1" t="s">
        <v>4762</v>
      </c>
      <c r="X973" s="1" t="s">
        <v>609</v>
      </c>
      <c r="Y973" s="10">
        <v>44557</v>
      </c>
      <c r="Z973" s="1">
        <v>2021</v>
      </c>
      <c r="AA973" s="2">
        <v>495000</v>
      </c>
      <c r="AB973" s="2"/>
      <c r="AC973" s="2">
        <v>90000</v>
      </c>
      <c r="AD973" s="1">
        <v>0</v>
      </c>
      <c r="AG973" s="1" t="s">
        <v>432</v>
      </c>
      <c r="AH973" s="1" t="s">
        <v>492</v>
      </c>
      <c r="AI973" s="2">
        <v>0</v>
      </c>
      <c r="AW973" s="2"/>
      <c r="AX973" s="2"/>
      <c r="AY973" s="2"/>
      <c r="BB973" s="2"/>
    </row>
    <row r="974" spans="1:54" ht="13.15" customHeight="1" x14ac:dyDescent="0.2">
      <c r="A974" s="1" t="s">
        <v>57</v>
      </c>
      <c r="B974" s="9" t="s">
        <v>39</v>
      </c>
      <c r="C974" s="1" t="s">
        <v>58</v>
      </c>
      <c r="D974" s="39" t="s">
        <v>4315</v>
      </c>
      <c r="E974" s="39" t="s">
        <v>42</v>
      </c>
      <c r="G974" s="1" t="s">
        <v>4316</v>
      </c>
      <c r="H974" s="1" t="s">
        <v>61</v>
      </c>
      <c r="I974" s="1" t="s">
        <v>4763</v>
      </c>
      <c r="J974" s="1">
        <v>2019</v>
      </c>
      <c r="P974" s="1" t="s">
        <v>4471</v>
      </c>
      <c r="Q974" s="1" t="s">
        <v>50</v>
      </c>
      <c r="R974" s="1" t="s">
        <v>68</v>
      </c>
      <c r="S974" s="1" t="s">
        <v>425</v>
      </c>
      <c r="T974" s="1" t="s">
        <v>426</v>
      </c>
      <c r="U974" s="1">
        <v>1</v>
      </c>
      <c r="V974" s="1" t="s">
        <v>195</v>
      </c>
      <c r="Y974" s="10">
        <v>43466</v>
      </c>
      <c r="Z974" s="1">
        <v>2019</v>
      </c>
      <c r="AA974" s="2"/>
      <c r="AB974" s="2"/>
      <c r="AC974" s="2">
        <v>709823.49</v>
      </c>
      <c r="AG974" s="1" t="s">
        <v>56</v>
      </c>
      <c r="AI974" s="2">
        <v>709823.49</v>
      </c>
      <c r="AL974" s="1" t="s">
        <v>4319</v>
      </c>
      <c r="AW974" s="2"/>
      <c r="AX974" s="2"/>
      <c r="AY974" s="2"/>
      <c r="BB974" s="2"/>
    </row>
    <row r="975" spans="1:54" ht="13.15" customHeight="1" x14ac:dyDescent="0.2">
      <c r="A975" s="1" t="s">
        <v>57</v>
      </c>
      <c r="B975" s="9" t="s">
        <v>39</v>
      </c>
      <c r="C975" s="1" t="s">
        <v>58</v>
      </c>
      <c r="D975" s="39" t="s">
        <v>4315</v>
      </c>
      <c r="E975" s="39" t="s">
        <v>42</v>
      </c>
      <c r="G975" s="1" t="s">
        <v>4340</v>
      </c>
      <c r="H975" s="1" t="s">
        <v>61</v>
      </c>
      <c r="I975" s="1" t="s">
        <v>4764</v>
      </c>
      <c r="J975" s="1">
        <v>2020</v>
      </c>
      <c r="P975" s="1" t="s">
        <v>4329</v>
      </c>
      <c r="Q975" s="1" t="s">
        <v>101</v>
      </c>
      <c r="R975" s="1" t="s">
        <v>102</v>
      </c>
      <c r="S975" s="1" t="s">
        <v>1486</v>
      </c>
      <c r="T975" s="1" t="s">
        <v>1487</v>
      </c>
      <c r="U975" s="1">
        <v>1</v>
      </c>
      <c r="V975" s="1" t="s">
        <v>101</v>
      </c>
      <c r="Y975" s="10">
        <v>44160</v>
      </c>
      <c r="Z975" s="1">
        <v>2020</v>
      </c>
      <c r="AA975" s="2"/>
      <c r="AB975" s="2"/>
      <c r="AC975" s="2">
        <v>18666.36</v>
      </c>
      <c r="AG975" s="1" t="s">
        <v>56</v>
      </c>
      <c r="AI975" s="2">
        <v>18666.36</v>
      </c>
      <c r="AW975" s="2"/>
      <c r="AX975" s="2"/>
      <c r="AY975" s="2"/>
      <c r="BB975" s="2"/>
    </row>
    <row r="976" spans="1:54" ht="13.15" customHeight="1" x14ac:dyDescent="0.2">
      <c r="A976" s="1" t="s">
        <v>57</v>
      </c>
      <c r="B976" s="9" t="s">
        <v>39</v>
      </c>
      <c r="C976" s="1" t="s">
        <v>58</v>
      </c>
      <c r="D976" s="39" t="s">
        <v>59</v>
      </c>
      <c r="E976" s="39" t="s">
        <v>42</v>
      </c>
      <c r="G976" s="1" t="s">
        <v>88</v>
      </c>
      <c r="H976" s="1" t="s">
        <v>61</v>
      </c>
      <c r="I976" s="1" t="s">
        <v>4765</v>
      </c>
      <c r="J976" s="1">
        <v>2021</v>
      </c>
      <c r="K976" s="1" t="s">
        <v>4766</v>
      </c>
      <c r="P976" s="1" t="s">
        <v>4767</v>
      </c>
      <c r="Q976" s="1" t="s">
        <v>264</v>
      </c>
      <c r="R976" s="1" t="s">
        <v>265</v>
      </c>
      <c r="S976" s="1" t="s">
        <v>350</v>
      </c>
      <c r="T976" s="1" t="s">
        <v>351</v>
      </c>
      <c r="U976" s="1">
        <v>1</v>
      </c>
      <c r="V976" s="1" t="s">
        <v>80</v>
      </c>
      <c r="W976" s="1" t="s">
        <v>4766</v>
      </c>
      <c r="X976" s="1" t="s">
        <v>609</v>
      </c>
      <c r="Y976" s="10">
        <v>44557</v>
      </c>
      <c r="Z976" s="1">
        <v>2021</v>
      </c>
      <c r="AA976" s="2">
        <v>236406.56</v>
      </c>
      <c r="AB976" s="2"/>
      <c r="AC976" s="2">
        <v>70921.97</v>
      </c>
      <c r="AD976" s="1">
        <v>2</v>
      </c>
      <c r="AE976" s="1">
        <v>1</v>
      </c>
      <c r="AG976" s="1" t="s">
        <v>432</v>
      </c>
      <c r="AH976" s="1" t="s">
        <v>492</v>
      </c>
      <c r="AI976" s="2">
        <v>0</v>
      </c>
      <c r="AW976" s="2"/>
      <c r="AX976" s="2"/>
      <c r="AY976" s="2"/>
      <c r="BB976" s="2"/>
    </row>
    <row r="977" spans="1:54" ht="13.15" customHeight="1" x14ac:dyDescent="0.2">
      <c r="A977" s="1" t="s">
        <v>57</v>
      </c>
      <c r="B977" s="9" t="s">
        <v>39</v>
      </c>
      <c r="C977" s="1" t="s">
        <v>58</v>
      </c>
      <c r="D977" s="39" t="s">
        <v>59</v>
      </c>
      <c r="E977" s="39" t="s">
        <v>42</v>
      </c>
      <c r="G977" s="1" t="s">
        <v>88</v>
      </c>
      <c r="H977" s="1" t="s">
        <v>61</v>
      </c>
      <c r="I977" s="1" t="s">
        <v>4768</v>
      </c>
      <c r="J977" s="1">
        <v>2021</v>
      </c>
      <c r="K977" s="1" t="s">
        <v>4769</v>
      </c>
      <c r="P977" s="1" t="s">
        <v>4770</v>
      </c>
      <c r="Q977" s="1" t="s">
        <v>264</v>
      </c>
      <c r="R977" s="1" t="s">
        <v>265</v>
      </c>
      <c r="S977" s="1" t="s">
        <v>275</v>
      </c>
      <c r="T977" s="1" t="s">
        <v>276</v>
      </c>
      <c r="U977" s="1">
        <v>2</v>
      </c>
      <c r="V977" s="1" t="s">
        <v>80</v>
      </c>
      <c r="W977" s="1" t="s">
        <v>4769</v>
      </c>
      <c r="X977" s="1" t="s">
        <v>138</v>
      </c>
      <c r="Y977" s="10">
        <v>45064</v>
      </c>
      <c r="Z977" s="1">
        <v>2023</v>
      </c>
      <c r="AA977" s="2">
        <v>116662.67</v>
      </c>
      <c r="AB977" s="2"/>
      <c r="AC977" s="2">
        <v>17499.400000000001</v>
      </c>
      <c r="AD977" s="1">
        <v>1</v>
      </c>
      <c r="AE977" s="1">
        <v>1</v>
      </c>
      <c r="AG977" s="1" t="s">
        <v>432</v>
      </c>
      <c r="AH977" s="1" t="s">
        <v>492</v>
      </c>
      <c r="AI977" s="2">
        <v>0</v>
      </c>
      <c r="AW977" s="2"/>
      <c r="AX977" s="2"/>
      <c r="AY977" s="2"/>
      <c r="BB977" s="2"/>
    </row>
    <row r="978" spans="1:54" ht="13.15" customHeight="1" x14ac:dyDescent="0.2">
      <c r="A978" s="1" t="s">
        <v>57</v>
      </c>
      <c r="B978" s="9" t="s">
        <v>39</v>
      </c>
      <c r="C978" s="1" t="s">
        <v>58</v>
      </c>
      <c r="D978" s="39" t="s">
        <v>59</v>
      </c>
      <c r="E978" s="39" t="s">
        <v>42</v>
      </c>
      <c r="G978" s="1" t="s">
        <v>88</v>
      </c>
      <c r="H978" s="1" t="s">
        <v>61</v>
      </c>
      <c r="I978" s="1" t="s">
        <v>4771</v>
      </c>
      <c r="J978" s="1" t="s">
        <v>82</v>
      </c>
      <c r="K978" s="1" t="s">
        <v>4772</v>
      </c>
      <c r="P978" s="1" t="s">
        <v>4773</v>
      </c>
      <c r="Q978" s="1" t="s">
        <v>264</v>
      </c>
      <c r="R978" s="1" t="s">
        <v>265</v>
      </c>
      <c r="S978" s="1" t="s">
        <v>350</v>
      </c>
      <c r="T978" s="1" t="s">
        <v>351</v>
      </c>
      <c r="U978" s="1">
        <v>1</v>
      </c>
      <c r="V978" s="1" t="s">
        <v>80</v>
      </c>
      <c r="W978" s="1" t="s">
        <v>4772</v>
      </c>
      <c r="X978" s="1" t="s">
        <v>153</v>
      </c>
      <c r="Y978" s="10">
        <v>44993</v>
      </c>
      <c r="Z978" s="1">
        <v>2023</v>
      </c>
      <c r="AA978" s="2">
        <v>85908.55</v>
      </c>
      <c r="AB978" s="2"/>
      <c r="AC978" s="2">
        <v>25772.57</v>
      </c>
      <c r="AD978" s="1">
        <v>0</v>
      </c>
      <c r="AG978" s="1" t="s">
        <v>432</v>
      </c>
      <c r="AH978" s="1" t="s">
        <v>4501</v>
      </c>
      <c r="AI978" s="2">
        <v>0</v>
      </c>
      <c r="AW978" s="2"/>
      <c r="AX978" s="2"/>
      <c r="AY978" s="2"/>
      <c r="BB978" s="2"/>
    </row>
    <row r="979" spans="1:54" ht="13.15" customHeight="1" x14ac:dyDescent="0.2">
      <c r="A979" s="1" t="s">
        <v>57</v>
      </c>
      <c r="B979" s="9" t="s">
        <v>39</v>
      </c>
      <c r="C979" s="1" t="s">
        <v>58</v>
      </c>
      <c r="D979" s="39" t="s">
        <v>4315</v>
      </c>
      <c r="E979" s="39" t="s">
        <v>42</v>
      </c>
      <c r="G979" s="1" t="s">
        <v>4316</v>
      </c>
      <c r="H979" s="1" t="s">
        <v>61</v>
      </c>
      <c r="I979" s="1" t="s">
        <v>4774</v>
      </c>
      <c r="J979" s="1">
        <v>2020</v>
      </c>
      <c r="P979" s="1" t="s">
        <v>4318</v>
      </c>
      <c r="Q979" s="1" t="s">
        <v>101</v>
      </c>
      <c r="R979" s="1" t="s">
        <v>102</v>
      </c>
      <c r="S979" s="1" t="s">
        <v>103</v>
      </c>
      <c r="T979" s="1" t="s">
        <v>104</v>
      </c>
      <c r="U979" s="1">
        <v>1</v>
      </c>
      <c r="V979" s="1" t="s">
        <v>101</v>
      </c>
      <c r="Y979" s="10">
        <v>43831</v>
      </c>
      <c r="Z979" s="1">
        <v>2020</v>
      </c>
      <c r="AA979" s="2"/>
      <c r="AB979" s="2"/>
      <c r="AC979" s="2">
        <v>384427.05</v>
      </c>
      <c r="AG979" s="1" t="s">
        <v>56</v>
      </c>
      <c r="AI979" s="2">
        <v>384427.05</v>
      </c>
      <c r="AL979" s="1" t="s">
        <v>4319</v>
      </c>
      <c r="AW979" s="2"/>
      <c r="AX979" s="2"/>
      <c r="AY979" s="2"/>
      <c r="BB979" s="2"/>
    </row>
    <row r="980" spans="1:54" ht="13.15" customHeight="1" x14ac:dyDescent="0.2">
      <c r="A980" s="1" t="s">
        <v>57</v>
      </c>
      <c r="B980" s="9" t="s">
        <v>39</v>
      </c>
      <c r="C980" s="1" t="s">
        <v>58</v>
      </c>
      <c r="D980" s="39" t="s">
        <v>59</v>
      </c>
      <c r="E980" s="39" t="s">
        <v>42</v>
      </c>
      <c r="G980" s="1" t="s">
        <v>88</v>
      </c>
      <c r="H980" s="1" t="s">
        <v>61</v>
      </c>
      <c r="I980" s="1" t="s">
        <v>4775</v>
      </c>
      <c r="J980" s="1">
        <v>2021</v>
      </c>
      <c r="K980" s="1" t="s">
        <v>4776</v>
      </c>
      <c r="P980" s="1" t="s">
        <v>4777</v>
      </c>
      <c r="Q980" s="1" t="s">
        <v>264</v>
      </c>
      <c r="R980" s="1" t="s">
        <v>265</v>
      </c>
      <c r="S980" s="1" t="s">
        <v>275</v>
      </c>
      <c r="T980" s="1" t="s">
        <v>276</v>
      </c>
      <c r="U980" s="1">
        <v>2</v>
      </c>
      <c r="V980" s="1" t="s">
        <v>80</v>
      </c>
      <c r="W980" s="1" t="s">
        <v>4776</v>
      </c>
      <c r="X980" s="1" t="s">
        <v>145</v>
      </c>
      <c r="Y980" s="10">
        <v>44557</v>
      </c>
      <c r="Z980" s="1">
        <v>2021</v>
      </c>
      <c r="AA980" s="2">
        <v>463274.38</v>
      </c>
      <c r="AB980" s="2"/>
      <c r="AC980" s="2">
        <v>30000</v>
      </c>
      <c r="AD980" s="1">
        <v>0</v>
      </c>
      <c r="AG980" s="1" t="s">
        <v>432</v>
      </c>
      <c r="AH980" s="1" t="s">
        <v>4501</v>
      </c>
      <c r="AI980" s="2">
        <v>0</v>
      </c>
      <c r="AW980" s="2"/>
      <c r="AX980" s="2"/>
      <c r="AY980" s="2"/>
      <c r="BB980" s="2"/>
    </row>
    <row r="981" spans="1:54" ht="13.15" customHeight="1" x14ac:dyDescent="0.2">
      <c r="A981" s="1" t="s">
        <v>57</v>
      </c>
      <c r="B981" s="9" t="s">
        <v>39</v>
      </c>
      <c r="C981" s="1" t="s">
        <v>58</v>
      </c>
      <c r="D981" s="39" t="s">
        <v>4315</v>
      </c>
      <c r="E981" s="39" t="s">
        <v>42</v>
      </c>
      <c r="G981" s="1" t="s">
        <v>4316</v>
      </c>
      <c r="H981" s="1" t="s">
        <v>61</v>
      </c>
      <c r="I981" s="1" t="s">
        <v>4778</v>
      </c>
      <c r="J981" s="1">
        <v>2019</v>
      </c>
      <c r="P981" s="1" t="s">
        <v>4471</v>
      </c>
      <c r="Q981" s="1" t="s">
        <v>50</v>
      </c>
      <c r="R981" s="1" t="s">
        <v>68</v>
      </c>
      <c r="S981" s="1" t="s">
        <v>425</v>
      </c>
      <c r="T981" s="1" t="s">
        <v>426</v>
      </c>
      <c r="U981" s="1">
        <v>1</v>
      </c>
      <c r="V981" s="1" t="s">
        <v>195</v>
      </c>
      <c r="Y981" s="10">
        <v>43466</v>
      </c>
      <c r="Z981" s="1">
        <v>2019</v>
      </c>
      <c r="AA981" s="2"/>
      <c r="AB981" s="2"/>
      <c r="AC981" s="2">
        <v>509028.73999999993</v>
      </c>
      <c r="AG981" s="1" t="s">
        <v>56</v>
      </c>
      <c r="AI981" s="2">
        <v>509028.73999999993</v>
      </c>
      <c r="AL981" s="1" t="s">
        <v>4319</v>
      </c>
      <c r="AW981" s="2"/>
      <c r="AX981" s="2"/>
      <c r="AY981" s="2"/>
      <c r="BB981" s="2"/>
    </row>
    <row r="982" spans="1:54" ht="13.15" customHeight="1" x14ac:dyDescent="0.25">
      <c r="A982" s="1" t="s">
        <v>57</v>
      </c>
      <c r="B982" s="9" t="s">
        <v>39</v>
      </c>
      <c r="C982" s="1" t="s">
        <v>58</v>
      </c>
      <c r="D982" s="39" t="s">
        <v>4315</v>
      </c>
      <c r="E982" s="39" t="s">
        <v>42</v>
      </c>
      <c r="G982" s="1" t="s">
        <v>4316</v>
      </c>
      <c r="H982" s="1" t="s">
        <v>61</v>
      </c>
      <c r="I982" s="1" t="s">
        <v>4779</v>
      </c>
      <c r="J982" s="1">
        <v>2021</v>
      </c>
      <c r="P982" s="1" t="s">
        <v>4453</v>
      </c>
      <c r="Q982" s="1" t="s">
        <v>264</v>
      </c>
      <c r="R982" s="1" t="s">
        <v>265</v>
      </c>
      <c r="S982" s="16" t="s">
        <v>306</v>
      </c>
      <c r="T982" s="1" t="s">
        <v>307</v>
      </c>
      <c r="U982" s="1">
        <v>1</v>
      </c>
      <c r="V982" s="1" t="s">
        <v>308</v>
      </c>
      <c r="Y982" s="10">
        <v>44256</v>
      </c>
      <c r="Z982" s="1">
        <v>2021</v>
      </c>
      <c r="AA982" s="2"/>
      <c r="AB982" s="2"/>
      <c r="AC982" s="2">
        <v>154561.47</v>
      </c>
      <c r="AG982" s="1" t="s">
        <v>56</v>
      </c>
      <c r="AI982" s="2">
        <v>154561.47</v>
      </c>
      <c r="AL982" s="1" t="s">
        <v>4319</v>
      </c>
      <c r="AW982" s="2"/>
      <c r="AX982" s="2"/>
      <c r="AY982" s="2"/>
      <c r="BB982" s="2"/>
    </row>
    <row r="983" spans="1:54" ht="13.15" customHeight="1" x14ac:dyDescent="0.25">
      <c r="A983" s="1" t="s">
        <v>57</v>
      </c>
      <c r="B983" s="9" t="s">
        <v>39</v>
      </c>
      <c r="C983" s="1" t="s">
        <v>58</v>
      </c>
      <c r="D983" s="39" t="s">
        <v>4315</v>
      </c>
      <c r="E983" s="39" t="s">
        <v>42</v>
      </c>
      <c r="G983" s="1" t="s">
        <v>4316</v>
      </c>
      <c r="H983" s="1" t="s">
        <v>61</v>
      </c>
      <c r="I983" s="1" t="s">
        <v>4780</v>
      </c>
      <c r="J983" s="1">
        <v>2019</v>
      </c>
      <c r="P983" s="1" t="s">
        <v>4453</v>
      </c>
      <c r="Q983" s="1" t="s">
        <v>264</v>
      </c>
      <c r="R983" s="1" t="s">
        <v>265</v>
      </c>
      <c r="S983" s="16" t="s">
        <v>306</v>
      </c>
      <c r="T983" s="1" t="s">
        <v>307</v>
      </c>
      <c r="U983" s="1">
        <v>1</v>
      </c>
      <c r="V983" s="1" t="s">
        <v>308</v>
      </c>
      <c r="Y983" s="10">
        <v>43466</v>
      </c>
      <c r="Z983" s="1">
        <v>2019</v>
      </c>
      <c r="AA983" s="2"/>
      <c r="AB983" s="2"/>
      <c r="AC983" s="2">
        <v>510103.52</v>
      </c>
      <c r="AG983" s="1" t="s">
        <v>56</v>
      </c>
      <c r="AI983" s="2">
        <v>510103.52</v>
      </c>
      <c r="AL983" s="1" t="s">
        <v>4319</v>
      </c>
      <c r="AW983" s="2"/>
      <c r="AX983" s="2"/>
      <c r="AY983" s="2"/>
      <c r="BB983" s="2"/>
    </row>
    <row r="984" spans="1:54" ht="13.15" customHeight="1" x14ac:dyDescent="0.25">
      <c r="A984" s="1" t="s">
        <v>57</v>
      </c>
      <c r="B984" s="9" t="s">
        <v>39</v>
      </c>
      <c r="C984" s="1" t="s">
        <v>58</v>
      </c>
      <c r="D984" s="39" t="s">
        <v>4315</v>
      </c>
      <c r="E984" s="39" t="s">
        <v>42</v>
      </c>
      <c r="G984" s="1" t="s">
        <v>4316</v>
      </c>
      <c r="H984" s="1" t="s">
        <v>61</v>
      </c>
      <c r="I984" s="1" t="s">
        <v>4781</v>
      </c>
      <c r="J984" s="1">
        <v>2019</v>
      </c>
      <c r="P984" s="1" t="s">
        <v>4453</v>
      </c>
      <c r="Q984" s="1" t="s">
        <v>264</v>
      </c>
      <c r="R984" s="1" t="s">
        <v>265</v>
      </c>
      <c r="S984" s="16" t="s">
        <v>306</v>
      </c>
      <c r="T984" s="1" t="s">
        <v>307</v>
      </c>
      <c r="U984" s="1">
        <v>1</v>
      </c>
      <c r="V984" s="1" t="s">
        <v>308</v>
      </c>
      <c r="Y984" s="10">
        <v>43466</v>
      </c>
      <c r="Z984" s="1">
        <v>2019</v>
      </c>
      <c r="AA984" s="2"/>
      <c r="AB984" s="2"/>
      <c r="AC984" s="2">
        <v>539143.85</v>
      </c>
      <c r="AG984" s="1" t="s">
        <v>56</v>
      </c>
      <c r="AI984" s="2">
        <v>539143.85</v>
      </c>
      <c r="AL984" s="1" t="s">
        <v>4319</v>
      </c>
      <c r="AW984" s="2"/>
      <c r="AX984" s="2"/>
      <c r="AY984" s="2"/>
      <c r="BB984" s="2"/>
    </row>
    <row r="985" spans="1:54" ht="13.15" customHeight="1" x14ac:dyDescent="0.25">
      <c r="A985" s="1" t="s">
        <v>57</v>
      </c>
      <c r="B985" s="9" t="s">
        <v>39</v>
      </c>
      <c r="C985" s="1" t="s">
        <v>58</v>
      </c>
      <c r="D985" s="39" t="s">
        <v>4315</v>
      </c>
      <c r="E985" s="39" t="s">
        <v>42</v>
      </c>
      <c r="G985" s="1" t="s">
        <v>4316</v>
      </c>
      <c r="H985" s="1" t="s">
        <v>61</v>
      </c>
      <c r="I985" s="1" t="s">
        <v>4782</v>
      </c>
      <c r="J985" s="1">
        <v>2019</v>
      </c>
      <c r="P985" s="1" t="s">
        <v>4453</v>
      </c>
      <c r="Q985" s="1" t="s">
        <v>264</v>
      </c>
      <c r="R985" s="1" t="s">
        <v>265</v>
      </c>
      <c r="S985" s="16" t="s">
        <v>306</v>
      </c>
      <c r="T985" s="1" t="s">
        <v>307</v>
      </c>
      <c r="U985" s="1">
        <v>1</v>
      </c>
      <c r="V985" s="1" t="s">
        <v>308</v>
      </c>
      <c r="Y985" s="10">
        <v>43466</v>
      </c>
      <c r="Z985" s="1">
        <v>2019</v>
      </c>
      <c r="AA985" s="2"/>
      <c r="AB985" s="2"/>
      <c r="AC985" s="2">
        <v>517639.38</v>
      </c>
      <c r="AG985" s="1" t="s">
        <v>56</v>
      </c>
      <c r="AI985" s="2">
        <v>517639.38</v>
      </c>
      <c r="AL985" s="1" t="s">
        <v>4319</v>
      </c>
      <c r="AW985" s="2"/>
      <c r="AX985" s="2"/>
      <c r="AY985" s="2"/>
      <c r="BB985" s="2"/>
    </row>
    <row r="986" spans="1:54" ht="13.15" customHeight="1" x14ac:dyDescent="0.25">
      <c r="A986" s="1" t="s">
        <v>57</v>
      </c>
      <c r="B986" s="9" t="s">
        <v>39</v>
      </c>
      <c r="C986" s="1" t="s">
        <v>58</v>
      </c>
      <c r="D986" s="39" t="s">
        <v>4315</v>
      </c>
      <c r="E986" s="39" t="s">
        <v>42</v>
      </c>
      <c r="G986" s="1" t="s">
        <v>4316</v>
      </c>
      <c r="H986" s="1" t="s">
        <v>61</v>
      </c>
      <c r="I986" s="1" t="s">
        <v>4783</v>
      </c>
      <c r="J986" s="1">
        <v>2019</v>
      </c>
      <c r="P986" s="1" t="s">
        <v>4453</v>
      </c>
      <c r="Q986" s="1" t="s">
        <v>264</v>
      </c>
      <c r="R986" s="1" t="s">
        <v>265</v>
      </c>
      <c r="S986" s="16" t="s">
        <v>306</v>
      </c>
      <c r="T986" s="1" t="s">
        <v>307</v>
      </c>
      <c r="U986" s="1">
        <v>1</v>
      </c>
      <c r="V986" s="1" t="s">
        <v>308</v>
      </c>
      <c r="Y986" s="10">
        <v>43466</v>
      </c>
      <c r="Z986" s="1">
        <v>2019</v>
      </c>
      <c r="AA986" s="2"/>
      <c r="AB986" s="2"/>
      <c r="AC986" s="2">
        <v>630078.22</v>
      </c>
      <c r="AG986" s="1" t="s">
        <v>56</v>
      </c>
      <c r="AI986" s="2">
        <v>630078.22</v>
      </c>
      <c r="AL986" s="1" t="s">
        <v>4319</v>
      </c>
      <c r="AW986" s="2"/>
      <c r="AX986" s="2"/>
      <c r="AY986" s="2"/>
      <c r="BB986" s="2"/>
    </row>
    <row r="987" spans="1:54" ht="13.15" customHeight="1" x14ac:dyDescent="0.25">
      <c r="A987" s="1" t="s">
        <v>57</v>
      </c>
      <c r="B987" s="9" t="s">
        <v>39</v>
      </c>
      <c r="C987" s="1" t="s">
        <v>58</v>
      </c>
      <c r="D987" s="39" t="s">
        <v>4315</v>
      </c>
      <c r="E987" s="39" t="s">
        <v>42</v>
      </c>
      <c r="G987" s="1" t="s">
        <v>4316</v>
      </c>
      <c r="H987" s="1" t="s">
        <v>61</v>
      </c>
      <c r="I987" s="1" t="s">
        <v>4784</v>
      </c>
      <c r="J987" s="1">
        <v>2019</v>
      </c>
      <c r="P987" s="1" t="s">
        <v>4453</v>
      </c>
      <c r="Q987" s="1" t="s">
        <v>264</v>
      </c>
      <c r="R987" s="1" t="s">
        <v>265</v>
      </c>
      <c r="S987" s="16" t="s">
        <v>306</v>
      </c>
      <c r="T987" s="1" t="s">
        <v>307</v>
      </c>
      <c r="U987" s="1">
        <v>1</v>
      </c>
      <c r="V987" s="1" t="s">
        <v>308</v>
      </c>
      <c r="Y987" s="10">
        <v>43466</v>
      </c>
      <c r="Z987" s="1">
        <v>2019</v>
      </c>
      <c r="AA987" s="2"/>
      <c r="AB987" s="2"/>
      <c r="AC987" s="2">
        <v>690178.05</v>
      </c>
      <c r="AG987" s="1" t="s">
        <v>56</v>
      </c>
      <c r="AI987" s="2">
        <v>690178.05</v>
      </c>
      <c r="AL987" s="1" t="s">
        <v>4319</v>
      </c>
      <c r="AW987" s="2"/>
      <c r="AX987" s="2"/>
      <c r="AY987" s="2"/>
      <c r="BB987" s="2"/>
    </row>
    <row r="988" spans="1:54" ht="13.15" customHeight="1" x14ac:dyDescent="0.25">
      <c r="A988" s="1" t="s">
        <v>57</v>
      </c>
      <c r="B988" s="9" t="s">
        <v>39</v>
      </c>
      <c r="C988" s="1" t="s">
        <v>58</v>
      </c>
      <c r="D988" s="39" t="s">
        <v>4315</v>
      </c>
      <c r="E988" s="39" t="s">
        <v>42</v>
      </c>
      <c r="G988" s="1" t="s">
        <v>4316</v>
      </c>
      <c r="H988" s="1" t="s">
        <v>61</v>
      </c>
      <c r="I988" s="1" t="s">
        <v>4785</v>
      </c>
      <c r="J988" s="1">
        <v>2019</v>
      </c>
      <c r="P988" s="1" t="s">
        <v>4453</v>
      </c>
      <c r="Q988" s="1" t="s">
        <v>264</v>
      </c>
      <c r="R988" s="1" t="s">
        <v>265</v>
      </c>
      <c r="S988" s="16" t="s">
        <v>306</v>
      </c>
      <c r="T988" s="1" t="s">
        <v>307</v>
      </c>
      <c r="U988" s="1">
        <v>1</v>
      </c>
      <c r="V988" s="1" t="s">
        <v>308</v>
      </c>
      <c r="Y988" s="10">
        <v>43466</v>
      </c>
      <c r="Z988" s="1">
        <v>2019</v>
      </c>
      <c r="AA988" s="2"/>
      <c r="AB988" s="2"/>
      <c r="AC988" s="2">
        <v>579070.05000000005</v>
      </c>
      <c r="AG988" s="1" t="s">
        <v>56</v>
      </c>
      <c r="AI988" s="2">
        <v>579070.05000000005</v>
      </c>
      <c r="AL988" s="1" t="s">
        <v>4319</v>
      </c>
      <c r="AW988" s="2"/>
      <c r="AX988" s="2"/>
      <c r="AY988" s="2"/>
      <c r="BB988" s="2"/>
    </row>
    <row r="989" spans="1:54" ht="13.15" customHeight="1" x14ac:dyDescent="0.25">
      <c r="A989" s="1" t="s">
        <v>57</v>
      </c>
      <c r="B989" s="9" t="s">
        <v>39</v>
      </c>
      <c r="C989" s="1" t="s">
        <v>58</v>
      </c>
      <c r="D989" s="39" t="s">
        <v>4315</v>
      </c>
      <c r="E989" s="39" t="s">
        <v>42</v>
      </c>
      <c r="G989" s="1" t="s">
        <v>4316</v>
      </c>
      <c r="H989" s="1" t="s">
        <v>61</v>
      </c>
      <c r="I989" s="1" t="s">
        <v>4786</v>
      </c>
      <c r="J989" s="1">
        <v>2020</v>
      </c>
      <c r="P989" s="1" t="s">
        <v>4453</v>
      </c>
      <c r="Q989" s="1" t="s">
        <v>264</v>
      </c>
      <c r="R989" s="1" t="s">
        <v>265</v>
      </c>
      <c r="S989" s="16" t="s">
        <v>306</v>
      </c>
      <c r="T989" s="1" t="s">
        <v>307</v>
      </c>
      <c r="U989" s="1">
        <v>1</v>
      </c>
      <c r="V989" s="1" t="s">
        <v>308</v>
      </c>
      <c r="Y989" s="10">
        <v>44105</v>
      </c>
      <c r="Z989" s="1">
        <v>2020</v>
      </c>
      <c r="AA989" s="2"/>
      <c r="AB989" s="2"/>
      <c r="AC989" s="2">
        <v>576937.52999999991</v>
      </c>
      <c r="AG989" s="1" t="s">
        <v>56</v>
      </c>
      <c r="AI989" s="2">
        <v>576937.52999999991</v>
      </c>
      <c r="AL989" s="1" t="s">
        <v>4319</v>
      </c>
      <c r="AW989" s="2"/>
      <c r="AX989" s="2"/>
      <c r="AY989" s="2"/>
      <c r="BB989" s="2"/>
    </row>
    <row r="990" spans="1:54" ht="13.15" customHeight="1" x14ac:dyDescent="0.25">
      <c r="A990" s="1" t="s">
        <v>57</v>
      </c>
      <c r="B990" s="9" t="s">
        <v>39</v>
      </c>
      <c r="C990" s="1" t="s">
        <v>58</v>
      </c>
      <c r="D990" s="39" t="s">
        <v>4315</v>
      </c>
      <c r="E990" s="39" t="s">
        <v>42</v>
      </c>
      <c r="G990" s="1" t="s">
        <v>4316</v>
      </c>
      <c r="H990" s="1" t="s">
        <v>61</v>
      </c>
      <c r="I990" s="1" t="s">
        <v>4787</v>
      </c>
      <c r="J990" s="1">
        <v>2019</v>
      </c>
      <c r="P990" s="1" t="s">
        <v>4453</v>
      </c>
      <c r="Q990" s="1" t="s">
        <v>264</v>
      </c>
      <c r="R990" s="1" t="s">
        <v>265</v>
      </c>
      <c r="S990" s="16" t="s">
        <v>306</v>
      </c>
      <c r="T990" s="1" t="s">
        <v>307</v>
      </c>
      <c r="U990" s="1">
        <v>1</v>
      </c>
      <c r="V990" s="1" t="s">
        <v>308</v>
      </c>
      <c r="Y990" s="10">
        <v>43466</v>
      </c>
      <c r="Z990" s="1">
        <v>2019</v>
      </c>
      <c r="AA990" s="2"/>
      <c r="AB990" s="2"/>
      <c r="AC990" s="2">
        <v>568854.85000000009</v>
      </c>
      <c r="AG990" s="1" t="s">
        <v>56</v>
      </c>
      <c r="AI990" s="2">
        <v>568854.85000000009</v>
      </c>
      <c r="AL990" s="1" t="s">
        <v>4319</v>
      </c>
      <c r="AW990" s="2"/>
      <c r="AX990" s="2"/>
      <c r="AY990" s="2"/>
      <c r="BB990" s="2"/>
    </row>
    <row r="991" spans="1:54" ht="13.15" customHeight="1" x14ac:dyDescent="0.25">
      <c r="A991" s="1" t="s">
        <v>57</v>
      </c>
      <c r="B991" s="9" t="s">
        <v>39</v>
      </c>
      <c r="C991" s="1" t="s">
        <v>58</v>
      </c>
      <c r="D991" s="39" t="s">
        <v>4315</v>
      </c>
      <c r="E991" s="39" t="s">
        <v>42</v>
      </c>
      <c r="G991" s="1" t="s">
        <v>4316</v>
      </c>
      <c r="H991" s="1" t="s">
        <v>61</v>
      </c>
      <c r="I991" s="1" t="s">
        <v>4788</v>
      </c>
      <c r="J991" s="1">
        <v>2019</v>
      </c>
      <c r="P991" s="1" t="s">
        <v>4453</v>
      </c>
      <c r="Q991" s="1" t="s">
        <v>264</v>
      </c>
      <c r="R991" s="1" t="s">
        <v>265</v>
      </c>
      <c r="S991" s="16" t="s">
        <v>306</v>
      </c>
      <c r="T991" s="1" t="s">
        <v>307</v>
      </c>
      <c r="U991" s="1">
        <v>1</v>
      </c>
      <c r="V991" s="1" t="s">
        <v>308</v>
      </c>
      <c r="Y991" s="10">
        <v>43466</v>
      </c>
      <c r="Z991" s="1">
        <v>2019</v>
      </c>
      <c r="AA991" s="2"/>
      <c r="AB991" s="2"/>
      <c r="AC991" s="2">
        <v>584046.54999999993</v>
      </c>
      <c r="AG991" s="1" t="s">
        <v>56</v>
      </c>
      <c r="AI991" s="2">
        <v>584046.54999999993</v>
      </c>
      <c r="AL991" s="1" t="s">
        <v>4319</v>
      </c>
      <c r="AW991" s="2"/>
      <c r="AX991" s="2"/>
      <c r="AY991" s="2"/>
      <c r="BB991" s="2"/>
    </row>
    <row r="992" spans="1:54" ht="13.15" customHeight="1" x14ac:dyDescent="0.25">
      <c r="A992" s="1" t="s">
        <v>57</v>
      </c>
      <c r="B992" s="9" t="s">
        <v>39</v>
      </c>
      <c r="C992" s="1" t="s">
        <v>58</v>
      </c>
      <c r="D992" s="39" t="s">
        <v>4315</v>
      </c>
      <c r="E992" s="39" t="s">
        <v>42</v>
      </c>
      <c r="G992" s="1" t="s">
        <v>4316</v>
      </c>
      <c r="H992" s="1" t="s">
        <v>61</v>
      </c>
      <c r="I992" s="1" t="s">
        <v>4789</v>
      </c>
      <c r="J992" s="1">
        <v>2019</v>
      </c>
      <c r="P992" s="1" t="s">
        <v>4453</v>
      </c>
      <c r="Q992" s="1" t="s">
        <v>264</v>
      </c>
      <c r="R992" s="1" t="s">
        <v>265</v>
      </c>
      <c r="S992" s="16" t="s">
        <v>306</v>
      </c>
      <c r="T992" s="1" t="s">
        <v>307</v>
      </c>
      <c r="U992" s="1">
        <v>1</v>
      </c>
      <c r="V992" s="1" t="s">
        <v>308</v>
      </c>
      <c r="Y992" s="10">
        <v>43525</v>
      </c>
      <c r="Z992" s="1">
        <v>2019</v>
      </c>
      <c r="AA992" s="2"/>
      <c r="AB992" s="2"/>
      <c r="AC992" s="2">
        <v>750766.86999999988</v>
      </c>
      <c r="AG992" s="1" t="s">
        <v>56</v>
      </c>
      <c r="AI992" s="2">
        <v>750766.86999999988</v>
      </c>
      <c r="AL992" s="1" t="s">
        <v>4319</v>
      </c>
      <c r="AW992" s="2"/>
      <c r="AX992" s="2"/>
      <c r="AY992" s="2"/>
      <c r="BB992" s="2"/>
    </row>
    <row r="993" spans="1:54" ht="13.15" customHeight="1" x14ac:dyDescent="0.25">
      <c r="A993" s="1" t="s">
        <v>57</v>
      </c>
      <c r="B993" s="9" t="s">
        <v>39</v>
      </c>
      <c r="C993" s="1" t="s">
        <v>58</v>
      </c>
      <c r="D993" s="39" t="s">
        <v>4315</v>
      </c>
      <c r="E993" s="39" t="s">
        <v>42</v>
      </c>
      <c r="G993" s="1" t="s">
        <v>4316</v>
      </c>
      <c r="H993" s="1" t="s">
        <v>61</v>
      </c>
      <c r="I993" s="1" t="s">
        <v>4790</v>
      </c>
      <c r="J993" s="1">
        <v>2019</v>
      </c>
      <c r="P993" s="1" t="s">
        <v>4453</v>
      </c>
      <c r="Q993" s="1" t="s">
        <v>264</v>
      </c>
      <c r="R993" s="1" t="s">
        <v>265</v>
      </c>
      <c r="S993" s="16" t="s">
        <v>306</v>
      </c>
      <c r="T993" s="1" t="s">
        <v>307</v>
      </c>
      <c r="U993" s="1">
        <v>1</v>
      </c>
      <c r="V993" s="1" t="s">
        <v>308</v>
      </c>
      <c r="Y993" s="10">
        <v>43525</v>
      </c>
      <c r="Z993" s="1">
        <v>2019</v>
      </c>
      <c r="AA993" s="2"/>
      <c r="AB993" s="2"/>
      <c r="AC993" s="2">
        <v>704892.09</v>
      </c>
      <c r="AG993" s="1" t="s">
        <v>56</v>
      </c>
      <c r="AI993" s="2">
        <v>704892.09</v>
      </c>
      <c r="AL993" s="1" t="s">
        <v>4319</v>
      </c>
      <c r="AW993" s="2"/>
      <c r="AX993" s="2"/>
      <c r="AY993" s="2"/>
      <c r="BB993" s="2"/>
    </row>
    <row r="994" spans="1:54" ht="13.15" customHeight="1" x14ac:dyDescent="0.25">
      <c r="A994" s="1" t="s">
        <v>57</v>
      </c>
      <c r="B994" s="9" t="s">
        <v>39</v>
      </c>
      <c r="C994" s="1" t="s">
        <v>58</v>
      </c>
      <c r="D994" s="39" t="s">
        <v>4315</v>
      </c>
      <c r="E994" s="39" t="s">
        <v>42</v>
      </c>
      <c r="G994" s="1" t="s">
        <v>4316</v>
      </c>
      <c r="H994" s="1" t="s">
        <v>61</v>
      </c>
      <c r="I994" s="1" t="s">
        <v>4791</v>
      </c>
      <c r="J994" s="1">
        <v>2019</v>
      </c>
      <c r="P994" s="1" t="s">
        <v>4453</v>
      </c>
      <c r="Q994" s="1" t="s">
        <v>264</v>
      </c>
      <c r="R994" s="1" t="s">
        <v>265</v>
      </c>
      <c r="S994" s="16" t="s">
        <v>306</v>
      </c>
      <c r="T994" s="1" t="s">
        <v>307</v>
      </c>
      <c r="U994" s="1">
        <v>1</v>
      </c>
      <c r="V994" s="1" t="s">
        <v>308</v>
      </c>
      <c r="Y994" s="10">
        <v>43709</v>
      </c>
      <c r="Z994" s="1">
        <v>2019</v>
      </c>
      <c r="AA994" s="2"/>
      <c r="AB994" s="2"/>
      <c r="AC994" s="2">
        <v>800577.8</v>
      </c>
      <c r="AG994" s="1" t="s">
        <v>56</v>
      </c>
      <c r="AI994" s="2">
        <v>800577.8</v>
      </c>
      <c r="AL994" s="1" t="s">
        <v>4319</v>
      </c>
      <c r="AW994" s="2"/>
      <c r="AX994" s="2"/>
      <c r="AY994" s="2"/>
      <c r="BB994" s="2"/>
    </row>
    <row r="995" spans="1:54" ht="13.15" customHeight="1" x14ac:dyDescent="0.25">
      <c r="A995" s="1" t="s">
        <v>57</v>
      </c>
      <c r="B995" s="9" t="s">
        <v>39</v>
      </c>
      <c r="C995" s="1" t="s">
        <v>58</v>
      </c>
      <c r="D995" s="39" t="s">
        <v>4315</v>
      </c>
      <c r="E995" s="39" t="s">
        <v>42</v>
      </c>
      <c r="G995" s="1" t="s">
        <v>4316</v>
      </c>
      <c r="H995" s="1" t="s">
        <v>61</v>
      </c>
      <c r="I995" s="1" t="s">
        <v>4792</v>
      </c>
      <c r="J995" s="1">
        <v>2019</v>
      </c>
      <c r="P995" s="1" t="s">
        <v>4453</v>
      </c>
      <c r="Q995" s="1" t="s">
        <v>264</v>
      </c>
      <c r="R995" s="1" t="s">
        <v>265</v>
      </c>
      <c r="S995" s="16" t="s">
        <v>306</v>
      </c>
      <c r="T995" s="1" t="s">
        <v>307</v>
      </c>
      <c r="U995" s="1">
        <v>1</v>
      </c>
      <c r="V995" s="1" t="s">
        <v>308</v>
      </c>
      <c r="Y995" s="10">
        <v>43534</v>
      </c>
      <c r="Z995" s="1">
        <v>2019</v>
      </c>
      <c r="AA995" s="2"/>
      <c r="AB995" s="2"/>
      <c r="AC995" s="2">
        <v>638515.54</v>
      </c>
      <c r="AG995" s="1" t="s">
        <v>56</v>
      </c>
      <c r="AI995" s="2">
        <v>638515.54</v>
      </c>
      <c r="AL995" s="1" t="s">
        <v>4319</v>
      </c>
      <c r="AW995" s="2"/>
      <c r="AX995" s="2"/>
      <c r="AY995" s="2"/>
      <c r="BB995" s="2"/>
    </row>
    <row r="996" spans="1:54" ht="13.15" customHeight="1" x14ac:dyDescent="0.25">
      <c r="A996" s="1" t="s">
        <v>57</v>
      </c>
      <c r="B996" s="9" t="s">
        <v>39</v>
      </c>
      <c r="C996" s="1" t="s">
        <v>58</v>
      </c>
      <c r="D996" s="39" t="s">
        <v>4315</v>
      </c>
      <c r="E996" s="39" t="s">
        <v>42</v>
      </c>
      <c r="G996" s="1" t="s">
        <v>4316</v>
      </c>
      <c r="H996" s="1" t="s">
        <v>61</v>
      </c>
      <c r="I996" s="1" t="s">
        <v>4793</v>
      </c>
      <c r="J996" s="1">
        <v>2021</v>
      </c>
      <c r="P996" s="1" t="s">
        <v>4453</v>
      </c>
      <c r="Q996" s="1" t="s">
        <v>264</v>
      </c>
      <c r="R996" s="1" t="s">
        <v>265</v>
      </c>
      <c r="S996" s="16" t="s">
        <v>306</v>
      </c>
      <c r="T996" s="1" t="s">
        <v>307</v>
      </c>
      <c r="U996" s="1">
        <v>1</v>
      </c>
      <c r="V996" s="1" t="s">
        <v>308</v>
      </c>
      <c r="Y996" s="10">
        <v>44197</v>
      </c>
      <c r="Z996" s="1">
        <v>2021</v>
      </c>
      <c r="AA996" s="2"/>
      <c r="AB996" s="2"/>
      <c r="AC996" s="2">
        <v>652581.77999999991</v>
      </c>
      <c r="AG996" s="1" t="s">
        <v>56</v>
      </c>
      <c r="AI996" s="2">
        <v>652581.77999999991</v>
      </c>
      <c r="AL996" s="1" t="s">
        <v>4319</v>
      </c>
      <c r="AW996" s="2"/>
      <c r="AX996" s="2"/>
      <c r="AY996" s="2"/>
      <c r="BB996" s="2"/>
    </row>
    <row r="997" spans="1:54" ht="13.15" customHeight="1" x14ac:dyDescent="0.25">
      <c r="A997" s="1" t="s">
        <v>57</v>
      </c>
      <c r="B997" s="9" t="s">
        <v>39</v>
      </c>
      <c r="C997" s="1" t="s">
        <v>58</v>
      </c>
      <c r="D997" s="39" t="s">
        <v>4315</v>
      </c>
      <c r="E997" s="39" t="s">
        <v>42</v>
      </c>
      <c r="G997" s="1" t="s">
        <v>4316</v>
      </c>
      <c r="H997" s="1" t="s">
        <v>61</v>
      </c>
      <c r="I997" s="1" t="s">
        <v>4794</v>
      </c>
      <c r="J997" s="1">
        <v>2019</v>
      </c>
      <c r="P997" s="1" t="s">
        <v>4453</v>
      </c>
      <c r="Q997" s="1" t="s">
        <v>264</v>
      </c>
      <c r="R997" s="1" t="s">
        <v>265</v>
      </c>
      <c r="S997" s="16" t="s">
        <v>306</v>
      </c>
      <c r="T997" s="1" t="s">
        <v>307</v>
      </c>
      <c r="U997" s="1">
        <v>1</v>
      </c>
      <c r="V997" s="1" t="s">
        <v>308</v>
      </c>
      <c r="Y997" s="10">
        <v>43525</v>
      </c>
      <c r="Z997" s="1">
        <v>2019</v>
      </c>
      <c r="AA997" s="2"/>
      <c r="AB997" s="2"/>
      <c r="AC997" s="2">
        <v>712016.69</v>
      </c>
      <c r="AG997" s="1" t="s">
        <v>56</v>
      </c>
      <c r="AI997" s="2">
        <v>712016.69</v>
      </c>
      <c r="AL997" s="1" t="s">
        <v>4319</v>
      </c>
      <c r="AW997" s="2"/>
      <c r="AX997" s="2"/>
      <c r="AY997" s="2"/>
      <c r="BB997" s="2"/>
    </row>
    <row r="998" spans="1:54" ht="13.15" customHeight="1" x14ac:dyDescent="0.25">
      <c r="A998" s="1" t="s">
        <v>57</v>
      </c>
      <c r="B998" s="9" t="s">
        <v>39</v>
      </c>
      <c r="C998" s="1" t="s">
        <v>58</v>
      </c>
      <c r="D998" s="39" t="s">
        <v>4315</v>
      </c>
      <c r="E998" s="39" t="s">
        <v>42</v>
      </c>
      <c r="G998" s="1" t="s">
        <v>4316</v>
      </c>
      <c r="H998" s="1" t="s">
        <v>61</v>
      </c>
      <c r="I998" s="1" t="s">
        <v>4795</v>
      </c>
      <c r="J998" s="1">
        <v>2019</v>
      </c>
      <c r="P998" s="1" t="s">
        <v>4453</v>
      </c>
      <c r="Q998" s="1" t="s">
        <v>264</v>
      </c>
      <c r="R998" s="1" t="s">
        <v>265</v>
      </c>
      <c r="S998" s="16" t="s">
        <v>306</v>
      </c>
      <c r="T998" s="1" t="s">
        <v>307</v>
      </c>
      <c r="U998" s="1">
        <v>1</v>
      </c>
      <c r="V998" s="1" t="s">
        <v>308</v>
      </c>
      <c r="Y998" s="10">
        <v>43466</v>
      </c>
      <c r="Z998" s="1">
        <v>2019</v>
      </c>
      <c r="AA998" s="2"/>
      <c r="AB998" s="2"/>
      <c r="AC998" s="2">
        <v>807426.01999999979</v>
      </c>
      <c r="AG998" s="1" t="s">
        <v>56</v>
      </c>
      <c r="AI998" s="2">
        <v>807426.01999999979</v>
      </c>
      <c r="AL998" s="1" t="s">
        <v>4319</v>
      </c>
      <c r="AW998" s="2"/>
      <c r="AX998" s="2"/>
      <c r="AY998" s="2"/>
      <c r="BB998" s="2"/>
    </row>
    <row r="999" spans="1:54" ht="13.15" customHeight="1" x14ac:dyDescent="0.25">
      <c r="A999" s="1" t="s">
        <v>57</v>
      </c>
      <c r="B999" s="9" t="s">
        <v>39</v>
      </c>
      <c r="C999" s="1" t="s">
        <v>58</v>
      </c>
      <c r="D999" s="39" t="s">
        <v>4315</v>
      </c>
      <c r="E999" s="39" t="s">
        <v>42</v>
      </c>
      <c r="G999" s="1" t="s">
        <v>4316</v>
      </c>
      <c r="H999" s="1" t="s">
        <v>61</v>
      </c>
      <c r="I999" s="1" t="s">
        <v>4796</v>
      </c>
      <c r="J999" s="1">
        <v>2021</v>
      </c>
      <c r="P999" s="1" t="s">
        <v>4453</v>
      </c>
      <c r="Q999" s="1" t="s">
        <v>264</v>
      </c>
      <c r="R999" s="1" t="s">
        <v>265</v>
      </c>
      <c r="S999" s="16" t="s">
        <v>306</v>
      </c>
      <c r="T999" s="1" t="s">
        <v>307</v>
      </c>
      <c r="U999" s="1">
        <v>1</v>
      </c>
      <c r="V999" s="1" t="s">
        <v>308</v>
      </c>
      <c r="Y999" s="10">
        <v>44378</v>
      </c>
      <c r="Z999" s="1">
        <v>2021</v>
      </c>
      <c r="AA999" s="2"/>
      <c r="AB999" s="2"/>
      <c r="AC999" s="2">
        <v>981344.75</v>
      </c>
      <c r="AG999" s="1" t="s">
        <v>56</v>
      </c>
      <c r="AI999" s="2">
        <v>981344.75</v>
      </c>
      <c r="AL999" s="1" t="s">
        <v>4319</v>
      </c>
      <c r="AW999" s="2"/>
      <c r="AX999" s="2"/>
      <c r="AY999" s="2"/>
      <c r="BB999" s="2"/>
    </row>
    <row r="1000" spans="1:54" ht="13.15" customHeight="1" x14ac:dyDescent="0.25">
      <c r="A1000" s="1" t="s">
        <v>57</v>
      </c>
      <c r="B1000" s="9" t="s">
        <v>39</v>
      </c>
      <c r="C1000" s="1" t="s">
        <v>58</v>
      </c>
      <c r="D1000" s="39" t="s">
        <v>4315</v>
      </c>
      <c r="E1000" s="39" t="s">
        <v>42</v>
      </c>
      <c r="G1000" s="1" t="s">
        <v>4316</v>
      </c>
      <c r="H1000" s="1" t="s">
        <v>61</v>
      </c>
      <c r="I1000" s="1" t="s">
        <v>4797</v>
      </c>
      <c r="J1000" s="1">
        <v>2020</v>
      </c>
      <c r="P1000" s="1" t="s">
        <v>4453</v>
      </c>
      <c r="Q1000" s="1" t="s">
        <v>264</v>
      </c>
      <c r="R1000" s="1" t="s">
        <v>265</v>
      </c>
      <c r="S1000" s="16" t="s">
        <v>306</v>
      </c>
      <c r="T1000" s="1" t="s">
        <v>307</v>
      </c>
      <c r="U1000" s="1">
        <v>1</v>
      </c>
      <c r="V1000" s="1" t="s">
        <v>308</v>
      </c>
      <c r="Y1000" s="10">
        <v>44166</v>
      </c>
      <c r="Z1000" s="1">
        <v>2020</v>
      </c>
      <c r="AA1000" s="2"/>
      <c r="AB1000" s="2"/>
      <c r="AC1000" s="2">
        <v>619996.40999999992</v>
      </c>
      <c r="AG1000" s="1" t="s">
        <v>56</v>
      </c>
      <c r="AI1000" s="2">
        <v>619996.40999999992</v>
      </c>
      <c r="AL1000" s="1" t="s">
        <v>4319</v>
      </c>
      <c r="AW1000" s="2"/>
      <c r="AX1000" s="2"/>
      <c r="AY1000" s="2"/>
      <c r="BB1000" s="2"/>
    </row>
    <row r="1001" spans="1:54" ht="13.15" customHeight="1" x14ac:dyDescent="0.25">
      <c r="A1001" s="1" t="s">
        <v>57</v>
      </c>
      <c r="B1001" s="9" t="s">
        <v>39</v>
      </c>
      <c r="C1001" s="1" t="s">
        <v>58</v>
      </c>
      <c r="D1001" s="39" t="s">
        <v>4315</v>
      </c>
      <c r="E1001" s="39" t="s">
        <v>42</v>
      </c>
      <c r="G1001" s="1" t="s">
        <v>4316</v>
      </c>
      <c r="H1001" s="1" t="s">
        <v>61</v>
      </c>
      <c r="I1001" s="1" t="s">
        <v>4798</v>
      </c>
      <c r="J1001" s="1">
        <v>2019</v>
      </c>
      <c r="P1001" s="1" t="s">
        <v>4453</v>
      </c>
      <c r="Q1001" s="1" t="s">
        <v>264</v>
      </c>
      <c r="R1001" s="1" t="s">
        <v>265</v>
      </c>
      <c r="S1001" s="16" t="s">
        <v>306</v>
      </c>
      <c r="T1001" s="1" t="s">
        <v>307</v>
      </c>
      <c r="U1001" s="1">
        <v>1</v>
      </c>
      <c r="V1001" s="1" t="s">
        <v>308</v>
      </c>
      <c r="Y1001" s="10">
        <v>43466</v>
      </c>
      <c r="Z1001" s="1">
        <v>2019</v>
      </c>
      <c r="AA1001" s="2"/>
      <c r="AB1001" s="2"/>
      <c r="AC1001" s="2">
        <v>800049.55</v>
      </c>
      <c r="AG1001" s="1" t="s">
        <v>56</v>
      </c>
      <c r="AI1001" s="2">
        <v>800049.55</v>
      </c>
      <c r="AL1001" s="1" t="s">
        <v>4319</v>
      </c>
      <c r="AW1001" s="2"/>
      <c r="AX1001" s="2"/>
      <c r="AY1001" s="2"/>
      <c r="BB1001" s="2"/>
    </row>
    <row r="1002" spans="1:54" ht="13.15" customHeight="1" x14ac:dyDescent="0.25">
      <c r="A1002" s="1" t="s">
        <v>57</v>
      </c>
      <c r="B1002" s="9" t="s">
        <v>39</v>
      </c>
      <c r="C1002" s="1" t="s">
        <v>58</v>
      </c>
      <c r="D1002" s="39" t="s">
        <v>4315</v>
      </c>
      <c r="E1002" s="39" t="s">
        <v>42</v>
      </c>
      <c r="G1002" s="1" t="s">
        <v>4316</v>
      </c>
      <c r="H1002" s="1" t="s">
        <v>61</v>
      </c>
      <c r="I1002" s="1" t="s">
        <v>4799</v>
      </c>
      <c r="J1002" s="1">
        <v>2021</v>
      </c>
      <c r="P1002" s="1" t="s">
        <v>4453</v>
      </c>
      <c r="Q1002" s="1" t="s">
        <v>264</v>
      </c>
      <c r="R1002" s="1" t="s">
        <v>265</v>
      </c>
      <c r="S1002" s="16" t="s">
        <v>306</v>
      </c>
      <c r="T1002" s="1" t="s">
        <v>307</v>
      </c>
      <c r="U1002" s="1">
        <v>1</v>
      </c>
      <c r="V1002" s="1" t="s">
        <v>308</v>
      </c>
      <c r="Y1002" s="10">
        <v>44317</v>
      </c>
      <c r="Z1002" s="1">
        <v>2021</v>
      </c>
      <c r="AA1002" s="2"/>
      <c r="AB1002" s="2"/>
      <c r="AC1002" s="2">
        <v>874768.7300000001</v>
      </c>
      <c r="AG1002" s="1" t="s">
        <v>56</v>
      </c>
      <c r="AI1002" s="2">
        <v>874768.7300000001</v>
      </c>
      <c r="AL1002" s="1" t="s">
        <v>4319</v>
      </c>
      <c r="AW1002" s="2"/>
      <c r="AX1002" s="2"/>
      <c r="AY1002" s="2"/>
      <c r="BB1002" s="2"/>
    </row>
    <row r="1003" spans="1:54" ht="13.15" customHeight="1" x14ac:dyDescent="0.25">
      <c r="A1003" s="1" t="s">
        <v>57</v>
      </c>
      <c r="B1003" s="9" t="s">
        <v>39</v>
      </c>
      <c r="C1003" s="1" t="s">
        <v>58</v>
      </c>
      <c r="D1003" s="39" t="s">
        <v>4315</v>
      </c>
      <c r="E1003" s="39" t="s">
        <v>42</v>
      </c>
      <c r="G1003" s="1" t="s">
        <v>4316</v>
      </c>
      <c r="H1003" s="1" t="s">
        <v>61</v>
      </c>
      <c r="I1003" s="1" t="s">
        <v>4800</v>
      </c>
      <c r="J1003" s="1">
        <v>2019</v>
      </c>
      <c r="P1003" s="1" t="s">
        <v>4453</v>
      </c>
      <c r="Q1003" s="1" t="s">
        <v>264</v>
      </c>
      <c r="R1003" s="1" t="s">
        <v>265</v>
      </c>
      <c r="S1003" s="16" t="s">
        <v>306</v>
      </c>
      <c r="T1003" s="1" t="s">
        <v>307</v>
      </c>
      <c r="U1003" s="1">
        <v>1</v>
      </c>
      <c r="V1003" s="1" t="s">
        <v>308</v>
      </c>
      <c r="Y1003" s="10">
        <v>43525</v>
      </c>
      <c r="Z1003" s="1">
        <v>2019</v>
      </c>
      <c r="AA1003" s="2"/>
      <c r="AB1003" s="2"/>
      <c r="AC1003" s="2">
        <v>745393.34</v>
      </c>
      <c r="AG1003" s="1" t="s">
        <v>56</v>
      </c>
      <c r="AI1003" s="2">
        <v>745393.34</v>
      </c>
      <c r="AL1003" s="1" t="s">
        <v>4319</v>
      </c>
      <c r="AW1003" s="2"/>
      <c r="AX1003" s="2"/>
      <c r="AY1003" s="2"/>
      <c r="BB1003" s="2"/>
    </row>
    <row r="1004" spans="1:54" ht="13.15" customHeight="1" x14ac:dyDescent="0.25">
      <c r="A1004" s="1" t="s">
        <v>57</v>
      </c>
      <c r="B1004" s="9" t="s">
        <v>39</v>
      </c>
      <c r="C1004" s="1" t="s">
        <v>58</v>
      </c>
      <c r="D1004" s="39" t="s">
        <v>4315</v>
      </c>
      <c r="E1004" s="39" t="s">
        <v>42</v>
      </c>
      <c r="G1004" s="1" t="s">
        <v>4316</v>
      </c>
      <c r="H1004" s="1" t="s">
        <v>61</v>
      </c>
      <c r="I1004" s="1" t="s">
        <v>4801</v>
      </c>
      <c r="J1004" s="1">
        <v>2020</v>
      </c>
      <c r="P1004" s="1" t="s">
        <v>4453</v>
      </c>
      <c r="Q1004" s="1" t="s">
        <v>264</v>
      </c>
      <c r="R1004" s="1" t="s">
        <v>265</v>
      </c>
      <c r="S1004" s="16" t="s">
        <v>306</v>
      </c>
      <c r="T1004" s="1" t="s">
        <v>307</v>
      </c>
      <c r="U1004" s="1">
        <v>1</v>
      </c>
      <c r="V1004" s="1" t="s">
        <v>308</v>
      </c>
      <c r="Y1004" s="10">
        <v>44105</v>
      </c>
      <c r="Z1004" s="1">
        <v>2020</v>
      </c>
      <c r="AA1004" s="2"/>
      <c r="AB1004" s="2"/>
      <c r="AC1004" s="2">
        <v>310968.53999999998</v>
      </c>
      <c r="AG1004" s="1" t="s">
        <v>56</v>
      </c>
      <c r="AI1004" s="2">
        <v>310968.53999999998</v>
      </c>
      <c r="AL1004" s="1" t="s">
        <v>4319</v>
      </c>
      <c r="AW1004" s="2"/>
      <c r="AX1004" s="2"/>
      <c r="AY1004" s="2"/>
      <c r="BB1004" s="2"/>
    </row>
    <row r="1005" spans="1:54" ht="13.15" customHeight="1" x14ac:dyDescent="0.25">
      <c r="A1005" s="1" t="s">
        <v>57</v>
      </c>
      <c r="B1005" s="9" t="s">
        <v>39</v>
      </c>
      <c r="C1005" s="1" t="s">
        <v>58</v>
      </c>
      <c r="D1005" s="39" t="s">
        <v>4315</v>
      </c>
      <c r="E1005" s="39" t="s">
        <v>42</v>
      </c>
      <c r="G1005" s="1" t="s">
        <v>4316</v>
      </c>
      <c r="H1005" s="1" t="s">
        <v>61</v>
      </c>
      <c r="I1005" s="1" t="s">
        <v>4802</v>
      </c>
      <c r="J1005" s="1">
        <v>2020</v>
      </c>
      <c r="P1005" s="1" t="s">
        <v>4453</v>
      </c>
      <c r="Q1005" s="1" t="s">
        <v>264</v>
      </c>
      <c r="R1005" s="1" t="s">
        <v>265</v>
      </c>
      <c r="S1005" s="16" t="s">
        <v>306</v>
      </c>
      <c r="T1005" s="1" t="s">
        <v>307</v>
      </c>
      <c r="U1005" s="1">
        <v>1</v>
      </c>
      <c r="V1005" s="1" t="s">
        <v>308</v>
      </c>
      <c r="Y1005" s="10">
        <v>44105</v>
      </c>
      <c r="Z1005" s="1">
        <v>2020</v>
      </c>
      <c r="AA1005" s="2"/>
      <c r="AB1005" s="2"/>
      <c r="AC1005" s="2">
        <v>557824.5</v>
      </c>
      <c r="AG1005" s="1" t="s">
        <v>56</v>
      </c>
      <c r="AI1005" s="2">
        <v>557824.5</v>
      </c>
      <c r="AL1005" s="1" t="s">
        <v>4319</v>
      </c>
      <c r="AW1005" s="2"/>
      <c r="AX1005" s="2"/>
      <c r="AY1005" s="2"/>
      <c r="BB1005" s="2"/>
    </row>
    <row r="1006" spans="1:54" ht="13.15" customHeight="1" x14ac:dyDescent="0.25">
      <c r="A1006" s="1" t="s">
        <v>57</v>
      </c>
      <c r="B1006" s="9" t="s">
        <v>39</v>
      </c>
      <c r="C1006" s="1" t="s">
        <v>58</v>
      </c>
      <c r="D1006" s="39" t="s">
        <v>4315</v>
      </c>
      <c r="E1006" s="39" t="s">
        <v>42</v>
      </c>
      <c r="G1006" s="1" t="s">
        <v>4316</v>
      </c>
      <c r="H1006" s="1" t="s">
        <v>61</v>
      </c>
      <c r="I1006" s="1" t="s">
        <v>4803</v>
      </c>
      <c r="J1006" s="1">
        <v>2019</v>
      </c>
      <c r="P1006" s="1" t="s">
        <v>4453</v>
      </c>
      <c r="Q1006" s="1" t="s">
        <v>264</v>
      </c>
      <c r="R1006" s="1" t="s">
        <v>265</v>
      </c>
      <c r="S1006" s="16" t="s">
        <v>306</v>
      </c>
      <c r="T1006" s="1" t="s">
        <v>307</v>
      </c>
      <c r="U1006" s="1">
        <v>1</v>
      </c>
      <c r="V1006" s="1" t="s">
        <v>308</v>
      </c>
      <c r="Y1006" s="10">
        <v>43709</v>
      </c>
      <c r="Z1006" s="1">
        <v>2019</v>
      </c>
      <c r="AA1006" s="2"/>
      <c r="AB1006" s="2"/>
      <c r="AC1006" s="2">
        <v>900821.49000000011</v>
      </c>
      <c r="AG1006" s="1" t="s">
        <v>56</v>
      </c>
      <c r="AI1006" s="2">
        <v>900821.49000000011</v>
      </c>
      <c r="AL1006" s="1" t="s">
        <v>4319</v>
      </c>
      <c r="AW1006" s="2"/>
      <c r="AX1006" s="2"/>
      <c r="AY1006" s="2"/>
      <c r="BB1006" s="2"/>
    </row>
    <row r="1007" spans="1:54" ht="13.15" customHeight="1" x14ac:dyDescent="0.25">
      <c r="A1007" s="1" t="s">
        <v>57</v>
      </c>
      <c r="B1007" s="9" t="s">
        <v>39</v>
      </c>
      <c r="C1007" s="1" t="s">
        <v>58</v>
      </c>
      <c r="D1007" s="39" t="s">
        <v>4315</v>
      </c>
      <c r="E1007" s="39" t="s">
        <v>42</v>
      </c>
      <c r="G1007" s="1" t="s">
        <v>4316</v>
      </c>
      <c r="H1007" s="1" t="s">
        <v>61</v>
      </c>
      <c r="I1007" s="1" t="s">
        <v>4804</v>
      </c>
      <c r="J1007" s="1">
        <v>2019</v>
      </c>
      <c r="P1007" s="1" t="s">
        <v>4453</v>
      </c>
      <c r="Q1007" s="1" t="s">
        <v>264</v>
      </c>
      <c r="R1007" s="1" t="s">
        <v>265</v>
      </c>
      <c r="S1007" s="16" t="s">
        <v>306</v>
      </c>
      <c r="T1007" s="1" t="s">
        <v>307</v>
      </c>
      <c r="U1007" s="1">
        <v>1</v>
      </c>
      <c r="V1007" s="1" t="s">
        <v>308</v>
      </c>
      <c r="Y1007" s="10">
        <v>43466</v>
      </c>
      <c r="Z1007" s="1">
        <v>2019</v>
      </c>
      <c r="AA1007" s="2"/>
      <c r="AB1007" s="2"/>
      <c r="AC1007" s="2">
        <v>620952.59999999986</v>
      </c>
      <c r="AG1007" s="1" t="s">
        <v>56</v>
      </c>
      <c r="AI1007" s="2">
        <v>620952.59999999986</v>
      </c>
      <c r="AL1007" s="1" t="s">
        <v>4319</v>
      </c>
      <c r="AW1007" s="2"/>
      <c r="AX1007" s="2"/>
      <c r="AY1007" s="2"/>
      <c r="BB1007" s="2"/>
    </row>
    <row r="1008" spans="1:54" ht="13.15" customHeight="1" x14ac:dyDescent="0.25">
      <c r="A1008" s="1" t="s">
        <v>57</v>
      </c>
      <c r="B1008" s="9" t="s">
        <v>39</v>
      </c>
      <c r="C1008" s="1" t="s">
        <v>58</v>
      </c>
      <c r="D1008" s="39" t="s">
        <v>4315</v>
      </c>
      <c r="E1008" s="1" t="s">
        <v>42</v>
      </c>
      <c r="G1008" s="1" t="s">
        <v>4316</v>
      </c>
      <c r="H1008" s="1" t="s">
        <v>61</v>
      </c>
      <c r="I1008" s="1" t="s">
        <v>4805</v>
      </c>
      <c r="J1008" s="1">
        <v>2021</v>
      </c>
      <c r="P1008" s="1" t="s">
        <v>4453</v>
      </c>
      <c r="Q1008" s="1" t="s">
        <v>264</v>
      </c>
      <c r="R1008" s="1" t="s">
        <v>265</v>
      </c>
      <c r="S1008" s="16" t="s">
        <v>306</v>
      </c>
      <c r="T1008" s="1" t="s">
        <v>307</v>
      </c>
      <c r="U1008" s="1">
        <v>1</v>
      </c>
      <c r="V1008" s="1" t="s">
        <v>308</v>
      </c>
      <c r="Y1008" s="10">
        <v>44287</v>
      </c>
      <c r="Z1008" s="1">
        <v>2021</v>
      </c>
      <c r="AA1008" s="2"/>
      <c r="AB1008" s="2"/>
      <c r="AC1008" s="2">
        <v>721054.63</v>
      </c>
      <c r="AG1008" s="1" t="s">
        <v>56</v>
      </c>
      <c r="AI1008" s="2">
        <v>721054.63</v>
      </c>
      <c r="AL1008" s="1" t="s">
        <v>4319</v>
      </c>
      <c r="AW1008" s="2"/>
      <c r="AX1008" s="2"/>
      <c r="AY1008" s="2"/>
      <c r="BB1008" s="2"/>
    </row>
    <row r="1009" spans="1:38" ht="14.45" customHeight="1" x14ac:dyDescent="0.25">
      <c r="A1009" s="1" t="s">
        <v>57</v>
      </c>
      <c r="B1009" s="40" t="s">
        <v>39</v>
      </c>
      <c r="C1009" s="41" t="s">
        <v>58</v>
      </c>
      <c r="D1009" s="1" t="s">
        <v>4315</v>
      </c>
      <c r="E1009" s="1" t="s">
        <v>42</v>
      </c>
      <c r="F1009" s="41"/>
      <c r="G1009" s="41" t="s">
        <v>4316</v>
      </c>
      <c r="H1009" s="39" t="s">
        <v>61</v>
      </c>
      <c r="I1009" s="39" t="s">
        <v>4806</v>
      </c>
      <c r="J1009" s="39">
        <v>2019</v>
      </c>
      <c r="K1009" s="39"/>
      <c r="L1009" s="39"/>
      <c r="M1009" s="39"/>
      <c r="N1009" s="39"/>
      <c r="O1009" s="39"/>
      <c r="P1009" s="39" t="s">
        <v>4453</v>
      </c>
      <c r="Q1009" s="39" t="s">
        <v>264</v>
      </c>
      <c r="R1009" s="39" t="s">
        <v>265</v>
      </c>
      <c r="S1009" s="47" t="s">
        <v>306</v>
      </c>
      <c r="T1009" s="39" t="s">
        <v>307</v>
      </c>
      <c r="U1009" s="39">
        <v>1</v>
      </c>
      <c r="V1009" s="39" t="s">
        <v>308</v>
      </c>
      <c r="W1009" s="39"/>
      <c r="X1009" s="39"/>
      <c r="Y1009" s="42">
        <v>43466</v>
      </c>
      <c r="Z1009" s="1">
        <v>2019</v>
      </c>
      <c r="AA1009" s="2"/>
      <c r="AB1009" s="2"/>
      <c r="AC1009" s="2">
        <v>674866.24</v>
      </c>
      <c r="AG1009" s="1" t="s">
        <v>56</v>
      </c>
      <c r="AI1009" s="2">
        <v>674866.24</v>
      </c>
      <c r="AL1009" s="1" t="s">
        <v>4319</v>
      </c>
    </row>
    <row r="1010" spans="1:38" ht="14.45" customHeight="1" x14ac:dyDescent="0.25">
      <c r="A1010" s="1" t="s">
        <v>57</v>
      </c>
      <c r="B1010" s="40" t="s">
        <v>39</v>
      </c>
      <c r="C1010" s="41" t="s">
        <v>58</v>
      </c>
      <c r="D1010" s="1" t="s">
        <v>4315</v>
      </c>
      <c r="E1010" s="1" t="s">
        <v>42</v>
      </c>
      <c r="F1010" s="41"/>
      <c r="G1010" s="41" t="s">
        <v>4316</v>
      </c>
      <c r="H1010" s="39" t="s">
        <v>61</v>
      </c>
      <c r="I1010" s="39" t="s">
        <v>4807</v>
      </c>
      <c r="J1010" s="39">
        <v>2019</v>
      </c>
      <c r="K1010" s="39"/>
      <c r="L1010" s="39"/>
      <c r="M1010" s="39"/>
      <c r="N1010" s="39"/>
      <c r="O1010" s="39"/>
      <c r="P1010" s="39" t="s">
        <v>4453</v>
      </c>
      <c r="Q1010" s="39" t="s">
        <v>264</v>
      </c>
      <c r="R1010" s="39" t="s">
        <v>265</v>
      </c>
      <c r="S1010" s="47" t="s">
        <v>306</v>
      </c>
      <c r="T1010" s="39" t="s">
        <v>307</v>
      </c>
      <c r="U1010" s="39">
        <v>1</v>
      </c>
      <c r="V1010" s="39" t="s">
        <v>308</v>
      </c>
      <c r="W1010" s="39"/>
      <c r="X1010" s="39"/>
      <c r="Y1010" s="42">
        <v>43466</v>
      </c>
      <c r="Z1010" s="1">
        <v>2019</v>
      </c>
      <c r="AA1010" s="2"/>
      <c r="AB1010" s="2"/>
      <c r="AC1010" s="2">
        <v>570750.2699999999</v>
      </c>
      <c r="AG1010" s="1" t="s">
        <v>56</v>
      </c>
      <c r="AI1010" s="2">
        <v>570750.2699999999</v>
      </c>
      <c r="AL1010" s="1" t="s">
        <v>4319</v>
      </c>
    </row>
    <row r="1011" spans="1:38" ht="14.45" customHeight="1" x14ac:dyDescent="0.25">
      <c r="A1011" s="1" t="s">
        <v>57</v>
      </c>
      <c r="B1011" s="40" t="s">
        <v>39</v>
      </c>
      <c r="C1011" s="41" t="s">
        <v>58</v>
      </c>
      <c r="D1011" s="1" t="s">
        <v>4315</v>
      </c>
      <c r="E1011" s="1" t="s">
        <v>42</v>
      </c>
      <c r="F1011" s="41"/>
      <c r="G1011" s="41" t="s">
        <v>4316</v>
      </c>
      <c r="H1011" s="39" t="s">
        <v>61</v>
      </c>
      <c r="I1011" s="39" t="s">
        <v>4808</v>
      </c>
      <c r="J1011" s="39">
        <v>2019</v>
      </c>
      <c r="K1011" s="39"/>
      <c r="L1011" s="39"/>
      <c r="M1011" s="39"/>
      <c r="N1011" s="39"/>
      <c r="O1011" s="39"/>
      <c r="P1011" s="39" t="s">
        <v>4453</v>
      </c>
      <c r="Q1011" s="39" t="s">
        <v>264</v>
      </c>
      <c r="R1011" s="39" t="s">
        <v>265</v>
      </c>
      <c r="S1011" s="47" t="s">
        <v>306</v>
      </c>
      <c r="T1011" s="39" t="s">
        <v>307</v>
      </c>
      <c r="U1011" s="39">
        <v>1</v>
      </c>
      <c r="V1011" s="39" t="s">
        <v>308</v>
      </c>
      <c r="W1011" s="39"/>
      <c r="X1011" s="39"/>
      <c r="Y1011" s="42">
        <v>43525</v>
      </c>
      <c r="Z1011" s="1">
        <v>2019</v>
      </c>
      <c r="AA1011" s="2"/>
      <c r="AB1011" s="2"/>
      <c r="AC1011" s="2">
        <v>810778.19</v>
      </c>
      <c r="AG1011" s="1" t="s">
        <v>56</v>
      </c>
      <c r="AI1011" s="2">
        <v>810778.19</v>
      </c>
      <c r="AL1011" s="1" t="s">
        <v>4319</v>
      </c>
    </row>
    <row r="1012" spans="1:38" ht="14.45" customHeight="1" x14ac:dyDescent="0.25">
      <c r="A1012" s="1" t="s">
        <v>57</v>
      </c>
      <c r="B1012" s="40" t="s">
        <v>39</v>
      </c>
      <c r="C1012" s="41" t="s">
        <v>58</v>
      </c>
      <c r="D1012" s="1" t="s">
        <v>4315</v>
      </c>
      <c r="E1012" s="1" t="s">
        <v>42</v>
      </c>
      <c r="F1012" s="41"/>
      <c r="G1012" s="41" t="s">
        <v>4316</v>
      </c>
      <c r="H1012" s="39" t="s">
        <v>61</v>
      </c>
      <c r="I1012" s="39" t="s">
        <v>4809</v>
      </c>
      <c r="J1012" s="39">
        <v>2019</v>
      </c>
      <c r="K1012" s="39"/>
      <c r="L1012" s="39"/>
      <c r="M1012" s="39"/>
      <c r="N1012" s="39"/>
      <c r="O1012" s="39"/>
      <c r="P1012" s="39" t="s">
        <v>4453</v>
      </c>
      <c r="Q1012" s="39" t="s">
        <v>264</v>
      </c>
      <c r="R1012" s="39" t="s">
        <v>265</v>
      </c>
      <c r="S1012" s="47" t="s">
        <v>306</v>
      </c>
      <c r="T1012" s="39" t="s">
        <v>307</v>
      </c>
      <c r="U1012" s="39">
        <v>1</v>
      </c>
      <c r="V1012" s="39" t="s">
        <v>308</v>
      </c>
      <c r="W1012" s="39"/>
      <c r="X1012" s="39"/>
      <c r="Y1012" s="42">
        <v>43466</v>
      </c>
      <c r="Z1012" s="1">
        <v>2019</v>
      </c>
      <c r="AA1012" s="2"/>
      <c r="AB1012" s="2"/>
      <c r="AC1012" s="2">
        <v>715397.28000000014</v>
      </c>
      <c r="AG1012" s="1" t="s">
        <v>56</v>
      </c>
      <c r="AI1012" s="2">
        <v>715397.28000000014</v>
      </c>
      <c r="AL1012" s="1" t="s">
        <v>4319</v>
      </c>
    </row>
    <row r="1013" spans="1:38" ht="14.45" customHeight="1" x14ac:dyDescent="0.25">
      <c r="A1013" s="1" t="s">
        <v>57</v>
      </c>
      <c r="B1013" s="40" t="s">
        <v>39</v>
      </c>
      <c r="C1013" s="41" t="s">
        <v>58</v>
      </c>
      <c r="D1013" s="1" t="s">
        <v>4315</v>
      </c>
      <c r="E1013" s="1" t="s">
        <v>42</v>
      </c>
      <c r="F1013" s="41"/>
      <c r="G1013" s="41" t="s">
        <v>4316</v>
      </c>
      <c r="H1013" s="39" t="s">
        <v>61</v>
      </c>
      <c r="I1013" s="39" t="s">
        <v>4810</v>
      </c>
      <c r="J1013" s="39">
        <v>2019</v>
      </c>
      <c r="K1013" s="39"/>
      <c r="L1013" s="39"/>
      <c r="M1013" s="39"/>
      <c r="N1013" s="39"/>
      <c r="O1013" s="39"/>
      <c r="P1013" s="39" t="s">
        <v>4453</v>
      </c>
      <c r="Q1013" s="39" t="s">
        <v>264</v>
      </c>
      <c r="R1013" s="39" t="s">
        <v>265</v>
      </c>
      <c r="S1013" s="47" t="s">
        <v>306</v>
      </c>
      <c r="T1013" s="39" t="s">
        <v>307</v>
      </c>
      <c r="U1013" s="39">
        <v>1</v>
      </c>
      <c r="V1013" s="39" t="s">
        <v>308</v>
      </c>
      <c r="W1013" s="39"/>
      <c r="X1013" s="39"/>
      <c r="Y1013" s="42">
        <v>43466</v>
      </c>
      <c r="Z1013" s="1">
        <v>2019</v>
      </c>
      <c r="AA1013" s="2"/>
      <c r="AB1013" s="2"/>
      <c r="AC1013" s="2">
        <v>604321.55000000005</v>
      </c>
      <c r="AG1013" s="1" t="s">
        <v>56</v>
      </c>
      <c r="AI1013" s="2">
        <v>604321.55000000005</v>
      </c>
      <c r="AL1013" s="1" t="s">
        <v>4319</v>
      </c>
    </row>
    <row r="1014" spans="1:38" ht="14.45" customHeight="1" x14ac:dyDescent="0.2">
      <c r="A1014" s="1" t="s">
        <v>57</v>
      </c>
      <c r="B1014" s="40" t="s">
        <v>39</v>
      </c>
      <c r="C1014" s="41" t="s">
        <v>58</v>
      </c>
      <c r="D1014" s="1" t="s">
        <v>4315</v>
      </c>
      <c r="E1014" s="1" t="s">
        <v>42</v>
      </c>
      <c r="F1014" s="41"/>
      <c r="G1014" s="41" t="s">
        <v>4316</v>
      </c>
      <c r="H1014" s="39" t="s">
        <v>61</v>
      </c>
      <c r="I1014" s="39" t="s">
        <v>4811</v>
      </c>
      <c r="J1014" s="39">
        <v>2021</v>
      </c>
      <c r="K1014" s="39"/>
      <c r="L1014" s="39"/>
      <c r="M1014" s="39"/>
      <c r="N1014" s="39"/>
      <c r="O1014" s="39"/>
      <c r="P1014" s="39" t="s">
        <v>4318</v>
      </c>
      <c r="Q1014" s="39" t="s">
        <v>101</v>
      </c>
      <c r="R1014" s="39" t="s">
        <v>102</v>
      </c>
      <c r="S1014" s="39" t="s">
        <v>103</v>
      </c>
      <c r="T1014" s="39" t="s">
        <v>104</v>
      </c>
      <c r="U1014" s="39">
        <v>1</v>
      </c>
      <c r="V1014" s="39" t="s">
        <v>101</v>
      </c>
      <c r="W1014" s="39"/>
      <c r="X1014" s="39"/>
      <c r="Y1014" s="42">
        <v>44560</v>
      </c>
      <c r="Z1014" s="1">
        <v>2021</v>
      </c>
      <c r="AA1014" s="2"/>
      <c r="AB1014" s="2"/>
      <c r="AC1014" s="2">
        <v>216694.26000000004</v>
      </c>
      <c r="AG1014" s="1" t="s">
        <v>56</v>
      </c>
      <c r="AI1014" s="2">
        <v>216694.26000000004</v>
      </c>
      <c r="AL1014" s="1" t="s">
        <v>4319</v>
      </c>
    </row>
    <row r="1015" spans="1:38" ht="14.45" customHeight="1" x14ac:dyDescent="0.2">
      <c r="A1015" s="1" t="s">
        <v>57</v>
      </c>
      <c r="B1015" s="40" t="s">
        <v>39</v>
      </c>
      <c r="C1015" s="41" t="s">
        <v>58</v>
      </c>
      <c r="D1015" s="1" t="s">
        <v>4315</v>
      </c>
      <c r="E1015" s="1" t="s">
        <v>42</v>
      </c>
      <c r="F1015" s="41"/>
      <c r="G1015" s="41" t="s">
        <v>4316</v>
      </c>
      <c r="H1015" s="39" t="s">
        <v>61</v>
      </c>
      <c r="I1015" s="39" t="s">
        <v>4812</v>
      </c>
      <c r="J1015" s="39">
        <v>2018</v>
      </c>
      <c r="K1015" s="39"/>
      <c r="L1015" s="39"/>
      <c r="M1015" s="39"/>
      <c r="N1015" s="39"/>
      <c r="O1015" s="39"/>
      <c r="P1015" s="39" t="s">
        <v>4318</v>
      </c>
      <c r="Q1015" s="39" t="s">
        <v>101</v>
      </c>
      <c r="R1015" s="39" t="s">
        <v>102</v>
      </c>
      <c r="S1015" s="1" t="s">
        <v>103</v>
      </c>
      <c r="T1015" s="1" t="s">
        <v>104</v>
      </c>
      <c r="U1015" s="39">
        <v>1</v>
      </c>
      <c r="V1015" s="39" t="s">
        <v>101</v>
      </c>
      <c r="W1015" s="39"/>
      <c r="X1015" s="39"/>
      <c r="Y1015" s="42">
        <v>43464</v>
      </c>
      <c r="Z1015" s="1">
        <v>2018</v>
      </c>
      <c r="AA1015" s="2"/>
      <c r="AB1015" s="2"/>
      <c r="AC1015" s="2">
        <v>491131.25</v>
      </c>
      <c r="AG1015" s="1" t="s">
        <v>56</v>
      </c>
      <c r="AI1015" s="2">
        <v>491131.25</v>
      </c>
      <c r="AL1015" s="1" t="s">
        <v>4319</v>
      </c>
    </row>
    <row r="1016" spans="1:38" ht="14.45" customHeight="1" x14ac:dyDescent="0.2">
      <c r="A1016" s="1" t="s">
        <v>57</v>
      </c>
      <c r="B1016" s="40" t="s">
        <v>39</v>
      </c>
      <c r="C1016" s="41" t="s">
        <v>58</v>
      </c>
      <c r="D1016" s="1" t="s">
        <v>4315</v>
      </c>
      <c r="E1016" s="1" t="s">
        <v>42</v>
      </c>
      <c r="F1016" s="41"/>
      <c r="G1016" s="41" t="s">
        <v>4316</v>
      </c>
      <c r="H1016" s="39" t="s">
        <v>61</v>
      </c>
      <c r="I1016" s="39" t="s">
        <v>4813</v>
      </c>
      <c r="J1016" s="39">
        <v>2018</v>
      </c>
      <c r="K1016" s="39"/>
      <c r="L1016" s="39"/>
      <c r="M1016" s="39"/>
      <c r="N1016" s="39"/>
      <c r="O1016" s="39"/>
      <c r="P1016" s="39" t="s">
        <v>4318</v>
      </c>
      <c r="Q1016" s="39" t="s">
        <v>101</v>
      </c>
      <c r="R1016" s="39" t="s">
        <v>102</v>
      </c>
      <c r="S1016" s="39" t="s">
        <v>103</v>
      </c>
      <c r="T1016" s="39" t="s">
        <v>104</v>
      </c>
      <c r="U1016" s="39">
        <v>1</v>
      </c>
      <c r="V1016" s="39" t="s">
        <v>101</v>
      </c>
      <c r="W1016" s="39"/>
      <c r="X1016" s="39"/>
      <c r="Y1016" s="42">
        <v>43464</v>
      </c>
      <c r="Z1016" s="1">
        <v>2018</v>
      </c>
      <c r="AA1016" s="2"/>
      <c r="AB1016" s="2"/>
      <c r="AC1016" s="2">
        <v>623504.04</v>
      </c>
      <c r="AG1016" s="1" t="s">
        <v>56</v>
      </c>
      <c r="AI1016" s="2">
        <v>623504.04</v>
      </c>
      <c r="AL1016" s="1" t="s">
        <v>4319</v>
      </c>
    </row>
    <row r="1017" spans="1:38" ht="14.45" customHeight="1" x14ac:dyDescent="0.2">
      <c r="A1017" s="1" t="s">
        <v>57</v>
      </c>
      <c r="B1017" s="40" t="s">
        <v>39</v>
      </c>
      <c r="C1017" s="41" t="s">
        <v>58</v>
      </c>
      <c r="D1017" s="1" t="s">
        <v>4315</v>
      </c>
      <c r="E1017" s="1" t="s">
        <v>42</v>
      </c>
      <c r="F1017" s="41"/>
      <c r="G1017" s="41" t="s">
        <v>4316</v>
      </c>
      <c r="H1017" s="39" t="s">
        <v>61</v>
      </c>
      <c r="I1017" s="39" t="s">
        <v>4814</v>
      </c>
      <c r="J1017" s="39">
        <v>2020</v>
      </c>
      <c r="K1017" s="39"/>
      <c r="L1017" s="39"/>
      <c r="M1017" s="39"/>
      <c r="N1017" s="39"/>
      <c r="O1017" s="39"/>
      <c r="P1017" s="39" t="s">
        <v>4318</v>
      </c>
      <c r="Q1017" s="39" t="s">
        <v>101</v>
      </c>
      <c r="R1017" s="39" t="s">
        <v>102</v>
      </c>
      <c r="S1017" s="39" t="s">
        <v>103</v>
      </c>
      <c r="T1017" s="39" t="s">
        <v>104</v>
      </c>
      <c r="U1017" s="39">
        <v>1</v>
      </c>
      <c r="V1017" s="39" t="s">
        <v>101</v>
      </c>
      <c r="W1017" s="39"/>
      <c r="X1017" s="39"/>
      <c r="Y1017" s="42">
        <v>43831</v>
      </c>
      <c r="Z1017" s="1">
        <v>2020</v>
      </c>
      <c r="AA1017" s="2"/>
      <c r="AB1017" s="2"/>
      <c r="AC1017" s="2">
        <v>723165.31999999983</v>
      </c>
      <c r="AG1017" s="1" t="s">
        <v>56</v>
      </c>
      <c r="AI1017" s="2">
        <v>723165.31999999983</v>
      </c>
      <c r="AL1017" s="1" t="s">
        <v>4319</v>
      </c>
    </row>
    <row r="1018" spans="1:38" ht="14.45" customHeight="1" x14ac:dyDescent="0.2">
      <c r="A1018" s="1" t="s">
        <v>57</v>
      </c>
      <c r="B1018" s="40" t="s">
        <v>39</v>
      </c>
      <c r="C1018" s="41" t="s">
        <v>58</v>
      </c>
      <c r="D1018" s="1" t="s">
        <v>4315</v>
      </c>
      <c r="E1018" s="1" t="s">
        <v>42</v>
      </c>
      <c r="F1018" s="41"/>
      <c r="G1018" s="41" t="s">
        <v>4316</v>
      </c>
      <c r="H1018" s="39" t="s">
        <v>61</v>
      </c>
      <c r="I1018" s="39" t="s">
        <v>4815</v>
      </c>
      <c r="J1018" s="39">
        <v>2018</v>
      </c>
      <c r="K1018" s="39"/>
      <c r="L1018" s="39"/>
      <c r="M1018" s="39"/>
      <c r="N1018" s="39"/>
      <c r="O1018" s="39"/>
      <c r="P1018" s="39" t="s">
        <v>4457</v>
      </c>
      <c r="Q1018" s="39" t="s">
        <v>264</v>
      </c>
      <c r="R1018" s="39" t="s">
        <v>265</v>
      </c>
      <c r="S1018" s="39" t="s">
        <v>2680</v>
      </c>
      <c r="T1018" s="39" t="s">
        <v>2681</v>
      </c>
      <c r="U1018" s="39">
        <v>1</v>
      </c>
      <c r="V1018" s="39" t="s">
        <v>308</v>
      </c>
      <c r="W1018" s="39"/>
      <c r="X1018" s="39"/>
      <c r="Y1018" s="42">
        <v>43463</v>
      </c>
      <c r="Z1018" s="1">
        <v>2018</v>
      </c>
      <c r="AA1018" s="2"/>
      <c r="AB1018" s="2"/>
      <c r="AC1018" s="2">
        <v>418564.84</v>
      </c>
      <c r="AG1018" s="1" t="s">
        <v>56</v>
      </c>
      <c r="AI1018" s="2">
        <v>418564.84</v>
      </c>
      <c r="AL1018" s="1" t="s">
        <v>4319</v>
      </c>
    </row>
    <row r="1019" spans="1:38" ht="14.45" customHeight="1" x14ac:dyDescent="0.2">
      <c r="A1019" s="1" t="s">
        <v>57</v>
      </c>
      <c r="B1019" s="40" t="s">
        <v>39</v>
      </c>
      <c r="C1019" s="41" t="s">
        <v>58</v>
      </c>
      <c r="D1019" s="1" t="s">
        <v>4315</v>
      </c>
      <c r="E1019" s="1" t="s">
        <v>42</v>
      </c>
      <c r="F1019" s="41"/>
      <c r="G1019" s="41" t="s">
        <v>4316</v>
      </c>
      <c r="H1019" s="39" t="s">
        <v>61</v>
      </c>
      <c r="I1019" s="39" t="s">
        <v>4816</v>
      </c>
      <c r="J1019" s="39">
        <v>2018</v>
      </c>
      <c r="K1019" s="39"/>
      <c r="L1019" s="39"/>
      <c r="M1019" s="39"/>
      <c r="N1019" s="39"/>
      <c r="O1019" s="39"/>
      <c r="P1019" s="39" t="s">
        <v>4457</v>
      </c>
      <c r="Q1019" s="39" t="s">
        <v>264</v>
      </c>
      <c r="R1019" s="39" t="s">
        <v>265</v>
      </c>
      <c r="S1019" s="39" t="s">
        <v>2680</v>
      </c>
      <c r="T1019" s="39" t="s">
        <v>2681</v>
      </c>
      <c r="U1019" s="39">
        <v>1</v>
      </c>
      <c r="V1019" s="39" t="s">
        <v>308</v>
      </c>
      <c r="W1019" s="39"/>
      <c r="X1019" s="39"/>
      <c r="Y1019" s="42">
        <v>43463</v>
      </c>
      <c r="Z1019" s="1">
        <v>2018</v>
      </c>
      <c r="AA1019" s="2"/>
      <c r="AB1019" s="2"/>
      <c r="AC1019" s="2">
        <v>797698.27999999991</v>
      </c>
      <c r="AG1019" s="1" t="s">
        <v>56</v>
      </c>
      <c r="AI1019" s="2">
        <v>797698.27999999991</v>
      </c>
      <c r="AL1019" s="1" t="s">
        <v>4319</v>
      </c>
    </row>
    <row r="1020" spans="1:38" ht="14.45" customHeight="1" x14ac:dyDescent="0.2">
      <c r="A1020" s="1" t="s">
        <v>57</v>
      </c>
      <c r="B1020" s="40" t="s">
        <v>39</v>
      </c>
      <c r="C1020" s="41" t="s">
        <v>58</v>
      </c>
      <c r="D1020" s="1" t="s">
        <v>4315</v>
      </c>
      <c r="E1020" s="1" t="s">
        <v>42</v>
      </c>
      <c r="F1020" s="41"/>
      <c r="G1020" s="41" t="s">
        <v>4316</v>
      </c>
      <c r="H1020" s="39" t="s">
        <v>61</v>
      </c>
      <c r="I1020" s="39" t="s">
        <v>4817</v>
      </c>
      <c r="J1020" s="39">
        <v>2018</v>
      </c>
      <c r="K1020" s="39"/>
      <c r="L1020" s="39"/>
      <c r="M1020" s="39"/>
      <c r="N1020" s="39"/>
      <c r="O1020" s="39"/>
      <c r="P1020" s="39" t="s">
        <v>4457</v>
      </c>
      <c r="Q1020" s="39" t="s">
        <v>264</v>
      </c>
      <c r="R1020" s="39" t="s">
        <v>265</v>
      </c>
      <c r="S1020" s="39" t="s">
        <v>2680</v>
      </c>
      <c r="T1020" s="39" t="s">
        <v>2681</v>
      </c>
      <c r="U1020" s="39">
        <v>1</v>
      </c>
      <c r="V1020" s="39" t="s">
        <v>308</v>
      </c>
      <c r="W1020" s="39"/>
      <c r="X1020" s="39"/>
      <c r="Y1020" s="42">
        <v>43463</v>
      </c>
      <c r="Z1020" s="1">
        <v>2018</v>
      </c>
      <c r="AA1020" s="2"/>
      <c r="AB1020" s="2"/>
      <c r="AC1020" s="2">
        <v>454854.33000000007</v>
      </c>
      <c r="AG1020" s="1" t="s">
        <v>56</v>
      </c>
      <c r="AI1020" s="2">
        <v>454854.33000000007</v>
      </c>
      <c r="AL1020" s="1" t="s">
        <v>4319</v>
      </c>
    </row>
    <row r="1021" spans="1:38" ht="14.45" customHeight="1" x14ac:dyDescent="0.2">
      <c r="A1021" s="1" t="s">
        <v>57</v>
      </c>
      <c r="B1021" s="40" t="s">
        <v>39</v>
      </c>
      <c r="C1021" s="41" t="s">
        <v>58</v>
      </c>
      <c r="D1021" s="1" t="s">
        <v>4315</v>
      </c>
      <c r="E1021" s="1" t="s">
        <v>42</v>
      </c>
      <c r="F1021" s="41"/>
      <c r="G1021" s="41" t="s">
        <v>4316</v>
      </c>
      <c r="H1021" s="39" t="s">
        <v>61</v>
      </c>
      <c r="I1021" s="39" t="s">
        <v>4818</v>
      </c>
      <c r="J1021" s="39">
        <v>2018</v>
      </c>
      <c r="K1021" s="39"/>
      <c r="L1021" s="39"/>
      <c r="M1021" s="39"/>
      <c r="N1021" s="39"/>
      <c r="O1021" s="39"/>
      <c r="P1021" s="39" t="s">
        <v>4457</v>
      </c>
      <c r="Q1021" s="39" t="s">
        <v>264</v>
      </c>
      <c r="R1021" s="39" t="s">
        <v>265</v>
      </c>
      <c r="S1021" s="39" t="s">
        <v>2680</v>
      </c>
      <c r="T1021" s="39" t="s">
        <v>2681</v>
      </c>
      <c r="U1021" s="39">
        <v>1</v>
      </c>
      <c r="V1021" s="39" t="s">
        <v>308</v>
      </c>
      <c r="W1021" s="39"/>
      <c r="X1021" s="39"/>
      <c r="Y1021" s="42">
        <v>43463</v>
      </c>
      <c r="Z1021" s="1">
        <v>2018</v>
      </c>
      <c r="AA1021" s="2"/>
      <c r="AB1021" s="2"/>
      <c r="AC1021" s="2">
        <v>496191.79</v>
      </c>
      <c r="AG1021" s="1" t="s">
        <v>56</v>
      </c>
      <c r="AI1021" s="2">
        <v>496191.79</v>
      </c>
      <c r="AL1021" s="1" t="s">
        <v>4319</v>
      </c>
    </row>
    <row r="1022" spans="1:38" ht="14.45" customHeight="1" x14ac:dyDescent="0.2">
      <c r="A1022" s="1" t="s">
        <v>57</v>
      </c>
      <c r="B1022" s="40" t="s">
        <v>39</v>
      </c>
      <c r="C1022" s="41" t="s">
        <v>58</v>
      </c>
      <c r="D1022" s="1" t="s">
        <v>4315</v>
      </c>
      <c r="E1022" s="1" t="s">
        <v>42</v>
      </c>
      <c r="F1022" s="41"/>
      <c r="G1022" s="41" t="s">
        <v>4316</v>
      </c>
      <c r="H1022" s="39" t="s">
        <v>61</v>
      </c>
      <c r="I1022" s="39" t="s">
        <v>4819</v>
      </c>
      <c r="J1022" s="39">
        <v>2018</v>
      </c>
      <c r="K1022" s="39"/>
      <c r="L1022" s="39"/>
      <c r="M1022" s="39"/>
      <c r="N1022" s="39"/>
      <c r="O1022" s="39"/>
      <c r="P1022" s="39" t="s">
        <v>4457</v>
      </c>
      <c r="Q1022" s="39" t="s">
        <v>264</v>
      </c>
      <c r="R1022" s="39" t="s">
        <v>265</v>
      </c>
      <c r="S1022" s="39" t="s">
        <v>2680</v>
      </c>
      <c r="T1022" s="39" t="s">
        <v>2681</v>
      </c>
      <c r="U1022" s="39">
        <v>1</v>
      </c>
      <c r="V1022" s="39" t="s">
        <v>308</v>
      </c>
      <c r="W1022" s="39"/>
      <c r="X1022" s="39"/>
      <c r="Y1022" s="42">
        <v>43463</v>
      </c>
      <c r="Z1022" s="1">
        <v>2018</v>
      </c>
      <c r="AA1022" s="2"/>
      <c r="AB1022" s="2"/>
      <c r="AC1022" s="2">
        <v>448067.08999999997</v>
      </c>
      <c r="AG1022" s="1" t="s">
        <v>56</v>
      </c>
      <c r="AI1022" s="2">
        <v>448067.08999999997</v>
      </c>
      <c r="AL1022" s="1" t="s">
        <v>4319</v>
      </c>
    </row>
    <row r="1023" spans="1:38" ht="14.45" customHeight="1" x14ac:dyDescent="0.2">
      <c r="A1023" s="1" t="s">
        <v>57</v>
      </c>
      <c r="B1023" s="40" t="s">
        <v>39</v>
      </c>
      <c r="C1023" s="41" t="s">
        <v>58</v>
      </c>
      <c r="D1023" s="1" t="s">
        <v>4315</v>
      </c>
      <c r="E1023" s="1" t="s">
        <v>42</v>
      </c>
      <c r="F1023" s="41"/>
      <c r="G1023" s="41" t="s">
        <v>4316</v>
      </c>
      <c r="H1023" s="39" t="s">
        <v>61</v>
      </c>
      <c r="I1023" s="39" t="s">
        <v>4820</v>
      </c>
      <c r="J1023" s="39">
        <v>2018</v>
      </c>
      <c r="K1023" s="39"/>
      <c r="L1023" s="39"/>
      <c r="M1023" s="39"/>
      <c r="N1023" s="39"/>
      <c r="O1023" s="39"/>
      <c r="P1023" s="39" t="s">
        <v>4457</v>
      </c>
      <c r="Q1023" s="39" t="s">
        <v>264</v>
      </c>
      <c r="R1023" s="39" t="s">
        <v>265</v>
      </c>
      <c r="S1023" s="39" t="s">
        <v>2680</v>
      </c>
      <c r="T1023" s="39" t="s">
        <v>2681</v>
      </c>
      <c r="U1023" s="39">
        <v>1</v>
      </c>
      <c r="V1023" s="39" t="s">
        <v>308</v>
      </c>
      <c r="W1023" s="39"/>
      <c r="X1023" s="39"/>
      <c r="Y1023" s="42">
        <v>43463</v>
      </c>
      <c r="Z1023" s="1">
        <v>2018</v>
      </c>
      <c r="AA1023" s="2"/>
      <c r="AB1023" s="2"/>
      <c r="AC1023" s="2">
        <v>623887.96000000008</v>
      </c>
      <c r="AG1023" s="1" t="s">
        <v>56</v>
      </c>
      <c r="AI1023" s="2">
        <v>623887.96000000008</v>
      </c>
      <c r="AL1023" s="1" t="s">
        <v>4319</v>
      </c>
    </row>
    <row r="1024" spans="1:38" ht="14.45" customHeight="1" x14ac:dyDescent="0.2">
      <c r="A1024" s="1" t="s">
        <v>57</v>
      </c>
      <c r="B1024" s="40" t="s">
        <v>39</v>
      </c>
      <c r="C1024" s="41" t="s">
        <v>58</v>
      </c>
      <c r="D1024" s="1" t="s">
        <v>4315</v>
      </c>
      <c r="E1024" s="1" t="s">
        <v>42</v>
      </c>
      <c r="F1024" s="41"/>
      <c r="G1024" s="41" t="s">
        <v>4316</v>
      </c>
      <c r="H1024" s="39" t="s">
        <v>61</v>
      </c>
      <c r="I1024" s="39" t="s">
        <v>4821</v>
      </c>
      <c r="J1024" s="39">
        <v>2018</v>
      </c>
      <c r="K1024" s="39"/>
      <c r="L1024" s="39"/>
      <c r="M1024" s="39"/>
      <c r="N1024" s="39"/>
      <c r="O1024" s="39"/>
      <c r="P1024" s="39" t="s">
        <v>4457</v>
      </c>
      <c r="Q1024" s="39" t="s">
        <v>264</v>
      </c>
      <c r="R1024" s="39" t="s">
        <v>265</v>
      </c>
      <c r="S1024" s="39" t="s">
        <v>2680</v>
      </c>
      <c r="T1024" s="39" t="s">
        <v>2681</v>
      </c>
      <c r="U1024" s="39">
        <v>1</v>
      </c>
      <c r="V1024" s="39" t="s">
        <v>308</v>
      </c>
      <c r="W1024" s="39"/>
      <c r="X1024" s="39"/>
      <c r="Y1024" s="42">
        <v>43463</v>
      </c>
      <c r="Z1024" s="1">
        <v>2018</v>
      </c>
      <c r="AA1024" s="2"/>
      <c r="AB1024" s="2"/>
      <c r="AC1024" s="2">
        <v>631291.02</v>
      </c>
      <c r="AG1024" s="1" t="s">
        <v>56</v>
      </c>
      <c r="AI1024" s="2">
        <v>631291.02</v>
      </c>
      <c r="AL1024" s="1" t="s">
        <v>4319</v>
      </c>
    </row>
    <row r="1025" spans="1:38" ht="14.45" customHeight="1" x14ac:dyDescent="0.2">
      <c r="A1025" s="1" t="s">
        <v>57</v>
      </c>
      <c r="B1025" s="40" t="s">
        <v>39</v>
      </c>
      <c r="C1025" s="41" t="s">
        <v>58</v>
      </c>
      <c r="D1025" s="1" t="s">
        <v>4315</v>
      </c>
      <c r="E1025" s="1" t="s">
        <v>42</v>
      </c>
      <c r="F1025" s="41"/>
      <c r="G1025" s="41" t="s">
        <v>4316</v>
      </c>
      <c r="H1025" s="39" t="s">
        <v>61</v>
      </c>
      <c r="I1025" s="39" t="s">
        <v>4822</v>
      </c>
      <c r="J1025" s="39">
        <v>2018</v>
      </c>
      <c r="K1025" s="39"/>
      <c r="L1025" s="39"/>
      <c r="M1025" s="39"/>
      <c r="N1025" s="39"/>
      <c r="O1025" s="39"/>
      <c r="P1025" s="39" t="s">
        <v>4457</v>
      </c>
      <c r="Q1025" s="39" t="s">
        <v>264</v>
      </c>
      <c r="R1025" s="39" t="s">
        <v>265</v>
      </c>
      <c r="S1025" s="39" t="s">
        <v>2680</v>
      </c>
      <c r="T1025" s="39" t="s">
        <v>2681</v>
      </c>
      <c r="U1025" s="39">
        <v>1</v>
      </c>
      <c r="V1025" s="39" t="s">
        <v>308</v>
      </c>
      <c r="W1025" s="39"/>
      <c r="X1025" s="39"/>
      <c r="Y1025" s="42">
        <v>43463</v>
      </c>
      <c r="Z1025" s="1">
        <v>2018</v>
      </c>
      <c r="AA1025" s="2"/>
      <c r="AB1025" s="2"/>
      <c r="AC1025" s="2">
        <v>553497.30000000005</v>
      </c>
      <c r="AG1025" s="1" t="s">
        <v>56</v>
      </c>
      <c r="AI1025" s="2">
        <v>553497.30000000005</v>
      </c>
      <c r="AL1025" s="1" t="s">
        <v>4319</v>
      </c>
    </row>
    <row r="1026" spans="1:38" ht="14.45" customHeight="1" x14ac:dyDescent="0.2">
      <c r="A1026" s="1" t="s">
        <v>57</v>
      </c>
      <c r="B1026" s="40" t="s">
        <v>39</v>
      </c>
      <c r="C1026" s="41" t="s">
        <v>58</v>
      </c>
      <c r="D1026" s="1" t="s">
        <v>4315</v>
      </c>
      <c r="E1026" s="1" t="s">
        <v>42</v>
      </c>
      <c r="F1026" s="41"/>
      <c r="G1026" s="41" t="s">
        <v>4316</v>
      </c>
      <c r="H1026" s="39" t="s">
        <v>61</v>
      </c>
      <c r="I1026" s="39" t="s">
        <v>4823</v>
      </c>
      <c r="J1026" s="39">
        <v>2018</v>
      </c>
      <c r="K1026" s="39"/>
      <c r="L1026" s="39"/>
      <c r="M1026" s="39"/>
      <c r="N1026" s="39"/>
      <c r="O1026" s="39"/>
      <c r="P1026" s="39" t="s">
        <v>4457</v>
      </c>
      <c r="Q1026" s="39" t="s">
        <v>264</v>
      </c>
      <c r="R1026" s="39" t="s">
        <v>265</v>
      </c>
      <c r="S1026" s="39" t="s">
        <v>2680</v>
      </c>
      <c r="T1026" s="39" t="s">
        <v>2681</v>
      </c>
      <c r="U1026" s="39">
        <v>1</v>
      </c>
      <c r="V1026" s="39" t="s">
        <v>308</v>
      </c>
      <c r="W1026" s="39"/>
      <c r="X1026" s="39"/>
      <c r="Y1026" s="42">
        <v>43463</v>
      </c>
      <c r="Z1026" s="1">
        <v>2018</v>
      </c>
      <c r="AA1026" s="2"/>
      <c r="AB1026" s="2"/>
      <c r="AC1026" s="2">
        <v>598766.01</v>
      </c>
      <c r="AG1026" s="1" t="s">
        <v>56</v>
      </c>
      <c r="AI1026" s="2">
        <v>598766.01</v>
      </c>
      <c r="AL1026" s="1" t="s">
        <v>4319</v>
      </c>
    </row>
    <row r="1027" spans="1:38" ht="14.45" customHeight="1" x14ac:dyDescent="0.2">
      <c r="A1027" s="1" t="s">
        <v>57</v>
      </c>
      <c r="B1027" s="40" t="s">
        <v>39</v>
      </c>
      <c r="C1027" s="41" t="s">
        <v>58</v>
      </c>
      <c r="D1027" s="1" t="s">
        <v>4315</v>
      </c>
      <c r="E1027" s="1" t="s">
        <v>42</v>
      </c>
      <c r="F1027" s="41"/>
      <c r="G1027" s="41" t="s">
        <v>4316</v>
      </c>
      <c r="H1027" s="39" t="s">
        <v>61</v>
      </c>
      <c r="I1027" s="39" t="s">
        <v>4824</v>
      </c>
      <c r="J1027" s="39">
        <v>2018</v>
      </c>
      <c r="K1027" s="39"/>
      <c r="L1027" s="39"/>
      <c r="M1027" s="39"/>
      <c r="N1027" s="39"/>
      <c r="O1027" s="39"/>
      <c r="P1027" s="39" t="s">
        <v>4457</v>
      </c>
      <c r="Q1027" s="39" t="s">
        <v>264</v>
      </c>
      <c r="R1027" s="39" t="s">
        <v>265</v>
      </c>
      <c r="S1027" s="1" t="s">
        <v>2680</v>
      </c>
      <c r="T1027" s="1" t="s">
        <v>2681</v>
      </c>
      <c r="U1027" s="39">
        <v>1</v>
      </c>
      <c r="V1027" s="1" t="s">
        <v>308</v>
      </c>
      <c r="W1027" s="39"/>
      <c r="X1027" s="39"/>
      <c r="Y1027" s="42">
        <v>43463</v>
      </c>
      <c r="Z1027" s="1">
        <v>2018</v>
      </c>
      <c r="AA1027" s="2"/>
      <c r="AB1027" s="2"/>
      <c r="AC1027" s="2">
        <v>591019.15</v>
      </c>
      <c r="AG1027" s="1" t="s">
        <v>56</v>
      </c>
      <c r="AI1027" s="2">
        <v>591019.15</v>
      </c>
      <c r="AL1027" s="1" t="s">
        <v>4319</v>
      </c>
    </row>
    <row r="1028" spans="1:38" ht="14.45" customHeight="1" x14ac:dyDescent="0.2">
      <c r="A1028" s="1" t="s">
        <v>57</v>
      </c>
      <c r="B1028" s="40" t="s">
        <v>39</v>
      </c>
      <c r="C1028" s="41" t="s">
        <v>58</v>
      </c>
      <c r="D1028" s="1" t="s">
        <v>4315</v>
      </c>
      <c r="E1028" s="1" t="s">
        <v>42</v>
      </c>
      <c r="F1028" s="41"/>
      <c r="G1028" s="41" t="s">
        <v>4316</v>
      </c>
      <c r="H1028" s="39" t="s">
        <v>61</v>
      </c>
      <c r="I1028" s="39" t="s">
        <v>4825</v>
      </c>
      <c r="J1028" s="39">
        <v>2018</v>
      </c>
      <c r="K1028" s="39"/>
      <c r="L1028" s="39"/>
      <c r="M1028" s="39"/>
      <c r="N1028" s="39"/>
      <c r="O1028" s="39"/>
      <c r="P1028" s="39" t="s">
        <v>4457</v>
      </c>
      <c r="Q1028" s="39" t="s">
        <v>264</v>
      </c>
      <c r="R1028" s="39" t="s">
        <v>265</v>
      </c>
      <c r="S1028" s="39" t="s">
        <v>2680</v>
      </c>
      <c r="T1028" s="39" t="s">
        <v>2681</v>
      </c>
      <c r="U1028" s="39">
        <v>1</v>
      </c>
      <c r="V1028" s="39" t="s">
        <v>308</v>
      </c>
      <c r="W1028" s="39"/>
      <c r="X1028" s="39"/>
      <c r="Y1028" s="42">
        <v>43463</v>
      </c>
      <c r="Z1028" s="1">
        <v>2018</v>
      </c>
      <c r="AA1028" s="2"/>
      <c r="AB1028" s="2"/>
      <c r="AC1028" s="2">
        <v>783826.37999999977</v>
      </c>
      <c r="AG1028" s="1" t="s">
        <v>56</v>
      </c>
      <c r="AI1028" s="2">
        <v>783826.37999999977</v>
      </c>
      <c r="AL1028" s="1" t="s">
        <v>4319</v>
      </c>
    </row>
    <row r="1029" spans="1:38" ht="14.45" customHeight="1" x14ac:dyDescent="0.2">
      <c r="A1029" s="1" t="s">
        <v>57</v>
      </c>
      <c r="B1029" s="40" t="s">
        <v>39</v>
      </c>
      <c r="C1029" s="41" t="s">
        <v>58</v>
      </c>
      <c r="D1029" s="1" t="s">
        <v>4315</v>
      </c>
      <c r="E1029" s="1" t="s">
        <v>42</v>
      </c>
      <c r="F1029" s="41"/>
      <c r="G1029" s="41" t="s">
        <v>4316</v>
      </c>
      <c r="H1029" s="39" t="s">
        <v>61</v>
      </c>
      <c r="I1029" s="39" t="s">
        <v>4826</v>
      </c>
      <c r="J1029" s="39">
        <v>2018</v>
      </c>
      <c r="K1029" s="39"/>
      <c r="L1029" s="39"/>
      <c r="M1029" s="39"/>
      <c r="N1029" s="39"/>
      <c r="O1029" s="39"/>
      <c r="P1029" s="39" t="s">
        <v>4457</v>
      </c>
      <c r="Q1029" s="39" t="s">
        <v>264</v>
      </c>
      <c r="R1029" s="39" t="s">
        <v>265</v>
      </c>
      <c r="S1029" s="39" t="s">
        <v>2680</v>
      </c>
      <c r="T1029" s="39" t="s">
        <v>2681</v>
      </c>
      <c r="U1029" s="39">
        <v>1</v>
      </c>
      <c r="V1029" s="39" t="s">
        <v>308</v>
      </c>
      <c r="W1029" s="39"/>
      <c r="X1029" s="39"/>
      <c r="Y1029" s="42">
        <v>43463</v>
      </c>
      <c r="Z1029" s="1">
        <v>2018</v>
      </c>
      <c r="AA1029" s="2"/>
      <c r="AB1029" s="2"/>
      <c r="AC1029" s="2">
        <v>786158.76</v>
      </c>
      <c r="AG1029" s="1" t="s">
        <v>56</v>
      </c>
      <c r="AI1029" s="2">
        <v>786158.76</v>
      </c>
      <c r="AL1029" s="1" t="s">
        <v>4319</v>
      </c>
    </row>
    <row r="1030" spans="1:38" ht="14.45" customHeight="1" x14ac:dyDescent="0.2">
      <c r="A1030" s="1" t="s">
        <v>57</v>
      </c>
      <c r="B1030" s="40" t="s">
        <v>39</v>
      </c>
      <c r="C1030" s="41" t="s">
        <v>58</v>
      </c>
      <c r="D1030" s="1" t="s">
        <v>4315</v>
      </c>
      <c r="E1030" s="1" t="s">
        <v>42</v>
      </c>
      <c r="F1030" s="41"/>
      <c r="G1030" s="41" t="s">
        <v>4316</v>
      </c>
      <c r="H1030" s="39" t="s">
        <v>61</v>
      </c>
      <c r="I1030" s="39" t="s">
        <v>4827</v>
      </c>
      <c r="J1030" s="39">
        <v>2018</v>
      </c>
      <c r="K1030" s="39"/>
      <c r="L1030" s="39"/>
      <c r="M1030" s="39"/>
      <c r="N1030" s="39"/>
      <c r="O1030" s="39"/>
      <c r="P1030" s="39" t="s">
        <v>4457</v>
      </c>
      <c r="Q1030" s="39" t="s">
        <v>264</v>
      </c>
      <c r="R1030" s="39" t="s">
        <v>265</v>
      </c>
      <c r="S1030" s="39" t="s">
        <v>2680</v>
      </c>
      <c r="T1030" s="39" t="s">
        <v>2681</v>
      </c>
      <c r="U1030" s="39">
        <v>1</v>
      </c>
      <c r="V1030" s="39" t="s">
        <v>308</v>
      </c>
      <c r="W1030" s="39"/>
      <c r="X1030" s="39"/>
      <c r="Y1030" s="42">
        <v>43463</v>
      </c>
      <c r="Z1030" s="1">
        <v>2018</v>
      </c>
      <c r="AA1030" s="2"/>
      <c r="AB1030" s="2"/>
      <c r="AC1030" s="2">
        <v>518926.25000000006</v>
      </c>
      <c r="AG1030" s="1" t="s">
        <v>56</v>
      </c>
      <c r="AI1030" s="2">
        <v>518926.25000000006</v>
      </c>
      <c r="AL1030" s="1" t="s">
        <v>4319</v>
      </c>
    </row>
    <row r="1031" spans="1:38" ht="14.45" customHeight="1" x14ac:dyDescent="0.2">
      <c r="A1031" s="1" t="s">
        <v>57</v>
      </c>
      <c r="B1031" s="40" t="s">
        <v>39</v>
      </c>
      <c r="C1031" s="41" t="s">
        <v>58</v>
      </c>
      <c r="D1031" s="1" t="s">
        <v>4315</v>
      </c>
      <c r="E1031" s="1" t="s">
        <v>42</v>
      </c>
      <c r="F1031" s="41"/>
      <c r="G1031" s="41" t="s">
        <v>4316</v>
      </c>
      <c r="H1031" s="39" t="s">
        <v>61</v>
      </c>
      <c r="I1031" s="39" t="s">
        <v>4828</v>
      </c>
      <c r="J1031" s="39">
        <v>2018</v>
      </c>
      <c r="K1031" s="39"/>
      <c r="L1031" s="39"/>
      <c r="M1031" s="39"/>
      <c r="N1031" s="39"/>
      <c r="O1031" s="39"/>
      <c r="P1031" s="39" t="s">
        <v>4457</v>
      </c>
      <c r="Q1031" s="39" t="s">
        <v>264</v>
      </c>
      <c r="R1031" s="39" t="s">
        <v>265</v>
      </c>
      <c r="S1031" s="39" t="s">
        <v>2680</v>
      </c>
      <c r="T1031" s="39" t="s">
        <v>2681</v>
      </c>
      <c r="U1031" s="39">
        <v>1</v>
      </c>
      <c r="V1031" s="39" t="s">
        <v>308</v>
      </c>
      <c r="W1031" s="39"/>
      <c r="X1031" s="39"/>
      <c r="Y1031" s="42">
        <v>43463</v>
      </c>
      <c r="Z1031" s="1">
        <v>2018</v>
      </c>
      <c r="AA1031" s="2"/>
      <c r="AB1031" s="2"/>
      <c r="AC1031" s="2">
        <v>245669.66999999995</v>
      </c>
      <c r="AG1031" s="1" t="s">
        <v>56</v>
      </c>
      <c r="AI1031" s="2">
        <v>245669.66999999995</v>
      </c>
      <c r="AL1031" s="1" t="s">
        <v>4319</v>
      </c>
    </row>
    <row r="1032" spans="1:38" ht="14.45" customHeight="1" x14ac:dyDescent="0.2">
      <c r="A1032" s="1" t="s">
        <v>57</v>
      </c>
      <c r="B1032" s="40" t="s">
        <v>39</v>
      </c>
      <c r="C1032" s="41" t="s">
        <v>58</v>
      </c>
      <c r="D1032" s="1" t="s">
        <v>4315</v>
      </c>
      <c r="E1032" s="1" t="s">
        <v>42</v>
      </c>
      <c r="F1032" s="41"/>
      <c r="G1032" s="41" t="s">
        <v>4316</v>
      </c>
      <c r="H1032" s="39" t="s">
        <v>61</v>
      </c>
      <c r="I1032" s="39" t="s">
        <v>4829</v>
      </c>
      <c r="J1032" s="39">
        <v>2018</v>
      </c>
      <c r="K1032" s="39"/>
      <c r="L1032" s="39"/>
      <c r="M1032" s="39"/>
      <c r="N1032" s="39"/>
      <c r="O1032" s="39"/>
      <c r="P1032" s="39" t="s">
        <v>4457</v>
      </c>
      <c r="Q1032" s="39" t="s">
        <v>264</v>
      </c>
      <c r="R1032" s="39" t="s">
        <v>265</v>
      </c>
      <c r="S1032" s="39" t="s">
        <v>2680</v>
      </c>
      <c r="T1032" s="39" t="s">
        <v>2681</v>
      </c>
      <c r="U1032" s="39">
        <v>1</v>
      </c>
      <c r="V1032" s="39" t="s">
        <v>308</v>
      </c>
      <c r="W1032" s="39"/>
      <c r="X1032" s="39"/>
      <c r="Y1032" s="42">
        <v>43463</v>
      </c>
      <c r="Z1032" s="1">
        <v>2018</v>
      </c>
      <c r="AA1032" s="2"/>
      <c r="AB1032" s="2"/>
      <c r="AC1032" s="2">
        <v>365391.61</v>
      </c>
      <c r="AG1032" s="1" t="s">
        <v>56</v>
      </c>
      <c r="AI1032" s="2">
        <v>365391.61</v>
      </c>
      <c r="AL1032" s="1" t="s">
        <v>4319</v>
      </c>
    </row>
    <row r="1033" spans="1:38" ht="14.45" customHeight="1" x14ac:dyDescent="0.2">
      <c r="A1033" s="1" t="s">
        <v>57</v>
      </c>
      <c r="B1033" s="40" t="s">
        <v>39</v>
      </c>
      <c r="C1033" s="41" t="s">
        <v>58</v>
      </c>
      <c r="D1033" s="1" t="s">
        <v>4315</v>
      </c>
      <c r="E1033" s="1" t="s">
        <v>42</v>
      </c>
      <c r="F1033" s="41"/>
      <c r="G1033" s="41" t="s">
        <v>4316</v>
      </c>
      <c r="H1033" s="39" t="s">
        <v>61</v>
      </c>
      <c r="I1033" s="39" t="s">
        <v>4830</v>
      </c>
      <c r="J1033" s="39">
        <v>2018</v>
      </c>
      <c r="K1033" s="39"/>
      <c r="L1033" s="39"/>
      <c r="M1033" s="39"/>
      <c r="N1033" s="39"/>
      <c r="O1033" s="39"/>
      <c r="P1033" s="39" t="s">
        <v>4457</v>
      </c>
      <c r="Q1033" s="39" t="s">
        <v>264</v>
      </c>
      <c r="R1033" s="39" t="s">
        <v>265</v>
      </c>
      <c r="S1033" s="39" t="s">
        <v>2680</v>
      </c>
      <c r="T1033" s="39" t="s">
        <v>2681</v>
      </c>
      <c r="U1033" s="39">
        <v>1</v>
      </c>
      <c r="V1033" s="39" t="s">
        <v>308</v>
      </c>
      <c r="W1033" s="39"/>
      <c r="X1033" s="39"/>
      <c r="Y1033" s="42">
        <v>43463</v>
      </c>
      <c r="Z1033" s="1">
        <v>2018</v>
      </c>
      <c r="AA1033" s="2"/>
      <c r="AB1033" s="2"/>
      <c r="AC1033" s="2">
        <v>403260.6</v>
      </c>
      <c r="AG1033" s="1" t="s">
        <v>56</v>
      </c>
      <c r="AI1033" s="2">
        <v>403260.6</v>
      </c>
      <c r="AL1033" s="1" t="s">
        <v>4319</v>
      </c>
    </row>
    <row r="1034" spans="1:38" ht="14.45" customHeight="1" x14ac:dyDescent="0.2">
      <c r="A1034" s="1" t="s">
        <v>57</v>
      </c>
      <c r="B1034" s="40" t="s">
        <v>39</v>
      </c>
      <c r="C1034" s="41" t="s">
        <v>58</v>
      </c>
      <c r="D1034" s="1" t="s">
        <v>4315</v>
      </c>
      <c r="E1034" s="1" t="s">
        <v>42</v>
      </c>
      <c r="F1034" s="41"/>
      <c r="G1034" s="41" t="s">
        <v>4316</v>
      </c>
      <c r="H1034" s="39" t="s">
        <v>61</v>
      </c>
      <c r="I1034" s="39" t="s">
        <v>4831</v>
      </c>
      <c r="J1034" s="39">
        <v>2018</v>
      </c>
      <c r="K1034" s="39"/>
      <c r="L1034" s="39"/>
      <c r="M1034" s="39"/>
      <c r="N1034" s="39"/>
      <c r="O1034" s="39"/>
      <c r="P1034" s="39" t="s">
        <v>4457</v>
      </c>
      <c r="Q1034" s="39" t="s">
        <v>264</v>
      </c>
      <c r="R1034" s="39" t="s">
        <v>265</v>
      </c>
      <c r="S1034" s="39" t="s">
        <v>2680</v>
      </c>
      <c r="T1034" s="39" t="s">
        <v>2681</v>
      </c>
      <c r="U1034" s="39">
        <v>1</v>
      </c>
      <c r="V1034" s="39" t="s">
        <v>308</v>
      </c>
      <c r="W1034" s="39"/>
      <c r="X1034" s="39"/>
      <c r="Y1034" s="42">
        <v>43463</v>
      </c>
      <c r="Z1034" s="1">
        <v>2018</v>
      </c>
      <c r="AA1034" s="2"/>
      <c r="AB1034" s="2"/>
      <c r="AC1034" s="2">
        <v>693311.91999999993</v>
      </c>
      <c r="AG1034" s="1" t="s">
        <v>56</v>
      </c>
      <c r="AI1034" s="2">
        <v>693311.91999999993</v>
      </c>
      <c r="AL1034" s="1" t="s">
        <v>4319</v>
      </c>
    </row>
    <row r="1035" spans="1:38" ht="14.45" customHeight="1" x14ac:dyDescent="0.2">
      <c r="A1035" s="1" t="s">
        <v>57</v>
      </c>
      <c r="B1035" s="40" t="s">
        <v>39</v>
      </c>
      <c r="C1035" s="41" t="s">
        <v>58</v>
      </c>
      <c r="D1035" s="1" t="s">
        <v>4315</v>
      </c>
      <c r="E1035" s="1" t="s">
        <v>42</v>
      </c>
      <c r="F1035" s="41"/>
      <c r="G1035" s="41" t="s">
        <v>4316</v>
      </c>
      <c r="H1035" s="39" t="s">
        <v>61</v>
      </c>
      <c r="I1035" s="39" t="s">
        <v>4832</v>
      </c>
      <c r="J1035" s="39">
        <v>2019</v>
      </c>
      <c r="K1035" s="39"/>
      <c r="L1035" s="39"/>
      <c r="M1035" s="39"/>
      <c r="N1035" s="39"/>
      <c r="O1035" s="39"/>
      <c r="P1035" s="39" t="s">
        <v>4457</v>
      </c>
      <c r="Q1035" s="39" t="s">
        <v>264</v>
      </c>
      <c r="R1035" s="39" t="s">
        <v>265</v>
      </c>
      <c r="S1035" s="39" t="s">
        <v>2680</v>
      </c>
      <c r="T1035" s="39" t="s">
        <v>2681</v>
      </c>
      <c r="U1035" s="39">
        <v>1</v>
      </c>
      <c r="V1035" s="39" t="s">
        <v>308</v>
      </c>
      <c r="W1035" s="39"/>
      <c r="X1035" s="39"/>
      <c r="Y1035" s="42">
        <v>43466</v>
      </c>
      <c r="Z1035" s="1">
        <v>2019</v>
      </c>
      <c r="AA1035" s="2"/>
      <c r="AB1035" s="2"/>
      <c r="AC1035" s="2">
        <v>499542.22999999992</v>
      </c>
      <c r="AG1035" s="1" t="s">
        <v>56</v>
      </c>
      <c r="AI1035" s="2">
        <v>499542.22999999992</v>
      </c>
      <c r="AL1035" s="1" t="s">
        <v>4319</v>
      </c>
    </row>
    <row r="1036" spans="1:38" ht="14.45" customHeight="1" x14ac:dyDescent="0.2">
      <c r="A1036" s="1" t="s">
        <v>57</v>
      </c>
      <c r="B1036" s="40" t="s">
        <v>39</v>
      </c>
      <c r="C1036" s="41" t="s">
        <v>58</v>
      </c>
      <c r="D1036" s="1" t="s">
        <v>4315</v>
      </c>
      <c r="E1036" s="1" t="s">
        <v>42</v>
      </c>
      <c r="F1036" s="41"/>
      <c r="G1036" s="41" t="s">
        <v>4316</v>
      </c>
      <c r="H1036" s="39" t="s">
        <v>61</v>
      </c>
      <c r="I1036" s="39" t="s">
        <v>4833</v>
      </c>
      <c r="J1036" s="39">
        <v>2019</v>
      </c>
      <c r="K1036" s="39"/>
      <c r="L1036" s="39"/>
      <c r="M1036" s="39"/>
      <c r="N1036" s="39"/>
      <c r="O1036" s="39"/>
      <c r="P1036" s="39" t="s">
        <v>4457</v>
      </c>
      <c r="Q1036" s="39" t="s">
        <v>264</v>
      </c>
      <c r="R1036" s="39" t="s">
        <v>265</v>
      </c>
      <c r="S1036" s="39" t="s">
        <v>2680</v>
      </c>
      <c r="T1036" s="39" t="s">
        <v>2681</v>
      </c>
      <c r="U1036" s="39">
        <v>1</v>
      </c>
      <c r="V1036" s="39" t="s">
        <v>308</v>
      </c>
      <c r="W1036" s="39"/>
      <c r="X1036" s="39"/>
      <c r="Y1036" s="42">
        <v>43466</v>
      </c>
      <c r="Z1036" s="1">
        <v>2019</v>
      </c>
      <c r="AA1036" s="2"/>
      <c r="AB1036" s="2"/>
      <c r="AC1036" s="2">
        <v>620559.37999999989</v>
      </c>
      <c r="AG1036" s="1" t="s">
        <v>56</v>
      </c>
      <c r="AI1036" s="2">
        <v>620559.37999999989</v>
      </c>
      <c r="AL1036" s="1" t="s">
        <v>4319</v>
      </c>
    </row>
    <row r="1037" spans="1:38" ht="14.45" customHeight="1" x14ac:dyDescent="0.2">
      <c r="A1037" s="1" t="s">
        <v>57</v>
      </c>
      <c r="B1037" s="40" t="s">
        <v>39</v>
      </c>
      <c r="C1037" s="41" t="s">
        <v>58</v>
      </c>
      <c r="D1037" s="1" t="s">
        <v>4315</v>
      </c>
      <c r="E1037" s="1" t="s">
        <v>42</v>
      </c>
      <c r="F1037" s="41"/>
      <c r="G1037" s="41" t="s">
        <v>4316</v>
      </c>
      <c r="H1037" s="39" t="s">
        <v>61</v>
      </c>
      <c r="I1037" s="39" t="s">
        <v>4834</v>
      </c>
      <c r="J1037" s="39">
        <v>2018</v>
      </c>
      <c r="K1037" s="39"/>
      <c r="L1037" s="39"/>
      <c r="M1037" s="39"/>
      <c r="N1037" s="39"/>
      <c r="O1037" s="39"/>
      <c r="P1037" s="39" t="s">
        <v>4457</v>
      </c>
      <c r="Q1037" s="39" t="s">
        <v>264</v>
      </c>
      <c r="R1037" s="39" t="s">
        <v>265</v>
      </c>
      <c r="S1037" s="39" t="s">
        <v>2680</v>
      </c>
      <c r="T1037" s="39" t="s">
        <v>2681</v>
      </c>
      <c r="U1037" s="39">
        <v>1</v>
      </c>
      <c r="V1037" s="39" t="s">
        <v>308</v>
      </c>
      <c r="W1037" s="39"/>
      <c r="X1037" s="39"/>
      <c r="Y1037" s="42">
        <v>43463</v>
      </c>
      <c r="Z1037" s="1">
        <v>2018</v>
      </c>
      <c r="AA1037" s="2"/>
      <c r="AB1037" s="2"/>
      <c r="AC1037" s="2">
        <v>585990.71000000008</v>
      </c>
      <c r="AG1037" s="1" t="s">
        <v>56</v>
      </c>
      <c r="AI1037" s="2">
        <v>585990.71000000008</v>
      </c>
      <c r="AL1037" s="1" t="s">
        <v>4319</v>
      </c>
    </row>
    <row r="1038" spans="1:38" ht="14.45" customHeight="1" x14ac:dyDescent="0.2">
      <c r="A1038" s="1" t="s">
        <v>57</v>
      </c>
      <c r="B1038" s="40" t="s">
        <v>39</v>
      </c>
      <c r="C1038" s="41" t="s">
        <v>58</v>
      </c>
      <c r="D1038" s="1" t="s">
        <v>4315</v>
      </c>
      <c r="E1038" s="1" t="s">
        <v>42</v>
      </c>
      <c r="F1038" s="41"/>
      <c r="G1038" s="41" t="s">
        <v>4316</v>
      </c>
      <c r="H1038" s="39" t="s">
        <v>61</v>
      </c>
      <c r="I1038" s="39" t="s">
        <v>4835</v>
      </c>
      <c r="J1038" s="39">
        <v>2018</v>
      </c>
      <c r="K1038" s="39"/>
      <c r="L1038" s="39"/>
      <c r="M1038" s="39"/>
      <c r="N1038" s="39"/>
      <c r="O1038" s="39"/>
      <c r="P1038" s="39" t="s">
        <v>4457</v>
      </c>
      <c r="Q1038" s="39" t="s">
        <v>264</v>
      </c>
      <c r="R1038" s="39" t="s">
        <v>265</v>
      </c>
      <c r="S1038" s="39" t="s">
        <v>2680</v>
      </c>
      <c r="T1038" s="39" t="s">
        <v>2681</v>
      </c>
      <c r="U1038" s="39">
        <v>1</v>
      </c>
      <c r="V1038" s="39" t="s">
        <v>308</v>
      </c>
      <c r="W1038" s="39"/>
      <c r="X1038" s="39"/>
      <c r="Y1038" s="42">
        <v>43463</v>
      </c>
      <c r="Z1038" s="1">
        <v>2018</v>
      </c>
      <c r="AA1038" s="2"/>
      <c r="AB1038" s="2"/>
      <c r="AC1038" s="2">
        <v>529848.19999999995</v>
      </c>
      <c r="AG1038" s="1" t="s">
        <v>56</v>
      </c>
      <c r="AI1038" s="2">
        <v>529848.19999999995</v>
      </c>
      <c r="AL1038" s="1" t="s">
        <v>4319</v>
      </c>
    </row>
    <row r="1039" spans="1:38" ht="14.45" customHeight="1" x14ac:dyDescent="0.2">
      <c r="A1039" s="1" t="s">
        <v>57</v>
      </c>
      <c r="B1039" s="40" t="s">
        <v>39</v>
      </c>
      <c r="C1039" s="41" t="s">
        <v>58</v>
      </c>
      <c r="D1039" s="1" t="s">
        <v>4315</v>
      </c>
      <c r="E1039" s="1" t="s">
        <v>42</v>
      </c>
      <c r="F1039" s="41"/>
      <c r="G1039" s="41" t="s">
        <v>4316</v>
      </c>
      <c r="H1039" s="39" t="s">
        <v>61</v>
      </c>
      <c r="I1039" s="39" t="s">
        <v>4836</v>
      </c>
      <c r="J1039" s="39">
        <v>2018</v>
      </c>
      <c r="K1039" s="39"/>
      <c r="L1039" s="39"/>
      <c r="M1039" s="39"/>
      <c r="N1039" s="39"/>
      <c r="O1039" s="39"/>
      <c r="P1039" s="39" t="s">
        <v>4457</v>
      </c>
      <c r="Q1039" s="39" t="s">
        <v>264</v>
      </c>
      <c r="R1039" s="39" t="s">
        <v>265</v>
      </c>
      <c r="S1039" s="39" t="s">
        <v>2680</v>
      </c>
      <c r="T1039" s="39" t="s">
        <v>2681</v>
      </c>
      <c r="U1039" s="39">
        <v>1</v>
      </c>
      <c r="V1039" s="39" t="s">
        <v>308</v>
      </c>
      <c r="W1039" s="39"/>
      <c r="X1039" s="39"/>
      <c r="Y1039" s="42">
        <v>43463</v>
      </c>
      <c r="Z1039" s="1">
        <v>2018</v>
      </c>
      <c r="AA1039" s="2"/>
      <c r="AB1039" s="2"/>
      <c r="AC1039" s="2">
        <v>562705.29</v>
      </c>
      <c r="AG1039" s="1" t="s">
        <v>56</v>
      </c>
      <c r="AI1039" s="2">
        <v>562705.29</v>
      </c>
      <c r="AL1039" s="1" t="s">
        <v>4319</v>
      </c>
    </row>
    <row r="1040" spans="1:38" ht="14.45" customHeight="1" x14ac:dyDescent="0.2">
      <c r="A1040" s="1" t="s">
        <v>57</v>
      </c>
      <c r="B1040" s="40" t="s">
        <v>39</v>
      </c>
      <c r="C1040" s="41" t="s">
        <v>58</v>
      </c>
      <c r="D1040" s="1" t="s">
        <v>4315</v>
      </c>
      <c r="E1040" s="1" t="s">
        <v>42</v>
      </c>
      <c r="F1040" s="41"/>
      <c r="G1040" s="41" t="s">
        <v>4316</v>
      </c>
      <c r="H1040" s="39" t="s">
        <v>61</v>
      </c>
      <c r="I1040" s="39" t="s">
        <v>4837</v>
      </c>
      <c r="J1040" s="39">
        <v>2018</v>
      </c>
      <c r="K1040" s="39"/>
      <c r="L1040" s="39"/>
      <c r="M1040" s="39"/>
      <c r="N1040" s="39"/>
      <c r="O1040" s="39"/>
      <c r="P1040" s="39" t="s">
        <v>4457</v>
      </c>
      <c r="Q1040" s="39" t="s">
        <v>264</v>
      </c>
      <c r="R1040" s="39" t="s">
        <v>265</v>
      </c>
      <c r="S1040" s="39" t="s">
        <v>2680</v>
      </c>
      <c r="T1040" s="39" t="s">
        <v>2681</v>
      </c>
      <c r="U1040" s="39">
        <v>1</v>
      </c>
      <c r="V1040" s="39" t="s">
        <v>308</v>
      </c>
      <c r="W1040" s="39"/>
      <c r="X1040" s="39"/>
      <c r="Y1040" s="42">
        <v>43463</v>
      </c>
      <c r="Z1040" s="1">
        <v>2018</v>
      </c>
      <c r="AA1040" s="2"/>
      <c r="AB1040" s="2"/>
      <c r="AC1040" s="2">
        <v>526211.52</v>
      </c>
      <c r="AG1040" s="1" t="s">
        <v>56</v>
      </c>
      <c r="AI1040" s="2">
        <v>526211.52</v>
      </c>
      <c r="AL1040" s="1" t="s">
        <v>4319</v>
      </c>
    </row>
    <row r="1041" spans="1:38" ht="14.45" customHeight="1" x14ac:dyDescent="0.2">
      <c r="A1041" s="1" t="s">
        <v>57</v>
      </c>
      <c r="B1041" s="9" t="s">
        <v>39</v>
      </c>
      <c r="C1041" s="1" t="s">
        <v>58</v>
      </c>
      <c r="D1041" s="1" t="s">
        <v>4315</v>
      </c>
      <c r="E1041" s="1" t="s">
        <v>42</v>
      </c>
      <c r="G1041" s="1" t="s">
        <v>4316</v>
      </c>
      <c r="H1041" s="1" t="s">
        <v>61</v>
      </c>
      <c r="I1041" s="1" t="s">
        <v>4838</v>
      </c>
      <c r="J1041" s="1">
        <v>2019</v>
      </c>
      <c r="P1041" s="1" t="s">
        <v>4457</v>
      </c>
      <c r="Q1041" s="1" t="s">
        <v>264</v>
      </c>
      <c r="R1041" s="1" t="s">
        <v>265</v>
      </c>
      <c r="S1041" s="1" t="s">
        <v>2680</v>
      </c>
      <c r="T1041" s="1" t="s">
        <v>2681</v>
      </c>
      <c r="U1041" s="1">
        <v>1</v>
      </c>
      <c r="V1041" s="1" t="s">
        <v>308</v>
      </c>
      <c r="Y1041" s="10">
        <v>43468</v>
      </c>
      <c r="Z1041" s="1">
        <v>2019</v>
      </c>
      <c r="AA1041" s="2"/>
      <c r="AB1041" s="2"/>
      <c r="AC1041" s="2">
        <v>710814.69000000006</v>
      </c>
      <c r="AG1041" s="1" t="s">
        <v>56</v>
      </c>
      <c r="AI1041" s="2">
        <v>710814.69000000006</v>
      </c>
      <c r="AL1041" s="1" t="s">
        <v>4319</v>
      </c>
    </row>
    <row r="1042" spans="1:38" ht="14.45" customHeight="1" x14ac:dyDescent="0.2">
      <c r="A1042" s="1" t="s">
        <v>57</v>
      </c>
      <c r="B1042" s="9" t="s">
        <v>39</v>
      </c>
      <c r="C1042" s="1" t="s">
        <v>58</v>
      </c>
      <c r="D1042" s="1" t="s">
        <v>4315</v>
      </c>
      <c r="E1042" s="1" t="s">
        <v>42</v>
      </c>
      <c r="G1042" s="1" t="s">
        <v>4316</v>
      </c>
      <c r="H1042" s="1" t="s">
        <v>61</v>
      </c>
      <c r="I1042" s="1" t="s">
        <v>4839</v>
      </c>
      <c r="J1042" s="1">
        <v>2018</v>
      </c>
      <c r="P1042" s="1" t="s">
        <v>4457</v>
      </c>
      <c r="Q1042" s="1" t="s">
        <v>264</v>
      </c>
      <c r="R1042" s="1" t="s">
        <v>265</v>
      </c>
      <c r="S1042" s="1" t="s">
        <v>2680</v>
      </c>
      <c r="T1042" s="1" t="s">
        <v>2681</v>
      </c>
      <c r="U1042" s="1">
        <v>1</v>
      </c>
      <c r="V1042" s="1" t="s">
        <v>308</v>
      </c>
      <c r="Y1042" s="10">
        <v>43463</v>
      </c>
      <c r="Z1042" s="1">
        <v>2018</v>
      </c>
      <c r="AA1042" s="2"/>
      <c r="AB1042" s="2"/>
      <c r="AC1042" s="2">
        <v>114240.68999999999</v>
      </c>
      <c r="AG1042" s="1" t="s">
        <v>56</v>
      </c>
      <c r="AI1042" s="2">
        <v>114240.68999999999</v>
      </c>
      <c r="AL1042" s="1" t="s">
        <v>4319</v>
      </c>
    </row>
    <row r="1043" spans="1:38" ht="14.45" customHeight="1" x14ac:dyDescent="0.2">
      <c r="A1043" s="1" t="s">
        <v>57</v>
      </c>
      <c r="B1043" s="9" t="s">
        <v>39</v>
      </c>
      <c r="C1043" s="1" t="s">
        <v>58</v>
      </c>
      <c r="D1043" s="1" t="s">
        <v>4315</v>
      </c>
      <c r="E1043" s="1" t="s">
        <v>42</v>
      </c>
      <c r="G1043" s="1" t="s">
        <v>4316</v>
      </c>
      <c r="H1043" s="1" t="s">
        <v>61</v>
      </c>
      <c r="I1043" s="1" t="s">
        <v>4840</v>
      </c>
      <c r="J1043" s="1">
        <v>2018</v>
      </c>
      <c r="P1043" s="1" t="s">
        <v>4457</v>
      </c>
      <c r="Q1043" s="1" t="s">
        <v>264</v>
      </c>
      <c r="R1043" s="1" t="s">
        <v>265</v>
      </c>
      <c r="S1043" s="1" t="s">
        <v>2680</v>
      </c>
      <c r="T1043" s="1" t="s">
        <v>2681</v>
      </c>
      <c r="U1043" s="1">
        <v>1</v>
      </c>
      <c r="V1043" s="1" t="s">
        <v>308</v>
      </c>
      <c r="Y1043" s="10">
        <v>43463</v>
      </c>
      <c r="Z1043" s="1">
        <v>2018</v>
      </c>
      <c r="AA1043" s="2"/>
      <c r="AB1043" s="2"/>
      <c r="AC1043" s="2">
        <v>52265.270000000004</v>
      </c>
      <c r="AG1043" s="1" t="s">
        <v>56</v>
      </c>
      <c r="AI1043" s="2">
        <v>52265.270000000004</v>
      </c>
      <c r="AL1043" s="1" t="s">
        <v>4319</v>
      </c>
    </row>
    <row r="1044" spans="1:38" ht="14.45" customHeight="1" x14ac:dyDescent="0.2">
      <c r="A1044" s="1" t="s">
        <v>57</v>
      </c>
      <c r="B1044" s="9" t="s">
        <v>39</v>
      </c>
      <c r="C1044" s="1" t="s">
        <v>58</v>
      </c>
      <c r="D1044" s="1" t="s">
        <v>4315</v>
      </c>
      <c r="E1044" s="1" t="s">
        <v>42</v>
      </c>
      <c r="G1044" s="1" t="s">
        <v>4316</v>
      </c>
      <c r="H1044" s="1" t="s">
        <v>61</v>
      </c>
      <c r="I1044" s="1" t="s">
        <v>4841</v>
      </c>
      <c r="J1044" s="1">
        <v>2018</v>
      </c>
      <c r="P1044" s="1" t="s">
        <v>4457</v>
      </c>
      <c r="Q1044" s="1" t="s">
        <v>264</v>
      </c>
      <c r="R1044" s="1" t="s">
        <v>265</v>
      </c>
      <c r="S1044" s="1" t="s">
        <v>2680</v>
      </c>
      <c r="T1044" s="1" t="s">
        <v>2681</v>
      </c>
      <c r="U1044" s="1">
        <v>1</v>
      </c>
      <c r="V1044" s="1" t="s">
        <v>308</v>
      </c>
      <c r="Y1044" s="10">
        <v>43463</v>
      </c>
      <c r="Z1044" s="1">
        <v>2018</v>
      </c>
      <c r="AA1044" s="2"/>
      <c r="AB1044" s="2"/>
      <c r="AC1044" s="2">
        <v>280612.27999999997</v>
      </c>
      <c r="AG1044" s="1" t="s">
        <v>56</v>
      </c>
      <c r="AI1044" s="2">
        <v>280612.27999999997</v>
      </c>
      <c r="AL1044" s="1" t="s">
        <v>4319</v>
      </c>
    </row>
    <row r="1045" spans="1:38" ht="14.45" customHeight="1" x14ac:dyDescent="0.2">
      <c r="A1045" s="1" t="s">
        <v>57</v>
      </c>
      <c r="B1045" s="9" t="s">
        <v>39</v>
      </c>
      <c r="C1045" s="1" t="s">
        <v>58</v>
      </c>
      <c r="D1045" s="1" t="s">
        <v>4315</v>
      </c>
      <c r="E1045" s="1" t="s">
        <v>42</v>
      </c>
      <c r="G1045" s="1" t="s">
        <v>4316</v>
      </c>
      <c r="H1045" s="1" t="s">
        <v>61</v>
      </c>
      <c r="I1045" s="1" t="s">
        <v>4842</v>
      </c>
      <c r="J1045" s="1">
        <v>2018</v>
      </c>
      <c r="P1045" s="1" t="s">
        <v>4457</v>
      </c>
      <c r="Q1045" s="1" t="s">
        <v>264</v>
      </c>
      <c r="R1045" s="1" t="s">
        <v>265</v>
      </c>
      <c r="S1045" s="1" t="s">
        <v>2680</v>
      </c>
      <c r="T1045" s="1" t="s">
        <v>2681</v>
      </c>
      <c r="U1045" s="1">
        <v>1</v>
      </c>
      <c r="V1045" s="1" t="s">
        <v>308</v>
      </c>
      <c r="Y1045" s="10">
        <v>43463</v>
      </c>
      <c r="Z1045" s="1">
        <v>2018</v>
      </c>
      <c r="AA1045" s="2"/>
      <c r="AB1045" s="2"/>
      <c r="AC1045" s="2">
        <v>389434.57999999996</v>
      </c>
      <c r="AG1045" s="1" t="s">
        <v>56</v>
      </c>
      <c r="AI1045" s="2">
        <v>389434.57999999996</v>
      </c>
      <c r="AL1045" s="1" t="s">
        <v>4319</v>
      </c>
    </row>
    <row r="1046" spans="1:38" ht="14.45" customHeight="1" x14ac:dyDescent="0.2">
      <c r="A1046" s="1" t="s">
        <v>57</v>
      </c>
      <c r="B1046" s="9" t="s">
        <v>39</v>
      </c>
      <c r="C1046" s="1" t="s">
        <v>58</v>
      </c>
      <c r="D1046" s="1" t="s">
        <v>4315</v>
      </c>
      <c r="E1046" s="1" t="s">
        <v>42</v>
      </c>
      <c r="G1046" s="1" t="s">
        <v>4316</v>
      </c>
      <c r="H1046" s="1" t="s">
        <v>61</v>
      </c>
      <c r="I1046" s="1" t="s">
        <v>4843</v>
      </c>
      <c r="J1046" s="1">
        <v>2018</v>
      </c>
      <c r="P1046" s="1" t="s">
        <v>4457</v>
      </c>
      <c r="Q1046" s="1" t="s">
        <v>264</v>
      </c>
      <c r="R1046" s="1" t="s">
        <v>265</v>
      </c>
      <c r="S1046" s="1" t="s">
        <v>2680</v>
      </c>
      <c r="T1046" s="1" t="s">
        <v>2681</v>
      </c>
      <c r="U1046" s="1">
        <v>1</v>
      </c>
      <c r="V1046" s="1" t="s">
        <v>308</v>
      </c>
      <c r="Y1046" s="10">
        <v>43463</v>
      </c>
      <c r="Z1046" s="1">
        <v>2018</v>
      </c>
      <c r="AA1046" s="2"/>
      <c r="AB1046" s="2"/>
      <c r="AC1046" s="2">
        <v>363419.99000000005</v>
      </c>
      <c r="AG1046" s="1" t="s">
        <v>56</v>
      </c>
      <c r="AI1046" s="2">
        <v>363419.99000000005</v>
      </c>
      <c r="AL1046" s="1" t="s">
        <v>4319</v>
      </c>
    </row>
    <row r="1047" spans="1:38" ht="14.45" customHeight="1" x14ac:dyDescent="0.2">
      <c r="A1047" s="1" t="s">
        <v>57</v>
      </c>
      <c r="B1047" s="9" t="s">
        <v>39</v>
      </c>
      <c r="C1047" s="1" t="s">
        <v>58</v>
      </c>
      <c r="D1047" s="1" t="s">
        <v>4315</v>
      </c>
      <c r="E1047" s="1" t="s">
        <v>42</v>
      </c>
      <c r="G1047" s="1" t="s">
        <v>4316</v>
      </c>
      <c r="H1047" s="1" t="s">
        <v>61</v>
      </c>
      <c r="I1047" s="1" t="s">
        <v>4844</v>
      </c>
      <c r="J1047" s="1">
        <v>2018</v>
      </c>
      <c r="P1047" s="1" t="s">
        <v>4457</v>
      </c>
      <c r="Q1047" s="1" t="s">
        <v>264</v>
      </c>
      <c r="R1047" s="1" t="s">
        <v>265</v>
      </c>
      <c r="S1047" s="1" t="s">
        <v>2680</v>
      </c>
      <c r="T1047" s="1" t="s">
        <v>2681</v>
      </c>
      <c r="U1047" s="1">
        <v>1</v>
      </c>
      <c r="V1047" s="1" t="s">
        <v>308</v>
      </c>
      <c r="Y1047" s="10">
        <v>43463</v>
      </c>
      <c r="Z1047" s="1">
        <v>2018</v>
      </c>
      <c r="AA1047" s="2"/>
      <c r="AB1047" s="2"/>
      <c r="AC1047" s="2">
        <v>386039.13</v>
      </c>
      <c r="AG1047" s="1" t="s">
        <v>56</v>
      </c>
      <c r="AI1047" s="2">
        <v>386039.13</v>
      </c>
      <c r="AL1047" s="1" t="s">
        <v>4319</v>
      </c>
    </row>
    <row r="1048" spans="1:38" ht="14.45" customHeight="1" x14ac:dyDescent="0.2">
      <c r="A1048" s="1" t="s">
        <v>57</v>
      </c>
      <c r="B1048" s="9" t="s">
        <v>39</v>
      </c>
      <c r="C1048" s="1" t="s">
        <v>58</v>
      </c>
      <c r="D1048" s="1" t="s">
        <v>4315</v>
      </c>
      <c r="E1048" s="1" t="s">
        <v>42</v>
      </c>
      <c r="G1048" s="1" t="s">
        <v>4316</v>
      </c>
      <c r="H1048" s="1" t="s">
        <v>61</v>
      </c>
      <c r="I1048" s="1" t="s">
        <v>4845</v>
      </c>
      <c r="J1048" s="1">
        <v>2018</v>
      </c>
      <c r="P1048" s="1" t="s">
        <v>4457</v>
      </c>
      <c r="Q1048" s="1" t="s">
        <v>264</v>
      </c>
      <c r="R1048" s="1" t="s">
        <v>265</v>
      </c>
      <c r="S1048" s="1" t="s">
        <v>2680</v>
      </c>
      <c r="T1048" s="1" t="s">
        <v>2681</v>
      </c>
      <c r="U1048" s="1">
        <v>1</v>
      </c>
      <c r="V1048" s="1" t="s">
        <v>308</v>
      </c>
      <c r="Y1048" s="10">
        <v>43463</v>
      </c>
      <c r="Z1048" s="1">
        <v>2018</v>
      </c>
      <c r="AA1048" s="2"/>
      <c r="AB1048" s="2"/>
      <c r="AC1048" s="2">
        <v>345704.45999999996</v>
      </c>
      <c r="AG1048" s="1" t="s">
        <v>56</v>
      </c>
      <c r="AI1048" s="2">
        <v>345704.45999999996</v>
      </c>
      <c r="AL1048" s="1" t="s">
        <v>4319</v>
      </c>
    </row>
    <row r="1049" spans="1:38" ht="14.45" customHeight="1" x14ac:dyDescent="0.2">
      <c r="A1049" s="1" t="s">
        <v>57</v>
      </c>
      <c r="B1049" s="9" t="s">
        <v>39</v>
      </c>
      <c r="C1049" s="1" t="s">
        <v>58</v>
      </c>
      <c r="D1049" s="1" t="s">
        <v>4315</v>
      </c>
      <c r="E1049" s="1" t="s">
        <v>42</v>
      </c>
      <c r="G1049" s="1" t="s">
        <v>4316</v>
      </c>
      <c r="H1049" s="1" t="s">
        <v>61</v>
      </c>
      <c r="I1049" s="1" t="s">
        <v>4846</v>
      </c>
      <c r="J1049" s="1">
        <v>2018</v>
      </c>
      <c r="P1049" s="1" t="s">
        <v>4457</v>
      </c>
      <c r="Q1049" s="1" t="s">
        <v>264</v>
      </c>
      <c r="R1049" s="1" t="s">
        <v>265</v>
      </c>
      <c r="S1049" s="1" t="s">
        <v>2680</v>
      </c>
      <c r="T1049" s="1" t="s">
        <v>2681</v>
      </c>
      <c r="U1049" s="1">
        <v>1</v>
      </c>
      <c r="V1049" s="1" t="s">
        <v>308</v>
      </c>
      <c r="Y1049" s="10">
        <v>43463</v>
      </c>
      <c r="Z1049" s="1">
        <v>2018</v>
      </c>
      <c r="AA1049" s="2"/>
      <c r="AB1049" s="2"/>
      <c r="AC1049" s="2">
        <v>501493.80999999994</v>
      </c>
      <c r="AG1049" s="1" t="s">
        <v>56</v>
      </c>
      <c r="AI1049" s="2">
        <v>501493.80999999994</v>
      </c>
      <c r="AL1049" s="1" t="s">
        <v>4319</v>
      </c>
    </row>
    <row r="1050" spans="1:38" ht="14.45" customHeight="1" x14ac:dyDescent="0.2">
      <c r="A1050" s="1" t="s">
        <v>57</v>
      </c>
      <c r="B1050" s="9" t="s">
        <v>39</v>
      </c>
      <c r="C1050" s="1" t="s">
        <v>58</v>
      </c>
      <c r="D1050" s="1" t="s">
        <v>4315</v>
      </c>
      <c r="E1050" s="1" t="s">
        <v>42</v>
      </c>
      <c r="G1050" s="1" t="s">
        <v>4316</v>
      </c>
      <c r="H1050" s="1" t="s">
        <v>61</v>
      </c>
      <c r="I1050" s="1" t="s">
        <v>4847</v>
      </c>
      <c r="J1050" s="1">
        <v>2018</v>
      </c>
      <c r="P1050" s="1" t="s">
        <v>4457</v>
      </c>
      <c r="Q1050" s="1" t="s">
        <v>264</v>
      </c>
      <c r="R1050" s="1" t="s">
        <v>265</v>
      </c>
      <c r="S1050" s="1" t="s">
        <v>2680</v>
      </c>
      <c r="T1050" s="1" t="s">
        <v>2681</v>
      </c>
      <c r="U1050" s="1">
        <v>1</v>
      </c>
      <c r="V1050" s="1" t="s">
        <v>308</v>
      </c>
      <c r="Y1050" s="10">
        <v>43463</v>
      </c>
      <c r="Z1050" s="1">
        <v>2018</v>
      </c>
      <c r="AA1050" s="2"/>
      <c r="AB1050" s="2"/>
      <c r="AC1050" s="2">
        <v>372546.65</v>
      </c>
      <c r="AG1050" s="1" t="s">
        <v>56</v>
      </c>
      <c r="AI1050" s="2">
        <v>372546.65</v>
      </c>
      <c r="AL1050" s="1" t="s">
        <v>4319</v>
      </c>
    </row>
    <row r="1051" spans="1:38" ht="14.45" customHeight="1" x14ac:dyDescent="0.2">
      <c r="A1051" s="1" t="s">
        <v>57</v>
      </c>
      <c r="B1051" s="9" t="s">
        <v>39</v>
      </c>
      <c r="C1051" s="1" t="s">
        <v>58</v>
      </c>
      <c r="D1051" s="1" t="s">
        <v>4315</v>
      </c>
      <c r="E1051" s="1" t="s">
        <v>42</v>
      </c>
      <c r="G1051" s="1" t="s">
        <v>4316</v>
      </c>
      <c r="H1051" s="1" t="s">
        <v>61</v>
      </c>
      <c r="I1051" s="1" t="s">
        <v>4848</v>
      </c>
      <c r="J1051" s="1">
        <v>2019</v>
      </c>
      <c r="P1051" s="1" t="s">
        <v>4457</v>
      </c>
      <c r="Q1051" s="1" t="s">
        <v>264</v>
      </c>
      <c r="R1051" s="1" t="s">
        <v>265</v>
      </c>
      <c r="S1051" s="1" t="s">
        <v>2680</v>
      </c>
      <c r="T1051" s="1" t="s">
        <v>2681</v>
      </c>
      <c r="U1051" s="1">
        <v>1</v>
      </c>
      <c r="V1051" s="1" t="s">
        <v>308</v>
      </c>
      <c r="Y1051" s="10">
        <v>43466</v>
      </c>
      <c r="Z1051" s="1">
        <v>2019</v>
      </c>
      <c r="AA1051" s="2"/>
      <c r="AB1051" s="2"/>
      <c r="AC1051" s="2">
        <v>516813.22000000009</v>
      </c>
      <c r="AG1051" s="1" t="s">
        <v>56</v>
      </c>
      <c r="AI1051" s="2">
        <v>516813.22000000009</v>
      </c>
      <c r="AL1051" s="1" t="s">
        <v>4319</v>
      </c>
    </row>
    <row r="1052" spans="1:38" ht="14.45" customHeight="1" x14ac:dyDescent="0.2">
      <c r="A1052" s="1" t="s">
        <v>57</v>
      </c>
      <c r="B1052" s="9" t="s">
        <v>39</v>
      </c>
      <c r="C1052" s="1" t="s">
        <v>58</v>
      </c>
      <c r="D1052" s="1" t="s">
        <v>4315</v>
      </c>
      <c r="E1052" s="1" t="s">
        <v>42</v>
      </c>
      <c r="G1052" s="1" t="s">
        <v>4316</v>
      </c>
      <c r="H1052" s="1" t="s">
        <v>61</v>
      </c>
      <c r="I1052" s="1" t="s">
        <v>4849</v>
      </c>
      <c r="J1052" s="1">
        <v>2018</v>
      </c>
      <c r="P1052" s="1" t="s">
        <v>4457</v>
      </c>
      <c r="Q1052" s="1" t="s">
        <v>264</v>
      </c>
      <c r="R1052" s="1" t="s">
        <v>265</v>
      </c>
      <c r="S1052" s="1" t="s">
        <v>2680</v>
      </c>
      <c r="T1052" s="1" t="s">
        <v>2681</v>
      </c>
      <c r="U1052" s="1">
        <v>1</v>
      </c>
      <c r="V1052" s="1" t="s">
        <v>308</v>
      </c>
      <c r="Y1052" s="10">
        <v>43463</v>
      </c>
      <c r="Z1052" s="1">
        <v>2018</v>
      </c>
      <c r="AA1052" s="2"/>
      <c r="AB1052" s="2"/>
      <c r="AC1052" s="2">
        <v>566611.76</v>
      </c>
      <c r="AG1052" s="1" t="s">
        <v>56</v>
      </c>
      <c r="AI1052" s="2">
        <v>566611.76</v>
      </c>
      <c r="AL1052" s="1" t="s">
        <v>4319</v>
      </c>
    </row>
    <row r="1053" spans="1:38" ht="14.45" customHeight="1" x14ac:dyDescent="0.2">
      <c r="A1053" s="1" t="s">
        <v>57</v>
      </c>
      <c r="B1053" s="9" t="s">
        <v>39</v>
      </c>
      <c r="C1053" s="1" t="s">
        <v>58</v>
      </c>
      <c r="D1053" s="1" t="s">
        <v>4315</v>
      </c>
      <c r="E1053" s="1" t="s">
        <v>42</v>
      </c>
      <c r="G1053" s="1" t="s">
        <v>4316</v>
      </c>
      <c r="H1053" s="1" t="s">
        <v>61</v>
      </c>
      <c r="I1053" s="1" t="s">
        <v>4850</v>
      </c>
      <c r="J1053" s="1">
        <v>2018</v>
      </c>
      <c r="P1053" s="1" t="s">
        <v>4457</v>
      </c>
      <c r="Q1053" s="1" t="s">
        <v>264</v>
      </c>
      <c r="R1053" s="1" t="s">
        <v>265</v>
      </c>
      <c r="S1053" s="1" t="s">
        <v>2680</v>
      </c>
      <c r="T1053" s="1" t="s">
        <v>2681</v>
      </c>
      <c r="U1053" s="1">
        <v>1</v>
      </c>
      <c r="V1053" s="1" t="s">
        <v>308</v>
      </c>
      <c r="Y1053" s="10">
        <v>43463</v>
      </c>
      <c r="Z1053" s="1">
        <v>2018</v>
      </c>
      <c r="AA1053" s="2"/>
      <c r="AB1053" s="2"/>
      <c r="AC1053" s="2">
        <v>375587.31000000006</v>
      </c>
      <c r="AG1053" s="1" t="s">
        <v>56</v>
      </c>
      <c r="AI1053" s="2">
        <v>375587.31000000006</v>
      </c>
      <c r="AL1053" s="1" t="s">
        <v>4319</v>
      </c>
    </row>
    <row r="1054" spans="1:38" ht="14.45" customHeight="1" x14ac:dyDescent="0.2">
      <c r="A1054" s="1" t="s">
        <v>57</v>
      </c>
      <c r="B1054" s="9" t="s">
        <v>39</v>
      </c>
      <c r="C1054" s="1" t="s">
        <v>58</v>
      </c>
      <c r="D1054" s="1" t="s">
        <v>4315</v>
      </c>
      <c r="E1054" s="1" t="s">
        <v>42</v>
      </c>
      <c r="G1054" s="1" t="s">
        <v>4316</v>
      </c>
      <c r="H1054" s="1" t="s">
        <v>61</v>
      </c>
      <c r="I1054" s="1" t="s">
        <v>4851</v>
      </c>
      <c r="J1054" s="1">
        <v>2018</v>
      </c>
      <c r="P1054" s="1" t="s">
        <v>4457</v>
      </c>
      <c r="Q1054" s="1" t="s">
        <v>264</v>
      </c>
      <c r="R1054" s="1" t="s">
        <v>265</v>
      </c>
      <c r="S1054" s="1" t="s">
        <v>2680</v>
      </c>
      <c r="T1054" s="1" t="s">
        <v>2681</v>
      </c>
      <c r="U1054" s="1">
        <v>1</v>
      </c>
      <c r="V1054" s="1" t="s">
        <v>308</v>
      </c>
      <c r="Y1054" s="10">
        <v>43463</v>
      </c>
      <c r="Z1054" s="1">
        <v>2018</v>
      </c>
      <c r="AA1054" s="2"/>
      <c r="AB1054" s="2"/>
      <c r="AC1054" s="2">
        <v>397476.15</v>
      </c>
      <c r="AG1054" s="1" t="s">
        <v>56</v>
      </c>
      <c r="AI1054" s="2">
        <v>397476.15</v>
      </c>
      <c r="AL1054" s="1" t="s">
        <v>4319</v>
      </c>
    </row>
    <row r="1055" spans="1:38" ht="14.45" customHeight="1" x14ac:dyDescent="0.2">
      <c r="A1055" s="1" t="s">
        <v>57</v>
      </c>
      <c r="B1055" s="9" t="s">
        <v>39</v>
      </c>
      <c r="C1055" s="1" t="s">
        <v>58</v>
      </c>
      <c r="D1055" s="1" t="s">
        <v>4315</v>
      </c>
      <c r="E1055" s="1" t="s">
        <v>42</v>
      </c>
      <c r="G1055" s="1" t="s">
        <v>4316</v>
      </c>
      <c r="H1055" s="1" t="s">
        <v>61</v>
      </c>
      <c r="I1055" s="1" t="s">
        <v>4852</v>
      </c>
      <c r="J1055" s="1">
        <v>2018</v>
      </c>
      <c r="P1055" s="1" t="s">
        <v>4457</v>
      </c>
      <c r="Q1055" s="1" t="s">
        <v>264</v>
      </c>
      <c r="R1055" s="1" t="s">
        <v>265</v>
      </c>
      <c r="S1055" s="1" t="s">
        <v>2680</v>
      </c>
      <c r="T1055" s="1" t="s">
        <v>2681</v>
      </c>
      <c r="U1055" s="1">
        <v>1</v>
      </c>
      <c r="V1055" s="1" t="s">
        <v>308</v>
      </c>
      <c r="Y1055" s="10">
        <v>43463</v>
      </c>
      <c r="Z1055" s="1">
        <v>2018</v>
      </c>
      <c r="AA1055" s="2"/>
      <c r="AB1055" s="2"/>
      <c r="AC1055" s="2">
        <v>545420.00000000012</v>
      </c>
      <c r="AG1055" s="1" t="s">
        <v>56</v>
      </c>
      <c r="AI1055" s="2">
        <v>545420.00000000012</v>
      </c>
      <c r="AL1055" s="1" t="s">
        <v>4319</v>
      </c>
    </row>
    <row r="1056" spans="1:38" ht="14.45" customHeight="1" x14ac:dyDescent="0.2">
      <c r="A1056" s="1" t="s">
        <v>57</v>
      </c>
      <c r="B1056" s="9" t="s">
        <v>39</v>
      </c>
      <c r="C1056" s="1" t="s">
        <v>58</v>
      </c>
      <c r="D1056" s="1" t="s">
        <v>4315</v>
      </c>
      <c r="E1056" s="1" t="s">
        <v>42</v>
      </c>
      <c r="G1056" s="1" t="s">
        <v>4316</v>
      </c>
      <c r="H1056" s="1" t="s">
        <v>61</v>
      </c>
      <c r="I1056" s="1" t="s">
        <v>4853</v>
      </c>
      <c r="J1056" s="1">
        <v>2018</v>
      </c>
      <c r="P1056" s="1" t="s">
        <v>4457</v>
      </c>
      <c r="Q1056" s="1" t="s">
        <v>264</v>
      </c>
      <c r="R1056" s="1" t="s">
        <v>265</v>
      </c>
      <c r="S1056" s="1" t="s">
        <v>2680</v>
      </c>
      <c r="T1056" s="1" t="s">
        <v>2681</v>
      </c>
      <c r="U1056" s="1">
        <v>1</v>
      </c>
      <c r="V1056" s="1" t="s">
        <v>308</v>
      </c>
      <c r="Y1056" s="10">
        <v>43463</v>
      </c>
      <c r="Z1056" s="1">
        <v>2018</v>
      </c>
      <c r="AA1056" s="2"/>
      <c r="AB1056" s="2"/>
      <c r="AC1056" s="2">
        <v>498626.20000000007</v>
      </c>
      <c r="AG1056" s="1" t="s">
        <v>56</v>
      </c>
      <c r="AI1056" s="2">
        <v>498626.20000000007</v>
      </c>
      <c r="AL1056" s="1" t="s">
        <v>4319</v>
      </c>
    </row>
    <row r="1057" spans="1:38" ht="14.45" customHeight="1" x14ac:dyDescent="0.2">
      <c r="A1057" s="1" t="s">
        <v>57</v>
      </c>
      <c r="B1057" s="9" t="s">
        <v>39</v>
      </c>
      <c r="C1057" s="1" t="s">
        <v>58</v>
      </c>
      <c r="D1057" s="1" t="s">
        <v>4315</v>
      </c>
      <c r="E1057" s="1" t="s">
        <v>42</v>
      </c>
      <c r="G1057" s="1" t="s">
        <v>4316</v>
      </c>
      <c r="H1057" s="1" t="s">
        <v>61</v>
      </c>
      <c r="I1057" s="1" t="s">
        <v>4854</v>
      </c>
      <c r="J1057" s="1">
        <v>2018</v>
      </c>
      <c r="P1057" s="1" t="s">
        <v>4457</v>
      </c>
      <c r="Q1057" s="1" t="s">
        <v>264</v>
      </c>
      <c r="R1057" s="1" t="s">
        <v>265</v>
      </c>
      <c r="S1057" s="1" t="s">
        <v>2680</v>
      </c>
      <c r="T1057" s="1" t="s">
        <v>2681</v>
      </c>
      <c r="U1057" s="1">
        <v>1</v>
      </c>
      <c r="V1057" s="1" t="s">
        <v>308</v>
      </c>
      <c r="Y1057" s="10">
        <v>43463</v>
      </c>
      <c r="Z1057" s="1">
        <v>2018</v>
      </c>
      <c r="AA1057" s="2"/>
      <c r="AB1057" s="2"/>
      <c r="AC1057" s="2">
        <v>391516.24</v>
      </c>
      <c r="AG1057" s="1" t="s">
        <v>56</v>
      </c>
      <c r="AI1057" s="2">
        <v>391516.24</v>
      </c>
      <c r="AL1057" s="1" t="s">
        <v>4319</v>
      </c>
    </row>
    <row r="1058" spans="1:38" ht="14.45" customHeight="1" x14ac:dyDescent="0.2">
      <c r="A1058" s="1" t="s">
        <v>57</v>
      </c>
      <c r="B1058" s="9" t="s">
        <v>39</v>
      </c>
      <c r="C1058" s="1" t="s">
        <v>58</v>
      </c>
      <c r="D1058" s="1" t="s">
        <v>4315</v>
      </c>
      <c r="E1058" s="1" t="s">
        <v>42</v>
      </c>
      <c r="G1058" s="1" t="s">
        <v>4316</v>
      </c>
      <c r="H1058" s="1" t="s">
        <v>61</v>
      </c>
      <c r="I1058" s="1" t="s">
        <v>4855</v>
      </c>
      <c r="J1058" s="1">
        <v>2018</v>
      </c>
      <c r="P1058" s="1" t="s">
        <v>4457</v>
      </c>
      <c r="Q1058" s="1" t="s">
        <v>264</v>
      </c>
      <c r="R1058" s="1" t="s">
        <v>265</v>
      </c>
      <c r="S1058" s="1" t="s">
        <v>2680</v>
      </c>
      <c r="T1058" s="1" t="s">
        <v>2681</v>
      </c>
      <c r="U1058" s="1">
        <v>1</v>
      </c>
      <c r="V1058" s="1" t="s">
        <v>308</v>
      </c>
      <c r="Y1058" s="10">
        <v>43463</v>
      </c>
      <c r="Z1058" s="1">
        <v>2018</v>
      </c>
      <c r="AA1058" s="2"/>
      <c r="AB1058" s="2"/>
      <c r="AC1058" s="2">
        <v>628913.94000000006</v>
      </c>
      <c r="AG1058" s="1" t="s">
        <v>56</v>
      </c>
      <c r="AI1058" s="2">
        <v>628913.94000000006</v>
      </c>
      <c r="AL1058" s="1" t="s">
        <v>4319</v>
      </c>
    </row>
    <row r="1059" spans="1:38" ht="14.45" customHeight="1" x14ac:dyDescent="0.2">
      <c r="A1059" s="1" t="s">
        <v>57</v>
      </c>
      <c r="B1059" s="9" t="s">
        <v>39</v>
      </c>
      <c r="C1059" s="1" t="s">
        <v>58</v>
      </c>
      <c r="D1059" s="1" t="s">
        <v>4315</v>
      </c>
      <c r="E1059" s="1" t="s">
        <v>42</v>
      </c>
      <c r="G1059" s="1" t="s">
        <v>4316</v>
      </c>
      <c r="H1059" s="1" t="s">
        <v>61</v>
      </c>
      <c r="I1059" s="1" t="s">
        <v>4856</v>
      </c>
      <c r="J1059" s="1">
        <v>2018</v>
      </c>
      <c r="P1059" s="1" t="s">
        <v>4457</v>
      </c>
      <c r="Q1059" s="1" t="s">
        <v>264</v>
      </c>
      <c r="R1059" s="1" t="s">
        <v>265</v>
      </c>
      <c r="S1059" s="1" t="s">
        <v>2680</v>
      </c>
      <c r="T1059" s="1" t="s">
        <v>2681</v>
      </c>
      <c r="U1059" s="1">
        <v>1</v>
      </c>
      <c r="V1059" s="1" t="s">
        <v>308</v>
      </c>
      <c r="Y1059" s="10">
        <v>43463</v>
      </c>
      <c r="Z1059" s="1">
        <v>2018</v>
      </c>
      <c r="AA1059" s="2"/>
      <c r="AB1059" s="2"/>
      <c r="AC1059" s="2">
        <v>413471.72000000003</v>
      </c>
      <c r="AG1059" s="1" t="s">
        <v>56</v>
      </c>
      <c r="AI1059" s="2">
        <v>413471.72000000003</v>
      </c>
      <c r="AL1059" s="1" t="s">
        <v>4319</v>
      </c>
    </row>
    <row r="1060" spans="1:38" ht="14.45" customHeight="1" x14ac:dyDescent="0.2">
      <c r="A1060" s="1" t="s">
        <v>57</v>
      </c>
      <c r="B1060" s="9" t="s">
        <v>39</v>
      </c>
      <c r="C1060" s="1" t="s">
        <v>58</v>
      </c>
      <c r="D1060" s="1" t="s">
        <v>4315</v>
      </c>
      <c r="E1060" s="1" t="s">
        <v>42</v>
      </c>
      <c r="G1060" s="1" t="s">
        <v>4316</v>
      </c>
      <c r="H1060" s="1" t="s">
        <v>61</v>
      </c>
      <c r="I1060" s="1" t="s">
        <v>4857</v>
      </c>
      <c r="J1060" s="1">
        <v>2018</v>
      </c>
      <c r="P1060" s="1" t="s">
        <v>4457</v>
      </c>
      <c r="Q1060" s="1" t="s">
        <v>264</v>
      </c>
      <c r="R1060" s="1" t="s">
        <v>265</v>
      </c>
      <c r="S1060" s="1" t="s">
        <v>2680</v>
      </c>
      <c r="T1060" s="1" t="s">
        <v>2681</v>
      </c>
      <c r="U1060" s="1">
        <v>1</v>
      </c>
      <c r="V1060" s="1" t="s">
        <v>308</v>
      </c>
      <c r="Y1060" s="10">
        <v>43463</v>
      </c>
      <c r="Z1060" s="1">
        <v>2018</v>
      </c>
      <c r="AA1060" s="2"/>
      <c r="AB1060" s="2"/>
      <c r="AC1060" s="2">
        <v>444306.19000000006</v>
      </c>
      <c r="AG1060" s="1" t="s">
        <v>56</v>
      </c>
      <c r="AI1060" s="2">
        <v>444306.19000000006</v>
      </c>
      <c r="AL1060" s="1" t="s">
        <v>4319</v>
      </c>
    </row>
    <row r="1061" spans="1:38" ht="14.45" customHeight="1" x14ac:dyDescent="0.2">
      <c r="A1061" s="1" t="s">
        <v>57</v>
      </c>
      <c r="B1061" s="9" t="s">
        <v>39</v>
      </c>
      <c r="C1061" s="1" t="s">
        <v>58</v>
      </c>
      <c r="D1061" s="1" t="s">
        <v>4315</v>
      </c>
      <c r="E1061" s="1" t="s">
        <v>42</v>
      </c>
      <c r="G1061" s="1" t="s">
        <v>4316</v>
      </c>
      <c r="H1061" s="1" t="s">
        <v>61</v>
      </c>
      <c r="I1061" s="1" t="s">
        <v>4858</v>
      </c>
      <c r="J1061" s="1">
        <v>2018</v>
      </c>
      <c r="P1061" s="1" t="s">
        <v>4457</v>
      </c>
      <c r="Q1061" s="1" t="s">
        <v>264</v>
      </c>
      <c r="R1061" s="1" t="s">
        <v>265</v>
      </c>
      <c r="S1061" s="1" t="s">
        <v>2680</v>
      </c>
      <c r="T1061" s="1" t="s">
        <v>2681</v>
      </c>
      <c r="U1061" s="1">
        <v>1</v>
      </c>
      <c r="V1061" s="1" t="s">
        <v>308</v>
      </c>
      <c r="Y1061" s="10">
        <v>43463</v>
      </c>
      <c r="Z1061" s="1">
        <v>2018</v>
      </c>
      <c r="AA1061" s="2"/>
      <c r="AB1061" s="2"/>
      <c r="AC1061" s="2">
        <v>541557.69999999995</v>
      </c>
      <c r="AG1061" s="1" t="s">
        <v>56</v>
      </c>
      <c r="AI1061" s="2">
        <v>541557.69999999995</v>
      </c>
      <c r="AL1061" s="1" t="s">
        <v>4319</v>
      </c>
    </row>
    <row r="1062" spans="1:38" ht="14.45" customHeight="1" x14ac:dyDescent="0.2">
      <c r="A1062" s="1" t="s">
        <v>57</v>
      </c>
      <c r="B1062" s="9" t="s">
        <v>39</v>
      </c>
      <c r="C1062" s="1" t="s">
        <v>58</v>
      </c>
      <c r="D1062" s="1" t="s">
        <v>4315</v>
      </c>
      <c r="E1062" s="1" t="s">
        <v>42</v>
      </c>
      <c r="G1062" s="1" t="s">
        <v>4316</v>
      </c>
      <c r="H1062" s="1" t="s">
        <v>61</v>
      </c>
      <c r="I1062" s="1" t="s">
        <v>4859</v>
      </c>
      <c r="J1062" s="1">
        <v>2018</v>
      </c>
      <c r="P1062" s="1" t="s">
        <v>4457</v>
      </c>
      <c r="Q1062" s="1" t="s">
        <v>264</v>
      </c>
      <c r="R1062" s="1" t="s">
        <v>265</v>
      </c>
      <c r="S1062" s="1" t="s">
        <v>2680</v>
      </c>
      <c r="T1062" s="1" t="s">
        <v>2681</v>
      </c>
      <c r="U1062" s="1">
        <v>1</v>
      </c>
      <c r="V1062" s="1" t="s">
        <v>308</v>
      </c>
      <c r="Y1062" s="10">
        <v>43463</v>
      </c>
      <c r="Z1062" s="1">
        <v>2018</v>
      </c>
      <c r="AA1062" s="2"/>
      <c r="AB1062" s="2"/>
      <c r="AC1062" s="2">
        <v>455133.5</v>
      </c>
      <c r="AG1062" s="1" t="s">
        <v>56</v>
      </c>
      <c r="AI1062" s="2">
        <v>455133.5</v>
      </c>
      <c r="AL1062" s="1" t="s">
        <v>4319</v>
      </c>
    </row>
    <row r="1063" spans="1:38" ht="14.45" customHeight="1" x14ac:dyDescent="0.2">
      <c r="A1063" s="1" t="s">
        <v>57</v>
      </c>
      <c r="B1063" s="9" t="s">
        <v>39</v>
      </c>
      <c r="C1063" s="1" t="s">
        <v>58</v>
      </c>
      <c r="D1063" s="1" t="s">
        <v>4315</v>
      </c>
      <c r="E1063" s="1" t="s">
        <v>42</v>
      </c>
      <c r="G1063" s="1" t="s">
        <v>4316</v>
      </c>
      <c r="H1063" s="1" t="s">
        <v>61</v>
      </c>
      <c r="I1063" s="1" t="s">
        <v>4860</v>
      </c>
      <c r="J1063" s="1">
        <v>2019</v>
      </c>
      <c r="P1063" s="1" t="s">
        <v>4457</v>
      </c>
      <c r="Q1063" s="1" t="s">
        <v>264</v>
      </c>
      <c r="R1063" s="1" t="s">
        <v>265</v>
      </c>
      <c r="S1063" s="1" t="s">
        <v>2680</v>
      </c>
      <c r="T1063" s="1" t="s">
        <v>2681</v>
      </c>
      <c r="U1063" s="1">
        <v>1</v>
      </c>
      <c r="V1063" s="1" t="s">
        <v>308</v>
      </c>
      <c r="Y1063" s="10">
        <v>43466</v>
      </c>
      <c r="Z1063" s="1">
        <v>2019</v>
      </c>
      <c r="AA1063" s="2"/>
      <c r="AB1063" s="2"/>
      <c r="AC1063" s="2">
        <v>618750.47000000009</v>
      </c>
      <c r="AG1063" s="1" t="s">
        <v>56</v>
      </c>
      <c r="AI1063" s="2">
        <v>618750.47000000009</v>
      </c>
      <c r="AL1063" s="1" t="s">
        <v>4319</v>
      </c>
    </row>
    <row r="1064" spans="1:38" ht="14.45" customHeight="1" x14ac:dyDescent="0.2">
      <c r="A1064" s="1" t="s">
        <v>57</v>
      </c>
      <c r="B1064" s="9" t="s">
        <v>39</v>
      </c>
      <c r="C1064" s="1" t="s">
        <v>58</v>
      </c>
      <c r="D1064" s="1" t="s">
        <v>4315</v>
      </c>
      <c r="E1064" s="1" t="s">
        <v>42</v>
      </c>
      <c r="G1064" s="1" t="s">
        <v>4316</v>
      </c>
      <c r="H1064" s="1" t="s">
        <v>61</v>
      </c>
      <c r="I1064" s="1" t="s">
        <v>4861</v>
      </c>
      <c r="J1064" s="1">
        <v>2018</v>
      </c>
      <c r="P1064" s="1" t="s">
        <v>4457</v>
      </c>
      <c r="Q1064" s="1" t="s">
        <v>264</v>
      </c>
      <c r="R1064" s="1" t="s">
        <v>265</v>
      </c>
      <c r="S1064" s="1" t="s">
        <v>2680</v>
      </c>
      <c r="T1064" s="1" t="s">
        <v>2681</v>
      </c>
      <c r="U1064" s="1">
        <v>1</v>
      </c>
      <c r="V1064" s="1" t="s">
        <v>308</v>
      </c>
      <c r="Y1064" s="10">
        <v>43463</v>
      </c>
      <c r="Z1064" s="1">
        <v>2018</v>
      </c>
      <c r="AA1064" s="2"/>
      <c r="AB1064" s="2"/>
      <c r="AC1064" s="2">
        <v>608546.34</v>
      </c>
      <c r="AG1064" s="1" t="s">
        <v>56</v>
      </c>
      <c r="AI1064" s="2">
        <v>608546.34</v>
      </c>
      <c r="AL1064" s="1" t="s">
        <v>4319</v>
      </c>
    </row>
    <row r="1065" spans="1:38" ht="14.45" customHeight="1" x14ac:dyDescent="0.2">
      <c r="A1065" s="1" t="s">
        <v>57</v>
      </c>
      <c r="B1065" s="9" t="s">
        <v>39</v>
      </c>
      <c r="C1065" s="1" t="s">
        <v>58</v>
      </c>
      <c r="D1065" s="1" t="s">
        <v>4315</v>
      </c>
      <c r="E1065" s="1" t="s">
        <v>42</v>
      </c>
      <c r="G1065" s="1" t="s">
        <v>4316</v>
      </c>
      <c r="H1065" s="1" t="s">
        <v>61</v>
      </c>
      <c r="I1065" s="1" t="s">
        <v>4862</v>
      </c>
      <c r="J1065" s="1">
        <v>2018</v>
      </c>
      <c r="P1065" s="1" t="s">
        <v>4457</v>
      </c>
      <c r="Q1065" s="1" t="s">
        <v>264</v>
      </c>
      <c r="R1065" s="1" t="s">
        <v>265</v>
      </c>
      <c r="S1065" s="1" t="s">
        <v>2680</v>
      </c>
      <c r="T1065" s="1" t="s">
        <v>2681</v>
      </c>
      <c r="U1065" s="1">
        <v>1</v>
      </c>
      <c r="V1065" s="1" t="s">
        <v>308</v>
      </c>
      <c r="Y1065" s="10">
        <v>43463</v>
      </c>
      <c r="Z1065" s="1">
        <v>2018</v>
      </c>
      <c r="AA1065" s="2"/>
      <c r="AB1065" s="2"/>
      <c r="AC1065" s="2">
        <v>458885.94999999995</v>
      </c>
      <c r="AG1065" s="1" t="s">
        <v>56</v>
      </c>
      <c r="AI1065" s="2">
        <v>458885.94999999995</v>
      </c>
      <c r="AL1065" s="1" t="s">
        <v>4319</v>
      </c>
    </row>
    <row r="1066" spans="1:38" ht="14.45" customHeight="1" x14ac:dyDescent="0.2">
      <c r="A1066" s="1" t="s">
        <v>57</v>
      </c>
      <c r="B1066" s="9" t="s">
        <v>39</v>
      </c>
      <c r="C1066" s="1" t="s">
        <v>58</v>
      </c>
      <c r="D1066" s="1" t="s">
        <v>4315</v>
      </c>
      <c r="E1066" s="1" t="s">
        <v>42</v>
      </c>
      <c r="G1066" s="1" t="s">
        <v>4316</v>
      </c>
      <c r="H1066" s="1" t="s">
        <v>61</v>
      </c>
      <c r="I1066" s="1" t="s">
        <v>4863</v>
      </c>
      <c r="J1066" s="1">
        <v>2018</v>
      </c>
      <c r="P1066" s="1" t="s">
        <v>4457</v>
      </c>
      <c r="Q1066" s="1" t="s">
        <v>264</v>
      </c>
      <c r="R1066" s="1" t="s">
        <v>265</v>
      </c>
      <c r="S1066" s="1" t="s">
        <v>2680</v>
      </c>
      <c r="T1066" s="1" t="s">
        <v>2681</v>
      </c>
      <c r="U1066" s="1">
        <v>1</v>
      </c>
      <c r="V1066" s="1" t="s">
        <v>308</v>
      </c>
      <c r="Y1066" s="10">
        <v>43463</v>
      </c>
      <c r="Z1066" s="1">
        <v>2018</v>
      </c>
      <c r="AA1066" s="2"/>
      <c r="AB1066" s="2"/>
      <c r="AC1066" s="2">
        <v>407108.58</v>
      </c>
      <c r="AG1066" s="1" t="s">
        <v>56</v>
      </c>
      <c r="AI1066" s="2">
        <v>407108.58</v>
      </c>
      <c r="AL1066" s="1" t="s">
        <v>4319</v>
      </c>
    </row>
    <row r="1067" spans="1:38" ht="14.45" customHeight="1" x14ac:dyDescent="0.2">
      <c r="A1067" s="1" t="s">
        <v>57</v>
      </c>
      <c r="B1067" s="9" t="s">
        <v>39</v>
      </c>
      <c r="C1067" s="1" t="s">
        <v>58</v>
      </c>
      <c r="D1067" s="1" t="s">
        <v>4315</v>
      </c>
      <c r="E1067" s="1" t="s">
        <v>42</v>
      </c>
      <c r="G1067" s="1" t="s">
        <v>4316</v>
      </c>
      <c r="H1067" s="1" t="s">
        <v>61</v>
      </c>
      <c r="I1067" s="1" t="s">
        <v>4864</v>
      </c>
      <c r="J1067" s="1">
        <v>2018</v>
      </c>
      <c r="P1067" s="1" t="s">
        <v>4457</v>
      </c>
      <c r="Q1067" s="1" t="s">
        <v>264</v>
      </c>
      <c r="R1067" s="1" t="s">
        <v>265</v>
      </c>
      <c r="S1067" s="1" t="s">
        <v>2680</v>
      </c>
      <c r="T1067" s="1" t="s">
        <v>2681</v>
      </c>
      <c r="U1067" s="1">
        <v>1</v>
      </c>
      <c r="V1067" s="1" t="s">
        <v>308</v>
      </c>
      <c r="Y1067" s="10">
        <v>43463</v>
      </c>
      <c r="Z1067" s="1">
        <v>2018</v>
      </c>
      <c r="AA1067" s="2"/>
      <c r="AB1067" s="2"/>
      <c r="AC1067" s="2">
        <v>675480.75</v>
      </c>
      <c r="AG1067" s="1" t="s">
        <v>56</v>
      </c>
      <c r="AI1067" s="2">
        <v>675480.75</v>
      </c>
      <c r="AL1067" s="1" t="s">
        <v>4319</v>
      </c>
    </row>
    <row r="1068" spans="1:38" ht="14.45" customHeight="1" x14ac:dyDescent="0.2">
      <c r="A1068" s="1" t="s">
        <v>57</v>
      </c>
      <c r="B1068" s="9" t="s">
        <v>39</v>
      </c>
      <c r="C1068" s="1" t="s">
        <v>58</v>
      </c>
      <c r="D1068" s="1" t="s">
        <v>4315</v>
      </c>
      <c r="E1068" s="1" t="s">
        <v>42</v>
      </c>
      <c r="G1068" s="1" t="s">
        <v>4316</v>
      </c>
      <c r="H1068" s="1" t="s">
        <v>61</v>
      </c>
      <c r="I1068" s="1" t="s">
        <v>4865</v>
      </c>
      <c r="J1068" s="1">
        <v>2018</v>
      </c>
      <c r="P1068" s="1" t="s">
        <v>4457</v>
      </c>
      <c r="Q1068" s="1" t="s">
        <v>264</v>
      </c>
      <c r="R1068" s="1" t="s">
        <v>265</v>
      </c>
      <c r="S1068" s="1" t="s">
        <v>2680</v>
      </c>
      <c r="T1068" s="1" t="s">
        <v>2681</v>
      </c>
      <c r="U1068" s="1">
        <v>1</v>
      </c>
      <c r="V1068" s="1" t="s">
        <v>308</v>
      </c>
      <c r="Y1068" s="10">
        <v>43463</v>
      </c>
      <c r="Z1068" s="1">
        <v>2018</v>
      </c>
      <c r="AA1068" s="2"/>
      <c r="AB1068" s="2"/>
      <c r="AC1068" s="2">
        <v>605254.82999999996</v>
      </c>
      <c r="AG1068" s="1" t="s">
        <v>56</v>
      </c>
      <c r="AI1068" s="2">
        <v>605254.82999999996</v>
      </c>
      <c r="AL1068" s="1" t="s">
        <v>4319</v>
      </c>
    </row>
    <row r="1069" spans="1:38" ht="14.45" customHeight="1" x14ac:dyDescent="0.2">
      <c r="A1069" s="1" t="s">
        <v>57</v>
      </c>
      <c r="B1069" s="9" t="s">
        <v>39</v>
      </c>
      <c r="C1069" s="1" t="s">
        <v>58</v>
      </c>
      <c r="D1069" s="1" t="s">
        <v>4315</v>
      </c>
      <c r="E1069" s="1" t="s">
        <v>42</v>
      </c>
      <c r="G1069" s="1" t="s">
        <v>4316</v>
      </c>
      <c r="H1069" s="1" t="s">
        <v>61</v>
      </c>
      <c r="I1069" s="1" t="s">
        <v>4866</v>
      </c>
      <c r="J1069" s="1">
        <v>2018</v>
      </c>
      <c r="P1069" s="1" t="s">
        <v>4457</v>
      </c>
      <c r="Q1069" s="1" t="s">
        <v>264</v>
      </c>
      <c r="R1069" s="1" t="s">
        <v>265</v>
      </c>
      <c r="S1069" s="1" t="s">
        <v>2680</v>
      </c>
      <c r="T1069" s="1" t="s">
        <v>2681</v>
      </c>
      <c r="U1069" s="1">
        <v>1</v>
      </c>
      <c r="V1069" s="1" t="s">
        <v>308</v>
      </c>
      <c r="Y1069" s="10">
        <v>43463</v>
      </c>
      <c r="Z1069" s="1">
        <v>2018</v>
      </c>
      <c r="AA1069" s="2"/>
      <c r="AB1069" s="2"/>
      <c r="AC1069" s="2">
        <v>625553.0199999999</v>
      </c>
      <c r="AG1069" s="1" t="s">
        <v>56</v>
      </c>
      <c r="AI1069" s="2">
        <v>625553.0199999999</v>
      </c>
      <c r="AL1069" s="1" t="s">
        <v>4319</v>
      </c>
    </row>
    <row r="1070" spans="1:38" ht="14.45" customHeight="1" x14ac:dyDescent="0.2">
      <c r="A1070" s="1" t="s">
        <v>57</v>
      </c>
      <c r="B1070" s="9" t="s">
        <v>39</v>
      </c>
      <c r="C1070" s="1" t="s">
        <v>58</v>
      </c>
      <c r="D1070" s="1" t="s">
        <v>4315</v>
      </c>
      <c r="E1070" s="1" t="s">
        <v>42</v>
      </c>
      <c r="G1070" s="1" t="s">
        <v>4316</v>
      </c>
      <c r="H1070" s="1" t="s">
        <v>61</v>
      </c>
      <c r="I1070" s="1" t="s">
        <v>4867</v>
      </c>
      <c r="J1070" s="1">
        <v>2018</v>
      </c>
      <c r="P1070" s="1" t="s">
        <v>4457</v>
      </c>
      <c r="Q1070" s="1" t="s">
        <v>264</v>
      </c>
      <c r="R1070" s="1" t="s">
        <v>265</v>
      </c>
      <c r="S1070" s="1" t="s">
        <v>2680</v>
      </c>
      <c r="T1070" s="1" t="s">
        <v>2681</v>
      </c>
      <c r="U1070" s="1">
        <v>1</v>
      </c>
      <c r="V1070" s="1" t="s">
        <v>308</v>
      </c>
      <c r="Y1070" s="10">
        <v>43463</v>
      </c>
      <c r="Z1070" s="1">
        <v>2018</v>
      </c>
      <c r="AA1070" s="2"/>
      <c r="AB1070" s="2"/>
      <c r="AC1070" s="2">
        <v>397689.45</v>
      </c>
      <c r="AG1070" s="1" t="s">
        <v>56</v>
      </c>
      <c r="AI1070" s="2">
        <v>397689.45</v>
      </c>
      <c r="AL1070" s="1" t="s">
        <v>4319</v>
      </c>
    </row>
    <row r="1071" spans="1:38" ht="14.45" customHeight="1" x14ac:dyDescent="0.2">
      <c r="A1071" s="1" t="s">
        <v>57</v>
      </c>
      <c r="B1071" s="9" t="s">
        <v>39</v>
      </c>
      <c r="C1071" s="1" t="s">
        <v>58</v>
      </c>
      <c r="D1071" s="1" t="s">
        <v>4315</v>
      </c>
      <c r="E1071" s="1" t="s">
        <v>42</v>
      </c>
      <c r="G1071" s="1" t="s">
        <v>4316</v>
      </c>
      <c r="H1071" s="1" t="s">
        <v>61</v>
      </c>
      <c r="I1071" s="1" t="s">
        <v>4868</v>
      </c>
      <c r="J1071" s="1">
        <v>2018</v>
      </c>
      <c r="P1071" s="1" t="s">
        <v>4457</v>
      </c>
      <c r="Q1071" s="1" t="s">
        <v>264</v>
      </c>
      <c r="R1071" s="1" t="s">
        <v>265</v>
      </c>
      <c r="S1071" s="1" t="s">
        <v>2680</v>
      </c>
      <c r="T1071" s="1" t="s">
        <v>2681</v>
      </c>
      <c r="U1071" s="1">
        <v>1</v>
      </c>
      <c r="V1071" s="1" t="s">
        <v>308</v>
      </c>
      <c r="Y1071" s="10">
        <v>43463</v>
      </c>
      <c r="Z1071" s="1">
        <v>2018</v>
      </c>
      <c r="AA1071" s="2"/>
      <c r="AB1071" s="2"/>
      <c r="AC1071" s="2">
        <v>482522.43000000005</v>
      </c>
      <c r="AG1071" s="1" t="s">
        <v>56</v>
      </c>
      <c r="AI1071" s="2">
        <v>482522.43000000005</v>
      </c>
      <c r="AL1071" s="1" t="s">
        <v>4319</v>
      </c>
    </row>
    <row r="1072" spans="1:38" ht="14.45" customHeight="1" x14ac:dyDescent="0.2">
      <c r="A1072" s="1" t="s">
        <v>57</v>
      </c>
      <c r="B1072" s="9" t="s">
        <v>39</v>
      </c>
      <c r="C1072" s="1" t="s">
        <v>58</v>
      </c>
      <c r="D1072" s="1" t="s">
        <v>4315</v>
      </c>
      <c r="E1072" s="1" t="s">
        <v>42</v>
      </c>
      <c r="G1072" s="1" t="s">
        <v>4316</v>
      </c>
      <c r="H1072" s="1" t="s">
        <v>61</v>
      </c>
      <c r="I1072" s="1" t="s">
        <v>4869</v>
      </c>
      <c r="J1072" s="1">
        <v>2018</v>
      </c>
      <c r="P1072" s="1" t="s">
        <v>4457</v>
      </c>
      <c r="Q1072" s="1" t="s">
        <v>264</v>
      </c>
      <c r="R1072" s="1" t="s">
        <v>265</v>
      </c>
      <c r="S1072" s="1" t="s">
        <v>2680</v>
      </c>
      <c r="T1072" s="1" t="s">
        <v>2681</v>
      </c>
      <c r="U1072" s="1">
        <v>1</v>
      </c>
      <c r="V1072" s="1" t="s">
        <v>308</v>
      </c>
      <c r="Y1072" s="10">
        <v>43463</v>
      </c>
      <c r="Z1072" s="1">
        <v>2018</v>
      </c>
      <c r="AA1072" s="2"/>
      <c r="AB1072" s="2"/>
      <c r="AC1072" s="2">
        <v>411922.26</v>
      </c>
      <c r="AG1072" s="1" t="s">
        <v>56</v>
      </c>
      <c r="AI1072" s="2">
        <v>411922.26</v>
      </c>
      <c r="AL1072" s="1" t="s">
        <v>4319</v>
      </c>
    </row>
    <row r="1073" spans="1:38" ht="14.45" customHeight="1" x14ac:dyDescent="0.2">
      <c r="A1073" s="1" t="s">
        <v>57</v>
      </c>
      <c r="B1073" s="9" t="s">
        <v>39</v>
      </c>
      <c r="C1073" s="1" t="s">
        <v>58</v>
      </c>
      <c r="D1073" s="1" t="s">
        <v>4315</v>
      </c>
      <c r="E1073" s="1" t="s">
        <v>42</v>
      </c>
      <c r="G1073" s="1" t="s">
        <v>4316</v>
      </c>
      <c r="H1073" s="1" t="s">
        <v>61</v>
      </c>
      <c r="I1073" s="1" t="s">
        <v>4870</v>
      </c>
      <c r="J1073" s="1">
        <v>2018</v>
      </c>
      <c r="P1073" s="1" t="s">
        <v>4457</v>
      </c>
      <c r="Q1073" s="1" t="s">
        <v>264</v>
      </c>
      <c r="R1073" s="1" t="s">
        <v>265</v>
      </c>
      <c r="S1073" s="1" t="s">
        <v>2680</v>
      </c>
      <c r="T1073" s="1" t="s">
        <v>2681</v>
      </c>
      <c r="U1073" s="1">
        <v>1</v>
      </c>
      <c r="V1073" s="1" t="s">
        <v>308</v>
      </c>
      <c r="Y1073" s="10">
        <v>43463</v>
      </c>
      <c r="Z1073" s="1">
        <v>2018</v>
      </c>
      <c r="AA1073" s="2"/>
      <c r="AB1073" s="2"/>
      <c r="AC1073" s="2">
        <v>563400.66999999993</v>
      </c>
      <c r="AG1073" s="1" t="s">
        <v>56</v>
      </c>
      <c r="AI1073" s="2">
        <v>563400.66999999993</v>
      </c>
      <c r="AL1073" s="1" t="s">
        <v>4319</v>
      </c>
    </row>
    <row r="1074" spans="1:38" ht="14.45" customHeight="1" x14ac:dyDescent="0.2">
      <c r="A1074" s="1" t="s">
        <v>57</v>
      </c>
      <c r="B1074" s="9" t="s">
        <v>39</v>
      </c>
      <c r="C1074" s="1" t="s">
        <v>58</v>
      </c>
      <c r="D1074" s="1" t="s">
        <v>4315</v>
      </c>
      <c r="E1074" s="1" t="s">
        <v>42</v>
      </c>
      <c r="G1074" s="1" t="s">
        <v>4316</v>
      </c>
      <c r="H1074" s="1" t="s">
        <v>61</v>
      </c>
      <c r="I1074" s="1" t="s">
        <v>4871</v>
      </c>
      <c r="J1074" s="1">
        <v>2018</v>
      </c>
      <c r="P1074" s="1" t="s">
        <v>4457</v>
      </c>
      <c r="Q1074" s="1" t="s">
        <v>264</v>
      </c>
      <c r="R1074" s="1" t="s">
        <v>265</v>
      </c>
      <c r="S1074" s="1" t="s">
        <v>2680</v>
      </c>
      <c r="T1074" s="1" t="s">
        <v>2681</v>
      </c>
      <c r="U1074" s="1">
        <v>1</v>
      </c>
      <c r="V1074" s="1" t="s">
        <v>308</v>
      </c>
      <c r="Y1074" s="10">
        <v>43463</v>
      </c>
      <c r="Z1074" s="1">
        <v>2018</v>
      </c>
      <c r="AA1074" s="2"/>
      <c r="AB1074" s="2"/>
      <c r="AC1074" s="2">
        <v>614678.30999999994</v>
      </c>
      <c r="AG1074" s="1" t="s">
        <v>56</v>
      </c>
      <c r="AI1074" s="2">
        <v>614678.30999999994</v>
      </c>
      <c r="AL1074" s="1" t="s">
        <v>4319</v>
      </c>
    </row>
    <row r="1075" spans="1:38" ht="14.45" customHeight="1" x14ac:dyDescent="0.2">
      <c r="A1075" s="1" t="s">
        <v>57</v>
      </c>
      <c r="B1075" s="9" t="s">
        <v>39</v>
      </c>
      <c r="C1075" s="1" t="s">
        <v>58</v>
      </c>
      <c r="D1075" s="1" t="s">
        <v>4315</v>
      </c>
      <c r="E1075" s="1" t="s">
        <v>42</v>
      </c>
      <c r="G1075" s="1" t="s">
        <v>4316</v>
      </c>
      <c r="H1075" s="1" t="s">
        <v>61</v>
      </c>
      <c r="I1075" s="1" t="s">
        <v>4872</v>
      </c>
      <c r="J1075" s="1">
        <v>2018</v>
      </c>
      <c r="P1075" s="1" t="s">
        <v>4457</v>
      </c>
      <c r="Q1075" s="1" t="s">
        <v>264</v>
      </c>
      <c r="R1075" s="1" t="s">
        <v>265</v>
      </c>
      <c r="S1075" s="1" t="s">
        <v>2680</v>
      </c>
      <c r="T1075" s="1" t="s">
        <v>2681</v>
      </c>
      <c r="U1075" s="1">
        <v>1</v>
      </c>
      <c r="V1075" s="1" t="s">
        <v>308</v>
      </c>
      <c r="Y1075" s="10">
        <v>43463</v>
      </c>
      <c r="Z1075" s="1">
        <v>2018</v>
      </c>
      <c r="AA1075" s="2"/>
      <c r="AB1075" s="2"/>
      <c r="AC1075" s="2">
        <v>415489.95</v>
      </c>
      <c r="AG1075" s="1" t="s">
        <v>56</v>
      </c>
      <c r="AI1075" s="2">
        <v>415489.95</v>
      </c>
      <c r="AL1075" s="1" t="s">
        <v>4319</v>
      </c>
    </row>
    <row r="1076" spans="1:38" ht="14.45" customHeight="1" x14ac:dyDescent="0.2">
      <c r="A1076" s="1" t="s">
        <v>57</v>
      </c>
      <c r="B1076" s="9" t="s">
        <v>39</v>
      </c>
      <c r="C1076" s="1" t="s">
        <v>58</v>
      </c>
      <c r="D1076" s="1" t="s">
        <v>4315</v>
      </c>
      <c r="E1076" s="1" t="s">
        <v>42</v>
      </c>
      <c r="G1076" s="1" t="s">
        <v>4316</v>
      </c>
      <c r="H1076" s="1" t="s">
        <v>61</v>
      </c>
      <c r="I1076" s="1" t="s">
        <v>4873</v>
      </c>
      <c r="J1076" s="1">
        <v>2018</v>
      </c>
      <c r="P1076" s="1" t="s">
        <v>4457</v>
      </c>
      <c r="Q1076" s="1" t="s">
        <v>264</v>
      </c>
      <c r="R1076" s="1" t="s">
        <v>265</v>
      </c>
      <c r="S1076" s="1" t="s">
        <v>2680</v>
      </c>
      <c r="T1076" s="1" t="s">
        <v>2681</v>
      </c>
      <c r="U1076" s="1">
        <v>1</v>
      </c>
      <c r="V1076" s="1" t="s">
        <v>308</v>
      </c>
      <c r="Y1076" s="10">
        <v>43463</v>
      </c>
      <c r="Z1076" s="1">
        <v>2018</v>
      </c>
      <c r="AA1076" s="2"/>
      <c r="AB1076" s="2"/>
      <c r="AC1076" s="2">
        <v>420393.94999999995</v>
      </c>
      <c r="AG1076" s="1" t="s">
        <v>56</v>
      </c>
      <c r="AI1076" s="2">
        <v>420393.94999999995</v>
      </c>
      <c r="AL1076" s="1" t="s">
        <v>4319</v>
      </c>
    </row>
    <row r="1077" spans="1:38" ht="14.45" customHeight="1" x14ac:dyDescent="0.2">
      <c r="A1077" s="1" t="s">
        <v>57</v>
      </c>
      <c r="B1077" s="9" t="s">
        <v>39</v>
      </c>
      <c r="C1077" s="1" t="s">
        <v>58</v>
      </c>
      <c r="D1077" s="1" t="s">
        <v>4315</v>
      </c>
      <c r="E1077" s="1" t="s">
        <v>42</v>
      </c>
      <c r="G1077" s="1" t="s">
        <v>4316</v>
      </c>
      <c r="H1077" s="1" t="s">
        <v>61</v>
      </c>
      <c r="I1077" s="1" t="s">
        <v>4874</v>
      </c>
      <c r="J1077" s="1">
        <v>2018</v>
      </c>
      <c r="P1077" s="1" t="s">
        <v>4457</v>
      </c>
      <c r="Q1077" s="1" t="s">
        <v>264</v>
      </c>
      <c r="R1077" s="1" t="s">
        <v>265</v>
      </c>
      <c r="S1077" s="1" t="s">
        <v>2680</v>
      </c>
      <c r="T1077" s="1" t="s">
        <v>2681</v>
      </c>
      <c r="U1077" s="1">
        <v>1</v>
      </c>
      <c r="V1077" s="1" t="s">
        <v>308</v>
      </c>
      <c r="Y1077" s="10">
        <v>43463</v>
      </c>
      <c r="Z1077" s="1">
        <v>2018</v>
      </c>
      <c r="AA1077" s="2"/>
      <c r="AB1077" s="2"/>
      <c r="AC1077" s="2">
        <v>599194.64</v>
      </c>
      <c r="AG1077" s="1" t="s">
        <v>56</v>
      </c>
      <c r="AI1077" s="2">
        <v>599194.64</v>
      </c>
      <c r="AL1077" s="1" t="s">
        <v>4319</v>
      </c>
    </row>
    <row r="1078" spans="1:38" ht="14.45" customHeight="1" x14ac:dyDescent="0.2">
      <c r="A1078" s="1" t="s">
        <v>57</v>
      </c>
      <c r="B1078" s="9" t="s">
        <v>39</v>
      </c>
      <c r="C1078" s="1" t="s">
        <v>58</v>
      </c>
      <c r="D1078" s="1" t="s">
        <v>4315</v>
      </c>
      <c r="E1078" s="1" t="s">
        <v>42</v>
      </c>
      <c r="G1078" s="1" t="s">
        <v>4316</v>
      </c>
      <c r="H1078" s="1" t="s">
        <v>61</v>
      </c>
      <c r="I1078" s="1" t="s">
        <v>4875</v>
      </c>
      <c r="J1078" s="1">
        <v>2018</v>
      </c>
      <c r="P1078" s="1" t="s">
        <v>4457</v>
      </c>
      <c r="Q1078" s="1" t="s">
        <v>264</v>
      </c>
      <c r="R1078" s="1" t="s">
        <v>265</v>
      </c>
      <c r="S1078" s="1" t="s">
        <v>2680</v>
      </c>
      <c r="T1078" s="1" t="s">
        <v>2681</v>
      </c>
      <c r="U1078" s="1">
        <v>1</v>
      </c>
      <c r="V1078" s="1" t="s">
        <v>308</v>
      </c>
      <c r="Y1078" s="10">
        <v>43463</v>
      </c>
      <c r="Z1078" s="1">
        <v>2018</v>
      </c>
      <c r="AA1078" s="2"/>
      <c r="AB1078" s="2"/>
      <c r="AC1078" s="2">
        <v>826511.37999999989</v>
      </c>
      <c r="AG1078" s="1" t="s">
        <v>56</v>
      </c>
      <c r="AI1078" s="2">
        <v>826511.37999999989</v>
      </c>
      <c r="AL1078" s="1" t="s">
        <v>4319</v>
      </c>
    </row>
    <row r="1079" spans="1:38" ht="14.45" customHeight="1" x14ac:dyDescent="0.2">
      <c r="A1079" s="1" t="s">
        <v>57</v>
      </c>
      <c r="B1079" s="9" t="s">
        <v>39</v>
      </c>
      <c r="C1079" s="1" t="s">
        <v>58</v>
      </c>
      <c r="D1079" s="1" t="s">
        <v>4315</v>
      </c>
      <c r="E1079" s="1" t="s">
        <v>42</v>
      </c>
      <c r="G1079" s="1" t="s">
        <v>4316</v>
      </c>
      <c r="H1079" s="1" t="s">
        <v>61</v>
      </c>
      <c r="I1079" s="1" t="s">
        <v>4876</v>
      </c>
      <c r="J1079" s="1">
        <v>2018</v>
      </c>
      <c r="P1079" s="1" t="s">
        <v>4457</v>
      </c>
      <c r="Q1079" s="1" t="s">
        <v>264</v>
      </c>
      <c r="R1079" s="1" t="s">
        <v>265</v>
      </c>
      <c r="S1079" s="1" t="s">
        <v>2680</v>
      </c>
      <c r="T1079" s="1" t="s">
        <v>2681</v>
      </c>
      <c r="U1079" s="1">
        <v>1</v>
      </c>
      <c r="V1079" s="1" t="s">
        <v>308</v>
      </c>
      <c r="Y1079" s="10">
        <v>43463</v>
      </c>
      <c r="Z1079" s="1">
        <v>2018</v>
      </c>
      <c r="AA1079" s="2"/>
      <c r="AB1079" s="2"/>
      <c r="AC1079" s="2">
        <v>660702.19999999995</v>
      </c>
      <c r="AG1079" s="1" t="s">
        <v>56</v>
      </c>
      <c r="AI1079" s="2">
        <v>660702.19999999995</v>
      </c>
      <c r="AL1079" s="1" t="s">
        <v>4319</v>
      </c>
    </row>
    <row r="1080" spans="1:38" ht="14.45" customHeight="1" x14ac:dyDescent="0.2">
      <c r="A1080" s="1" t="s">
        <v>57</v>
      </c>
      <c r="B1080" s="9" t="s">
        <v>39</v>
      </c>
      <c r="C1080" s="1" t="s">
        <v>58</v>
      </c>
      <c r="D1080" s="1" t="s">
        <v>4315</v>
      </c>
      <c r="E1080" s="1" t="s">
        <v>42</v>
      </c>
      <c r="G1080" s="1" t="s">
        <v>4316</v>
      </c>
      <c r="H1080" s="1" t="s">
        <v>61</v>
      </c>
      <c r="I1080" s="1" t="s">
        <v>4877</v>
      </c>
      <c r="J1080" s="1">
        <v>2018</v>
      </c>
      <c r="P1080" s="1" t="s">
        <v>4457</v>
      </c>
      <c r="Q1080" s="1" t="s">
        <v>264</v>
      </c>
      <c r="R1080" s="1" t="s">
        <v>265</v>
      </c>
      <c r="S1080" s="1" t="s">
        <v>2680</v>
      </c>
      <c r="T1080" s="1" t="s">
        <v>2681</v>
      </c>
      <c r="U1080" s="1">
        <v>1</v>
      </c>
      <c r="V1080" s="1" t="s">
        <v>308</v>
      </c>
      <c r="Y1080" s="10">
        <v>43463</v>
      </c>
      <c r="Z1080" s="1">
        <v>2018</v>
      </c>
      <c r="AA1080" s="2"/>
      <c r="AB1080" s="2"/>
      <c r="AC1080" s="2">
        <v>599533.81000000006</v>
      </c>
      <c r="AG1080" s="1" t="s">
        <v>56</v>
      </c>
      <c r="AI1080" s="2">
        <v>599533.81000000006</v>
      </c>
      <c r="AL1080" s="1" t="s">
        <v>4319</v>
      </c>
    </row>
    <row r="1081" spans="1:38" ht="14.45" customHeight="1" x14ac:dyDescent="0.2">
      <c r="A1081" s="1" t="s">
        <v>57</v>
      </c>
      <c r="B1081" s="9" t="s">
        <v>39</v>
      </c>
      <c r="C1081" s="1" t="s">
        <v>58</v>
      </c>
      <c r="D1081" s="1" t="s">
        <v>4315</v>
      </c>
      <c r="E1081" s="1" t="s">
        <v>42</v>
      </c>
      <c r="G1081" s="1" t="s">
        <v>4316</v>
      </c>
      <c r="H1081" s="1" t="s">
        <v>61</v>
      </c>
      <c r="I1081" s="1" t="s">
        <v>4878</v>
      </c>
      <c r="J1081" s="1">
        <v>2018</v>
      </c>
      <c r="P1081" s="1" t="s">
        <v>4457</v>
      </c>
      <c r="Q1081" s="1" t="s">
        <v>264</v>
      </c>
      <c r="R1081" s="1" t="s">
        <v>265</v>
      </c>
      <c r="S1081" s="1" t="s">
        <v>2680</v>
      </c>
      <c r="T1081" s="1" t="s">
        <v>2681</v>
      </c>
      <c r="U1081" s="1">
        <v>1</v>
      </c>
      <c r="V1081" s="1" t="s">
        <v>308</v>
      </c>
      <c r="Y1081" s="10">
        <v>43463</v>
      </c>
      <c r="Z1081" s="1">
        <v>2018</v>
      </c>
      <c r="AA1081" s="2"/>
      <c r="AB1081" s="2"/>
      <c r="AC1081" s="2">
        <v>536076.37</v>
      </c>
      <c r="AG1081" s="1" t="s">
        <v>56</v>
      </c>
      <c r="AI1081" s="2">
        <v>536076.37</v>
      </c>
      <c r="AL1081" s="1" t="s">
        <v>4319</v>
      </c>
    </row>
    <row r="1082" spans="1:38" ht="14.45" customHeight="1" x14ac:dyDescent="0.2">
      <c r="A1082" s="1" t="s">
        <v>57</v>
      </c>
      <c r="B1082" s="9" t="s">
        <v>39</v>
      </c>
      <c r="C1082" s="1" t="s">
        <v>58</v>
      </c>
      <c r="D1082" s="1" t="s">
        <v>4315</v>
      </c>
      <c r="E1082" s="1" t="s">
        <v>42</v>
      </c>
      <c r="G1082" s="1" t="s">
        <v>4316</v>
      </c>
      <c r="H1082" s="1" t="s">
        <v>61</v>
      </c>
      <c r="I1082" s="1" t="s">
        <v>4879</v>
      </c>
      <c r="J1082" s="1">
        <v>2018</v>
      </c>
      <c r="P1082" s="1" t="s">
        <v>4457</v>
      </c>
      <c r="Q1082" s="1" t="s">
        <v>264</v>
      </c>
      <c r="R1082" s="1" t="s">
        <v>265</v>
      </c>
      <c r="S1082" s="1" t="s">
        <v>2680</v>
      </c>
      <c r="T1082" s="1" t="s">
        <v>2681</v>
      </c>
      <c r="U1082" s="1">
        <v>1</v>
      </c>
      <c r="V1082" s="1" t="s">
        <v>308</v>
      </c>
      <c r="Y1082" s="10">
        <v>43463</v>
      </c>
      <c r="Z1082" s="1">
        <v>2018</v>
      </c>
      <c r="AA1082" s="2"/>
      <c r="AB1082" s="2"/>
      <c r="AC1082" s="2">
        <v>490648.4</v>
      </c>
      <c r="AG1082" s="1" t="s">
        <v>56</v>
      </c>
      <c r="AI1082" s="2">
        <v>490648.4</v>
      </c>
      <c r="AL1082" s="1" t="s">
        <v>4319</v>
      </c>
    </row>
    <row r="1083" spans="1:38" ht="14.45" customHeight="1" x14ac:dyDescent="0.2">
      <c r="A1083" s="1" t="s">
        <v>57</v>
      </c>
      <c r="B1083" s="9" t="s">
        <v>39</v>
      </c>
      <c r="C1083" s="1" t="s">
        <v>58</v>
      </c>
      <c r="D1083" s="1" t="s">
        <v>4315</v>
      </c>
      <c r="E1083" s="1" t="s">
        <v>42</v>
      </c>
      <c r="G1083" s="1" t="s">
        <v>4316</v>
      </c>
      <c r="H1083" s="1" t="s">
        <v>61</v>
      </c>
      <c r="I1083" s="1" t="s">
        <v>4880</v>
      </c>
      <c r="J1083" s="1">
        <v>2018</v>
      </c>
      <c r="P1083" s="1" t="s">
        <v>4457</v>
      </c>
      <c r="Q1083" s="1" t="s">
        <v>264</v>
      </c>
      <c r="R1083" s="1" t="s">
        <v>265</v>
      </c>
      <c r="S1083" s="1" t="s">
        <v>2680</v>
      </c>
      <c r="T1083" s="1" t="s">
        <v>2681</v>
      </c>
      <c r="U1083" s="1">
        <v>1</v>
      </c>
      <c r="V1083" s="1" t="s">
        <v>308</v>
      </c>
      <c r="Y1083" s="10">
        <v>43463</v>
      </c>
      <c r="Z1083" s="1">
        <v>2018</v>
      </c>
      <c r="AA1083" s="2"/>
      <c r="AB1083" s="2"/>
      <c r="AC1083" s="2">
        <v>440441.65</v>
      </c>
      <c r="AG1083" s="1" t="s">
        <v>56</v>
      </c>
      <c r="AI1083" s="2">
        <v>440441.65</v>
      </c>
      <c r="AL1083" s="1" t="s">
        <v>4319</v>
      </c>
    </row>
    <row r="1084" spans="1:38" ht="14.45" customHeight="1" x14ac:dyDescent="0.2">
      <c r="A1084" s="1" t="s">
        <v>57</v>
      </c>
      <c r="B1084" s="9" t="s">
        <v>39</v>
      </c>
      <c r="C1084" s="1" t="s">
        <v>58</v>
      </c>
      <c r="D1084" s="1" t="s">
        <v>4315</v>
      </c>
      <c r="E1084" s="1" t="s">
        <v>42</v>
      </c>
      <c r="G1084" s="1" t="s">
        <v>4316</v>
      </c>
      <c r="H1084" s="1" t="s">
        <v>61</v>
      </c>
      <c r="I1084" s="1" t="s">
        <v>4881</v>
      </c>
      <c r="J1084" s="1">
        <v>2018</v>
      </c>
      <c r="P1084" s="1" t="s">
        <v>4457</v>
      </c>
      <c r="Q1084" s="1" t="s">
        <v>264</v>
      </c>
      <c r="R1084" s="1" t="s">
        <v>265</v>
      </c>
      <c r="S1084" s="1" t="s">
        <v>2680</v>
      </c>
      <c r="T1084" s="1" t="s">
        <v>2681</v>
      </c>
      <c r="U1084" s="1">
        <v>1</v>
      </c>
      <c r="V1084" s="1" t="s">
        <v>308</v>
      </c>
      <c r="Y1084" s="10">
        <v>43463</v>
      </c>
      <c r="Z1084" s="1">
        <v>2018</v>
      </c>
      <c r="AA1084" s="2"/>
      <c r="AB1084" s="2"/>
      <c r="AC1084" s="2">
        <v>664680.13000000012</v>
      </c>
      <c r="AG1084" s="1" t="s">
        <v>56</v>
      </c>
      <c r="AI1084" s="2">
        <v>664680.13000000012</v>
      </c>
      <c r="AL1084" s="1" t="s">
        <v>4319</v>
      </c>
    </row>
    <row r="1085" spans="1:38" ht="14.45" customHeight="1" x14ac:dyDescent="0.2">
      <c r="A1085" s="1" t="s">
        <v>57</v>
      </c>
      <c r="B1085" s="9" t="s">
        <v>39</v>
      </c>
      <c r="C1085" s="1" t="s">
        <v>58</v>
      </c>
      <c r="D1085" s="1" t="s">
        <v>4315</v>
      </c>
      <c r="E1085" s="1" t="s">
        <v>42</v>
      </c>
      <c r="G1085" s="1" t="s">
        <v>4316</v>
      </c>
      <c r="H1085" s="1" t="s">
        <v>61</v>
      </c>
      <c r="I1085" s="1" t="s">
        <v>4882</v>
      </c>
      <c r="J1085" s="1">
        <v>2018</v>
      </c>
      <c r="P1085" s="1" t="s">
        <v>4457</v>
      </c>
      <c r="Q1085" s="1" t="s">
        <v>264</v>
      </c>
      <c r="R1085" s="1" t="s">
        <v>265</v>
      </c>
      <c r="S1085" s="1" t="s">
        <v>2680</v>
      </c>
      <c r="T1085" s="1" t="s">
        <v>2681</v>
      </c>
      <c r="U1085" s="1">
        <v>1</v>
      </c>
      <c r="V1085" s="1" t="s">
        <v>308</v>
      </c>
      <c r="Y1085" s="10">
        <v>43463</v>
      </c>
      <c r="Z1085" s="1">
        <v>2018</v>
      </c>
      <c r="AA1085" s="2"/>
      <c r="AB1085" s="2"/>
      <c r="AC1085" s="2">
        <v>603735.04000000004</v>
      </c>
      <c r="AG1085" s="1" t="s">
        <v>56</v>
      </c>
      <c r="AI1085" s="2">
        <v>603735.04000000004</v>
      </c>
      <c r="AL1085" s="1" t="s">
        <v>4319</v>
      </c>
    </row>
    <row r="1086" spans="1:38" ht="14.45" customHeight="1" x14ac:dyDescent="0.2">
      <c r="A1086" s="1" t="s">
        <v>57</v>
      </c>
      <c r="B1086" s="9" t="s">
        <v>39</v>
      </c>
      <c r="C1086" s="1" t="s">
        <v>58</v>
      </c>
      <c r="D1086" s="1" t="s">
        <v>4315</v>
      </c>
      <c r="E1086" s="1" t="s">
        <v>42</v>
      </c>
      <c r="G1086" s="1" t="s">
        <v>4316</v>
      </c>
      <c r="H1086" s="1" t="s">
        <v>61</v>
      </c>
      <c r="I1086" s="1" t="s">
        <v>4883</v>
      </c>
      <c r="J1086" s="1">
        <v>2018</v>
      </c>
      <c r="P1086" s="1" t="s">
        <v>4457</v>
      </c>
      <c r="Q1086" s="1" t="s">
        <v>264</v>
      </c>
      <c r="R1086" s="1" t="s">
        <v>265</v>
      </c>
      <c r="S1086" s="1" t="s">
        <v>2680</v>
      </c>
      <c r="T1086" s="1" t="s">
        <v>2681</v>
      </c>
      <c r="U1086" s="1">
        <v>1</v>
      </c>
      <c r="V1086" s="1" t="s">
        <v>308</v>
      </c>
      <c r="Y1086" s="10">
        <v>43463</v>
      </c>
      <c r="Z1086" s="1">
        <v>2018</v>
      </c>
      <c r="AA1086" s="2"/>
      <c r="AB1086" s="2"/>
      <c r="AC1086" s="2">
        <v>529337.16</v>
      </c>
      <c r="AG1086" s="1" t="s">
        <v>56</v>
      </c>
      <c r="AI1086" s="2">
        <v>529337.16</v>
      </c>
      <c r="AL1086" s="1" t="s">
        <v>4319</v>
      </c>
    </row>
    <row r="1087" spans="1:38" ht="14.45" customHeight="1" x14ac:dyDescent="0.2">
      <c r="A1087" s="1" t="s">
        <v>57</v>
      </c>
      <c r="B1087" s="9" t="s">
        <v>39</v>
      </c>
      <c r="C1087" s="1" t="s">
        <v>58</v>
      </c>
      <c r="D1087" s="1" t="s">
        <v>4315</v>
      </c>
      <c r="E1087" s="1" t="s">
        <v>42</v>
      </c>
      <c r="G1087" s="1" t="s">
        <v>4316</v>
      </c>
      <c r="H1087" s="1" t="s">
        <v>61</v>
      </c>
      <c r="I1087" s="1" t="s">
        <v>4884</v>
      </c>
      <c r="J1087" s="1">
        <v>2018</v>
      </c>
      <c r="P1087" s="1" t="s">
        <v>4457</v>
      </c>
      <c r="Q1087" s="1" t="s">
        <v>264</v>
      </c>
      <c r="R1087" s="1" t="s">
        <v>265</v>
      </c>
      <c r="S1087" s="1" t="s">
        <v>2680</v>
      </c>
      <c r="T1087" s="1" t="s">
        <v>2681</v>
      </c>
      <c r="U1087" s="1">
        <v>1</v>
      </c>
      <c r="V1087" s="1" t="s">
        <v>308</v>
      </c>
      <c r="Y1087" s="10">
        <v>43463</v>
      </c>
      <c r="Z1087" s="1">
        <v>2018</v>
      </c>
      <c r="AA1087" s="2"/>
      <c r="AB1087" s="2"/>
      <c r="AC1087" s="2">
        <v>805081.3899999999</v>
      </c>
      <c r="AG1087" s="1" t="s">
        <v>56</v>
      </c>
      <c r="AI1087" s="2">
        <v>805081.3899999999</v>
      </c>
      <c r="AL1087" s="1" t="s">
        <v>4319</v>
      </c>
    </row>
    <row r="1088" spans="1:38" ht="14.45" customHeight="1" x14ac:dyDescent="0.2">
      <c r="A1088" s="1" t="s">
        <v>57</v>
      </c>
      <c r="B1088" s="9" t="s">
        <v>39</v>
      </c>
      <c r="C1088" s="1" t="s">
        <v>58</v>
      </c>
      <c r="D1088" s="1" t="s">
        <v>4315</v>
      </c>
      <c r="E1088" s="1" t="s">
        <v>42</v>
      </c>
      <c r="G1088" s="1" t="s">
        <v>4316</v>
      </c>
      <c r="H1088" s="1" t="s">
        <v>61</v>
      </c>
      <c r="I1088" s="1" t="s">
        <v>4885</v>
      </c>
      <c r="J1088" s="1">
        <v>2018</v>
      </c>
      <c r="P1088" s="1" t="s">
        <v>4457</v>
      </c>
      <c r="Q1088" s="1" t="s">
        <v>264</v>
      </c>
      <c r="R1088" s="1" t="s">
        <v>265</v>
      </c>
      <c r="S1088" s="1" t="s">
        <v>2680</v>
      </c>
      <c r="T1088" s="1" t="s">
        <v>2681</v>
      </c>
      <c r="U1088" s="1">
        <v>1</v>
      </c>
      <c r="V1088" s="1" t="s">
        <v>308</v>
      </c>
      <c r="Y1088" s="10">
        <v>43463</v>
      </c>
      <c r="Z1088" s="1">
        <v>2018</v>
      </c>
      <c r="AA1088" s="2"/>
      <c r="AB1088" s="2"/>
      <c r="AC1088" s="2">
        <v>488855.13000000006</v>
      </c>
      <c r="AG1088" s="1" t="s">
        <v>56</v>
      </c>
      <c r="AI1088" s="2">
        <v>488855.13000000006</v>
      </c>
      <c r="AL1088" s="1" t="s">
        <v>4319</v>
      </c>
    </row>
    <row r="1089" spans="1:38" ht="14.45" customHeight="1" x14ac:dyDescent="0.2">
      <c r="A1089" s="1" t="s">
        <v>57</v>
      </c>
      <c r="B1089" s="9" t="s">
        <v>39</v>
      </c>
      <c r="C1089" s="1" t="s">
        <v>58</v>
      </c>
      <c r="D1089" s="1" t="s">
        <v>4315</v>
      </c>
      <c r="E1089" s="1" t="s">
        <v>42</v>
      </c>
      <c r="G1089" s="1" t="s">
        <v>4316</v>
      </c>
      <c r="H1089" s="1" t="s">
        <v>61</v>
      </c>
      <c r="I1089" s="1" t="s">
        <v>4886</v>
      </c>
      <c r="J1089" s="1">
        <v>2018</v>
      </c>
      <c r="P1089" s="1" t="s">
        <v>4457</v>
      </c>
      <c r="Q1089" s="1" t="s">
        <v>264</v>
      </c>
      <c r="R1089" s="1" t="s">
        <v>265</v>
      </c>
      <c r="S1089" s="1" t="s">
        <v>2680</v>
      </c>
      <c r="T1089" s="1" t="s">
        <v>2681</v>
      </c>
      <c r="U1089" s="1">
        <v>1</v>
      </c>
      <c r="V1089" s="1" t="s">
        <v>308</v>
      </c>
      <c r="Y1089" s="10">
        <v>43463</v>
      </c>
      <c r="Z1089" s="1">
        <v>2018</v>
      </c>
      <c r="AA1089" s="2"/>
      <c r="AB1089" s="2"/>
      <c r="AC1089" s="2">
        <v>587932.71</v>
      </c>
      <c r="AG1089" s="1" t="s">
        <v>56</v>
      </c>
      <c r="AI1089" s="2">
        <v>587932.71</v>
      </c>
      <c r="AL1089" s="1" t="s">
        <v>4319</v>
      </c>
    </row>
    <row r="1090" spans="1:38" ht="14.45" customHeight="1" x14ac:dyDescent="0.2">
      <c r="A1090" s="1" t="s">
        <v>57</v>
      </c>
      <c r="B1090" s="9" t="s">
        <v>39</v>
      </c>
      <c r="C1090" s="1" t="s">
        <v>58</v>
      </c>
      <c r="D1090" s="1" t="s">
        <v>4315</v>
      </c>
      <c r="E1090" s="1" t="s">
        <v>42</v>
      </c>
      <c r="G1090" s="1" t="s">
        <v>4316</v>
      </c>
      <c r="H1090" s="1" t="s">
        <v>61</v>
      </c>
      <c r="I1090" s="1" t="s">
        <v>4887</v>
      </c>
      <c r="J1090" s="1">
        <v>2018</v>
      </c>
      <c r="P1090" s="1" t="s">
        <v>4457</v>
      </c>
      <c r="Q1090" s="1" t="s">
        <v>264</v>
      </c>
      <c r="R1090" s="1" t="s">
        <v>265</v>
      </c>
      <c r="S1090" s="1" t="s">
        <v>2680</v>
      </c>
      <c r="T1090" s="1" t="s">
        <v>2681</v>
      </c>
      <c r="U1090" s="1">
        <v>1</v>
      </c>
      <c r="V1090" s="1" t="s">
        <v>308</v>
      </c>
      <c r="Y1090" s="10">
        <v>43463</v>
      </c>
      <c r="Z1090" s="1">
        <v>2018</v>
      </c>
      <c r="AA1090" s="2"/>
      <c r="AB1090" s="2"/>
      <c r="AC1090" s="2">
        <v>714892.62000000011</v>
      </c>
      <c r="AG1090" s="1" t="s">
        <v>56</v>
      </c>
      <c r="AI1090" s="2">
        <v>714892.62000000011</v>
      </c>
      <c r="AL1090" s="1" t="s">
        <v>4319</v>
      </c>
    </row>
    <row r="1091" spans="1:38" ht="14.45" customHeight="1" x14ac:dyDescent="0.2">
      <c r="A1091" s="1" t="s">
        <v>57</v>
      </c>
      <c r="B1091" s="9" t="s">
        <v>39</v>
      </c>
      <c r="C1091" s="1" t="s">
        <v>58</v>
      </c>
      <c r="D1091" s="1" t="s">
        <v>4315</v>
      </c>
      <c r="E1091" s="1" t="s">
        <v>42</v>
      </c>
      <c r="G1091" s="1" t="s">
        <v>4316</v>
      </c>
      <c r="H1091" s="1" t="s">
        <v>61</v>
      </c>
      <c r="I1091" s="1" t="s">
        <v>4888</v>
      </c>
      <c r="J1091" s="1">
        <v>2018</v>
      </c>
      <c r="P1091" s="1" t="s">
        <v>4457</v>
      </c>
      <c r="Q1091" s="1" t="s">
        <v>264</v>
      </c>
      <c r="R1091" s="1" t="s">
        <v>265</v>
      </c>
      <c r="S1091" s="1" t="s">
        <v>2680</v>
      </c>
      <c r="T1091" s="1" t="s">
        <v>2681</v>
      </c>
      <c r="U1091" s="1">
        <v>1</v>
      </c>
      <c r="V1091" s="1" t="s">
        <v>308</v>
      </c>
      <c r="Y1091" s="10">
        <v>43463</v>
      </c>
      <c r="Z1091" s="1">
        <v>2018</v>
      </c>
      <c r="AA1091" s="2"/>
      <c r="AB1091" s="2"/>
      <c r="AC1091" s="2">
        <v>691025.08999999985</v>
      </c>
      <c r="AG1091" s="1" t="s">
        <v>56</v>
      </c>
      <c r="AI1091" s="2">
        <v>691025.08999999985</v>
      </c>
      <c r="AL1091" s="1" t="s">
        <v>4319</v>
      </c>
    </row>
    <row r="1092" spans="1:38" ht="14.45" customHeight="1" x14ac:dyDescent="0.2">
      <c r="A1092" s="1" t="s">
        <v>57</v>
      </c>
      <c r="B1092" s="9" t="s">
        <v>39</v>
      </c>
      <c r="C1092" s="1" t="s">
        <v>58</v>
      </c>
      <c r="D1092" s="1" t="s">
        <v>4315</v>
      </c>
      <c r="E1092" s="1" t="s">
        <v>42</v>
      </c>
      <c r="G1092" s="1" t="s">
        <v>4316</v>
      </c>
      <c r="H1092" s="1" t="s">
        <v>61</v>
      </c>
      <c r="I1092" s="1" t="s">
        <v>4889</v>
      </c>
      <c r="J1092" s="1">
        <v>2018</v>
      </c>
      <c r="P1092" s="1" t="s">
        <v>4457</v>
      </c>
      <c r="Q1092" s="1" t="s">
        <v>264</v>
      </c>
      <c r="R1092" s="1" t="s">
        <v>265</v>
      </c>
      <c r="S1092" s="1" t="s">
        <v>2680</v>
      </c>
      <c r="T1092" s="1" t="s">
        <v>2681</v>
      </c>
      <c r="U1092" s="1">
        <v>1</v>
      </c>
      <c r="V1092" s="1" t="s">
        <v>308</v>
      </c>
      <c r="Y1092" s="10">
        <v>43463</v>
      </c>
      <c r="Z1092" s="1">
        <v>2018</v>
      </c>
      <c r="AA1092" s="2"/>
      <c r="AB1092" s="2"/>
      <c r="AC1092" s="2">
        <v>674655.05999999982</v>
      </c>
      <c r="AG1092" s="1" t="s">
        <v>56</v>
      </c>
      <c r="AI1092" s="2">
        <v>674655.05999999982</v>
      </c>
      <c r="AL1092" s="1" t="s">
        <v>4319</v>
      </c>
    </row>
    <row r="1093" spans="1:38" ht="14.45" customHeight="1" x14ac:dyDescent="0.2">
      <c r="A1093" s="1" t="s">
        <v>57</v>
      </c>
      <c r="B1093" s="9" t="s">
        <v>39</v>
      </c>
      <c r="C1093" s="1" t="s">
        <v>58</v>
      </c>
      <c r="D1093" s="1" t="s">
        <v>4315</v>
      </c>
      <c r="E1093" s="1" t="s">
        <v>42</v>
      </c>
      <c r="G1093" s="1" t="s">
        <v>4316</v>
      </c>
      <c r="H1093" s="1" t="s">
        <v>61</v>
      </c>
      <c r="I1093" s="1" t="s">
        <v>4890</v>
      </c>
      <c r="J1093" s="1">
        <v>2018</v>
      </c>
      <c r="P1093" s="1" t="s">
        <v>4457</v>
      </c>
      <c r="Q1093" s="1" t="s">
        <v>264</v>
      </c>
      <c r="R1093" s="1" t="s">
        <v>265</v>
      </c>
      <c r="S1093" s="1" t="s">
        <v>2680</v>
      </c>
      <c r="T1093" s="1" t="s">
        <v>2681</v>
      </c>
      <c r="U1093" s="1">
        <v>1</v>
      </c>
      <c r="V1093" s="1" t="s">
        <v>308</v>
      </c>
      <c r="Y1093" s="10">
        <v>43463</v>
      </c>
      <c r="Z1093" s="1">
        <v>2018</v>
      </c>
      <c r="AA1093" s="2"/>
      <c r="AB1093" s="2"/>
      <c r="AC1093" s="2">
        <v>738464.69</v>
      </c>
      <c r="AG1093" s="1" t="s">
        <v>56</v>
      </c>
      <c r="AI1093" s="2">
        <v>738464.69</v>
      </c>
      <c r="AL1093" s="1" t="s">
        <v>4319</v>
      </c>
    </row>
    <row r="1094" spans="1:38" ht="14.45" customHeight="1" x14ac:dyDescent="0.2">
      <c r="A1094" s="1" t="s">
        <v>57</v>
      </c>
      <c r="B1094" s="9" t="s">
        <v>39</v>
      </c>
      <c r="C1094" s="1" t="s">
        <v>58</v>
      </c>
      <c r="D1094" s="1" t="s">
        <v>4315</v>
      </c>
      <c r="E1094" s="1" t="s">
        <v>42</v>
      </c>
      <c r="G1094" s="1" t="s">
        <v>4316</v>
      </c>
      <c r="H1094" s="1" t="s">
        <v>61</v>
      </c>
      <c r="I1094" s="1" t="s">
        <v>4891</v>
      </c>
      <c r="J1094" s="1">
        <v>2018</v>
      </c>
      <c r="P1094" s="1" t="s">
        <v>4457</v>
      </c>
      <c r="Q1094" s="1" t="s">
        <v>264</v>
      </c>
      <c r="R1094" s="1" t="s">
        <v>265</v>
      </c>
      <c r="S1094" s="1" t="s">
        <v>2680</v>
      </c>
      <c r="T1094" s="1" t="s">
        <v>2681</v>
      </c>
      <c r="U1094" s="1">
        <v>1</v>
      </c>
      <c r="V1094" s="1" t="s">
        <v>308</v>
      </c>
      <c r="Y1094" s="10">
        <v>43463</v>
      </c>
      <c r="Z1094" s="1">
        <v>2018</v>
      </c>
      <c r="AA1094" s="2"/>
      <c r="AB1094" s="2"/>
      <c r="AC1094" s="2">
        <v>581888.65</v>
      </c>
      <c r="AG1094" s="1" t="s">
        <v>56</v>
      </c>
      <c r="AI1094" s="2">
        <v>581888.65</v>
      </c>
      <c r="AL1094" s="1" t="s">
        <v>4319</v>
      </c>
    </row>
    <row r="1095" spans="1:38" ht="14.45" customHeight="1" x14ac:dyDescent="0.2">
      <c r="A1095" s="1" t="s">
        <v>57</v>
      </c>
      <c r="B1095" s="9" t="s">
        <v>39</v>
      </c>
      <c r="C1095" s="1" t="s">
        <v>58</v>
      </c>
      <c r="D1095" s="1" t="s">
        <v>4315</v>
      </c>
      <c r="E1095" s="1" t="s">
        <v>42</v>
      </c>
      <c r="G1095" s="1" t="s">
        <v>4316</v>
      </c>
      <c r="H1095" s="1" t="s">
        <v>61</v>
      </c>
      <c r="I1095" s="1" t="s">
        <v>4892</v>
      </c>
      <c r="J1095" s="1">
        <v>2018</v>
      </c>
      <c r="P1095" s="1" t="s">
        <v>4457</v>
      </c>
      <c r="Q1095" s="1" t="s">
        <v>264</v>
      </c>
      <c r="R1095" s="1" t="s">
        <v>265</v>
      </c>
      <c r="S1095" s="1" t="s">
        <v>2680</v>
      </c>
      <c r="T1095" s="1" t="s">
        <v>2681</v>
      </c>
      <c r="U1095" s="1">
        <v>1</v>
      </c>
      <c r="V1095" s="1" t="s">
        <v>308</v>
      </c>
      <c r="Y1095" s="10">
        <v>43463</v>
      </c>
      <c r="Z1095" s="1">
        <v>2018</v>
      </c>
      <c r="AA1095" s="2"/>
      <c r="AB1095" s="2"/>
      <c r="AC1095" s="2">
        <v>509606.07</v>
      </c>
      <c r="AG1095" s="1" t="s">
        <v>56</v>
      </c>
      <c r="AI1095" s="2">
        <v>509606.07</v>
      </c>
      <c r="AL1095" s="1" t="s">
        <v>4319</v>
      </c>
    </row>
    <row r="1096" spans="1:38" ht="14.45" customHeight="1" x14ac:dyDescent="0.2">
      <c r="A1096" s="1" t="s">
        <v>57</v>
      </c>
      <c r="B1096" s="9" t="s">
        <v>39</v>
      </c>
      <c r="C1096" s="1" t="s">
        <v>58</v>
      </c>
      <c r="D1096" s="1" t="s">
        <v>4315</v>
      </c>
      <c r="E1096" s="1" t="s">
        <v>42</v>
      </c>
      <c r="G1096" s="1" t="s">
        <v>4316</v>
      </c>
      <c r="H1096" s="1" t="s">
        <v>61</v>
      </c>
      <c r="I1096" s="1" t="s">
        <v>4893</v>
      </c>
      <c r="J1096" s="1">
        <v>2018</v>
      </c>
      <c r="P1096" s="1" t="s">
        <v>4457</v>
      </c>
      <c r="Q1096" s="1" t="s">
        <v>264</v>
      </c>
      <c r="R1096" s="1" t="s">
        <v>265</v>
      </c>
      <c r="S1096" s="1" t="s">
        <v>2680</v>
      </c>
      <c r="T1096" s="1" t="s">
        <v>2681</v>
      </c>
      <c r="U1096" s="1">
        <v>1</v>
      </c>
      <c r="V1096" s="1" t="s">
        <v>308</v>
      </c>
      <c r="Y1096" s="10">
        <v>43463</v>
      </c>
      <c r="Z1096" s="1">
        <v>2018</v>
      </c>
      <c r="AA1096" s="2"/>
      <c r="AB1096" s="2"/>
      <c r="AC1096" s="2">
        <v>280800.25999999995</v>
      </c>
      <c r="AG1096" s="1" t="s">
        <v>56</v>
      </c>
      <c r="AI1096" s="2">
        <v>280800.25999999995</v>
      </c>
      <c r="AL1096" s="1" t="s">
        <v>4319</v>
      </c>
    </row>
    <row r="1097" spans="1:38" ht="14.45" customHeight="1" x14ac:dyDescent="0.2">
      <c r="A1097" s="1" t="s">
        <v>57</v>
      </c>
      <c r="B1097" s="9" t="s">
        <v>39</v>
      </c>
      <c r="C1097" s="1" t="s">
        <v>58</v>
      </c>
      <c r="D1097" s="1" t="s">
        <v>4315</v>
      </c>
      <c r="E1097" s="1" t="s">
        <v>42</v>
      </c>
      <c r="G1097" s="1" t="s">
        <v>4316</v>
      </c>
      <c r="H1097" s="1" t="s">
        <v>61</v>
      </c>
      <c r="I1097" s="1" t="s">
        <v>4894</v>
      </c>
      <c r="J1097" s="1">
        <v>2018</v>
      </c>
      <c r="P1097" s="1" t="s">
        <v>4457</v>
      </c>
      <c r="Q1097" s="1" t="s">
        <v>264</v>
      </c>
      <c r="R1097" s="1" t="s">
        <v>265</v>
      </c>
      <c r="S1097" s="1" t="s">
        <v>2680</v>
      </c>
      <c r="T1097" s="1" t="s">
        <v>2681</v>
      </c>
      <c r="U1097" s="1">
        <v>1</v>
      </c>
      <c r="V1097" s="1" t="s">
        <v>308</v>
      </c>
      <c r="Y1097" s="10">
        <v>43463</v>
      </c>
      <c r="Z1097" s="1">
        <v>2018</v>
      </c>
      <c r="AA1097" s="2"/>
      <c r="AB1097" s="2"/>
      <c r="AC1097" s="2">
        <v>677504.65000000014</v>
      </c>
      <c r="AG1097" s="1" t="s">
        <v>56</v>
      </c>
      <c r="AI1097" s="2">
        <v>677504.65000000014</v>
      </c>
      <c r="AL1097" s="1" t="s">
        <v>4319</v>
      </c>
    </row>
    <row r="1098" spans="1:38" ht="14.45" customHeight="1" x14ac:dyDescent="0.2">
      <c r="A1098" s="1" t="s">
        <v>57</v>
      </c>
      <c r="B1098" s="9" t="s">
        <v>39</v>
      </c>
      <c r="C1098" s="1" t="s">
        <v>58</v>
      </c>
      <c r="D1098" s="1" t="s">
        <v>4315</v>
      </c>
      <c r="E1098" s="1" t="s">
        <v>42</v>
      </c>
      <c r="G1098" s="1" t="s">
        <v>4316</v>
      </c>
      <c r="H1098" s="1" t="s">
        <v>61</v>
      </c>
      <c r="I1098" s="1" t="s">
        <v>4895</v>
      </c>
      <c r="J1098" s="1">
        <v>2018</v>
      </c>
      <c r="P1098" s="1" t="s">
        <v>4457</v>
      </c>
      <c r="Q1098" s="1" t="s">
        <v>264</v>
      </c>
      <c r="R1098" s="1" t="s">
        <v>265</v>
      </c>
      <c r="S1098" s="1" t="s">
        <v>2680</v>
      </c>
      <c r="T1098" s="1" t="s">
        <v>2681</v>
      </c>
      <c r="U1098" s="1">
        <v>1</v>
      </c>
      <c r="V1098" s="1" t="s">
        <v>308</v>
      </c>
      <c r="Y1098" s="10">
        <v>43463</v>
      </c>
      <c r="Z1098" s="1">
        <v>2018</v>
      </c>
      <c r="AA1098" s="2"/>
      <c r="AB1098" s="2"/>
      <c r="AC1098" s="2">
        <v>596348.02</v>
      </c>
      <c r="AG1098" s="1" t="s">
        <v>56</v>
      </c>
      <c r="AI1098" s="2">
        <v>596348.02</v>
      </c>
      <c r="AL1098" s="1" t="s">
        <v>4319</v>
      </c>
    </row>
    <row r="1099" spans="1:38" ht="14.45" customHeight="1" x14ac:dyDescent="0.2">
      <c r="A1099" s="1" t="s">
        <v>57</v>
      </c>
      <c r="B1099" s="9" t="s">
        <v>39</v>
      </c>
      <c r="C1099" s="1" t="s">
        <v>58</v>
      </c>
      <c r="D1099" s="1" t="s">
        <v>4315</v>
      </c>
      <c r="E1099" s="1" t="s">
        <v>42</v>
      </c>
      <c r="G1099" s="1" t="s">
        <v>4316</v>
      </c>
      <c r="H1099" s="1" t="s">
        <v>61</v>
      </c>
      <c r="I1099" s="1" t="s">
        <v>4896</v>
      </c>
      <c r="J1099" s="1">
        <v>2018</v>
      </c>
      <c r="P1099" s="1" t="s">
        <v>4457</v>
      </c>
      <c r="Q1099" s="1" t="s">
        <v>264</v>
      </c>
      <c r="R1099" s="1" t="s">
        <v>265</v>
      </c>
      <c r="S1099" s="1" t="s">
        <v>2680</v>
      </c>
      <c r="T1099" s="1" t="s">
        <v>2681</v>
      </c>
      <c r="U1099" s="1">
        <v>1</v>
      </c>
      <c r="V1099" s="1" t="s">
        <v>308</v>
      </c>
      <c r="Y1099" s="10">
        <v>43463</v>
      </c>
      <c r="Z1099" s="1">
        <v>2018</v>
      </c>
      <c r="AA1099" s="2"/>
      <c r="AB1099" s="2"/>
      <c r="AC1099" s="2">
        <v>560320.42000000004</v>
      </c>
      <c r="AG1099" s="1" t="s">
        <v>56</v>
      </c>
      <c r="AI1099" s="2">
        <v>560320.42000000004</v>
      </c>
      <c r="AL1099" s="1" t="s">
        <v>4319</v>
      </c>
    </row>
    <row r="1100" spans="1:38" ht="14.45" customHeight="1" x14ac:dyDescent="0.2">
      <c r="A1100" s="1" t="s">
        <v>57</v>
      </c>
      <c r="B1100" s="9" t="s">
        <v>39</v>
      </c>
      <c r="C1100" s="1" t="s">
        <v>58</v>
      </c>
      <c r="D1100" s="1" t="s">
        <v>4315</v>
      </c>
      <c r="E1100" s="1" t="s">
        <v>42</v>
      </c>
      <c r="G1100" s="1" t="s">
        <v>4316</v>
      </c>
      <c r="H1100" s="1" t="s">
        <v>61</v>
      </c>
      <c r="I1100" s="1" t="s">
        <v>4897</v>
      </c>
      <c r="J1100" s="1">
        <v>2018</v>
      </c>
      <c r="P1100" s="1" t="s">
        <v>4457</v>
      </c>
      <c r="Q1100" s="1" t="s">
        <v>264</v>
      </c>
      <c r="R1100" s="1" t="s">
        <v>265</v>
      </c>
      <c r="S1100" s="1" t="s">
        <v>2680</v>
      </c>
      <c r="T1100" s="1" t="s">
        <v>2681</v>
      </c>
      <c r="U1100" s="1">
        <v>1</v>
      </c>
      <c r="V1100" s="1" t="s">
        <v>308</v>
      </c>
      <c r="Y1100" s="10">
        <v>43463</v>
      </c>
      <c r="Z1100" s="1">
        <v>2018</v>
      </c>
      <c r="AA1100" s="2"/>
      <c r="AB1100" s="2"/>
      <c r="AC1100" s="2">
        <v>563303.91</v>
      </c>
      <c r="AG1100" s="1" t="s">
        <v>56</v>
      </c>
      <c r="AI1100" s="2">
        <v>563303.91</v>
      </c>
      <c r="AL1100" s="1" t="s">
        <v>4319</v>
      </c>
    </row>
    <row r="1101" spans="1:38" ht="14.45" customHeight="1" x14ac:dyDescent="0.2">
      <c r="A1101" s="1" t="s">
        <v>57</v>
      </c>
      <c r="B1101" s="9" t="s">
        <v>39</v>
      </c>
      <c r="C1101" s="1" t="s">
        <v>58</v>
      </c>
      <c r="D1101" s="1" t="s">
        <v>4315</v>
      </c>
      <c r="E1101" s="1" t="s">
        <v>42</v>
      </c>
      <c r="G1101" s="1" t="s">
        <v>4316</v>
      </c>
      <c r="H1101" s="1" t="s">
        <v>61</v>
      </c>
      <c r="I1101" s="1" t="s">
        <v>4898</v>
      </c>
      <c r="J1101" s="1">
        <v>2018</v>
      </c>
      <c r="P1101" s="1" t="s">
        <v>4457</v>
      </c>
      <c r="Q1101" s="1" t="s">
        <v>264</v>
      </c>
      <c r="R1101" s="1" t="s">
        <v>265</v>
      </c>
      <c r="S1101" s="1" t="s">
        <v>2680</v>
      </c>
      <c r="T1101" s="1" t="s">
        <v>2681</v>
      </c>
      <c r="U1101" s="1">
        <v>1</v>
      </c>
      <c r="V1101" s="1" t="s">
        <v>308</v>
      </c>
      <c r="Y1101" s="10">
        <v>43463</v>
      </c>
      <c r="Z1101" s="1">
        <v>2018</v>
      </c>
      <c r="AA1101" s="2"/>
      <c r="AB1101" s="2"/>
      <c r="AC1101" s="2">
        <v>678984.51999999979</v>
      </c>
      <c r="AG1101" s="1" t="s">
        <v>56</v>
      </c>
      <c r="AI1101" s="2">
        <v>678984.51999999979</v>
      </c>
      <c r="AL1101" s="1" t="s">
        <v>4319</v>
      </c>
    </row>
    <row r="1102" spans="1:38" ht="14.45" customHeight="1" x14ac:dyDescent="0.2">
      <c r="A1102" s="1" t="s">
        <v>57</v>
      </c>
      <c r="B1102" s="9" t="s">
        <v>39</v>
      </c>
      <c r="C1102" s="1" t="s">
        <v>58</v>
      </c>
      <c r="D1102" s="1" t="s">
        <v>4315</v>
      </c>
      <c r="E1102" s="1" t="s">
        <v>42</v>
      </c>
      <c r="G1102" s="1" t="s">
        <v>4316</v>
      </c>
      <c r="H1102" s="1" t="s">
        <v>61</v>
      </c>
      <c r="I1102" s="1" t="s">
        <v>4899</v>
      </c>
      <c r="J1102" s="1">
        <v>2018</v>
      </c>
      <c r="P1102" s="1" t="s">
        <v>4457</v>
      </c>
      <c r="Q1102" s="1" t="s">
        <v>264</v>
      </c>
      <c r="R1102" s="1" t="s">
        <v>265</v>
      </c>
      <c r="S1102" s="1" t="s">
        <v>2680</v>
      </c>
      <c r="T1102" s="1" t="s">
        <v>2681</v>
      </c>
      <c r="U1102" s="1">
        <v>1</v>
      </c>
      <c r="V1102" s="1" t="s">
        <v>308</v>
      </c>
      <c r="Y1102" s="10">
        <v>43463</v>
      </c>
      <c r="Z1102" s="1">
        <v>2018</v>
      </c>
      <c r="AA1102" s="2"/>
      <c r="AB1102" s="2"/>
      <c r="AC1102" s="2">
        <v>656541.82999999996</v>
      </c>
      <c r="AG1102" s="1" t="s">
        <v>56</v>
      </c>
      <c r="AI1102" s="2">
        <v>656541.82999999996</v>
      </c>
      <c r="AL1102" s="1" t="s">
        <v>4319</v>
      </c>
    </row>
    <row r="1103" spans="1:38" ht="14.45" customHeight="1" x14ac:dyDescent="0.2">
      <c r="A1103" s="1" t="s">
        <v>57</v>
      </c>
      <c r="B1103" s="9" t="s">
        <v>39</v>
      </c>
      <c r="C1103" s="1" t="s">
        <v>58</v>
      </c>
      <c r="D1103" s="1" t="s">
        <v>4315</v>
      </c>
      <c r="E1103" s="1" t="s">
        <v>42</v>
      </c>
      <c r="G1103" s="1" t="s">
        <v>4316</v>
      </c>
      <c r="H1103" s="1" t="s">
        <v>61</v>
      </c>
      <c r="I1103" s="1" t="s">
        <v>4900</v>
      </c>
      <c r="J1103" s="1">
        <v>2018</v>
      </c>
      <c r="P1103" s="1" t="s">
        <v>4457</v>
      </c>
      <c r="Q1103" s="1" t="s">
        <v>264</v>
      </c>
      <c r="R1103" s="1" t="s">
        <v>265</v>
      </c>
      <c r="S1103" s="1" t="s">
        <v>2680</v>
      </c>
      <c r="T1103" s="1" t="s">
        <v>2681</v>
      </c>
      <c r="U1103" s="1">
        <v>1</v>
      </c>
      <c r="V1103" s="1" t="s">
        <v>308</v>
      </c>
      <c r="Y1103" s="10">
        <v>43463</v>
      </c>
      <c r="Z1103" s="1">
        <v>2018</v>
      </c>
      <c r="AA1103" s="2"/>
      <c r="AB1103" s="2"/>
      <c r="AC1103" s="2">
        <v>319856.79000000004</v>
      </c>
      <c r="AG1103" s="1" t="s">
        <v>56</v>
      </c>
      <c r="AI1103" s="2">
        <v>319856.79000000004</v>
      </c>
      <c r="AL1103" s="1" t="s">
        <v>4319</v>
      </c>
    </row>
    <row r="1104" spans="1:38" ht="14.45" customHeight="1" x14ac:dyDescent="0.2">
      <c r="A1104" s="1" t="s">
        <v>57</v>
      </c>
      <c r="B1104" s="9" t="s">
        <v>39</v>
      </c>
      <c r="C1104" s="1" t="s">
        <v>58</v>
      </c>
      <c r="D1104" s="1" t="s">
        <v>4315</v>
      </c>
      <c r="E1104" s="1" t="s">
        <v>42</v>
      </c>
      <c r="G1104" s="1" t="s">
        <v>4316</v>
      </c>
      <c r="H1104" s="1" t="s">
        <v>61</v>
      </c>
      <c r="I1104" s="1" t="s">
        <v>4901</v>
      </c>
      <c r="J1104" s="1">
        <v>2018</v>
      </c>
      <c r="P1104" s="1" t="s">
        <v>4457</v>
      </c>
      <c r="Q1104" s="1" t="s">
        <v>264</v>
      </c>
      <c r="R1104" s="1" t="s">
        <v>265</v>
      </c>
      <c r="S1104" s="1" t="s">
        <v>2680</v>
      </c>
      <c r="T1104" s="1" t="s">
        <v>2681</v>
      </c>
      <c r="U1104" s="1">
        <v>1</v>
      </c>
      <c r="V1104" s="1" t="s">
        <v>308</v>
      </c>
      <c r="Y1104" s="10">
        <v>43463</v>
      </c>
      <c r="Z1104" s="1">
        <v>2018</v>
      </c>
      <c r="AA1104" s="2"/>
      <c r="AB1104" s="2"/>
      <c r="AC1104" s="2">
        <v>379196.42</v>
      </c>
      <c r="AG1104" s="1" t="s">
        <v>56</v>
      </c>
      <c r="AI1104" s="2">
        <v>379196.42</v>
      </c>
      <c r="AL1104" s="1" t="s">
        <v>4319</v>
      </c>
    </row>
    <row r="1105" spans="1:38" ht="14.45" customHeight="1" x14ac:dyDescent="0.2">
      <c r="A1105" s="1" t="s">
        <v>57</v>
      </c>
      <c r="B1105" s="9" t="s">
        <v>39</v>
      </c>
      <c r="C1105" s="1" t="s">
        <v>58</v>
      </c>
      <c r="D1105" s="1" t="s">
        <v>4315</v>
      </c>
      <c r="E1105" s="1" t="s">
        <v>42</v>
      </c>
      <c r="G1105" s="1" t="s">
        <v>4316</v>
      </c>
      <c r="H1105" s="1" t="s">
        <v>61</v>
      </c>
      <c r="I1105" s="1" t="s">
        <v>4902</v>
      </c>
      <c r="J1105" s="1">
        <v>2019</v>
      </c>
      <c r="P1105" s="1" t="s">
        <v>4903</v>
      </c>
      <c r="Q1105" s="1" t="s">
        <v>842</v>
      </c>
      <c r="R1105" s="1" t="s">
        <v>884</v>
      </c>
      <c r="S1105" s="1" t="s">
        <v>1793</v>
      </c>
      <c r="T1105" s="1" t="s">
        <v>1794</v>
      </c>
      <c r="V1105" s="1" t="s">
        <v>887</v>
      </c>
      <c r="Y1105" s="10">
        <v>43800</v>
      </c>
      <c r="Z1105" s="1">
        <v>2019</v>
      </c>
      <c r="AA1105" s="2"/>
      <c r="AB1105" s="2"/>
      <c r="AC1105" s="2">
        <v>442006.85000000003</v>
      </c>
      <c r="AG1105" s="1" t="s">
        <v>56</v>
      </c>
      <c r="AI1105" s="2">
        <v>442006.85000000003</v>
      </c>
      <c r="AL1105" s="1" t="s">
        <v>4319</v>
      </c>
    </row>
    <row r="1106" spans="1:38" ht="14.45" customHeight="1" x14ac:dyDescent="0.2">
      <c r="A1106" s="1" t="s">
        <v>57</v>
      </c>
      <c r="B1106" s="9" t="s">
        <v>39</v>
      </c>
      <c r="C1106" s="1" t="s">
        <v>58</v>
      </c>
      <c r="D1106" s="1" t="s">
        <v>4315</v>
      </c>
      <c r="E1106" s="1" t="s">
        <v>42</v>
      </c>
      <c r="G1106" s="1" t="s">
        <v>4316</v>
      </c>
      <c r="H1106" s="1" t="s">
        <v>61</v>
      </c>
      <c r="I1106" s="1" t="s">
        <v>4904</v>
      </c>
      <c r="J1106" s="1">
        <v>2019</v>
      </c>
      <c r="P1106" s="1" t="s">
        <v>4903</v>
      </c>
      <c r="Q1106" s="1" t="s">
        <v>842</v>
      </c>
      <c r="R1106" s="1" t="s">
        <v>884</v>
      </c>
      <c r="S1106" s="1" t="s">
        <v>1793</v>
      </c>
      <c r="T1106" s="1" t="s">
        <v>1794</v>
      </c>
      <c r="V1106" s="1" t="s">
        <v>887</v>
      </c>
      <c r="Y1106" s="10">
        <v>43800</v>
      </c>
      <c r="Z1106" s="1">
        <v>2019</v>
      </c>
      <c r="AA1106" s="2"/>
      <c r="AB1106" s="2"/>
      <c r="AC1106" s="2">
        <v>519553.22000000003</v>
      </c>
      <c r="AG1106" s="1" t="s">
        <v>56</v>
      </c>
      <c r="AI1106" s="2">
        <v>519553.22000000003</v>
      </c>
      <c r="AL1106" s="1" t="s">
        <v>4319</v>
      </c>
    </row>
    <row r="1107" spans="1:38" ht="14.45" customHeight="1" x14ac:dyDescent="0.2">
      <c r="A1107" s="1" t="s">
        <v>57</v>
      </c>
      <c r="B1107" s="9" t="s">
        <v>39</v>
      </c>
      <c r="C1107" s="1" t="s">
        <v>58</v>
      </c>
      <c r="D1107" s="1" t="s">
        <v>4315</v>
      </c>
      <c r="E1107" s="1" t="s">
        <v>42</v>
      </c>
      <c r="G1107" s="1" t="s">
        <v>4316</v>
      </c>
      <c r="H1107" s="1" t="s">
        <v>61</v>
      </c>
      <c r="I1107" s="1" t="s">
        <v>4905</v>
      </c>
      <c r="J1107" s="1">
        <v>2019</v>
      </c>
      <c r="P1107" s="1" t="s">
        <v>4903</v>
      </c>
      <c r="Q1107" s="1" t="s">
        <v>842</v>
      </c>
      <c r="R1107" s="1" t="s">
        <v>884</v>
      </c>
      <c r="S1107" s="1" t="s">
        <v>1793</v>
      </c>
      <c r="T1107" s="1" t="s">
        <v>1794</v>
      </c>
      <c r="V1107" s="1" t="s">
        <v>887</v>
      </c>
      <c r="Y1107" s="10">
        <v>43800</v>
      </c>
      <c r="Z1107" s="1">
        <v>2019</v>
      </c>
      <c r="AA1107" s="2"/>
      <c r="AB1107" s="2"/>
      <c r="AC1107" s="2">
        <v>745235.96000000008</v>
      </c>
      <c r="AG1107" s="1" t="s">
        <v>56</v>
      </c>
      <c r="AI1107" s="2">
        <v>745235.96000000008</v>
      </c>
      <c r="AL1107" s="1" t="s">
        <v>4319</v>
      </c>
    </row>
    <row r="1108" spans="1:38" ht="14.45" customHeight="1" x14ac:dyDescent="0.2">
      <c r="A1108" s="1" t="s">
        <v>57</v>
      </c>
      <c r="B1108" s="9" t="s">
        <v>39</v>
      </c>
      <c r="C1108" s="1" t="s">
        <v>58</v>
      </c>
      <c r="D1108" s="1" t="s">
        <v>4315</v>
      </c>
      <c r="E1108" s="1" t="s">
        <v>42</v>
      </c>
      <c r="G1108" s="1" t="s">
        <v>4316</v>
      </c>
      <c r="H1108" s="1" t="s">
        <v>61</v>
      </c>
      <c r="I1108" s="1" t="s">
        <v>4906</v>
      </c>
      <c r="J1108" s="1">
        <v>2021</v>
      </c>
      <c r="P1108" s="1" t="s">
        <v>4907</v>
      </c>
      <c r="Q1108" s="1" t="s">
        <v>110</v>
      </c>
      <c r="R1108" s="1" t="s">
        <v>605</v>
      </c>
      <c r="S1108" s="1" t="s">
        <v>606</v>
      </c>
      <c r="T1108" s="1" t="s">
        <v>607</v>
      </c>
      <c r="U1108" s="1">
        <v>1</v>
      </c>
      <c r="V1108" s="1" t="s">
        <v>80</v>
      </c>
      <c r="Y1108" s="10">
        <v>44378</v>
      </c>
      <c r="Z1108" s="1">
        <v>2021</v>
      </c>
      <c r="AA1108" s="2"/>
      <c r="AB1108" s="2"/>
      <c r="AC1108" s="2">
        <v>770358.51999999979</v>
      </c>
      <c r="AG1108" s="1" t="s">
        <v>56</v>
      </c>
      <c r="AI1108" s="2">
        <v>770358.51999999979</v>
      </c>
      <c r="AL1108" s="1" t="s">
        <v>4319</v>
      </c>
    </row>
    <row r="1109" spans="1:38" ht="14.45" customHeight="1" x14ac:dyDescent="0.2">
      <c r="A1109" s="1" t="s">
        <v>57</v>
      </c>
      <c r="B1109" s="9" t="s">
        <v>39</v>
      </c>
      <c r="C1109" s="1" t="s">
        <v>58</v>
      </c>
      <c r="D1109" s="1" t="s">
        <v>4315</v>
      </c>
      <c r="E1109" s="1" t="s">
        <v>42</v>
      </c>
      <c r="G1109" s="1" t="s">
        <v>4316</v>
      </c>
      <c r="H1109" s="1" t="s">
        <v>61</v>
      </c>
      <c r="I1109" s="1" t="s">
        <v>4908</v>
      </c>
      <c r="J1109" s="1">
        <v>2019</v>
      </c>
      <c r="P1109" s="1" t="s">
        <v>4907</v>
      </c>
      <c r="Q1109" s="1" t="s">
        <v>110</v>
      </c>
      <c r="R1109" s="1" t="s">
        <v>605</v>
      </c>
      <c r="S1109" s="1" t="s">
        <v>606</v>
      </c>
      <c r="T1109" s="1" t="s">
        <v>607</v>
      </c>
      <c r="U1109" s="1">
        <v>1</v>
      </c>
      <c r="V1109" s="1" t="s">
        <v>80</v>
      </c>
      <c r="Y1109" s="10">
        <v>43647</v>
      </c>
      <c r="Z1109" s="1">
        <v>2019</v>
      </c>
      <c r="AA1109" s="2"/>
      <c r="AB1109" s="2"/>
      <c r="AC1109" s="2">
        <v>428347.05000000005</v>
      </c>
      <c r="AG1109" s="1" t="s">
        <v>56</v>
      </c>
      <c r="AI1109" s="2">
        <v>428347.05000000005</v>
      </c>
      <c r="AL1109" s="1" t="s">
        <v>4319</v>
      </c>
    </row>
    <row r="1110" spans="1:38" ht="14.45" customHeight="1" x14ac:dyDescent="0.2">
      <c r="A1110" s="1" t="s">
        <v>57</v>
      </c>
      <c r="B1110" s="9" t="s">
        <v>39</v>
      </c>
      <c r="C1110" s="1" t="s">
        <v>58</v>
      </c>
      <c r="D1110" s="1" t="s">
        <v>4315</v>
      </c>
      <c r="E1110" s="1" t="s">
        <v>42</v>
      </c>
      <c r="G1110" s="1" t="s">
        <v>4316</v>
      </c>
      <c r="H1110" s="1" t="s">
        <v>61</v>
      </c>
      <c r="I1110" s="1" t="s">
        <v>4909</v>
      </c>
      <c r="J1110" s="1">
        <v>2019</v>
      </c>
      <c r="P1110" s="1" t="s">
        <v>4907</v>
      </c>
      <c r="Q1110" s="1" t="s">
        <v>110</v>
      </c>
      <c r="R1110" s="1" t="s">
        <v>605</v>
      </c>
      <c r="S1110" s="1" t="s">
        <v>606</v>
      </c>
      <c r="T1110" s="1" t="s">
        <v>607</v>
      </c>
      <c r="U1110" s="1">
        <v>1</v>
      </c>
      <c r="V1110" s="1" t="s">
        <v>80</v>
      </c>
      <c r="Y1110" s="10">
        <v>43647</v>
      </c>
      <c r="Z1110" s="1">
        <v>2019</v>
      </c>
      <c r="AA1110" s="2"/>
      <c r="AB1110" s="2"/>
      <c r="AC1110" s="2">
        <v>440707.78</v>
      </c>
      <c r="AG1110" s="1" t="s">
        <v>56</v>
      </c>
      <c r="AI1110" s="2">
        <v>440707.78</v>
      </c>
      <c r="AL1110" s="1" t="s">
        <v>4319</v>
      </c>
    </row>
    <row r="1111" spans="1:38" ht="14.45" customHeight="1" x14ac:dyDescent="0.2">
      <c r="A1111" s="1" t="s">
        <v>57</v>
      </c>
      <c r="B1111" s="9" t="s">
        <v>39</v>
      </c>
      <c r="C1111" s="1" t="s">
        <v>58</v>
      </c>
      <c r="D1111" s="1" t="s">
        <v>4315</v>
      </c>
      <c r="E1111" s="1" t="s">
        <v>42</v>
      </c>
      <c r="G1111" s="1" t="s">
        <v>4316</v>
      </c>
      <c r="H1111" s="1" t="s">
        <v>61</v>
      </c>
      <c r="I1111" s="1" t="s">
        <v>4910</v>
      </c>
      <c r="J1111" s="1">
        <v>2019</v>
      </c>
      <c r="P1111" s="1" t="s">
        <v>4907</v>
      </c>
      <c r="Q1111" s="1" t="s">
        <v>110</v>
      </c>
      <c r="R1111" s="1" t="s">
        <v>605</v>
      </c>
      <c r="S1111" s="1" t="s">
        <v>606</v>
      </c>
      <c r="T1111" s="1" t="s">
        <v>607</v>
      </c>
      <c r="U1111" s="1">
        <v>1</v>
      </c>
      <c r="V1111" s="1" t="s">
        <v>80</v>
      </c>
      <c r="Y1111" s="10">
        <v>43647</v>
      </c>
      <c r="Z1111" s="1">
        <v>2019</v>
      </c>
      <c r="AA1111" s="2"/>
      <c r="AB1111" s="2"/>
      <c r="AC1111" s="2">
        <v>423368.81000000006</v>
      </c>
      <c r="AG1111" s="1" t="s">
        <v>56</v>
      </c>
      <c r="AI1111" s="2">
        <v>423368.81000000006</v>
      </c>
      <c r="AL1111" s="1" t="s">
        <v>4319</v>
      </c>
    </row>
    <row r="1112" spans="1:38" ht="14.45" customHeight="1" x14ac:dyDescent="0.2">
      <c r="A1112" s="1" t="s">
        <v>57</v>
      </c>
      <c r="B1112" s="9" t="s">
        <v>39</v>
      </c>
      <c r="C1112" s="1" t="s">
        <v>58</v>
      </c>
      <c r="D1112" s="1" t="s">
        <v>4315</v>
      </c>
      <c r="E1112" s="1" t="s">
        <v>42</v>
      </c>
      <c r="G1112" s="1" t="s">
        <v>4316</v>
      </c>
      <c r="H1112" s="1" t="s">
        <v>61</v>
      </c>
      <c r="I1112" s="1" t="s">
        <v>4911</v>
      </c>
      <c r="J1112" s="1">
        <v>2019</v>
      </c>
      <c r="P1112" s="1" t="s">
        <v>4907</v>
      </c>
      <c r="Q1112" s="1" t="s">
        <v>110</v>
      </c>
      <c r="R1112" s="1" t="s">
        <v>605</v>
      </c>
      <c r="S1112" s="1" t="s">
        <v>606</v>
      </c>
      <c r="T1112" s="1" t="s">
        <v>607</v>
      </c>
      <c r="U1112" s="1">
        <v>1</v>
      </c>
      <c r="V1112" s="1" t="s">
        <v>80</v>
      </c>
      <c r="Y1112" s="10">
        <v>43647</v>
      </c>
      <c r="Z1112" s="1">
        <v>2019</v>
      </c>
      <c r="AA1112" s="2"/>
      <c r="AB1112" s="2"/>
      <c r="AC1112" s="2">
        <v>419765.33</v>
      </c>
      <c r="AG1112" s="1" t="s">
        <v>56</v>
      </c>
      <c r="AI1112" s="2">
        <v>419765.33</v>
      </c>
      <c r="AL1112" s="1" t="s">
        <v>4319</v>
      </c>
    </row>
    <row r="1113" spans="1:38" ht="14.45" customHeight="1" x14ac:dyDescent="0.2">
      <c r="A1113" s="1" t="s">
        <v>57</v>
      </c>
      <c r="B1113" s="9" t="s">
        <v>39</v>
      </c>
      <c r="C1113" s="1" t="s">
        <v>58</v>
      </c>
      <c r="D1113" s="1" t="s">
        <v>4315</v>
      </c>
      <c r="E1113" s="1" t="s">
        <v>42</v>
      </c>
      <c r="G1113" s="1" t="s">
        <v>4316</v>
      </c>
      <c r="H1113" s="1" t="s">
        <v>61</v>
      </c>
      <c r="I1113" s="1" t="s">
        <v>4912</v>
      </c>
      <c r="J1113" s="1">
        <v>2019</v>
      </c>
      <c r="P1113" s="1" t="s">
        <v>4907</v>
      </c>
      <c r="Q1113" s="1" t="s">
        <v>110</v>
      </c>
      <c r="R1113" s="1" t="s">
        <v>605</v>
      </c>
      <c r="S1113" s="1" t="s">
        <v>606</v>
      </c>
      <c r="T1113" s="1" t="s">
        <v>607</v>
      </c>
      <c r="U1113" s="1">
        <v>1</v>
      </c>
      <c r="V1113" s="1" t="s">
        <v>80</v>
      </c>
      <c r="Y1113" s="10">
        <v>43800</v>
      </c>
      <c r="Z1113" s="1">
        <v>2019</v>
      </c>
      <c r="AA1113" s="2"/>
      <c r="AB1113" s="2"/>
      <c r="AC1113" s="2">
        <v>615100.31000000006</v>
      </c>
      <c r="AG1113" s="1" t="s">
        <v>56</v>
      </c>
      <c r="AI1113" s="2">
        <v>615100.31000000006</v>
      </c>
      <c r="AL1113" s="1" t="s">
        <v>4319</v>
      </c>
    </row>
    <row r="1114" spans="1:38" ht="14.45" customHeight="1" x14ac:dyDescent="0.2">
      <c r="A1114" s="1" t="s">
        <v>57</v>
      </c>
      <c r="B1114" s="9" t="s">
        <v>39</v>
      </c>
      <c r="C1114" s="1" t="s">
        <v>58</v>
      </c>
      <c r="D1114" s="1" t="s">
        <v>4315</v>
      </c>
      <c r="E1114" s="1" t="s">
        <v>42</v>
      </c>
      <c r="G1114" s="1" t="s">
        <v>4316</v>
      </c>
      <c r="H1114" s="1" t="s">
        <v>61</v>
      </c>
      <c r="I1114" s="1" t="s">
        <v>4913</v>
      </c>
      <c r="J1114" s="1">
        <v>2019</v>
      </c>
      <c r="P1114" s="1" t="s">
        <v>4907</v>
      </c>
      <c r="Q1114" s="1" t="s">
        <v>110</v>
      </c>
      <c r="R1114" s="1" t="s">
        <v>605</v>
      </c>
      <c r="S1114" s="1" t="s">
        <v>606</v>
      </c>
      <c r="T1114" s="1" t="s">
        <v>607</v>
      </c>
      <c r="U1114" s="1">
        <v>1</v>
      </c>
      <c r="V1114" s="1" t="s">
        <v>80</v>
      </c>
      <c r="Y1114" s="10">
        <v>43800</v>
      </c>
      <c r="Z1114" s="1">
        <v>2019</v>
      </c>
      <c r="AA1114" s="2"/>
      <c r="AB1114" s="2"/>
      <c r="AC1114" s="2">
        <v>441453.2</v>
      </c>
      <c r="AG1114" s="1" t="s">
        <v>56</v>
      </c>
      <c r="AI1114" s="2">
        <v>441453.2</v>
      </c>
      <c r="AL1114" s="1" t="s">
        <v>4319</v>
      </c>
    </row>
    <row r="1115" spans="1:38" ht="14.45" customHeight="1" x14ac:dyDescent="0.2">
      <c r="A1115" s="1" t="s">
        <v>57</v>
      </c>
      <c r="B1115" s="9" t="s">
        <v>39</v>
      </c>
      <c r="C1115" s="1" t="s">
        <v>58</v>
      </c>
      <c r="D1115" s="1" t="s">
        <v>4315</v>
      </c>
      <c r="E1115" s="1" t="s">
        <v>42</v>
      </c>
      <c r="G1115" s="1" t="s">
        <v>4316</v>
      </c>
      <c r="H1115" s="1" t="s">
        <v>61</v>
      </c>
      <c r="I1115" s="1" t="s">
        <v>4914</v>
      </c>
      <c r="J1115" s="1">
        <v>2019</v>
      </c>
      <c r="P1115" s="1" t="s">
        <v>4907</v>
      </c>
      <c r="Q1115" s="1" t="s">
        <v>110</v>
      </c>
      <c r="R1115" s="1" t="s">
        <v>605</v>
      </c>
      <c r="S1115" s="1" t="s">
        <v>606</v>
      </c>
      <c r="T1115" s="1" t="s">
        <v>607</v>
      </c>
      <c r="U1115" s="1">
        <v>1</v>
      </c>
      <c r="V1115" s="1" t="s">
        <v>80</v>
      </c>
      <c r="Y1115" s="10">
        <v>43800</v>
      </c>
      <c r="Z1115" s="1">
        <v>2019</v>
      </c>
      <c r="AA1115" s="2"/>
      <c r="AB1115" s="2"/>
      <c r="AC1115" s="2">
        <v>567607.3600000001</v>
      </c>
      <c r="AG1115" s="1" t="s">
        <v>56</v>
      </c>
      <c r="AI1115" s="2">
        <v>567607.3600000001</v>
      </c>
      <c r="AL1115" s="1" t="s">
        <v>4319</v>
      </c>
    </row>
    <row r="1116" spans="1:38" ht="14.45" customHeight="1" x14ac:dyDescent="0.2">
      <c r="A1116" s="1" t="s">
        <v>57</v>
      </c>
      <c r="B1116" s="9" t="s">
        <v>39</v>
      </c>
      <c r="C1116" s="1" t="s">
        <v>58</v>
      </c>
      <c r="D1116" s="1" t="s">
        <v>4315</v>
      </c>
      <c r="E1116" s="1" t="s">
        <v>42</v>
      </c>
      <c r="G1116" s="1" t="s">
        <v>4316</v>
      </c>
      <c r="H1116" s="1" t="s">
        <v>61</v>
      </c>
      <c r="I1116" s="1" t="s">
        <v>4915</v>
      </c>
      <c r="J1116" s="1">
        <v>2020</v>
      </c>
      <c r="P1116" s="1" t="s">
        <v>4907</v>
      </c>
      <c r="Q1116" s="1" t="s">
        <v>110</v>
      </c>
      <c r="R1116" s="1" t="s">
        <v>605</v>
      </c>
      <c r="S1116" s="1" t="s">
        <v>606</v>
      </c>
      <c r="T1116" s="1" t="s">
        <v>607</v>
      </c>
      <c r="U1116" s="1">
        <v>1</v>
      </c>
      <c r="V1116" s="1" t="s">
        <v>80</v>
      </c>
      <c r="Y1116" s="10">
        <v>44136</v>
      </c>
      <c r="Z1116" s="1">
        <v>2020</v>
      </c>
      <c r="AA1116" s="2"/>
      <c r="AB1116" s="2"/>
      <c r="AC1116" s="2">
        <v>561661.63</v>
      </c>
      <c r="AG1116" s="1" t="s">
        <v>56</v>
      </c>
      <c r="AI1116" s="2">
        <v>561661.63</v>
      </c>
      <c r="AL1116" s="1" t="s">
        <v>4319</v>
      </c>
    </row>
    <row r="1117" spans="1:38" ht="14.45" customHeight="1" x14ac:dyDescent="0.2">
      <c r="A1117" s="1" t="s">
        <v>57</v>
      </c>
      <c r="B1117" s="9" t="s">
        <v>39</v>
      </c>
      <c r="C1117" s="1" t="s">
        <v>58</v>
      </c>
      <c r="D1117" s="1" t="s">
        <v>4315</v>
      </c>
      <c r="E1117" s="1" t="s">
        <v>42</v>
      </c>
      <c r="G1117" s="1" t="s">
        <v>4316</v>
      </c>
      <c r="H1117" s="1" t="s">
        <v>61</v>
      </c>
      <c r="I1117" s="1" t="s">
        <v>4916</v>
      </c>
      <c r="J1117" s="1">
        <v>2019</v>
      </c>
      <c r="P1117" s="1" t="s">
        <v>4907</v>
      </c>
      <c r="Q1117" s="1" t="s">
        <v>110</v>
      </c>
      <c r="R1117" s="1" t="s">
        <v>605</v>
      </c>
      <c r="S1117" s="1" t="s">
        <v>606</v>
      </c>
      <c r="T1117" s="1" t="s">
        <v>607</v>
      </c>
      <c r="U1117" s="1">
        <v>1</v>
      </c>
      <c r="V1117" s="1" t="s">
        <v>80</v>
      </c>
      <c r="Y1117" s="10">
        <v>43678</v>
      </c>
      <c r="Z1117" s="1">
        <v>2019</v>
      </c>
      <c r="AA1117" s="2"/>
      <c r="AB1117" s="2"/>
      <c r="AC1117" s="2">
        <v>619368.72999999986</v>
      </c>
      <c r="AG1117" s="1" t="s">
        <v>56</v>
      </c>
      <c r="AI1117" s="2">
        <v>619368.72999999986</v>
      </c>
      <c r="AL1117" s="1" t="s">
        <v>4319</v>
      </c>
    </row>
    <row r="1118" spans="1:38" ht="14.45" customHeight="1" x14ac:dyDescent="0.2">
      <c r="A1118" s="1" t="s">
        <v>57</v>
      </c>
      <c r="B1118" s="9" t="s">
        <v>39</v>
      </c>
      <c r="C1118" s="1" t="s">
        <v>58</v>
      </c>
      <c r="D1118" s="1" t="s">
        <v>4315</v>
      </c>
      <c r="E1118" s="1" t="s">
        <v>42</v>
      </c>
      <c r="G1118" s="1" t="s">
        <v>4316</v>
      </c>
      <c r="H1118" s="1" t="s">
        <v>61</v>
      </c>
      <c r="I1118" s="1" t="s">
        <v>4917</v>
      </c>
      <c r="J1118" s="1">
        <v>2019</v>
      </c>
      <c r="P1118" s="1" t="s">
        <v>4471</v>
      </c>
      <c r="Q1118" s="1" t="s">
        <v>50</v>
      </c>
      <c r="R1118" s="1" t="s">
        <v>68</v>
      </c>
      <c r="S1118" s="1" t="s">
        <v>425</v>
      </c>
      <c r="T1118" s="1" t="s">
        <v>426</v>
      </c>
      <c r="U1118" s="1">
        <v>1</v>
      </c>
      <c r="V1118" s="1" t="s">
        <v>195</v>
      </c>
      <c r="Y1118" s="10">
        <v>43466</v>
      </c>
      <c r="Z1118" s="1">
        <v>2019</v>
      </c>
      <c r="AA1118" s="2"/>
      <c r="AB1118" s="2"/>
      <c r="AC1118" s="2">
        <v>693706.56000000017</v>
      </c>
      <c r="AG1118" s="1" t="s">
        <v>56</v>
      </c>
      <c r="AI1118" s="2">
        <v>693706.56000000017</v>
      </c>
      <c r="AL1118" s="1" t="s">
        <v>4319</v>
      </c>
    </row>
    <row r="1119" spans="1:38" ht="14.45" customHeight="1" x14ac:dyDescent="0.2">
      <c r="A1119" s="1" t="s">
        <v>57</v>
      </c>
      <c r="B1119" s="9" t="s">
        <v>39</v>
      </c>
      <c r="C1119" s="1" t="s">
        <v>58</v>
      </c>
      <c r="D1119" s="1" t="s">
        <v>4315</v>
      </c>
      <c r="E1119" s="1" t="s">
        <v>42</v>
      </c>
      <c r="G1119" s="1" t="s">
        <v>4316</v>
      </c>
      <c r="H1119" s="1" t="s">
        <v>61</v>
      </c>
      <c r="I1119" s="1" t="s">
        <v>4918</v>
      </c>
      <c r="J1119" s="1">
        <v>2023</v>
      </c>
      <c r="P1119" s="1" t="s">
        <v>4471</v>
      </c>
      <c r="Q1119" s="1" t="s">
        <v>50</v>
      </c>
      <c r="R1119" s="1" t="s">
        <v>68</v>
      </c>
      <c r="S1119" s="1" t="s">
        <v>425</v>
      </c>
      <c r="T1119" s="1" t="s">
        <v>426</v>
      </c>
      <c r="U1119" s="1">
        <v>1</v>
      </c>
      <c r="V1119" s="1" t="s">
        <v>195</v>
      </c>
      <c r="Y1119" s="10">
        <v>45291</v>
      </c>
      <c r="Z1119" s="1">
        <v>2023</v>
      </c>
      <c r="AA1119" s="2"/>
      <c r="AB1119" s="2"/>
      <c r="AC1119" s="2">
        <v>720247.63000000082</v>
      </c>
      <c r="AG1119" s="1" t="s">
        <v>56</v>
      </c>
      <c r="AI1119" s="2">
        <v>720247.63000000082</v>
      </c>
      <c r="AL1119" s="1" t="s">
        <v>4319</v>
      </c>
    </row>
    <row r="1120" spans="1:38" ht="14.45" customHeight="1" x14ac:dyDescent="0.2">
      <c r="A1120" s="1" t="s">
        <v>57</v>
      </c>
      <c r="B1120" s="9" t="s">
        <v>39</v>
      </c>
      <c r="C1120" s="1" t="s">
        <v>58</v>
      </c>
      <c r="D1120" s="1" t="s">
        <v>4315</v>
      </c>
      <c r="E1120" s="1" t="s">
        <v>42</v>
      </c>
      <c r="G1120" s="1" t="s">
        <v>4316</v>
      </c>
      <c r="H1120" s="1" t="s">
        <v>61</v>
      </c>
      <c r="I1120" s="1" t="s">
        <v>4919</v>
      </c>
      <c r="J1120" s="1">
        <v>2019</v>
      </c>
      <c r="P1120" s="1" t="s">
        <v>4471</v>
      </c>
      <c r="Q1120" s="1" t="s">
        <v>50</v>
      </c>
      <c r="R1120" s="1" t="s">
        <v>68</v>
      </c>
      <c r="S1120" s="1" t="s">
        <v>425</v>
      </c>
      <c r="T1120" s="1" t="s">
        <v>426</v>
      </c>
      <c r="U1120" s="1">
        <v>1</v>
      </c>
      <c r="V1120" s="1" t="s">
        <v>195</v>
      </c>
      <c r="Y1120" s="10">
        <v>43466</v>
      </c>
      <c r="Z1120" s="1">
        <v>2019</v>
      </c>
      <c r="AA1120" s="2"/>
      <c r="AB1120" s="2"/>
      <c r="AC1120" s="2">
        <v>600163.20000000007</v>
      </c>
      <c r="AG1120" s="1" t="s">
        <v>56</v>
      </c>
      <c r="AI1120" s="2">
        <v>600163.20000000007</v>
      </c>
      <c r="AL1120" s="1" t="s">
        <v>4319</v>
      </c>
    </row>
    <row r="1121" spans="1:38" ht="14.45" customHeight="1" x14ac:dyDescent="0.2">
      <c r="A1121" s="1" t="s">
        <v>57</v>
      </c>
      <c r="B1121" s="9" t="s">
        <v>39</v>
      </c>
      <c r="C1121" s="1" t="s">
        <v>58</v>
      </c>
      <c r="D1121" s="1" t="s">
        <v>4315</v>
      </c>
      <c r="E1121" s="1" t="s">
        <v>42</v>
      </c>
      <c r="G1121" s="1" t="s">
        <v>4316</v>
      </c>
      <c r="H1121" s="1" t="s">
        <v>61</v>
      </c>
      <c r="I1121" s="1" t="s">
        <v>4920</v>
      </c>
      <c r="J1121" s="1">
        <v>2024</v>
      </c>
      <c r="P1121" s="1" t="s">
        <v>4318</v>
      </c>
      <c r="Q1121" s="1" t="s">
        <v>101</v>
      </c>
      <c r="R1121" s="1" t="s">
        <v>102</v>
      </c>
      <c r="S1121" s="1" t="s">
        <v>103</v>
      </c>
      <c r="T1121" s="1" t="s">
        <v>104</v>
      </c>
      <c r="U1121" s="1">
        <v>1</v>
      </c>
      <c r="V1121" s="1" t="s">
        <v>101</v>
      </c>
      <c r="Y1121" s="10">
        <v>45419</v>
      </c>
      <c r="Z1121" s="1">
        <v>2024</v>
      </c>
      <c r="AA1121" s="2"/>
      <c r="AB1121" s="2"/>
      <c r="AC1121" s="2">
        <v>520545.83</v>
      </c>
      <c r="AG1121" s="1" t="s">
        <v>56</v>
      </c>
      <c r="AI1121" s="2">
        <v>520545.83</v>
      </c>
      <c r="AL1121" s="1" t="s">
        <v>4319</v>
      </c>
    </row>
    <row r="1122" spans="1:38" ht="14.45" customHeight="1" x14ac:dyDescent="0.2">
      <c r="A1122" s="1" t="s">
        <v>57</v>
      </c>
      <c r="B1122" s="9" t="s">
        <v>39</v>
      </c>
      <c r="C1122" s="1" t="s">
        <v>58</v>
      </c>
      <c r="D1122" s="1" t="s">
        <v>4315</v>
      </c>
      <c r="E1122" s="1" t="s">
        <v>42</v>
      </c>
      <c r="G1122" s="1" t="s">
        <v>4340</v>
      </c>
      <c r="H1122" s="1" t="s">
        <v>61</v>
      </c>
      <c r="I1122" s="1" t="s">
        <v>4921</v>
      </c>
      <c r="J1122" s="1">
        <v>2021</v>
      </c>
      <c r="P1122" s="1" t="s">
        <v>4318</v>
      </c>
      <c r="Q1122" s="1" t="s">
        <v>101</v>
      </c>
      <c r="R1122" s="1" t="s">
        <v>102</v>
      </c>
      <c r="S1122" s="1" t="s">
        <v>103</v>
      </c>
      <c r="T1122" s="1" t="s">
        <v>104</v>
      </c>
      <c r="U1122" s="1">
        <v>1</v>
      </c>
      <c r="V1122" s="1" t="s">
        <v>101</v>
      </c>
      <c r="Y1122" s="10">
        <v>44299</v>
      </c>
      <c r="Z1122" s="1">
        <v>2021</v>
      </c>
      <c r="AA1122" s="2"/>
      <c r="AB1122" s="2"/>
      <c r="AC1122" s="2">
        <v>79451.740000000005</v>
      </c>
      <c r="AG1122" s="1" t="s">
        <v>56</v>
      </c>
      <c r="AI1122" s="2">
        <v>79451.740000000005</v>
      </c>
    </row>
    <row r="1123" spans="1:38" ht="14.45" customHeight="1" x14ac:dyDescent="0.2">
      <c r="A1123" s="1" t="s">
        <v>57</v>
      </c>
      <c r="B1123" s="9" t="s">
        <v>39</v>
      </c>
      <c r="C1123" s="1" t="s">
        <v>58</v>
      </c>
      <c r="D1123" s="1" t="s">
        <v>4315</v>
      </c>
      <c r="E1123" s="1" t="s">
        <v>42</v>
      </c>
      <c r="G1123" s="1" t="s">
        <v>4340</v>
      </c>
      <c r="H1123" s="1" t="s">
        <v>61</v>
      </c>
      <c r="I1123" s="1" t="s">
        <v>4922</v>
      </c>
      <c r="J1123" s="1">
        <v>2021</v>
      </c>
      <c r="P1123" s="1" t="s">
        <v>4318</v>
      </c>
      <c r="Q1123" s="1" t="s">
        <v>101</v>
      </c>
      <c r="R1123" s="1" t="s">
        <v>102</v>
      </c>
      <c r="S1123" s="1" t="s">
        <v>103</v>
      </c>
      <c r="T1123" s="1" t="s">
        <v>104</v>
      </c>
      <c r="U1123" s="1">
        <v>1</v>
      </c>
      <c r="V1123" s="1" t="s">
        <v>101</v>
      </c>
      <c r="Y1123" s="10">
        <v>44299</v>
      </c>
      <c r="Z1123" s="1">
        <v>2021</v>
      </c>
      <c r="AA1123" s="2"/>
      <c r="AB1123" s="2"/>
      <c r="AC1123" s="2">
        <v>41672.28</v>
      </c>
      <c r="AG1123" s="1" t="s">
        <v>56</v>
      </c>
      <c r="AI1123" s="2">
        <v>41672.28</v>
      </c>
    </row>
    <row r="1124" spans="1:38" ht="14.45" customHeight="1" x14ac:dyDescent="0.2">
      <c r="A1124" s="1" t="s">
        <v>57</v>
      </c>
      <c r="B1124" s="9" t="s">
        <v>39</v>
      </c>
      <c r="C1124" s="1" t="s">
        <v>58</v>
      </c>
      <c r="D1124" s="1" t="s">
        <v>4315</v>
      </c>
      <c r="E1124" s="1" t="s">
        <v>42</v>
      </c>
      <c r="G1124" s="1" t="s">
        <v>4340</v>
      </c>
      <c r="H1124" s="1" t="s">
        <v>61</v>
      </c>
      <c r="I1124" s="1" t="s">
        <v>4923</v>
      </c>
      <c r="J1124" s="1">
        <v>2021</v>
      </c>
      <c r="P1124" s="1" t="s">
        <v>4318</v>
      </c>
      <c r="Q1124" s="1" t="s">
        <v>101</v>
      </c>
      <c r="R1124" s="1" t="s">
        <v>102</v>
      </c>
      <c r="S1124" s="1" t="s">
        <v>103</v>
      </c>
      <c r="T1124" s="1" t="s">
        <v>104</v>
      </c>
      <c r="U1124" s="1">
        <v>1</v>
      </c>
      <c r="V1124" s="1" t="s">
        <v>101</v>
      </c>
      <c r="Y1124" s="10">
        <v>44299</v>
      </c>
      <c r="Z1124" s="1">
        <v>2021</v>
      </c>
      <c r="AA1124" s="2"/>
      <c r="AB1124" s="2"/>
      <c r="AC1124" s="2">
        <v>75834.87</v>
      </c>
      <c r="AG1124" s="1" t="s">
        <v>56</v>
      </c>
      <c r="AI1124" s="2">
        <v>75834.87</v>
      </c>
    </row>
    <row r="1125" spans="1:38" ht="14.45" customHeight="1" x14ac:dyDescent="0.2">
      <c r="A1125" s="1" t="s">
        <v>57</v>
      </c>
      <c r="B1125" s="9" t="s">
        <v>39</v>
      </c>
      <c r="C1125" s="1" t="s">
        <v>58</v>
      </c>
      <c r="D1125" s="1" t="s">
        <v>4315</v>
      </c>
      <c r="E1125" s="1" t="s">
        <v>42</v>
      </c>
      <c r="G1125" s="1" t="s">
        <v>4340</v>
      </c>
      <c r="H1125" s="1" t="s">
        <v>61</v>
      </c>
      <c r="I1125" s="1" t="s">
        <v>4924</v>
      </c>
      <c r="J1125" s="1">
        <v>2021</v>
      </c>
      <c r="P1125" s="1" t="s">
        <v>4318</v>
      </c>
      <c r="Q1125" s="1" t="s">
        <v>101</v>
      </c>
      <c r="R1125" s="1" t="s">
        <v>102</v>
      </c>
      <c r="S1125" s="1" t="s">
        <v>103</v>
      </c>
      <c r="T1125" s="1" t="s">
        <v>104</v>
      </c>
      <c r="U1125" s="1">
        <v>1</v>
      </c>
      <c r="V1125" s="1" t="s">
        <v>101</v>
      </c>
      <c r="Y1125" s="10">
        <v>44299</v>
      </c>
      <c r="Z1125" s="1">
        <v>2021</v>
      </c>
      <c r="AA1125" s="2"/>
      <c r="AB1125" s="2"/>
      <c r="AC1125" s="2">
        <v>77507.38</v>
      </c>
      <c r="AG1125" s="1" t="s">
        <v>56</v>
      </c>
      <c r="AI1125" s="2">
        <v>77507.38</v>
      </c>
    </row>
    <row r="1126" spans="1:38" ht="14.45" customHeight="1" x14ac:dyDescent="0.2">
      <c r="A1126" s="1" t="s">
        <v>57</v>
      </c>
      <c r="B1126" s="9" t="s">
        <v>39</v>
      </c>
      <c r="C1126" s="1" t="s">
        <v>58</v>
      </c>
      <c r="D1126" s="1" t="s">
        <v>4315</v>
      </c>
      <c r="E1126" s="1" t="s">
        <v>42</v>
      </c>
      <c r="G1126" s="1" t="s">
        <v>4340</v>
      </c>
      <c r="H1126" s="1" t="s">
        <v>61</v>
      </c>
      <c r="I1126" s="1" t="s">
        <v>4925</v>
      </c>
      <c r="J1126" s="1">
        <v>2021</v>
      </c>
      <c r="P1126" s="1" t="s">
        <v>4318</v>
      </c>
      <c r="Q1126" s="1" t="s">
        <v>101</v>
      </c>
      <c r="R1126" s="1" t="s">
        <v>102</v>
      </c>
      <c r="S1126" s="1" t="s">
        <v>103</v>
      </c>
      <c r="T1126" s="1" t="s">
        <v>104</v>
      </c>
      <c r="U1126" s="1">
        <v>1</v>
      </c>
      <c r="V1126" s="1" t="s">
        <v>101</v>
      </c>
      <c r="Y1126" s="10">
        <v>44299</v>
      </c>
      <c r="Z1126" s="1">
        <v>2021</v>
      </c>
      <c r="AA1126" s="2"/>
      <c r="AB1126" s="2"/>
      <c r="AC1126" s="2">
        <v>50785.120000000003</v>
      </c>
      <c r="AG1126" s="1" t="s">
        <v>56</v>
      </c>
      <c r="AI1126" s="2">
        <v>50785.120000000003</v>
      </c>
    </row>
    <row r="1127" spans="1:38" ht="14.45" customHeight="1" x14ac:dyDescent="0.2">
      <c r="A1127" s="1" t="s">
        <v>57</v>
      </c>
      <c r="B1127" s="9" t="s">
        <v>39</v>
      </c>
      <c r="C1127" s="1" t="s">
        <v>58</v>
      </c>
      <c r="D1127" s="1" t="s">
        <v>4315</v>
      </c>
      <c r="E1127" s="1" t="s">
        <v>42</v>
      </c>
      <c r="G1127" s="1" t="s">
        <v>4340</v>
      </c>
      <c r="H1127" s="1" t="s">
        <v>61</v>
      </c>
      <c r="I1127" s="1" t="s">
        <v>4926</v>
      </c>
      <c r="J1127" s="1">
        <v>2021</v>
      </c>
      <c r="P1127" s="1" t="s">
        <v>4318</v>
      </c>
      <c r="Q1127" s="1" t="s">
        <v>101</v>
      </c>
      <c r="R1127" s="1" t="s">
        <v>102</v>
      </c>
      <c r="S1127" s="1" t="s">
        <v>103</v>
      </c>
      <c r="T1127" s="1" t="s">
        <v>104</v>
      </c>
      <c r="U1127" s="1">
        <v>1</v>
      </c>
      <c r="V1127" s="1" t="s">
        <v>101</v>
      </c>
      <c r="Y1127" s="10">
        <v>44299</v>
      </c>
      <c r="Z1127" s="1">
        <v>2021</v>
      </c>
      <c r="AA1127" s="2"/>
      <c r="AB1127" s="2"/>
      <c r="AC1127" s="2">
        <v>53333.77</v>
      </c>
      <c r="AG1127" s="1" t="s">
        <v>56</v>
      </c>
      <c r="AI1127" s="2">
        <v>53333.77</v>
      </c>
    </row>
    <row r="1128" spans="1:38" ht="14.45" customHeight="1" x14ac:dyDescent="0.2">
      <c r="A1128" s="1" t="s">
        <v>57</v>
      </c>
      <c r="B1128" s="9" t="s">
        <v>39</v>
      </c>
      <c r="C1128" s="1" t="s">
        <v>58</v>
      </c>
      <c r="D1128" s="1" t="s">
        <v>4315</v>
      </c>
      <c r="E1128" s="1" t="s">
        <v>42</v>
      </c>
      <c r="G1128" s="1" t="s">
        <v>4340</v>
      </c>
      <c r="H1128" s="1" t="s">
        <v>61</v>
      </c>
      <c r="I1128" s="1" t="s">
        <v>4927</v>
      </c>
      <c r="J1128" s="1">
        <v>2021</v>
      </c>
      <c r="P1128" s="1" t="s">
        <v>4318</v>
      </c>
      <c r="Q1128" s="1" t="s">
        <v>101</v>
      </c>
      <c r="R1128" s="1" t="s">
        <v>102</v>
      </c>
      <c r="S1128" s="1" t="s">
        <v>103</v>
      </c>
      <c r="T1128" s="1" t="s">
        <v>104</v>
      </c>
      <c r="U1128" s="1">
        <v>1</v>
      </c>
      <c r="V1128" s="1" t="s">
        <v>101</v>
      </c>
      <c r="Y1128" s="10">
        <v>44299</v>
      </c>
      <c r="Z1128" s="1">
        <v>2021</v>
      </c>
      <c r="AA1128" s="2"/>
      <c r="AB1128" s="2"/>
      <c r="AC1128" s="2">
        <v>46735.31</v>
      </c>
      <c r="AG1128" s="1" t="s">
        <v>56</v>
      </c>
      <c r="AI1128" s="2">
        <v>46735.31</v>
      </c>
    </row>
    <row r="1129" spans="1:38" ht="14.45" customHeight="1" x14ac:dyDescent="0.2">
      <c r="A1129" s="1" t="s">
        <v>57</v>
      </c>
      <c r="B1129" s="9" t="s">
        <v>39</v>
      </c>
      <c r="C1129" s="1" t="s">
        <v>58</v>
      </c>
      <c r="D1129" s="1" t="s">
        <v>4315</v>
      </c>
      <c r="E1129" s="1" t="s">
        <v>42</v>
      </c>
      <c r="G1129" s="1" t="s">
        <v>4316</v>
      </c>
      <c r="H1129" s="1" t="s">
        <v>61</v>
      </c>
      <c r="I1129" s="1" t="s">
        <v>4928</v>
      </c>
      <c r="J1129" s="1">
        <v>2018</v>
      </c>
      <c r="P1129" s="1" t="s">
        <v>4318</v>
      </c>
      <c r="Q1129" s="1" t="s">
        <v>101</v>
      </c>
      <c r="R1129" s="1" t="s">
        <v>102</v>
      </c>
      <c r="S1129" s="1" t="s">
        <v>103</v>
      </c>
      <c r="T1129" s="1" t="s">
        <v>104</v>
      </c>
      <c r="U1129" s="1">
        <v>1</v>
      </c>
      <c r="V1129" s="1" t="s">
        <v>101</v>
      </c>
      <c r="Y1129" s="10">
        <v>43464</v>
      </c>
      <c r="Z1129" s="1">
        <v>2018</v>
      </c>
      <c r="AA1129" s="2"/>
      <c r="AB1129" s="2"/>
      <c r="AC1129" s="2">
        <v>352335.58999999997</v>
      </c>
      <c r="AG1129" s="1" t="s">
        <v>56</v>
      </c>
      <c r="AI1129" s="2">
        <v>352335.58999999997</v>
      </c>
      <c r="AL1129" s="1" t="s">
        <v>4319</v>
      </c>
    </row>
    <row r="1130" spans="1:38" ht="14.45" customHeight="1" x14ac:dyDescent="0.2">
      <c r="A1130" s="1" t="s">
        <v>57</v>
      </c>
      <c r="B1130" s="9" t="s">
        <v>39</v>
      </c>
      <c r="C1130" s="1" t="s">
        <v>58</v>
      </c>
      <c r="D1130" s="1" t="s">
        <v>4315</v>
      </c>
      <c r="E1130" s="1" t="s">
        <v>42</v>
      </c>
      <c r="G1130" s="1" t="s">
        <v>4316</v>
      </c>
      <c r="H1130" s="1" t="s">
        <v>61</v>
      </c>
      <c r="I1130" s="1" t="s">
        <v>4929</v>
      </c>
      <c r="J1130" s="1">
        <v>2020</v>
      </c>
      <c r="P1130" s="1" t="s">
        <v>4318</v>
      </c>
      <c r="Q1130" s="1" t="s">
        <v>101</v>
      </c>
      <c r="R1130" s="1" t="s">
        <v>102</v>
      </c>
      <c r="S1130" s="1" t="s">
        <v>103</v>
      </c>
      <c r="T1130" s="1" t="s">
        <v>104</v>
      </c>
      <c r="U1130" s="1">
        <v>1</v>
      </c>
      <c r="V1130" s="1" t="s">
        <v>101</v>
      </c>
      <c r="Y1130" s="10">
        <v>43831</v>
      </c>
      <c r="Z1130" s="1">
        <v>2020</v>
      </c>
      <c r="AA1130" s="2"/>
      <c r="AB1130" s="2"/>
      <c r="AC1130" s="2">
        <v>582146.80000000005</v>
      </c>
      <c r="AG1130" s="1" t="s">
        <v>56</v>
      </c>
      <c r="AI1130" s="2">
        <v>582146.80000000005</v>
      </c>
      <c r="AL1130" s="1" t="s">
        <v>4319</v>
      </c>
    </row>
    <row r="1131" spans="1:38" ht="14.45" customHeight="1" x14ac:dyDescent="0.2">
      <c r="A1131" s="1" t="s">
        <v>57</v>
      </c>
      <c r="B1131" s="9" t="s">
        <v>39</v>
      </c>
      <c r="C1131" s="1" t="s">
        <v>58</v>
      </c>
      <c r="D1131" s="1" t="s">
        <v>4315</v>
      </c>
      <c r="E1131" s="1" t="s">
        <v>42</v>
      </c>
      <c r="G1131" s="1" t="s">
        <v>4316</v>
      </c>
      <c r="H1131" s="1" t="s">
        <v>61</v>
      </c>
      <c r="I1131" s="1" t="s">
        <v>4930</v>
      </c>
      <c r="J1131" s="1">
        <v>2018</v>
      </c>
      <c r="P1131" s="1" t="s">
        <v>4318</v>
      </c>
      <c r="Q1131" s="1" t="s">
        <v>101</v>
      </c>
      <c r="R1131" s="1" t="s">
        <v>102</v>
      </c>
      <c r="S1131" s="1" t="s">
        <v>103</v>
      </c>
      <c r="T1131" s="1" t="s">
        <v>104</v>
      </c>
      <c r="U1131" s="1">
        <v>1</v>
      </c>
      <c r="V1131" s="1" t="s">
        <v>101</v>
      </c>
      <c r="Y1131" s="10">
        <v>43464</v>
      </c>
      <c r="Z1131" s="1">
        <v>2018</v>
      </c>
      <c r="AA1131" s="2"/>
      <c r="AB1131" s="2"/>
      <c r="AC1131" s="2">
        <v>642366.44000000006</v>
      </c>
      <c r="AG1131" s="1" t="s">
        <v>56</v>
      </c>
      <c r="AI1131" s="2">
        <v>642366.44000000006</v>
      </c>
      <c r="AL1131" s="1" t="s">
        <v>4319</v>
      </c>
    </row>
    <row r="1132" spans="1:38" ht="14.45" customHeight="1" x14ac:dyDescent="0.2">
      <c r="A1132" s="1" t="s">
        <v>57</v>
      </c>
      <c r="B1132" s="9" t="s">
        <v>39</v>
      </c>
      <c r="C1132" s="1" t="s">
        <v>58</v>
      </c>
      <c r="D1132" s="1" t="s">
        <v>4315</v>
      </c>
      <c r="E1132" s="1" t="s">
        <v>42</v>
      </c>
      <c r="G1132" s="1" t="s">
        <v>4316</v>
      </c>
      <c r="H1132" s="1" t="s">
        <v>61</v>
      </c>
      <c r="I1132" s="1" t="s">
        <v>4931</v>
      </c>
      <c r="J1132" s="1">
        <v>2018</v>
      </c>
      <c r="P1132" s="1" t="s">
        <v>4318</v>
      </c>
      <c r="Q1132" s="1" t="s">
        <v>101</v>
      </c>
      <c r="R1132" s="1" t="s">
        <v>102</v>
      </c>
      <c r="S1132" s="1" t="s">
        <v>103</v>
      </c>
      <c r="T1132" s="1" t="s">
        <v>104</v>
      </c>
      <c r="U1132" s="1">
        <v>1</v>
      </c>
      <c r="V1132" s="1" t="s">
        <v>101</v>
      </c>
      <c r="Y1132" s="10">
        <v>43464</v>
      </c>
      <c r="Z1132" s="1">
        <v>2018</v>
      </c>
      <c r="AA1132" s="2"/>
      <c r="AB1132" s="2"/>
      <c r="AC1132" s="2">
        <v>452191.33</v>
      </c>
      <c r="AG1132" s="1" t="s">
        <v>56</v>
      </c>
      <c r="AI1132" s="2">
        <v>452191.33</v>
      </c>
      <c r="AL1132" s="1" t="s">
        <v>4319</v>
      </c>
    </row>
    <row r="1133" spans="1:38" ht="14.45" customHeight="1" x14ac:dyDescent="0.2">
      <c r="A1133" s="1" t="s">
        <v>57</v>
      </c>
      <c r="B1133" s="9" t="s">
        <v>39</v>
      </c>
      <c r="C1133" s="1" t="s">
        <v>58</v>
      </c>
      <c r="D1133" s="1" t="s">
        <v>4315</v>
      </c>
      <c r="E1133" s="1" t="s">
        <v>42</v>
      </c>
      <c r="G1133" s="1" t="s">
        <v>4316</v>
      </c>
      <c r="H1133" s="1" t="s">
        <v>61</v>
      </c>
      <c r="I1133" s="1" t="s">
        <v>4932</v>
      </c>
      <c r="J1133" s="1">
        <v>2018</v>
      </c>
      <c r="P1133" s="1" t="s">
        <v>4318</v>
      </c>
      <c r="Q1133" s="1" t="s">
        <v>101</v>
      </c>
      <c r="R1133" s="1" t="s">
        <v>102</v>
      </c>
      <c r="S1133" s="1" t="s">
        <v>103</v>
      </c>
      <c r="T1133" s="1" t="s">
        <v>104</v>
      </c>
      <c r="U1133" s="1">
        <v>1</v>
      </c>
      <c r="V1133" s="1" t="s">
        <v>101</v>
      </c>
      <c r="Y1133" s="10">
        <v>43464</v>
      </c>
      <c r="Z1133" s="1">
        <v>2018</v>
      </c>
      <c r="AA1133" s="2"/>
      <c r="AB1133" s="2"/>
      <c r="AC1133" s="2">
        <v>539276.96</v>
      </c>
      <c r="AG1133" s="1" t="s">
        <v>56</v>
      </c>
      <c r="AI1133" s="2">
        <v>539276.96</v>
      </c>
      <c r="AL1133" s="1" t="s">
        <v>4319</v>
      </c>
    </row>
    <row r="1134" spans="1:38" ht="14.45" customHeight="1" x14ac:dyDescent="0.2">
      <c r="A1134" s="1" t="s">
        <v>57</v>
      </c>
      <c r="B1134" s="9" t="s">
        <v>39</v>
      </c>
      <c r="C1134" s="1" t="s">
        <v>58</v>
      </c>
      <c r="D1134" s="1" t="s">
        <v>4315</v>
      </c>
      <c r="E1134" s="1" t="s">
        <v>42</v>
      </c>
      <c r="G1134" s="1" t="s">
        <v>4316</v>
      </c>
      <c r="H1134" s="1" t="s">
        <v>61</v>
      </c>
      <c r="I1134" s="1" t="s">
        <v>4933</v>
      </c>
      <c r="J1134" s="1">
        <v>2018</v>
      </c>
      <c r="P1134" s="1" t="s">
        <v>4318</v>
      </c>
      <c r="Q1134" s="1" t="s">
        <v>101</v>
      </c>
      <c r="R1134" s="1" t="s">
        <v>102</v>
      </c>
      <c r="S1134" s="1" t="s">
        <v>103</v>
      </c>
      <c r="T1134" s="1" t="s">
        <v>104</v>
      </c>
      <c r="U1134" s="1">
        <v>1</v>
      </c>
      <c r="V1134" s="1" t="s">
        <v>101</v>
      </c>
      <c r="Y1134" s="10">
        <v>43464</v>
      </c>
      <c r="Z1134" s="1">
        <v>2018</v>
      </c>
      <c r="AA1134" s="2"/>
      <c r="AB1134" s="2"/>
      <c r="AC1134" s="2">
        <v>606349.12999999989</v>
      </c>
      <c r="AG1134" s="1" t="s">
        <v>56</v>
      </c>
      <c r="AI1134" s="2">
        <v>606349.12999999989</v>
      </c>
      <c r="AL1134" s="1" t="s">
        <v>4319</v>
      </c>
    </row>
    <row r="1135" spans="1:38" ht="14.45" customHeight="1" x14ac:dyDescent="0.2">
      <c r="A1135" s="1" t="s">
        <v>57</v>
      </c>
      <c r="B1135" s="9" t="s">
        <v>39</v>
      </c>
      <c r="C1135" s="1" t="s">
        <v>58</v>
      </c>
      <c r="D1135" s="1" t="s">
        <v>4315</v>
      </c>
      <c r="E1135" s="1" t="s">
        <v>42</v>
      </c>
      <c r="G1135" s="1" t="s">
        <v>4316</v>
      </c>
      <c r="H1135" s="1" t="s">
        <v>61</v>
      </c>
      <c r="I1135" s="1" t="s">
        <v>4934</v>
      </c>
      <c r="J1135" s="1">
        <v>2018</v>
      </c>
      <c r="P1135" s="1" t="s">
        <v>4318</v>
      </c>
      <c r="Q1135" s="1" t="s">
        <v>101</v>
      </c>
      <c r="R1135" s="1" t="s">
        <v>102</v>
      </c>
      <c r="S1135" s="1" t="s">
        <v>103</v>
      </c>
      <c r="T1135" s="1" t="s">
        <v>104</v>
      </c>
      <c r="U1135" s="1">
        <v>1</v>
      </c>
      <c r="V1135" s="1" t="s">
        <v>101</v>
      </c>
      <c r="Y1135" s="10">
        <v>43464</v>
      </c>
      <c r="Z1135" s="1">
        <v>2018</v>
      </c>
      <c r="AA1135" s="2"/>
      <c r="AB1135" s="2"/>
      <c r="AC1135" s="2">
        <v>606988.52</v>
      </c>
      <c r="AG1135" s="1" t="s">
        <v>56</v>
      </c>
      <c r="AI1135" s="2">
        <v>606988.52</v>
      </c>
      <c r="AL1135" s="1" t="s">
        <v>4319</v>
      </c>
    </row>
    <row r="1136" spans="1:38" ht="14.45" customHeight="1" x14ac:dyDescent="0.2">
      <c r="A1136" s="1" t="s">
        <v>57</v>
      </c>
      <c r="B1136" s="9" t="s">
        <v>39</v>
      </c>
      <c r="C1136" s="1" t="s">
        <v>58</v>
      </c>
      <c r="D1136" s="1" t="s">
        <v>4315</v>
      </c>
      <c r="E1136" s="1" t="s">
        <v>42</v>
      </c>
      <c r="G1136" s="1" t="s">
        <v>4316</v>
      </c>
      <c r="H1136" s="1" t="s">
        <v>61</v>
      </c>
      <c r="I1136" s="1" t="s">
        <v>4935</v>
      </c>
      <c r="J1136" s="1">
        <v>2021</v>
      </c>
      <c r="P1136" s="1" t="s">
        <v>4318</v>
      </c>
      <c r="Q1136" s="1" t="s">
        <v>101</v>
      </c>
      <c r="R1136" s="1" t="s">
        <v>102</v>
      </c>
      <c r="S1136" s="1" t="s">
        <v>103</v>
      </c>
      <c r="T1136" s="1" t="s">
        <v>104</v>
      </c>
      <c r="U1136" s="1">
        <v>1</v>
      </c>
      <c r="V1136" s="1" t="s">
        <v>101</v>
      </c>
      <c r="Y1136" s="10">
        <v>44428</v>
      </c>
      <c r="Z1136" s="1">
        <v>2021</v>
      </c>
      <c r="AA1136" s="2"/>
      <c r="AB1136" s="2"/>
      <c r="AC1136" s="2">
        <v>698779.61</v>
      </c>
      <c r="AG1136" s="1" t="s">
        <v>56</v>
      </c>
      <c r="AI1136" s="2">
        <v>698779.61</v>
      </c>
      <c r="AL1136" s="1" t="s">
        <v>4319</v>
      </c>
    </row>
    <row r="1137" spans="1:38" ht="14.45" customHeight="1" x14ac:dyDescent="0.2">
      <c r="A1137" s="1" t="s">
        <v>57</v>
      </c>
      <c r="B1137" s="9" t="s">
        <v>39</v>
      </c>
      <c r="C1137" s="1" t="s">
        <v>58</v>
      </c>
      <c r="D1137" s="1" t="s">
        <v>4315</v>
      </c>
      <c r="E1137" s="1" t="s">
        <v>42</v>
      </c>
      <c r="G1137" s="1" t="s">
        <v>4316</v>
      </c>
      <c r="H1137" s="1" t="s">
        <v>61</v>
      </c>
      <c r="I1137" s="1" t="s">
        <v>4936</v>
      </c>
      <c r="J1137" s="1">
        <v>2023</v>
      </c>
      <c r="P1137" s="1" t="s">
        <v>4318</v>
      </c>
      <c r="Q1137" s="1" t="s">
        <v>101</v>
      </c>
      <c r="R1137" s="1" t="s">
        <v>102</v>
      </c>
      <c r="S1137" s="1" t="s">
        <v>103</v>
      </c>
      <c r="T1137" s="1" t="s">
        <v>104</v>
      </c>
      <c r="U1137" s="1">
        <v>1</v>
      </c>
      <c r="V1137" s="1" t="s">
        <v>101</v>
      </c>
      <c r="Y1137" s="10">
        <v>45134</v>
      </c>
      <c r="Z1137" s="1">
        <v>2023</v>
      </c>
      <c r="AA1137" s="2"/>
      <c r="AB1137" s="2"/>
      <c r="AC1137" s="2">
        <v>473771.65</v>
      </c>
      <c r="AG1137" s="1" t="s">
        <v>56</v>
      </c>
      <c r="AI1137" s="2">
        <v>473771.65</v>
      </c>
      <c r="AL1137" s="1" t="s">
        <v>4319</v>
      </c>
    </row>
    <row r="1138" spans="1:38" ht="14.45" customHeight="1" x14ac:dyDescent="0.2">
      <c r="A1138" s="1" t="s">
        <v>57</v>
      </c>
      <c r="B1138" s="9" t="s">
        <v>39</v>
      </c>
      <c r="C1138" s="1" t="s">
        <v>58</v>
      </c>
      <c r="D1138" s="1" t="s">
        <v>4315</v>
      </c>
      <c r="E1138" s="1" t="s">
        <v>42</v>
      </c>
      <c r="G1138" s="1" t="s">
        <v>4316</v>
      </c>
      <c r="H1138" s="1" t="s">
        <v>61</v>
      </c>
      <c r="I1138" s="1" t="s">
        <v>4937</v>
      </c>
      <c r="J1138" s="1">
        <v>2023</v>
      </c>
      <c r="P1138" s="1" t="s">
        <v>4318</v>
      </c>
      <c r="Q1138" s="1" t="s">
        <v>101</v>
      </c>
      <c r="R1138" s="1" t="s">
        <v>102</v>
      </c>
      <c r="S1138" s="1" t="s">
        <v>103</v>
      </c>
      <c r="T1138" s="1" t="s">
        <v>104</v>
      </c>
      <c r="U1138" s="1">
        <v>1</v>
      </c>
      <c r="V1138" s="1" t="s">
        <v>101</v>
      </c>
      <c r="Y1138" s="10">
        <v>45291</v>
      </c>
      <c r="Z1138" s="1">
        <v>2023</v>
      </c>
      <c r="AA1138" s="2"/>
      <c r="AB1138" s="2"/>
      <c r="AC1138" s="2">
        <v>619377.66000000015</v>
      </c>
      <c r="AG1138" s="1" t="s">
        <v>56</v>
      </c>
      <c r="AI1138" s="2">
        <v>619377.66000000015</v>
      </c>
      <c r="AL1138" s="1" t="s">
        <v>4319</v>
      </c>
    </row>
    <row r="1139" spans="1:38" ht="14.45" customHeight="1" x14ac:dyDescent="0.2">
      <c r="A1139" s="1" t="s">
        <v>57</v>
      </c>
      <c r="B1139" s="9" t="s">
        <v>39</v>
      </c>
      <c r="C1139" s="1" t="s">
        <v>58</v>
      </c>
      <c r="D1139" s="1" t="s">
        <v>4315</v>
      </c>
      <c r="E1139" s="1" t="s">
        <v>42</v>
      </c>
      <c r="G1139" s="1" t="s">
        <v>4316</v>
      </c>
      <c r="H1139" s="1" t="s">
        <v>61</v>
      </c>
      <c r="I1139" s="1" t="s">
        <v>4938</v>
      </c>
      <c r="J1139" s="1">
        <v>2021</v>
      </c>
      <c r="P1139" s="1" t="s">
        <v>4318</v>
      </c>
      <c r="Q1139" s="1" t="s">
        <v>101</v>
      </c>
      <c r="R1139" s="1" t="s">
        <v>102</v>
      </c>
      <c r="S1139" s="1" t="s">
        <v>103</v>
      </c>
      <c r="T1139" s="1" t="s">
        <v>104</v>
      </c>
      <c r="U1139" s="1">
        <v>1</v>
      </c>
      <c r="V1139" s="1" t="s">
        <v>101</v>
      </c>
      <c r="Y1139" s="10">
        <v>44560</v>
      </c>
      <c r="Z1139" s="1">
        <v>2021</v>
      </c>
      <c r="AA1139" s="2"/>
      <c r="AB1139" s="2"/>
      <c r="AC1139" s="2">
        <v>629561.64</v>
      </c>
      <c r="AG1139" s="1" t="s">
        <v>56</v>
      </c>
      <c r="AI1139" s="2">
        <v>629561.64</v>
      </c>
      <c r="AL1139" s="1" t="s">
        <v>4319</v>
      </c>
    </row>
    <row r="1140" spans="1:38" ht="14.45" customHeight="1" x14ac:dyDescent="0.2">
      <c r="A1140" s="1" t="s">
        <v>57</v>
      </c>
      <c r="B1140" s="9" t="s">
        <v>39</v>
      </c>
      <c r="C1140" s="1" t="s">
        <v>58</v>
      </c>
      <c r="D1140" s="1" t="s">
        <v>4315</v>
      </c>
      <c r="E1140" s="1" t="s">
        <v>42</v>
      </c>
      <c r="G1140" s="1" t="s">
        <v>4316</v>
      </c>
      <c r="H1140" s="1" t="s">
        <v>61</v>
      </c>
      <c r="I1140" s="1" t="s">
        <v>4939</v>
      </c>
      <c r="J1140" s="1">
        <v>2021</v>
      </c>
      <c r="P1140" s="1" t="s">
        <v>4318</v>
      </c>
      <c r="Q1140" s="1" t="s">
        <v>101</v>
      </c>
      <c r="R1140" s="1" t="s">
        <v>102</v>
      </c>
      <c r="S1140" s="1" t="s">
        <v>103</v>
      </c>
      <c r="T1140" s="1" t="s">
        <v>104</v>
      </c>
      <c r="U1140" s="1">
        <v>1</v>
      </c>
      <c r="V1140" s="1" t="s">
        <v>101</v>
      </c>
      <c r="Y1140" s="10">
        <v>44560</v>
      </c>
      <c r="Z1140" s="1">
        <v>2021</v>
      </c>
      <c r="AA1140" s="2"/>
      <c r="AB1140" s="2"/>
      <c r="AC1140" s="2">
        <v>775016.21999999986</v>
      </c>
      <c r="AG1140" s="1" t="s">
        <v>56</v>
      </c>
      <c r="AI1140" s="2">
        <v>775016.21999999986</v>
      </c>
      <c r="AL1140" s="1" t="s">
        <v>4319</v>
      </c>
    </row>
    <row r="1141" spans="1:38" ht="14.45" customHeight="1" x14ac:dyDescent="0.2">
      <c r="A1141" s="1" t="s">
        <v>57</v>
      </c>
      <c r="B1141" s="9" t="s">
        <v>39</v>
      </c>
      <c r="C1141" s="1" t="s">
        <v>58</v>
      </c>
      <c r="D1141" s="1" t="s">
        <v>4315</v>
      </c>
      <c r="E1141" s="1" t="s">
        <v>42</v>
      </c>
      <c r="G1141" s="1" t="s">
        <v>4316</v>
      </c>
      <c r="H1141" s="1" t="s">
        <v>61</v>
      </c>
      <c r="I1141" s="1" t="s">
        <v>4940</v>
      </c>
      <c r="J1141" s="1">
        <v>2023</v>
      </c>
      <c r="P1141" s="1" t="s">
        <v>4318</v>
      </c>
      <c r="Q1141" s="1" t="s">
        <v>101</v>
      </c>
      <c r="R1141" s="1" t="s">
        <v>102</v>
      </c>
      <c r="S1141" s="1" t="s">
        <v>103</v>
      </c>
      <c r="T1141" s="1" t="s">
        <v>104</v>
      </c>
      <c r="U1141" s="1">
        <v>1</v>
      </c>
      <c r="V1141" s="1" t="s">
        <v>101</v>
      </c>
      <c r="Y1141" s="10">
        <v>45014</v>
      </c>
      <c r="Z1141" s="1">
        <v>2023</v>
      </c>
      <c r="AA1141" s="2"/>
      <c r="AB1141" s="2"/>
      <c r="AC1141" s="2">
        <v>636901.93000000005</v>
      </c>
      <c r="AG1141" s="1" t="s">
        <v>56</v>
      </c>
      <c r="AI1141" s="2">
        <v>636901.93000000005</v>
      </c>
      <c r="AL1141" s="1" t="s">
        <v>4319</v>
      </c>
    </row>
    <row r="1142" spans="1:38" ht="14.45" customHeight="1" x14ac:dyDescent="0.2">
      <c r="A1142" s="1" t="s">
        <v>57</v>
      </c>
      <c r="B1142" s="9" t="s">
        <v>39</v>
      </c>
      <c r="C1142" s="1" t="s">
        <v>58</v>
      </c>
      <c r="D1142" s="1" t="s">
        <v>4315</v>
      </c>
      <c r="E1142" s="1" t="s">
        <v>42</v>
      </c>
      <c r="G1142" s="1" t="s">
        <v>4316</v>
      </c>
      <c r="H1142" s="1" t="s">
        <v>61</v>
      </c>
      <c r="I1142" s="1" t="s">
        <v>4941</v>
      </c>
      <c r="J1142" s="1">
        <v>2023</v>
      </c>
      <c r="P1142" s="1" t="s">
        <v>4318</v>
      </c>
      <c r="Q1142" s="1" t="s">
        <v>101</v>
      </c>
      <c r="R1142" s="1" t="s">
        <v>102</v>
      </c>
      <c r="S1142" s="1" t="s">
        <v>103</v>
      </c>
      <c r="T1142" s="1" t="s">
        <v>104</v>
      </c>
      <c r="U1142" s="1">
        <v>1</v>
      </c>
      <c r="V1142" s="1" t="s">
        <v>101</v>
      </c>
      <c r="Y1142" s="10">
        <v>45291</v>
      </c>
      <c r="Z1142" s="1">
        <v>2023</v>
      </c>
      <c r="AA1142" s="2"/>
      <c r="AB1142" s="2"/>
      <c r="AC1142" s="2">
        <v>477882.62000000046</v>
      </c>
      <c r="AG1142" s="1" t="s">
        <v>56</v>
      </c>
      <c r="AI1142" s="2">
        <v>477882.62000000046</v>
      </c>
      <c r="AL1142" s="1" t="s">
        <v>4319</v>
      </c>
    </row>
    <row r="1143" spans="1:38" ht="14.45" customHeight="1" x14ac:dyDescent="0.2">
      <c r="A1143" s="1" t="s">
        <v>57</v>
      </c>
      <c r="B1143" s="9" t="s">
        <v>39</v>
      </c>
      <c r="C1143" s="1" t="s">
        <v>58</v>
      </c>
      <c r="D1143" s="1" t="s">
        <v>4315</v>
      </c>
      <c r="E1143" s="1" t="s">
        <v>42</v>
      </c>
      <c r="G1143" s="1" t="s">
        <v>4316</v>
      </c>
      <c r="H1143" s="1" t="s">
        <v>61</v>
      </c>
      <c r="I1143" s="1" t="s">
        <v>4942</v>
      </c>
      <c r="J1143" s="1">
        <v>2024</v>
      </c>
      <c r="P1143" s="1" t="s">
        <v>4318</v>
      </c>
      <c r="Q1143" s="1" t="s">
        <v>101</v>
      </c>
      <c r="R1143" s="1" t="s">
        <v>102</v>
      </c>
      <c r="S1143" s="1" t="s">
        <v>103</v>
      </c>
      <c r="T1143" s="1" t="s">
        <v>104</v>
      </c>
      <c r="U1143" s="1">
        <v>1</v>
      </c>
      <c r="V1143" s="1" t="s">
        <v>101</v>
      </c>
      <c r="Y1143" s="10">
        <v>45404</v>
      </c>
      <c r="Z1143" s="1">
        <v>2024</v>
      </c>
      <c r="AA1143" s="2"/>
      <c r="AB1143" s="2"/>
      <c r="AC1143" s="2">
        <v>492506.65000000043</v>
      </c>
      <c r="AG1143" s="1" t="s">
        <v>56</v>
      </c>
      <c r="AI1143" s="2">
        <v>492506.65000000043</v>
      </c>
      <c r="AL1143" s="1" t="s">
        <v>4319</v>
      </c>
    </row>
    <row r="1144" spans="1:38" ht="14.45" customHeight="1" x14ac:dyDescent="0.2">
      <c r="A1144" s="1" t="s">
        <v>57</v>
      </c>
      <c r="B1144" s="9" t="s">
        <v>39</v>
      </c>
      <c r="C1144" s="1" t="s">
        <v>58</v>
      </c>
      <c r="D1144" s="1" t="s">
        <v>4315</v>
      </c>
      <c r="E1144" s="1" t="s">
        <v>42</v>
      </c>
      <c r="G1144" s="1" t="s">
        <v>4340</v>
      </c>
      <c r="H1144" s="1" t="s">
        <v>61</v>
      </c>
      <c r="I1144" s="1" t="s">
        <v>4943</v>
      </c>
      <c r="J1144" s="1">
        <v>2021</v>
      </c>
      <c r="P1144" s="1" t="s">
        <v>4318</v>
      </c>
      <c r="Q1144" s="1" t="s">
        <v>101</v>
      </c>
      <c r="R1144" s="1" t="s">
        <v>102</v>
      </c>
      <c r="S1144" s="1" t="s">
        <v>103</v>
      </c>
      <c r="T1144" s="1" t="s">
        <v>104</v>
      </c>
      <c r="U1144" s="1">
        <v>1</v>
      </c>
      <c r="V1144" s="1" t="s">
        <v>101</v>
      </c>
      <c r="Y1144" s="10">
        <v>44299</v>
      </c>
      <c r="Z1144" s="1">
        <v>2021</v>
      </c>
      <c r="AA1144" s="2"/>
      <c r="AB1144" s="2"/>
      <c r="AC1144" s="2">
        <v>77681.39</v>
      </c>
      <c r="AG1144" s="1" t="s">
        <v>56</v>
      </c>
      <c r="AI1144" s="2">
        <v>77681.39</v>
      </c>
    </row>
    <row r="1145" spans="1:38" ht="14.45" customHeight="1" x14ac:dyDescent="0.2">
      <c r="A1145" s="1" t="s">
        <v>57</v>
      </c>
      <c r="B1145" s="9" t="s">
        <v>39</v>
      </c>
      <c r="C1145" s="1" t="s">
        <v>58</v>
      </c>
      <c r="D1145" s="1" t="s">
        <v>4315</v>
      </c>
      <c r="E1145" s="1" t="s">
        <v>42</v>
      </c>
      <c r="G1145" s="1" t="s">
        <v>4316</v>
      </c>
      <c r="H1145" s="1" t="s">
        <v>61</v>
      </c>
      <c r="I1145" s="1" t="s">
        <v>4944</v>
      </c>
      <c r="J1145" s="1">
        <v>2018</v>
      </c>
      <c r="P1145" s="1" t="s">
        <v>4318</v>
      </c>
      <c r="Q1145" s="1" t="s">
        <v>101</v>
      </c>
      <c r="R1145" s="1" t="s">
        <v>102</v>
      </c>
      <c r="S1145" s="1" t="s">
        <v>103</v>
      </c>
      <c r="T1145" s="1" t="s">
        <v>104</v>
      </c>
      <c r="U1145" s="1">
        <v>1</v>
      </c>
      <c r="V1145" s="1" t="s">
        <v>101</v>
      </c>
      <c r="Y1145" s="10">
        <v>43464</v>
      </c>
      <c r="Z1145" s="1">
        <v>2018</v>
      </c>
      <c r="AA1145" s="2"/>
      <c r="AB1145" s="2"/>
      <c r="AC1145" s="2">
        <v>688865.41</v>
      </c>
      <c r="AG1145" s="1" t="s">
        <v>56</v>
      </c>
      <c r="AI1145" s="2">
        <v>688865.41</v>
      </c>
      <c r="AL1145" s="1" t="s">
        <v>4319</v>
      </c>
    </row>
    <row r="1146" spans="1:38" ht="14.45" customHeight="1" x14ac:dyDescent="0.2">
      <c r="A1146" s="1" t="s">
        <v>57</v>
      </c>
      <c r="B1146" s="9" t="s">
        <v>39</v>
      </c>
      <c r="C1146" s="1" t="s">
        <v>58</v>
      </c>
      <c r="D1146" s="1" t="s">
        <v>4315</v>
      </c>
      <c r="E1146" s="1" t="s">
        <v>42</v>
      </c>
      <c r="G1146" s="1" t="s">
        <v>4340</v>
      </c>
      <c r="H1146" s="1" t="s">
        <v>61</v>
      </c>
      <c r="I1146" s="1" t="s">
        <v>4945</v>
      </c>
      <c r="J1146" s="1">
        <v>2021</v>
      </c>
      <c r="P1146" s="1" t="s">
        <v>4318</v>
      </c>
      <c r="Q1146" s="1" t="s">
        <v>101</v>
      </c>
      <c r="R1146" s="1" t="s">
        <v>102</v>
      </c>
      <c r="S1146" s="1" t="s">
        <v>103</v>
      </c>
      <c r="T1146" s="1" t="s">
        <v>104</v>
      </c>
      <c r="U1146" s="1">
        <v>1</v>
      </c>
      <c r="V1146" s="1" t="s">
        <v>101</v>
      </c>
      <c r="Y1146" s="10">
        <v>44299</v>
      </c>
      <c r="Z1146" s="1">
        <v>2021</v>
      </c>
      <c r="AA1146" s="2"/>
      <c r="AB1146" s="2"/>
      <c r="AC1146" s="2">
        <v>65120.04</v>
      </c>
      <c r="AG1146" s="1" t="s">
        <v>56</v>
      </c>
      <c r="AI1146" s="2">
        <v>65120.04</v>
      </c>
    </row>
    <row r="1147" spans="1:38" ht="14.45" customHeight="1" x14ac:dyDescent="0.2">
      <c r="A1147" s="1" t="s">
        <v>57</v>
      </c>
      <c r="B1147" s="9" t="s">
        <v>39</v>
      </c>
      <c r="C1147" s="1" t="s">
        <v>58</v>
      </c>
      <c r="D1147" s="1" t="s">
        <v>4315</v>
      </c>
      <c r="E1147" s="1" t="s">
        <v>42</v>
      </c>
      <c r="G1147" s="1" t="s">
        <v>4316</v>
      </c>
      <c r="H1147" s="1" t="s">
        <v>61</v>
      </c>
      <c r="I1147" s="1" t="s">
        <v>4946</v>
      </c>
      <c r="J1147" s="1">
        <v>2020</v>
      </c>
      <c r="P1147" s="1" t="s">
        <v>4318</v>
      </c>
      <c r="Q1147" s="1" t="s">
        <v>101</v>
      </c>
      <c r="R1147" s="1" t="s">
        <v>102</v>
      </c>
      <c r="S1147" s="1" t="s">
        <v>103</v>
      </c>
      <c r="T1147" s="1" t="s">
        <v>104</v>
      </c>
      <c r="U1147" s="1">
        <v>1</v>
      </c>
      <c r="V1147" s="1" t="s">
        <v>101</v>
      </c>
      <c r="Y1147" s="10">
        <v>43925</v>
      </c>
      <c r="Z1147" s="1">
        <v>2020</v>
      </c>
      <c r="AA1147" s="2"/>
      <c r="AB1147" s="2"/>
      <c r="AC1147" s="2">
        <v>542410.55000000005</v>
      </c>
      <c r="AG1147" s="1" t="s">
        <v>56</v>
      </c>
      <c r="AI1147" s="2">
        <v>542410.55000000005</v>
      </c>
      <c r="AL1147" s="1" t="s">
        <v>4319</v>
      </c>
    </row>
    <row r="1148" spans="1:38" ht="14.45" customHeight="1" x14ac:dyDescent="0.2">
      <c r="A1148" s="1" t="s">
        <v>57</v>
      </c>
      <c r="B1148" s="9" t="s">
        <v>39</v>
      </c>
      <c r="C1148" s="1" t="s">
        <v>58</v>
      </c>
      <c r="D1148" s="1" t="s">
        <v>4315</v>
      </c>
      <c r="E1148" s="1" t="s">
        <v>42</v>
      </c>
      <c r="G1148" s="1" t="s">
        <v>4340</v>
      </c>
      <c r="H1148" s="1" t="s">
        <v>61</v>
      </c>
      <c r="I1148" s="1" t="s">
        <v>4947</v>
      </c>
      <c r="J1148" s="1">
        <v>2021</v>
      </c>
      <c r="P1148" s="1" t="s">
        <v>4318</v>
      </c>
      <c r="Q1148" s="1" t="s">
        <v>101</v>
      </c>
      <c r="R1148" s="1" t="s">
        <v>102</v>
      </c>
      <c r="S1148" s="1" t="s">
        <v>103</v>
      </c>
      <c r="T1148" s="1" t="s">
        <v>104</v>
      </c>
      <c r="U1148" s="1">
        <v>1</v>
      </c>
      <c r="V1148" s="1" t="s">
        <v>101</v>
      </c>
      <c r="Y1148" s="10">
        <v>44299</v>
      </c>
      <c r="Z1148" s="1">
        <v>2021</v>
      </c>
      <c r="AA1148" s="2"/>
      <c r="AB1148" s="2"/>
      <c r="AC1148" s="2">
        <v>51837.4</v>
      </c>
      <c r="AG1148" s="1" t="s">
        <v>56</v>
      </c>
      <c r="AI1148" s="2">
        <v>51837.4</v>
      </c>
    </row>
    <row r="1149" spans="1:38" ht="14.45" customHeight="1" x14ac:dyDescent="0.2">
      <c r="A1149" s="1" t="s">
        <v>57</v>
      </c>
      <c r="B1149" s="9" t="s">
        <v>39</v>
      </c>
      <c r="C1149" s="1" t="s">
        <v>58</v>
      </c>
      <c r="D1149" s="1" t="s">
        <v>4315</v>
      </c>
      <c r="E1149" s="1" t="s">
        <v>42</v>
      </c>
      <c r="G1149" s="1" t="s">
        <v>4316</v>
      </c>
      <c r="H1149" s="1" t="s">
        <v>61</v>
      </c>
      <c r="I1149" s="1" t="s">
        <v>4948</v>
      </c>
      <c r="J1149" s="1">
        <v>2019</v>
      </c>
      <c r="P1149" s="1" t="s">
        <v>4471</v>
      </c>
      <c r="Q1149" s="1" t="s">
        <v>50</v>
      </c>
      <c r="R1149" s="1" t="s">
        <v>68</v>
      </c>
      <c r="S1149" s="1" t="s">
        <v>425</v>
      </c>
      <c r="T1149" s="1" t="s">
        <v>426</v>
      </c>
      <c r="U1149" s="1">
        <v>1</v>
      </c>
      <c r="V1149" s="1" t="s">
        <v>195</v>
      </c>
      <c r="Y1149" s="10">
        <v>43466</v>
      </c>
      <c r="Z1149" s="1">
        <v>2019</v>
      </c>
      <c r="AA1149" s="2"/>
      <c r="AB1149" s="2"/>
      <c r="AC1149" s="2">
        <v>681254.41999999993</v>
      </c>
      <c r="AG1149" s="1" t="s">
        <v>56</v>
      </c>
      <c r="AI1149" s="2">
        <v>681254.41999999993</v>
      </c>
      <c r="AL1149" s="1" t="s">
        <v>4319</v>
      </c>
    </row>
    <row r="1150" spans="1:38" ht="12.6" customHeight="1" x14ac:dyDescent="0.2">
      <c r="A1150" s="1" t="s">
        <v>57</v>
      </c>
      <c r="B1150" s="9" t="s">
        <v>39</v>
      </c>
      <c r="C1150" s="1" t="s">
        <v>58</v>
      </c>
      <c r="D1150" s="1" t="s">
        <v>4315</v>
      </c>
      <c r="E1150" s="1" t="s">
        <v>42</v>
      </c>
      <c r="G1150" s="1" t="s">
        <v>4316</v>
      </c>
      <c r="H1150" s="1" t="s">
        <v>61</v>
      </c>
      <c r="I1150" s="1" t="s">
        <v>4949</v>
      </c>
      <c r="J1150" s="1">
        <v>2019</v>
      </c>
      <c r="P1150" s="1" t="s">
        <v>4471</v>
      </c>
      <c r="Q1150" s="1" t="s">
        <v>50</v>
      </c>
      <c r="R1150" s="1" t="s">
        <v>68</v>
      </c>
      <c r="S1150" s="1" t="s">
        <v>425</v>
      </c>
      <c r="T1150" s="1" t="s">
        <v>426</v>
      </c>
      <c r="U1150" s="1">
        <v>1</v>
      </c>
      <c r="V1150" s="1" t="s">
        <v>195</v>
      </c>
      <c r="Y1150" s="10">
        <v>43466</v>
      </c>
      <c r="Z1150" s="1">
        <v>2019</v>
      </c>
      <c r="AA1150" s="2"/>
      <c r="AB1150" s="2"/>
      <c r="AC1150" s="2">
        <v>377740.25</v>
      </c>
      <c r="AG1150" s="1" t="s">
        <v>56</v>
      </c>
      <c r="AI1150" s="2">
        <v>377740.25</v>
      </c>
      <c r="AL1150" s="1" t="s">
        <v>4319</v>
      </c>
    </row>
    <row r="1151" spans="1:38" ht="100.9" customHeight="1" x14ac:dyDescent="0.2">
      <c r="A1151" s="1" t="s">
        <v>57</v>
      </c>
      <c r="B1151" s="9" t="s">
        <v>39</v>
      </c>
      <c r="C1151" s="1" t="s">
        <v>58</v>
      </c>
      <c r="D1151" s="1" t="s">
        <v>4315</v>
      </c>
      <c r="E1151" s="1" t="s">
        <v>42</v>
      </c>
      <c r="G1151" s="1" t="s">
        <v>4316</v>
      </c>
      <c r="H1151" s="1" t="s">
        <v>61</v>
      </c>
      <c r="I1151" s="1" t="s">
        <v>4950</v>
      </c>
      <c r="J1151" s="1">
        <v>2019</v>
      </c>
      <c r="P1151" s="1" t="s">
        <v>4471</v>
      </c>
      <c r="Q1151" s="1" t="s">
        <v>50</v>
      </c>
      <c r="R1151" s="1" t="s">
        <v>68</v>
      </c>
      <c r="S1151" s="1" t="s">
        <v>425</v>
      </c>
      <c r="T1151" s="1" t="s">
        <v>426</v>
      </c>
      <c r="U1151" s="1">
        <v>1</v>
      </c>
      <c r="V1151" s="1" t="s">
        <v>195</v>
      </c>
      <c r="Y1151" s="10">
        <v>43466</v>
      </c>
      <c r="Z1151" s="1">
        <v>2019</v>
      </c>
      <c r="AA1151" s="2"/>
      <c r="AB1151" s="2"/>
      <c r="AC1151" s="2">
        <v>715205.15</v>
      </c>
      <c r="AG1151" s="1" t="s">
        <v>56</v>
      </c>
      <c r="AI1151" s="2">
        <v>715205.15</v>
      </c>
      <c r="AL1151" s="1" t="s">
        <v>4319</v>
      </c>
    </row>
    <row r="1152" spans="1:38" ht="100.9" customHeight="1" x14ac:dyDescent="0.2">
      <c r="A1152" s="1" t="s">
        <v>57</v>
      </c>
      <c r="B1152" s="9" t="s">
        <v>39</v>
      </c>
      <c r="C1152" s="1" t="s">
        <v>58</v>
      </c>
      <c r="D1152" s="1" t="s">
        <v>4315</v>
      </c>
      <c r="E1152" s="1" t="s">
        <v>42</v>
      </c>
      <c r="G1152" s="1" t="s">
        <v>4316</v>
      </c>
      <c r="H1152" s="1" t="s">
        <v>61</v>
      </c>
      <c r="I1152" s="1" t="s">
        <v>4951</v>
      </c>
      <c r="J1152" s="1">
        <v>2019</v>
      </c>
      <c r="P1152" s="1" t="s">
        <v>4471</v>
      </c>
      <c r="Q1152" s="1" t="s">
        <v>50</v>
      </c>
      <c r="R1152" s="1" t="s">
        <v>68</v>
      </c>
      <c r="S1152" s="1" t="s">
        <v>425</v>
      </c>
      <c r="T1152" s="1" t="s">
        <v>426</v>
      </c>
      <c r="U1152" s="1">
        <v>1</v>
      </c>
      <c r="V1152" s="1" t="s">
        <v>195</v>
      </c>
      <c r="Y1152" s="10">
        <v>43466</v>
      </c>
      <c r="Z1152" s="1">
        <v>2019</v>
      </c>
      <c r="AA1152" s="2"/>
      <c r="AB1152" s="2"/>
      <c r="AC1152" s="2">
        <v>616037.94999999995</v>
      </c>
      <c r="AG1152" s="1" t="s">
        <v>56</v>
      </c>
      <c r="AI1152" s="2">
        <v>616037.94999999995</v>
      </c>
      <c r="AL1152" s="1" t="s">
        <v>4319</v>
      </c>
    </row>
    <row r="1153" spans="1:38" ht="14.45" customHeight="1" x14ac:dyDescent="0.2">
      <c r="A1153" s="1" t="s">
        <v>57</v>
      </c>
      <c r="B1153" s="9" t="s">
        <v>39</v>
      </c>
      <c r="C1153" s="1" t="s">
        <v>58</v>
      </c>
      <c r="D1153" s="1" t="s">
        <v>4315</v>
      </c>
      <c r="E1153" s="1" t="s">
        <v>42</v>
      </c>
      <c r="G1153" s="1" t="s">
        <v>4316</v>
      </c>
      <c r="H1153" s="1" t="s">
        <v>61</v>
      </c>
      <c r="I1153" s="1" t="s">
        <v>4952</v>
      </c>
      <c r="J1153" s="1">
        <v>2019</v>
      </c>
      <c r="P1153" s="1" t="s">
        <v>4471</v>
      </c>
      <c r="Q1153" s="1" t="s">
        <v>50</v>
      </c>
      <c r="R1153" s="1" t="s">
        <v>68</v>
      </c>
      <c r="S1153" s="1" t="s">
        <v>425</v>
      </c>
      <c r="T1153" s="1" t="s">
        <v>426</v>
      </c>
      <c r="U1153" s="1">
        <v>1</v>
      </c>
      <c r="V1153" s="1" t="s">
        <v>195</v>
      </c>
      <c r="Y1153" s="10">
        <v>43466</v>
      </c>
      <c r="Z1153" s="1">
        <v>2019</v>
      </c>
      <c r="AA1153" s="2"/>
      <c r="AB1153" s="2"/>
      <c r="AC1153" s="2">
        <v>725457.19</v>
      </c>
      <c r="AG1153" s="1" t="s">
        <v>56</v>
      </c>
      <c r="AI1153" s="2">
        <v>725457.19</v>
      </c>
      <c r="AL1153" s="1" t="s">
        <v>4319</v>
      </c>
    </row>
    <row r="1154" spans="1:38" ht="14.45" customHeight="1" x14ac:dyDescent="0.2">
      <c r="A1154" s="1" t="s">
        <v>57</v>
      </c>
      <c r="B1154" s="9" t="s">
        <v>39</v>
      </c>
      <c r="C1154" s="1" t="s">
        <v>58</v>
      </c>
      <c r="D1154" s="1" t="s">
        <v>4315</v>
      </c>
      <c r="E1154" s="1" t="s">
        <v>42</v>
      </c>
      <c r="G1154" s="1" t="s">
        <v>4316</v>
      </c>
      <c r="H1154" s="1" t="s">
        <v>61</v>
      </c>
      <c r="I1154" s="1" t="s">
        <v>4953</v>
      </c>
      <c r="J1154" s="1">
        <v>2019</v>
      </c>
      <c r="P1154" s="1" t="s">
        <v>4471</v>
      </c>
      <c r="Q1154" s="1" t="s">
        <v>50</v>
      </c>
      <c r="R1154" s="1" t="s">
        <v>68</v>
      </c>
      <c r="S1154" s="1" t="s">
        <v>425</v>
      </c>
      <c r="T1154" s="1" t="s">
        <v>426</v>
      </c>
      <c r="U1154" s="1">
        <v>1</v>
      </c>
      <c r="V1154" s="1" t="s">
        <v>195</v>
      </c>
      <c r="Y1154" s="10">
        <v>43466</v>
      </c>
      <c r="Z1154" s="1">
        <v>2019</v>
      </c>
      <c r="AA1154" s="2"/>
      <c r="AB1154" s="2"/>
      <c r="AC1154" s="2">
        <v>521100.17</v>
      </c>
      <c r="AG1154" s="1" t="s">
        <v>56</v>
      </c>
      <c r="AI1154" s="2">
        <v>521100.17</v>
      </c>
      <c r="AL1154" s="1" t="s">
        <v>4319</v>
      </c>
    </row>
    <row r="1155" spans="1:38" ht="12.6" customHeight="1" x14ac:dyDescent="0.2">
      <c r="A1155" s="1" t="s">
        <v>57</v>
      </c>
      <c r="B1155" s="9" t="s">
        <v>39</v>
      </c>
      <c r="C1155" s="1" t="s">
        <v>58</v>
      </c>
      <c r="D1155" s="1" t="s">
        <v>4315</v>
      </c>
      <c r="E1155" s="1" t="s">
        <v>42</v>
      </c>
      <c r="G1155" s="1" t="s">
        <v>4316</v>
      </c>
      <c r="H1155" s="1" t="s">
        <v>61</v>
      </c>
      <c r="I1155" s="1" t="s">
        <v>4954</v>
      </c>
      <c r="J1155" s="1">
        <v>2019</v>
      </c>
      <c r="P1155" s="1" t="s">
        <v>4471</v>
      </c>
      <c r="Q1155" s="1" t="s">
        <v>50</v>
      </c>
      <c r="R1155" s="1" t="s">
        <v>68</v>
      </c>
      <c r="S1155" s="1" t="s">
        <v>425</v>
      </c>
      <c r="T1155" s="1" t="s">
        <v>426</v>
      </c>
      <c r="U1155" s="1">
        <v>1</v>
      </c>
      <c r="V1155" s="1" t="s">
        <v>195</v>
      </c>
      <c r="Y1155" s="10">
        <v>43466</v>
      </c>
      <c r="Z1155" s="1">
        <v>2019</v>
      </c>
      <c r="AA1155" s="2"/>
      <c r="AB1155" s="2"/>
      <c r="AC1155" s="2">
        <v>401465.83999999997</v>
      </c>
      <c r="AG1155" s="1" t="s">
        <v>56</v>
      </c>
      <c r="AI1155" s="2">
        <v>401465.83999999997</v>
      </c>
      <c r="AL1155" s="1" t="s">
        <v>4319</v>
      </c>
    </row>
    <row r="1156" spans="1:38" ht="12.6" customHeight="1" x14ac:dyDescent="0.2">
      <c r="A1156" s="1" t="s">
        <v>57</v>
      </c>
      <c r="B1156" s="9" t="s">
        <v>39</v>
      </c>
      <c r="C1156" s="1" t="s">
        <v>58</v>
      </c>
      <c r="D1156" s="1" t="s">
        <v>4315</v>
      </c>
      <c r="E1156" s="1" t="s">
        <v>42</v>
      </c>
      <c r="G1156" s="1" t="s">
        <v>4316</v>
      </c>
      <c r="H1156" s="1" t="s">
        <v>61</v>
      </c>
      <c r="I1156" s="1" t="s">
        <v>4955</v>
      </c>
      <c r="J1156" s="1">
        <v>2019</v>
      </c>
      <c r="P1156" s="1" t="s">
        <v>4471</v>
      </c>
      <c r="Q1156" s="1" t="s">
        <v>50</v>
      </c>
      <c r="R1156" s="1" t="s">
        <v>68</v>
      </c>
      <c r="S1156" s="1" t="s">
        <v>425</v>
      </c>
      <c r="T1156" s="1" t="s">
        <v>426</v>
      </c>
      <c r="U1156" s="1">
        <v>1</v>
      </c>
      <c r="V1156" s="1" t="s">
        <v>195</v>
      </c>
      <c r="Y1156" s="10">
        <v>43466</v>
      </c>
      <c r="Z1156" s="1">
        <v>2019</v>
      </c>
      <c r="AA1156" s="2"/>
      <c r="AB1156" s="2"/>
      <c r="AC1156" s="2">
        <v>698174.30999999994</v>
      </c>
      <c r="AG1156" s="1" t="s">
        <v>56</v>
      </c>
      <c r="AI1156" s="2">
        <v>698174.30999999994</v>
      </c>
      <c r="AL1156" s="1" t="s">
        <v>4319</v>
      </c>
    </row>
    <row r="1157" spans="1:38" ht="12.6" customHeight="1" x14ac:dyDescent="0.2">
      <c r="A1157" s="1" t="s">
        <v>57</v>
      </c>
      <c r="B1157" s="9" t="s">
        <v>39</v>
      </c>
      <c r="C1157" s="1" t="s">
        <v>58</v>
      </c>
      <c r="D1157" s="1" t="s">
        <v>4315</v>
      </c>
      <c r="E1157" s="1" t="s">
        <v>42</v>
      </c>
      <c r="G1157" s="1" t="s">
        <v>4316</v>
      </c>
      <c r="H1157" s="1" t="s">
        <v>61</v>
      </c>
      <c r="I1157" s="1" t="s">
        <v>4956</v>
      </c>
      <c r="J1157" s="1">
        <v>2019</v>
      </c>
      <c r="P1157" s="1" t="s">
        <v>4471</v>
      </c>
      <c r="Q1157" s="1" t="s">
        <v>50</v>
      </c>
      <c r="R1157" s="1" t="s">
        <v>68</v>
      </c>
      <c r="S1157" s="1" t="s">
        <v>425</v>
      </c>
      <c r="T1157" s="1" t="s">
        <v>426</v>
      </c>
      <c r="U1157" s="1">
        <v>1</v>
      </c>
      <c r="V1157" s="1" t="s">
        <v>195</v>
      </c>
      <c r="Y1157" s="10">
        <v>43617</v>
      </c>
      <c r="Z1157" s="1">
        <v>2019</v>
      </c>
      <c r="AA1157" s="2"/>
      <c r="AB1157" s="2"/>
      <c r="AC1157" s="2">
        <v>683240.28</v>
      </c>
      <c r="AG1157" s="1" t="s">
        <v>56</v>
      </c>
      <c r="AI1157" s="2">
        <v>683240.28</v>
      </c>
      <c r="AL1157" s="1" t="s">
        <v>4319</v>
      </c>
    </row>
    <row r="1158" spans="1:38" ht="12.6" customHeight="1" x14ac:dyDescent="0.2">
      <c r="A1158" s="1" t="s">
        <v>57</v>
      </c>
      <c r="B1158" s="9" t="s">
        <v>39</v>
      </c>
      <c r="C1158" s="1" t="s">
        <v>58</v>
      </c>
      <c r="D1158" s="1" t="s">
        <v>4315</v>
      </c>
      <c r="E1158" s="1" t="s">
        <v>42</v>
      </c>
      <c r="G1158" s="1" t="s">
        <v>4316</v>
      </c>
      <c r="H1158" s="1" t="s">
        <v>61</v>
      </c>
      <c r="I1158" s="1" t="s">
        <v>4957</v>
      </c>
      <c r="J1158" s="1">
        <v>2019</v>
      </c>
      <c r="P1158" s="1" t="s">
        <v>4471</v>
      </c>
      <c r="Q1158" s="1" t="s">
        <v>50</v>
      </c>
      <c r="R1158" s="1" t="s">
        <v>68</v>
      </c>
      <c r="S1158" s="1" t="s">
        <v>425</v>
      </c>
      <c r="T1158" s="1" t="s">
        <v>426</v>
      </c>
      <c r="U1158" s="1">
        <v>1</v>
      </c>
      <c r="V1158" s="1" t="s">
        <v>195</v>
      </c>
      <c r="Y1158" s="10">
        <v>43466</v>
      </c>
      <c r="Z1158" s="1">
        <v>2019</v>
      </c>
      <c r="AA1158" s="2"/>
      <c r="AB1158" s="2"/>
      <c r="AC1158" s="2">
        <v>622913.55999999994</v>
      </c>
      <c r="AG1158" s="1" t="s">
        <v>56</v>
      </c>
      <c r="AI1158" s="2">
        <v>622913.55999999994</v>
      </c>
      <c r="AL1158" s="1" t="s">
        <v>4319</v>
      </c>
    </row>
    <row r="1159" spans="1:38" ht="12.6" customHeight="1" x14ac:dyDescent="0.2">
      <c r="A1159" s="1" t="s">
        <v>57</v>
      </c>
      <c r="B1159" s="9" t="s">
        <v>39</v>
      </c>
      <c r="C1159" s="1" t="s">
        <v>58</v>
      </c>
      <c r="D1159" s="1" t="s">
        <v>4315</v>
      </c>
      <c r="E1159" s="1" t="s">
        <v>42</v>
      </c>
      <c r="G1159" s="1" t="s">
        <v>4316</v>
      </c>
      <c r="H1159" s="1" t="s">
        <v>61</v>
      </c>
      <c r="I1159" s="1" t="s">
        <v>4958</v>
      </c>
      <c r="J1159" s="1">
        <v>2019</v>
      </c>
      <c r="P1159" s="1" t="s">
        <v>4471</v>
      </c>
      <c r="Q1159" s="1" t="s">
        <v>50</v>
      </c>
      <c r="R1159" s="1" t="s">
        <v>68</v>
      </c>
      <c r="S1159" s="1" t="s">
        <v>425</v>
      </c>
      <c r="T1159" s="1" t="s">
        <v>426</v>
      </c>
      <c r="U1159" s="1">
        <v>1</v>
      </c>
      <c r="V1159" s="1" t="s">
        <v>195</v>
      </c>
      <c r="Y1159" s="10">
        <v>43617</v>
      </c>
      <c r="Z1159" s="1">
        <v>2019</v>
      </c>
      <c r="AA1159" s="2"/>
      <c r="AB1159" s="2"/>
      <c r="AC1159" s="2">
        <v>510154.51000000007</v>
      </c>
      <c r="AG1159" s="1" t="s">
        <v>56</v>
      </c>
      <c r="AI1159" s="2">
        <v>510154.51000000007</v>
      </c>
      <c r="AL1159" s="1" t="s">
        <v>4319</v>
      </c>
    </row>
    <row r="1160" spans="1:38" ht="12.6" customHeight="1" x14ac:dyDescent="0.2">
      <c r="A1160" s="1" t="s">
        <v>57</v>
      </c>
      <c r="B1160" s="9" t="s">
        <v>39</v>
      </c>
      <c r="C1160" s="1" t="s">
        <v>58</v>
      </c>
      <c r="D1160" s="1" t="s">
        <v>4315</v>
      </c>
      <c r="E1160" s="1" t="s">
        <v>42</v>
      </c>
      <c r="G1160" s="1" t="s">
        <v>4316</v>
      </c>
      <c r="H1160" s="1" t="s">
        <v>61</v>
      </c>
      <c r="I1160" s="1" t="s">
        <v>4959</v>
      </c>
      <c r="J1160" s="1">
        <v>2018</v>
      </c>
      <c r="P1160" s="1" t="s">
        <v>4474</v>
      </c>
      <c r="Q1160" s="1" t="s">
        <v>50</v>
      </c>
      <c r="R1160" s="1" t="s">
        <v>68</v>
      </c>
      <c r="S1160" s="1" t="s">
        <v>430</v>
      </c>
      <c r="T1160" s="1" t="s">
        <v>431</v>
      </c>
      <c r="U1160" s="1">
        <v>1</v>
      </c>
      <c r="V1160" s="1" t="s">
        <v>71</v>
      </c>
      <c r="Y1160" s="10">
        <v>43465</v>
      </c>
      <c r="Z1160" s="1">
        <v>2018</v>
      </c>
      <c r="AA1160" s="2"/>
      <c r="AB1160" s="2"/>
      <c r="AC1160" s="2">
        <v>384458.1</v>
      </c>
      <c r="AG1160" s="1" t="s">
        <v>56</v>
      </c>
      <c r="AI1160" s="2">
        <v>384458.1</v>
      </c>
      <c r="AL1160" s="1" t="s">
        <v>4319</v>
      </c>
    </row>
    <row r="1161" spans="1:38" ht="12.6" customHeight="1" x14ac:dyDescent="0.2">
      <c r="A1161" s="1" t="s">
        <v>57</v>
      </c>
      <c r="B1161" s="9" t="s">
        <v>39</v>
      </c>
      <c r="C1161" s="1" t="s">
        <v>58</v>
      </c>
      <c r="D1161" s="1" t="s">
        <v>4315</v>
      </c>
      <c r="E1161" s="1" t="s">
        <v>42</v>
      </c>
      <c r="G1161" s="1" t="s">
        <v>4316</v>
      </c>
      <c r="H1161" s="1" t="s">
        <v>61</v>
      </c>
      <c r="I1161" s="1" t="s">
        <v>4960</v>
      </c>
      <c r="J1161" s="1">
        <v>2018</v>
      </c>
      <c r="P1161" s="1" t="s">
        <v>4474</v>
      </c>
      <c r="Q1161" s="1" t="s">
        <v>50</v>
      </c>
      <c r="R1161" s="1" t="s">
        <v>68</v>
      </c>
      <c r="S1161" s="1" t="s">
        <v>430</v>
      </c>
      <c r="T1161" s="1" t="s">
        <v>431</v>
      </c>
      <c r="U1161" s="1">
        <v>1</v>
      </c>
      <c r="V1161" s="1" t="s">
        <v>71</v>
      </c>
      <c r="Y1161" s="10">
        <v>43461</v>
      </c>
      <c r="Z1161" s="1">
        <v>2018</v>
      </c>
      <c r="AA1161" s="2"/>
      <c r="AB1161" s="2"/>
      <c r="AC1161" s="2">
        <v>468341.02</v>
      </c>
      <c r="AG1161" s="1" t="s">
        <v>56</v>
      </c>
      <c r="AI1161" s="2">
        <v>468341.02</v>
      </c>
      <c r="AL1161" s="1" t="s">
        <v>4319</v>
      </c>
    </row>
    <row r="1162" spans="1:38" ht="14.45" customHeight="1" x14ac:dyDescent="0.2">
      <c r="A1162" s="1" t="s">
        <v>57</v>
      </c>
      <c r="B1162" s="9" t="s">
        <v>39</v>
      </c>
      <c r="C1162" s="1" t="s">
        <v>58</v>
      </c>
      <c r="D1162" s="1" t="s">
        <v>4315</v>
      </c>
      <c r="E1162" s="1" t="s">
        <v>42</v>
      </c>
      <c r="G1162" s="1" t="s">
        <v>4316</v>
      </c>
      <c r="H1162" s="1" t="s">
        <v>61</v>
      </c>
      <c r="I1162" s="1" t="s">
        <v>4961</v>
      </c>
      <c r="J1162" s="1">
        <v>2018</v>
      </c>
      <c r="P1162" s="1" t="s">
        <v>4474</v>
      </c>
      <c r="Q1162" s="1" t="s">
        <v>50</v>
      </c>
      <c r="R1162" s="1" t="s">
        <v>68</v>
      </c>
      <c r="S1162" s="1" t="s">
        <v>430</v>
      </c>
      <c r="T1162" s="1" t="s">
        <v>431</v>
      </c>
      <c r="U1162" s="1">
        <v>1</v>
      </c>
      <c r="V1162" s="1" t="s">
        <v>71</v>
      </c>
      <c r="Y1162" s="10">
        <v>43461</v>
      </c>
      <c r="Z1162" s="1">
        <v>2018</v>
      </c>
      <c r="AA1162" s="2"/>
      <c r="AB1162" s="2"/>
      <c r="AC1162" s="2">
        <v>463681.89</v>
      </c>
      <c r="AG1162" s="1" t="s">
        <v>56</v>
      </c>
      <c r="AI1162" s="2">
        <v>463681.89</v>
      </c>
      <c r="AL1162" s="1" t="s">
        <v>4319</v>
      </c>
    </row>
    <row r="1163" spans="1:38" ht="12.6" customHeight="1" x14ac:dyDescent="0.2">
      <c r="A1163" s="1" t="s">
        <v>57</v>
      </c>
      <c r="B1163" s="9" t="s">
        <v>39</v>
      </c>
      <c r="C1163" s="1" t="s">
        <v>58</v>
      </c>
      <c r="D1163" s="1" t="s">
        <v>4315</v>
      </c>
      <c r="E1163" s="1" t="s">
        <v>42</v>
      </c>
      <c r="G1163" s="1" t="s">
        <v>4316</v>
      </c>
      <c r="H1163" s="1" t="s">
        <v>61</v>
      </c>
      <c r="I1163" s="1" t="s">
        <v>4962</v>
      </c>
      <c r="J1163" s="1">
        <v>2018</v>
      </c>
      <c r="P1163" s="1" t="s">
        <v>4474</v>
      </c>
      <c r="Q1163" s="1" t="s">
        <v>50</v>
      </c>
      <c r="R1163" s="1" t="s">
        <v>68</v>
      </c>
      <c r="S1163" s="1" t="s">
        <v>430</v>
      </c>
      <c r="T1163" s="1" t="s">
        <v>431</v>
      </c>
      <c r="U1163" s="1">
        <v>1</v>
      </c>
      <c r="V1163" s="1" t="s">
        <v>71</v>
      </c>
      <c r="Y1163" s="10">
        <v>43465</v>
      </c>
      <c r="Z1163" s="1">
        <v>2018</v>
      </c>
      <c r="AA1163" s="2"/>
      <c r="AB1163" s="2"/>
      <c r="AC1163" s="2">
        <v>250747.05</v>
      </c>
      <c r="AG1163" s="1" t="s">
        <v>56</v>
      </c>
      <c r="AI1163" s="2">
        <v>250747.05</v>
      </c>
      <c r="AL1163" s="1" t="s">
        <v>4319</v>
      </c>
    </row>
    <row r="1164" spans="1:38" ht="12.6" customHeight="1" x14ac:dyDescent="0.2">
      <c r="A1164" s="1" t="s">
        <v>57</v>
      </c>
      <c r="B1164" s="9" t="s">
        <v>39</v>
      </c>
      <c r="C1164" s="1" t="s">
        <v>58</v>
      </c>
      <c r="D1164" s="1" t="s">
        <v>4315</v>
      </c>
      <c r="E1164" s="1" t="s">
        <v>42</v>
      </c>
      <c r="G1164" s="1" t="s">
        <v>4316</v>
      </c>
      <c r="H1164" s="1" t="s">
        <v>61</v>
      </c>
      <c r="I1164" s="1" t="s">
        <v>4963</v>
      </c>
      <c r="J1164" s="1">
        <v>2018</v>
      </c>
      <c r="P1164" s="1" t="s">
        <v>4474</v>
      </c>
      <c r="Q1164" s="1" t="s">
        <v>50</v>
      </c>
      <c r="R1164" s="1" t="s">
        <v>68</v>
      </c>
      <c r="S1164" s="1" t="s">
        <v>430</v>
      </c>
      <c r="T1164" s="1" t="s">
        <v>431</v>
      </c>
      <c r="U1164" s="1">
        <v>1</v>
      </c>
      <c r="V1164" s="1" t="s">
        <v>71</v>
      </c>
      <c r="Y1164" s="10">
        <v>43461</v>
      </c>
      <c r="Z1164" s="1">
        <v>2018</v>
      </c>
      <c r="AA1164" s="2"/>
      <c r="AB1164" s="2"/>
      <c r="AC1164" s="2">
        <v>546456.57999999996</v>
      </c>
      <c r="AG1164" s="1" t="s">
        <v>56</v>
      </c>
      <c r="AI1164" s="2">
        <v>546456.57999999996</v>
      </c>
      <c r="AL1164" s="1" t="s">
        <v>4319</v>
      </c>
    </row>
    <row r="1165" spans="1:38" ht="12.6" customHeight="1" x14ac:dyDescent="0.2">
      <c r="A1165" s="1" t="s">
        <v>57</v>
      </c>
      <c r="B1165" s="9" t="s">
        <v>39</v>
      </c>
      <c r="C1165" s="1" t="s">
        <v>58</v>
      </c>
      <c r="D1165" s="1" t="s">
        <v>4315</v>
      </c>
      <c r="E1165" s="1" t="s">
        <v>42</v>
      </c>
      <c r="G1165" s="1" t="s">
        <v>4316</v>
      </c>
      <c r="H1165" s="1" t="s">
        <v>61</v>
      </c>
      <c r="I1165" s="1" t="s">
        <v>4964</v>
      </c>
      <c r="J1165" s="1">
        <v>2018</v>
      </c>
      <c r="P1165" s="1" t="s">
        <v>4474</v>
      </c>
      <c r="Q1165" s="1" t="s">
        <v>50</v>
      </c>
      <c r="R1165" s="1" t="s">
        <v>68</v>
      </c>
      <c r="S1165" s="1" t="s">
        <v>430</v>
      </c>
      <c r="T1165" s="1" t="s">
        <v>431</v>
      </c>
      <c r="U1165" s="1">
        <v>1</v>
      </c>
      <c r="V1165" s="1" t="s">
        <v>71</v>
      </c>
      <c r="Y1165" s="10">
        <v>43461</v>
      </c>
      <c r="Z1165" s="1">
        <v>2018</v>
      </c>
      <c r="AA1165" s="2"/>
      <c r="AB1165" s="2"/>
      <c r="AC1165" s="2">
        <v>390511.51999999996</v>
      </c>
      <c r="AG1165" s="1" t="s">
        <v>56</v>
      </c>
      <c r="AI1165" s="2">
        <v>390511.51999999996</v>
      </c>
      <c r="AL1165" s="1" t="s">
        <v>4319</v>
      </c>
    </row>
    <row r="1166" spans="1:38" ht="12.6" customHeight="1" x14ac:dyDescent="0.2">
      <c r="A1166" s="1" t="s">
        <v>57</v>
      </c>
      <c r="B1166" s="9" t="s">
        <v>39</v>
      </c>
      <c r="C1166" s="1" t="s">
        <v>58</v>
      </c>
      <c r="D1166" s="1" t="s">
        <v>4315</v>
      </c>
      <c r="E1166" s="1" t="s">
        <v>42</v>
      </c>
      <c r="G1166" s="1" t="s">
        <v>4316</v>
      </c>
      <c r="H1166" s="1" t="s">
        <v>61</v>
      </c>
      <c r="I1166" s="1" t="s">
        <v>4965</v>
      </c>
      <c r="J1166" s="1">
        <v>2018</v>
      </c>
      <c r="P1166" s="1" t="s">
        <v>4474</v>
      </c>
      <c r="Q1166" s="1" t="s">
        <v>50</v>
      </c>
      <c r="R1166" s="1" t="s">
        <v>68</v>
      </c>
      <c r="S1166" s="1" t="s">
        <v>430</v>
      </c>
      <c r="T1166" s="1" t="s">
        <v>431</v>
      </c>
      <c r="U1166" s="1">
        <v>1</v>
      </c>
      <c r="V1166" s="1" t="s">
        <v>71</v>
      </c>
      <c r="Y1166" s="10">
        <v>43461</v>
      </c>
      <c r="Z1166" s="1">
        <v>2018</v>
      </c>
      <c r="AA1166" s="2"/>
      <c r="AB1166" s="2"/>
      <c r="AC1166" s="2">
        <v>321382.28999999998</v>
      </c>
      <c r="AG1166" s="1" t="s">
        <v>56</v>
      </c>
      <c r="AI1166" s="2">
        <v>321382.28999999998</v>
      </c>
      <c r="AL1166" s="1" t="s">
        <v>4319</v>
      </c>
    </row>
    <row r="1167" spans="1:38" ht="12.6" customHeight="1" x14ac:dyDescent="0.2">
      <c r="A1167" s="1" t="s">
        <v>57</v>
      </c>
      <c r="B1167" s="9" t="s">
        <v>39</v>
      </c>
      <c r="C1167" s="1" t="s">
        <v>58</v>
      </c>
      <c r="D1167" s="1" t="s">
        <v>4315</v>
      </c>
      <c r="E1167" s="1" t="s">
        <v>42</v>
      </c>
      <c r="G1167" s="1" t="s">
        <v>4316</v>
      </c>
      <c r="H1167" s="1" t="s">
        <v>61</v>
      </c>
      <c r="I1167" s="1" t="s">
        <v>4966</v>
      </c>
      <c r="J1167" s="1">
        <v>2018</v>
      </c>
      <c r="P1167" s="1" t="s">
        <v>4474</v>
      </c>
      <c r="Q1167" s="1" t="s">
        <v>50</v>
      </c>
      <c r="R1167" s="1" t="s">
        <v>68</v>
      </c>
      <c r="S1167" s="1" t="s">
        <v>430</v>
      </c>
      <c r="T1167" s="1" t="s">
        <v>431</v>
      </c>
      <c r="U1167" s="1">
        <v>1</v>
      </c>
      <c r="V1167" s="1" t="s">
        <v>71</v>
      </c>
      <c r="Y1167" s="10">
        <v>43461</v>
      </c>
      <c r="Z1167" s="1">
        <v>2018</v>
      </c>
      <c r="AA1167" s="2"/>
      <c r="AB1167" s="2"/>
      <c r="AC1167" s="2">
        <v>417556.15</v>
      </c>
      <c r="AG1167" s="1" t="s">
        <v>56</v>
      </c>
      <c r="AI1167" s="2">
        <v>417556.15</v>
      </c>
      <c r="AL1167" s="1" t="s">
        <v>4319</v>
      </c>
    </row>
    <row r="1168" spans="1:38" ht="12.6" customHeight="1" x14ac:dyDescent="0.2">
      <c r="A1168" s="1" t="s">
        <v>57</v>
      </c>
      <c r="B1168" s="9" t="s">
        <v>39</v>
      </c>
      <c r="C1168" s="1" t="s">
        <v>58</v>
      </c>
      <c r="D1168" s="1" t="s">
        <v>4315</v>
      </c>
      <c r="E1168" s="1" t="s">
        <v>42</v>
      </c>
      <c r="G1168" s="1" t="s">
        <v>4316</v>
      </c>
      <c r="H1168" s="1" t="s">
        <v>61</v>
      </c>
      <c r="I1168" s="1" t="s">
        <v>4967</v>
      </c>
      <c r="J1168" s="1">
        <v>2018</v>
      </c>
      <c r="P1168" s="1" t="s">
        <v>4474</v>
      </c>
      <c r="Q1168" s="1" t="s">
        <v>50</v>
      </c>
      <c r="R1168" s="1" t="s">
        <v>68</v>
      </c>
      <c r="S1168" s="1" t="s">
        <v>430</v>
      </c>
      <c r="T1168" s="1" t="s">
        <v>431</v>
      </c>
      <c r="U1168" s="1">
        <v>1</v>
      </c>
      <c r="V1168" s="1" t="s">
        <v>71</v>
      </c>
      <c r="Y1168" s="10">
        <v>43461</v>
      </c>
      <c r="Z1168" s="1">
        <v>2018</v>
      </c>
      <c r="AA1168" s="2"/>
      <c r="AB1168" s="2"/>
      <c r="AC1168" s="2">
        <v>307040.82999999996</v>
      </c>
      <c r="AG1168" s="1" t="s">
        <v>56</v>
      </c>
      <c r="AI1168" s="2">
        <v>307040.82999999996</v>
      </c>
      <c r="AL1168" s="1" t="s">
        <v>4319</v>
      </c>
    </row>
    <row r="1169" spans="1:38" ht="12.6" customHeight="1" x14ac:dyDescent="0.2">
      <c r="A1169" s="1" t="s">
        <v>57</v>
      </c>
      <c r="B1169" s="9" t="s">
        <v>39</v>
      </c>
      <c r="C1169" s="1" t="s">
        <v>58</v>
      </c>
      <c r="D1169" s="1" t="s">
        <v>4315</v>
      </c>
      <c r="E1169" s="1" t="s">
        <v>42</v>
      </c>
      <c r="G1169" s="1" t="s">
        <v>4316</v>
      </c>
      <c r="H1169" s="1" t="s">
        <v>61</v>
      </c>
      <c r="I1169" s="1" t="s">
        <v>4968</v>
      </c>
      <c r="J1169" s="1">
        <v>2018</v>
      </c>
      <c r="P1169" s="1" t="s">
        <v>4474</v>
      </c>
      <c r="Q1169" s="1" t="s">
        <v>50</v>
      </c>
      <c r="R1169" s="1" t="s">
        <v>68</v>
      </c>
      <c r="S1169" s="1" t="s">
        <v>430</v>
      </c>
      <c r="T1169" s="1" t="s">
        <v>431</v>
      </c>
      <c r="U1169" s="1">
        <v>1</v>
      </c>
      <c r="V1169" s="1" t="s">
        <v>71</v>
      </c>
      <c r="Y1169" s="10">
        <v>43461</v>
      </c>
      <c r="Z1169" s="1">
        <v>2018</v>
      </c>
      <c r="AA1169" s="2"/>
      <c r="AB1169" s="2"/>
      <c r="AC1169" s="2">
        <v>572154.88</v>
      </c>
      <c r="AG1169" s="1" t="s">
        <v>56</v>
      </c>
      <c r="AI1169" s="2">
        <v>572154.88</v>
      </c>
      <c r="AL1169" s="1" t="s">
        <v>4319</v>
      </c>
    </row>
    <row r="1170" spans="1:38" ht="12.6" customHeight="1" x14ac:dyDescent="0.2">
      <c r="A1170" s="1" t="s">
        <v>57</v>
      </c>
      <c r="B1170" s="9" t="s">
        <v>39</v>
      </c>
      <c r="C1170" s="1" t="s">
        <v>58</v>
      </c>
      <c r="D1170" s="1" t="s">
        <v>4315</v>
      </c>
      <c r="E1170" s="1" t="s">
        <v>42</v>
      </c>
      <c r="G1170" s="1" t="s">
        <v>4316</v>
      </c>
      <c r="H1170" s="1" t="s">
        <v>61</v>
      </c>
      <c r="I1170" s="1" t="s">
        <v>4969</v>
      </c>
      <c r="J1170" s="1">
        <v>2018</v>
      </c>
      <c r="P1170" s="1" t="s">
        <v>4474</v>
      </c>
      <c r="Q1170" s="1" t="s">
        <v>50</v>
      </c>
      <c r="R1170" s="1" t="s">
        <v>68</v>
      </c>
      <c r="S1170" s="1" t="s">
        <v>430</v>
      </c>
      <c r="T1170" s="1" t="s">
        <v>431</v>
      </c>
      <c r="U1170" s="1">
        <v>1</v>
      </c>
      <c r="V1170" s="1" t="s">
        <v>71</v>
      </c>
      <c r="Y1170" s="10">
        <v>43461</v>
      </c>
      <c r="Z1170" s="1">
        <v>2018</v>
      </c>
      <c r="AA1170" s="2"/>
      <c r="AB1170" s="2"/>
      <c r="AC1170" s="2">
        <v>371758.08000000007</v>
      </c>
      <c r="AG1170" s="1" t="s">
        <v>56</v>
      </c>
      <c r="AI1170" s="2">
        <v>371758.08000000007</v>
      </c>
      <c r="AL1170" s="1" t="s">
        <v>4319</v>
      </c>
    </row>
    <row r="1171" spans="1:38" ht="12.6" customHeight="1" x14ac:dyDescent="0.2">
      <c r="A1171" s="1" t="s">
        <v>57</v>
      </c>
      <c r="B1171" s="9" t="s">
        <v>39</v>
      </c>
      <c r="C1171" s="1" t="s">
        <v>58</v>
      </c>
      <c r="D1171" s="1" t="s">
        <v>4315</v>
      </c>
      <c r="E1171" s="1" t="s">
        <v>42</v>
      </c>
      <c r="G1171" s="1" t="s">
        <v>4316</v>
      </c>
      <c r="H1171" s="1" t="s">
        <v>61</v>
      </c>
      <c r="I1171" s="1" t="s">
        <v>4970</v>
      </c>
      <c r="J1171" s="1">
        <v>2018</v>
      </c>
      <c r="P1171" s="1" t="s">
        <v>4474</v>
      </c>
      <c r="Q1171" s="1" t="s">
        <v>50</v>
      </c>
      <c r="R1171" s="1" t="s">
        <v>68</v>
      </c>
      <c r="S1171" s="1" t="s">
        <v>430</v>
      </c>
      <c r="T1171" s="1" t="s">
        <v>431</v>
      </c>
      <c r="U1171" s="1">
        <v>1</v>
      </c>
      <c r="V1171" s="1" t="s">
        <v>71</v>
      </c>
      <c r="Y1171" s="10">
        <v>43461</v>
      </c>
      <c r="Z1171" s="1">
        <v>2018</v>
      </c>
      <c r="AA1171" s="2"/>
      <c r="AB1171" s="2"/>
      <c r="AC1171" s="2">
        <v>355448.54000000004</v>
      </c>
      <c r="AG1171" s="1" t="s">
        <v>56</v>
      </c>
      <c r="AI1171" s="2">
        <v>355448.54000000004</v>
      </c>
      <c r="AL1171" s="1" t="s">
        <v>4319</v>
      </c>
    </row>
    <row r="1172" spans="1:38" ht="12.6" customHeight="1" x14ac:dyDescent="0.2">
      <c r="A1172" s="1" t="s">
        <v>57</v>
      </c>
      <c r="B1172" s="9" t="s">
        <v>39</v>
      </c>
      <c r="C1172" s="1" t="s">
        <v>58</v>
      </c>
      <c r="D1172" s="1" t="s">
        <v>4315</v>
      </c>
      <c r="E1172" s="1" t="s">
        <v>42</v>
      </c>
      <c r="G1172" s="1" t="s">
        <v>4316</v>
      </c>
      <c r="H1172" s="1" t="s">
        <v>61</v>
      </c>
      <c r="I1172" s="1" t="s">
        <v>4971</v>
      </c>
      <c r="J1172" s="1">
        <v>2018</v>
      </c>
      <c r="P1172" s="1" t="s">
        <v>4474</v>
      </c>
      <c r="Q1172" s="1" t="s">
        <v>50</v>
      </c>
      <c r="R1172" s="1" t="s">
        <v>68</v>
      </c>
      <c r="S1172" s="1" t="s">
        <v>430</v>
      </c>
      <c r="T1172" s="1" t="s">
        <v>431</v>
      </c>
      <c r="U1172" s="1">
        <v>1</v>
      </c>
      <c r="V1172" s="1" t="s">
        <v>71</v>
      </c>
      <c r="Y1172" s="10">
        <v>43461</v>
      </c>
      <c r="Z1172" s="1">
        <v>2018</v>
      </c>
      <c r="AA1172" s="2"/>
      <c r="AB1172" s="2"/>
      <c r="AC1172" s="2">
        <v>413721.4499999999</v>
      </c>
      <c r="AG1172" s="1" t="s">
        <v>56</v>
      </c>
      <c r="AI1172" s="2">
        <v>413721.4499999999</v>
      </c>
      <c r="AL1172" s="1" t="s">
        <v>4319</v>
      </c>
    </row>
    <row r="1173" spans="1:38" ht="12.6" customHeight="1" x14ac:dyDescent="0.2">
      <c r="A1173" s="1" t="s">
        <v>57</v>
      </c>
      <c r="B1173" s="9" t="s">
        <v>39</v>
      </c>
      <c r="C1173" s="1" t="s">
        <v>58</v>
      </c>
      <c r="D1173" s="1" t="s">
        <v>4315</v>
      </c>
      <c r="E1173" s="1" t="s">
        <v>42</v>
      </c>
      <c r="G1173" s="1" t="s">
        <v>4316</v>
      </c>
      <c r="H1173" s="1" t="s">
        <v>61</v>
      </c>
      <c r="I1173" s="1" t="s">
        <v>4972</v>
      </c>
      <c r="J1173" s="1">
        <v>2018</v>
      </c>
      <c r="P1173" s="1" t="s">
        <v>4474</v>
      </c>
      <c r="Q1173" s="1" t="s">
        <v>50</v>
      </c>
      <c r="R1173" s="1" t="s">
        <v>68</v>
      </c>
      <c r="S1173" s="1" t="s">
        <v>430</v>
      </c>
      <c r="T1173" s="1" t="s">
        <v>431</v>
      </c>
      <c r="U1173" s="1">
        <v>1</v>
      </c>
      <c r="V1173" s="1" t="s">
        <v>71</v>
      </c>
      <c r="Y1173" s="10">
        <v>43461</v>
      </c>
      <c r="Z1173" s="1">
        <v>2018</v>
      </c>
      <c r="AA1173" s="2"/>
      <c r="AB1173" s="2"/>
      <c r="AC1173" s="2">
        <v>422320.27999999997</v>
      </c>
      <c r="AG1173" s="1" t="s">
        <v>56</v>
      </c>
      <c r="AI1173" s="2">
        <v>422320.27999999997</v>
      </c>
      <c r="AL1173" s="1" t="s">
        <v>4319</v>
      </c>
    </row>
    <row r="1174" spans="1:38" ht="12.6" customHeight="1" x14ac:dyDescent="0.2">
      <c r="A1174" s="1" t="s">
        <v>57</v>
      </c>
      <c r="B1174" s="9" t="s">
        <v>39</v>
      </c>
      <c r="C1174" s="1" t="s">
        <v>58</v>
      </c>
      <c r="D1174" s="1" t="s">
        <v>4315</v>
      </c>
      <c r="E1174" s="1" t="s">
        <v>42</v>
      </c>
      <c r="G1174" s="1" t="s">
        <v>4316</v>
      </c>
      <c r="H1174" s="1" t="s">
        <v>61</v>
      </c>
      <c r="I1174" s="1" t="s">
        <v>4973</v>
      </c>
      <c r="J1174" s="1">
        <v>2018</v>
      </c>
      <c r="P1174" s="1" t="s">
        <v>4474</v>
      </c>
      <c r="Q1174" s="1" t="s">
        <v>50</v>
      </c>
      <c r="R1174" s="1" t="s">
        <v>68</v>
      </c>
      <c r="S1174" s="1" t="s">
        <v>430</v>
      </c>
      <c r="T1174" s="1" t="s">
        <v>431</v>
      </c>
      <c r="U1174" s="1">
        <v>1</v>
      </c>
      <c r="V1174" s="1" t="s">
        <v>71</v>
      </c>
      <c r="Y1174" s="10">
        <v>43461</v>
      </c>
      <c r="Z1174" s="1">
        <v>2018</v>
      </c>
      <c r="AA1174" s="2"/>
      <c r="AB1174" s="2"/>
      <c r="AC1174" s="2">
        <v>449056.55</v>
      </c>
      <c r="AG1174" s="1" t="s">
        <v>56</v>
      </c>
      <c r="AI1174" s="2">
        <v>449056.55</v>
      </c>
      <c r="AL1174" s="1" t="s">
        <v>4319</v>
      </c>
    </row>
    <row r="1175" spans="1:38" ht="12.6" customHeight="1" x14ac:dyDescent="0.2">
      <c r="A1175" s="1" t="s">
        <v>57</v>
      </c>
      <c r="B1175" s="9" t="s">
        <v>39</v>
      </c>
      <c r="C1175" s="1" t="s">
        <v>58</v>
      </c>
      <c r="D1175" s="1" t="s">
        <v>4315</v>
      </c>
      <c r="E1175" s="1" t="s">
        <v>42</v>
      </c>
      <c r="G1175" s="1" t="s">
        <v>4316</v>
      </c>
      <c r="H1175" s="1" t="s">
        <v>61</v>
      </c>
      <c r="I1175" s="1" t="s">
        <v>4974</v>
      </c>
      <c r="J1175" s="1">
        <v>2018</v>
      </c>
      <c r="P1175" s="1" t="s">
        <v>4474</v>
      </c>
      <c r="Q1175" s="1" t="s">
        <v>50</v>
      </c>
      <c r="R1175" s="1" t="s">
        <v>68</v>
      </c>
      <c r="S1175" s="1" t="s">
        <v>430</v>
      </c>
      <c r="T1175" s="1" t="s">
        <v>431</v>
      </c>
      <c r="U1175" s="1">
        <v>1</v>
      </c>
      <c r="V1175" s="1" t="s">
        <v>71</v>
      </c>
      <c r="Y1175" s="10">
        <v>43461</v>
      </c>
      <c r="Z1175" s="1">
        <v>2018</v>
      </c>
      <c r="AA1175" s="2"/>
      <c r="AB1175" s="2"/>
      <c r="AC1175" s="2">
        <v>531165.84</v>
      </c>
      <c r="AG1175" s="1" t="s">
        <v>56</v>
      </c>
      <c r="AI1175" s="2">
        <v>531165.84</v>
      </c>
      <c r="AL1175" s="1" t="s">
        <v>4319</v>
      </c>
    </row>
    <row r="1176" spans="1:38" ht="12.6" customHeight="1" x14ac:dyDescent="0.2">
      <c r="A1176" s="1" t="s">
        <v>57</v>
      </c>
      <c r="B1176" s="9" t="s">
        <v>39</v>
      </c>
      <c r="C1176" s="1" t="s">
        <v>58</v>
      </c>
      <c r="D1176" s="1" t="s">
        <v>4315</v>
      </c>
      <c r="E1176" s="1" t="s">
        <v>42</v>
      </c>
      <c r="G1176" s="1" t="s">
        <v>4316</v>
      </c>
      <c r="H1176" s="1" t="s">
        <v>61</v>
      </c>
      <c r="I1176" s="1" t="s">
        <v>4975</v>
      </c>
      <c r="J1176" s="1">
        <v>2018</v>
      </c>
      <c r="P1176" s="1" t="s">
        <v>4474</v>
      </c>
      <c r="Q1176" s="1" t="s">
        <v>50</v>
      </c>
      <c r="R1176" s="1" t="s">
        <v>68</v>
      </c>
      <c r="S1176" s="1" t="s">
        <v>430</v>
      </c>
      <c r="T1176" s="1" t="s">
        <v>431</v>
      </c>
      <c r="U1176" s="1">
        <v>1</v>
      </c>
      <c r="V1176" s="1" t="s">
        <v>71</v>
      </c>
      <c r="Y1176" s="10">
        <v>43461</v>
      </c>
      <c r="Z1176" s="1">
        <v>2018</v>
      </c>
      <c r="AA1176" s="2"/>
      <c r="AB1176" s="2"/>
      <c r="AC1176" s="2">
        <v>420426.64999999997</v>
      </c>
      <c r="AG1176" s="1" t="s">
        <v>56</v>
      </c>
      <c r="AI1176" s="2">
        <v>420426.64999999997</v>
      </c>
      <c r="AL1176" s="1" t="s">
        <v>4319</v>
      </c>
    </row>
    <row r="1177" spans="1:38" ht="12.6" customHeight="1" x14ac:dyDescent="0.2">
      <c r="A1177" s="1" t="s">
        <v>57</v>
      </c>
      <c r="B1177" s="9" t="s">
        <v>39</v>
      </c>
      <c r="C1177" s="1" t="s">
        <v>58</v>
      </c>
      <c r="D1177" s="1" t="s">
        <v>4315</v>
      </c>
      <c r="E1177" s="1" t="s">
        <v>42</v>
      </c>
      <c r="G1177" s="1" t="s">
        <v>4316</v>
      </c>
      <c r="H1177" s="1" t="s">
        <v>61</v>
      </c>
      <c r="I1177" s="1" t="s">
        <v>4976</v>
      </c>
      <c r="J1177" s="1">
        <v>2018</v>
      </c>
      <c r="P1177" s="1" t="s">
        <v>4474</v>
      </c>
      <c r="Q1177" s="1" t="s">
        <v>50</v>
      </c>
      <c r="R1177" s="1" t="s">
        <v>68</v>
      </c>
      <c r="S1177" s="1" t="s">
        <v>430</v>
      </c>
      <c r="T1177" s="1" t="s">
        <v>431</v>
      </c>
      <c r="U1177" s="1">
        <v>1</v>
      </c>
      <c r="V1177" s="1" t="s">
        <v>71</v>
      </c>
      <c r="Y1177" s="10">
        <v>43461</v>
      </c>
      <c r="Z1177" s="1">
        <v>2018</v>
      </c>
      <c r="AA1177" s="2"/>
      <c r="AB1177" s="2"/>
      <c r="AC1177" s="2">
        <v>630059.42999999993</v>
      </c>
      <c r="AG1177" s="1" t="s">
        <v>56</v>
      </c>
      <c r="AI1177" s="2">
        <v>630059.42999999993</v>
      </c>
      <c r="AL1177" s="1" t="s">
        <v>4319</v>
      </c>
    </row>
    <row r="1178" spans="1:38" ht="12.6" customHeight="1" x14ac:dyDescent="0.2">
      <c r="A1178" s="1" t="s">
        <v>57</v>
      </c>
      <c r="B1178" s="9" t="s">
        <v>39</v>
      </c>
      <c r="C1178" s="1" t="s">
        <v>58</v>
      </c>
      <c r="D1178" s="1" t="s">
        <v>4315</v>
      </c>
      <c r="E1178" s="1" t="s">
        <v>42</v>
      </c>
      <c r="G1178" s="1" t="s">
        <v>4316</v>
      </c>
      <c r="H1178" s="1" t="s">
        <v>61</v>
      </c>
      <c r="I1178" s="1" t="s">
        <v>4977</v>
      </c>
      <c r="J1178" s="1">
        <v>2019</v>
      </c>
      <c r="P1178" s="1" t="s">
        <v>4474</v>
      </c>
      <c r="Q1178" s="1" t="s">
        <v>50</v>
      </c>
      <c r="R1178" s="1" t="s">
        <v>68</v>
      </c>
      <c r="S1178" s="1" t="s">
        <v>430</v>
      </c>
      <c r="T1178" s="1" t="s">
        <v>431</v>
      </c>
      <c r="U1178" s="1">
        <v>1</v>
      </c>
      <c r="V1178" s="1" t="s">
        <v>71</v>
      </c>
      <c r="Y1178" s="10">
        <v>43480</v>
      </c>
      <c r="Z1178" s="1">
        <v>2019</v>
      </c>
      <c r="AA1178" s="2"/>
      <c r="AB1178" s="2"/>
      <c r="AC1178" s="2">
        <v>513431.97000000009</v>
      </c>
      <c r="AG1178" s="1" t="s">
        <v>56</v>
      </c>
      <c r="AI1178" s="2">
        <v>513431.97000000009</v>
      </c>
      <c r="AL1178" s="1" t="s">
        <v>4319</v>
      </c>
    </row>
    <row r="1179" spans="1:38" ht="12.6" customHeight="1" x14ac:dyDescent="0.2">
      <c r="A1179" s="1" t="s">
        <v>57</v>
      </c>
      <c r="B1179" s="9" t="s">
        <v>39</v>
      </c>
      <c r="C1179" s="1" t="s">
        <v>58</v>
      </c>
      <c r="D1179" s="1" t="s">
        <v>4315</v>
      </c>
      <c r="E1179" s="1" t="s">
        <v>42</v>
      </c>
      <c r="G1179" s="1" t="s">
        <v>4316</v>
      </c>
      <c r="H1179" s="1" t="s">
        <v>61</v>
      </c>
      <c r="I1179" s="1" t="s">
        <v>4978</v>
      </c>
      <c r="J1179" s="1">
        <v>2018</v>
      </c>
      <c r="P1179" s="1" t="s">
        <v>4979</v>
      </c>
      <c r="Q1179" s="1" t="s">
        <v>50</v>
      </c>
      <c r="R1179" s="1" t="s">
        <v>68</v>
      </c>
      <c r="S1179" s="1" t="s">
        <v>189</v>
      </c>
      <c r="T1179" s="1" t="s">
        <v>190</v>
      </c>
      <c r="U1179" s="1">
        <v>1</v>
      </c>
      <c r="V1179" s="1" t="s">
        <v>71</v>
      </c>
      <c r="Y1179" s="10">
        <v>43463</v>
      </c>
      <c r="Z1179" s="1">
        <v>2018</v>
      </c>
      <c r="AA1179" s="2"/>
      <c r="AB1179" s="2"/>
      <c r="AC1179" s="2">
        <v>541469.22</v>
      </c>
      <c r="AG1179" s="1" t="s">
        <v>56</v>
      </c>
      <c r="AI1179" s="2">
        <v>541469.22</v>
      </c>
      <c r="AL1179" s="1" t="s">
        <v>4319</v>
      </c>
    </row>
    <row r="1180" spans="1:38" ht="12.6" customHeight="1" x14ac:dyDescent="0.2">
      <c r="A1180" s="1" t="s">
        <v>57</v>
      </c>
      <c r="B1180" s="9" t="s">
        <v>39</v>
      </c>
      <c r="C1180" s="1" t="s">
        <v>58</v>
      </c>
      <c r="D1180" s="1" t="s">
        <v>4315</v>
      </c>
      <c r="E1180" s="1" t="s">
        <v>42</v>
      </c>
      <c r="G1180" s="1" t="s">
        <v>4316</v>
      </c>
      <c r="H1180" s="1" t="s">
        <v>61</v>
      </c>
      <c r="I1180" s="1" t="s">
        <v>4980</v>
      </c>
      <c r="J1180" s="1">
        <v>2019</v>
      </c>
      <c r="P1180" s="1" t="s">
        <v>4474</v>
      </c>
      <c r="Q1180" s="1" t="s">
        <v>50</v>
      </c>
      <c r="R1180" s="1" t="s">
        <v>68</v>
      </c>
      <c r="S1180" s="1" t="s">
        <v>430</v>
      </c>
      <c r="T1180" s="1" t="s">
        <v>431</v>
      </c>
      <c r="U1180" s="1">
        <v>1</v>
      </c>
      <c r="V1180" s="1" t="s">
        <v>71</v>
      </c>
      <c r="Y1180" s="10">
        <v>43466</v>
      </c>
      <c r="Z1180" s="1">
        <v>2019</v>
      </c>
      <c r="AA1180" s="2"/>
      <c r="AB1180" s="2"/>
      <c r="AC1180" s="2">
        <v>693215.48</v>
      </c>
      <c r="AG1180" s="1" t="s">
        <v>56</v>
      </c>
      <c r="AI1180" s="2">
        <v>693215.48</v>
      </c>
      <c r="AL1180" s="1" t="s">
        <v>4319</v>
      </c>
    </row>
    <row r="1181" spans="1:38" ht="12.6" customHeight="1" x14ac:dyDescent="0.2">
      <c r="A1181" s="1" t="s">
        <v>57</v>
      </c>
      <c r="B1181" s="9" t="s">
        <v>39</v>
      </c>
      <c r="C1181" s="1" t="s">
        <v>58</v>
      </c>
      <c r="D1181" s="1" t="s">
        <v>4315</v>
      </c>
      <c r="E1181" s="1" t="s">
        <v>42</v>
      </c>
      <c r="G1181" s="1" t="s">
        <v>4316</v>
      </c>
      <c r="H1181" s="1" t="s">
        <v>61</v>
      </c>
      <c r="I1181" s="1" t="s">
        <v>4981</v>
      </c>
      <c r="J1181" s="1">
        <v>2018</v>
      </c>
      <c r="P1181" s="1" t="s">
        <v>4474</v>
      </c>
      <c r="Q1181" s="1" t="s">
        <v>50</v>
      </c>
      <c r="R1181" s="1" t="s">
        <v>68</v>
      </c>
      <c r="S1181" s="1" t="s">
        <v>430</v>
      </c>
      <c r="T1181" s="1" t="s">
        <v>431</v>
      </c>
      <c r="U1181" s="1">
        <v>1</v>
      </c>
      <c r="V1181" s="1" t="s">
        <v>71</v>
      </c>
      <c r="Y1181" s="10">
        <v>43461</v>
      </c>
      <c r="Z1181" s="1">
        <v>2018</v>
      </c>
      <c r="AA1181" s="2"/>
      <c r="AB1181" s="2"/>
      <c r="AC1181" s="2">
        <v>446499.02</v>
      </c>
      <c r="AG1181" s="1" t="s">
        <v>56</v>
      </c>
      <c r="AI1181" s="2">
        <v>446499.02</v>
      </c>
      <c r="AL1181" s="1" t="s">
        <v>4319</v>
      </c>
    </row>
    <row r="1182" spans="1:38" ht="12.6" customHeight="1" x14ac:dyDescent="0.2">
      <c r="A1182" s="1" t="s">
        <v>57</v>
      </c>
      <c r="B1182" s="9" t="s">
        <v>39</v>
      </c>
      <c r="C1182" s="1" t="s">
        <v>58</v>
      </c>
      <c r="D1182" s="1" t="s">
        <v>4315</v>
      </c>
      <c r="E1182" s="1" t="s">
        <v>42</v>
      </c>
      <c r="G1182" s="1" t="s">
        <v>4316</v>
      </c>
      <c r="H1182" s="1" t="s">
        <v>61</v>
      </c>
      <c r="I1182" s="1" t="s">
        <v>4982</v>
      </c>
      <c r="J1182" s="1">
        <v>2018</v>
      </c>
      <c r="P1182" s="1" t="s">
        <v>4474</v>
      </c>
      <c r="Q1182" s="1" t="s">
        <v>50</v>
      </c>
      <c r="R1182" s="1" t="s">
        <v>68</v>
      </c>
      <c r="S1182" s="1" t="s">
        <v>430</v>
      </c>
      <c r="T1182" s="1" t="s">
        <v>431</v>
      </c>
      <c r="U1182" s="1">
        <v>1</v>
      </c>
      <c r="V1182" s="1" t="s">
        <v>71</v>
      </c>
      <c r="Y1182" s="10">
        <v>43461</v>
      </c>
      <c r="Z1182" s="1">
        <v>2018</v>
      </c>
      <c r="AA1182" s="2"/>
      <c r="AB1182" s="2"/>
      <c r="AC1182" s="2">
        <v>497264.32</v>
      </c>
      <c r="AG1182" s="1" t="s">
        <v>56</v>
      </c>
      <c r="AI1182" s="2">
        <v>497264.32</v>
      </c>
      <c r="AL1182" s="1" t="s">
        <v>4319</v>
      </c>
    </row>
    <row r="1183" spans="1:38" ht="12.6" customHeight="1" x14ac:dyDescent="0.2">
      <c r="A1183" s="1" t="s">
        <v>57</v>
      </c>
      <c r="B1183" s="9" t="s">
        <v>39</v>
      </c>
      <c r="C1183" s="1" t="s">
        <v>58</v>
      </c>
      <c r="D1183" s="1" t="s">
        <v>4315</v>
      </c>
      <c r="E1183" s="1" t="s">
        <v>42</v>
      </c>
      <c r="G1183" s="1" t="s">
        <v>4316</v>
      </c>
      <c r="H1183" s="1" t="s">
        <v>61</v>
      </c>
      <c r="I1183" s="1" t="s">
        <v>4983</v>
      </c>
      <c r="J1183" s="1">
        <v>2018</v>
      </c>
      <c r="P1183" s="1" t="s">
        <v>4474</v>
      </c>
      <c r="Q1183" s="1" t="s">
        <v>50</v>
      </c>
      <c r="R1183" s="1" t="s">
        <v>68</v>
      </c>
      <c r="S1183" s="1" t="s">
        <v>430</v>
      </c>
      <c r="T1183" s="1" t="s">
        <v>431</v>
      </c>
      <c r="U1183" s="1">
        <v>1</v>
      </c>
      <c r="V1183" s="1" t="s">
        <v>71</v>
      </c>
      <c r="Y1183" s="10">
        <v>43461</v>
      </c>
      <c r="Z1183" s="1">
        <v>2018</v>
      </c>
      <c r="AA1183" s="2"/>
      <c r="AB1183" s="2"/>
      <c r="AC1183" s="2">
        <v>484623.72</v>
      </c>
      <c r="AG1183" s="1" t="s">
        <v>56</v>
      </c>
      <c r="AI1183" s="2">
        <v>484623.72</v>
      </c>
      <c r="AL1183" s="1" t="s">
        <v>4319</v>
      </c>
    </row>
    <row r="1184" spans="1:38" ht="12.6" customHeight="1" x14ac:dyDescent="0.2">
      <c r="A1184" s="1" t="s">
        <v>57</v>
      </c>
      <c r="B1184" s="9" t="s">
        <v>39</v>
      </c>
      <c r="C1184" s="1" t="s">
        <v>58</v>
      </c>
      <c r="D1184" s="1" t="s">
        <v>4315</v>
      </c>
      <c r="E1184" s="1" t="s">
        <v>42</v>
      </c>
      <c r="G1184" s="1" t="s">
        <v>4316</v>
      </c>
      <c r="H1184" s="1" t="s">
        <v>61</v>
      </c>
      <c r="I1184" s="1" t="s">
        <v>4984</v>
      </c>
      <c r="J1184" s="1">
        <v>2018</v>
      </c>
      <c r="P1184" s="1" t="s">
        <v>4474</v>
      </c>
      <c r="Q1184" s="1" t="s">
        <v>50</v>
      </c>
      <c r="R1184" s="1" t="s">
        <v>68</v>
      </c>
      <c r="S1184" s="1" t="s">
        <v>430</v>
      </c>
      <c r="T1184" s="1" t="s">
        <v>431</v>
      </c>
      <c r="U1184" s="1">
        <v>1</v>
      </c>
      <c r="V1184" s="1" t="s">
        <v>71</v>
      </c>
      <c r="Y1184" s="10">
        <v>43461</v>
      </c>
      <c r="Z1184" s="1">
        <v>2018</v>
      </c>
      <c r="AA1184" s="2"/>
      <c r="AB1184" s="2"/>
      <c r="AC1184" s="2">
        <v>508675.73</v>
      </c>
      <c r="AG1184" s="1" t="s">
        <v>56</v>
      </c>
      <c r="AI1184" s="2">
        <v>508675.73</v>
      </c>
      <c r="AL1184" s="1" t="s">
        <v>4319</v>
      </c>
    </row>
    <row r="1185" spans="1:38" ht="12.6" customHeight="1" x14ac:dyDescent="0.2">
      <c r="A1185" s="1" t="s">
        <v>57</v>
      </c>
      <c r="B1185" s="9" t="s">
        <v>39</v>
      </c>
      <c r="C1185" s="1" t="s">
        <v>58</v>
      </c>
      <c r="D1185" s="1" t="s">
        <v>4315</v>
      </c>
      <c r="E1185" s="1" t="s">
        <v>42</v>
      </c>
      <c r="G1185" s="1" t="s">
        <v>4340</v>
      </c>
      <c r="H1185" s="1" t="s">
        <v>61</v>
      </c>
      <c r="I1185" s="1" t="s">
        <v>4985</v>
      </c>
      <c r="J1185" s="1">
        <v>2020</v>
      </c>
      <c r="P1185" s="1" t="s">
        <v>4471</v>
      </c>
      <c r="Q1185" s="1" t="s">
        <v>50</v>
      </c>
      <c r="R1185" s="1" t="s">
        <v>68</v>
      </c>
      <c r="S1185" s="1" t="s">
        <v>425</v>
      </c>
      <c r="T1185" s="1" t="s">
        <v>426</v>
      </c>
      <c r="U1185" s="1">
        <v>1</v>
      </c>
      <c r="V1185" s="1" t="s">
        <v>195</v>
      </c>
      <c r="Y1185" s="10">
        <v>44008</v>
      </c>
      <c r="Z1185" s="1">
        <v>2020</v>
      </c>
      <c r="AA1185" s="2"/>
      <c r="AB1185" s="2"/>
      <c r="AC1185" s="2">
        <v>20623.89</v>
      </c>
      <c r="AG1185" s="1" t="s">
        <v>56</v>
      </c>
      <c r="AI1185" s="2">
        <v>20623.89</v>
      </c>
    </row>
    <row r="1186" spans="1:38" ht="12.6" customHeight="1" x14ac:dyDescent="0.2">
      <c r="A1186" s="1" t="s">
        <v>57</v>
      </c>
      <c r="B1186" s="9" t="s">
        <v>39</v>
      </c>
      <c r="C1186" s="1" t="s">
        <v>58</v>
      </c>
      <c r="D1186" s="1" t="s">
        <v>4315</v>
      </c>
      <c r="E1186" s="1" t="s">
        <v>42</v>
      </c>
      <c r="G1186" s="1" t="s">
        <v>4340</v>
      </c>
      <c r="H1186" s="1" t="s">
        <v>61</v>
      </c>
      <c r="I1186" s="1" t="s">
        <v>4986</v>
      </c>
      <c r="J1186" s="1">
        <v>2020</v>
      </c>
      <c r="P1186" s="1" t="s">
        <v>4471</v>
      </c>
      <c r="Q1186" s="1" t="s">
        <v>50</v>
      </c>
      <c r="R1186" s="1" t="s">
        <v>68</v>
      </c>
      <c r="S1186" s="1" t="s">
        <v>425</v>
      </c>
      <c r="T1186" s="1" t="s">
        <v>426</v>
      </c>
      <c r="U1186" s="1">
        <v>1</v>
      </c>
      <c r="V1186" s="1" t="s">
        <v>195</v>
      </c>
      <c r="Y1186" s="10">
        <v>44008</v>
      </c>
      <c r="Z1186" s="1">
        <v>2020</v>
      </c>
      <c r="AA1186" s="2"/>
      <c r="AB1186" s="2"/>
      <c r="AC1186" s="2">
        <v>20041.41</v>
      </c>
      <c r="AG1186" s="1" t="s">
        <v>56</v>
      </c>
      <c r="AI1186" s="2">
        <v>20041.41</v>
      </c>
    </row>
    <row r="1187" spans="1:38" ht="12.6" customHeight="1" x14ac:dyDescent="0.2">
      <c r="A1187" s="1" t="s">
        <v>57</v>
      </c>
      <c r="B1187" s="9" t="s">
        <v>39</v>
      </c>
      <c r="C1187" s="1" t="s">
        <v>58</v>
      </c>
      <c r="D1187" s="1" t="s">
        <v>4315</v>
      </c>
      <c r="E1187" s="1" t="s">
        <v>42</v>
      </c>
      <c r="G1187" s="1" t="s">
        <v>4316</v>
      </c>
      <c r="H1187" s="1" t="s">
        <v>61</v>
      </c>
      <c r="I1187" s="1" t="s">
        <v>4987</v>
      </c>
      <c r="J1187" s="1">
        <v>2019</v>
      </c>
      <c r="P1187" s="1" t="s">
        <v>4471</v>
      </c>
      <c r="Q1187" s="1" t="s">
        <v>50</v>
      </c>
      <c r="R1187" s="1" t="s">
        <v>68</v>
      </c>
      <c r="S1187" s="1" t="s">
        <v>425</v>
      </c>
      <c r="T1187" s="1" t="s">
        <v>426</v>
      </c>
      <c r="U1187" s="1">
        <v>1</v>
      </c>
      <c r="V1187" s="1" t="s">
        <v>195</v>
      </c>
      <c r="Y1187" s="10">
        <v>43466</v>
      </c>
      <c r="Z1187" s="1">
        <v>2019</v>
      </c>
      <c r="AA1187" s="2"/>
      <c r="AB1187" s="2"/>
      <c r="AC1187" s="2">
        <v>709778.02</v>
      </c>
      <c r="AG1187" s="1" t="s">
        <v>56</v>
      </c>
      <c r="AI1187" s="2">
        <v>709778.02</v>
      </c>
      <c r="AL1187" s="1" t="s">
        <v>4319</v>
      </c>
    </row>
    <row r="1188" spans="1:38" ht="12.6" customHeight="1" x14ac:dyDescent="0.2">
      <c r="A1188" s="1" t="s">
        <v>57</v>
      </c>
      <c r="B1188" s="9" t="s">
        <v>39</v>
      </c>
      <c r="C1188" s="1" t="s">
        <v>58</v>
      </c>
      <c r="D1188" s="1" t="s">
        <v>4315</v>
      </c>
      <c r="E1188" s="1" t="s">
        <v>42</v>
      </c>
      <c r="G1188" s="1" t="s">
        <v>4316</v>
      </c>
      <c r="H1188" s="1" t="s">
        <v>61</v>
      </c>
      <c r="I1188" s="1" t="s">
        <v>4988</v>
      </c>
      <c r="J1188" s="1">
        <v>2019</v>
      </c>
      <c r="P1188" s="1" t="s">
        <v>4471</v>
      </c>
      <c r="Q1188" s="1" t="s">
        <v>50</v>
      </c>
      <c r="R1188" s="1" t="s">
        <v>68</v>
      </c>
      <c r="S1188" s="1" t="s">
        <v>425</v>
      </c>
      <c r="T1188" s="1" t="s">
        <v>426</v>
      </c>
      <c r="U1188" s="1">
        <v>1</v>
      </c>
      <c r="V1188" s="1" t="s">
        <v>195</v>
      </c>
      <c r="Y1188" s="10">
        <v>43466</v>
      </c>
      <c r="Z1188" s="1">
        <v>2019</v>
      </c>
      <c r="AA1188" s="2"/>
      <c r="AB1188" s="2"/>
      <c r="AC1188" s="2">
        <v>594440.16</v>
      </c>
      <c r="AG1188" s="1" t="s">
        <v>56</v>
      </c>
      <c r="AI1188" s="2">
        <v>594440.16</v>
      </c>
      <c r="AL1188" s="1" t="s">
        <v>4319</v>
      </c>
    </row>
    <row r="1189" spans="1:38" ht="12.6" customHeight="1" x14ac:dyDescent="0.2">
      <c r="A1189" s="1" t="s">
        <v>57</v>
      </c>
      <c r="B1189" s="9" t="s">
        <v>39</v>
      </c>
      <c r="C1189" s="1" t="s">
        <v>58</v>
      </c>
      <c r="D1189" s="1" t="s">
        <v>4315</v>
      </c>
      <c r="E1189" s="1" t="s">
        <v>42</v>
      </c>
      <c r="G1189" s="1" t="s">
        <v>4316</v>
      </c>
      <c r="H1189" s="1" t="s">
        <v>61</v>
      </c>
      <c r="I1189" s="1" t="s">
        <v>4989</v>
      </c>
      <c r="J1189" s="1">
        <v>2019</v>
      </c>
      <c r="P1189" s="1" t="s">
        <v>4474</v>
      </c>
      <c r="Q1189" s="1" t="s">
        <v>50</v>
      </c>
      <c r="R1189" s="1" t="s">
        <v>77</v>
      </c>
      <c r="S1189" s="1" t="s">
        <v>198</v>
      </c>
      <c r="T1189" s="1" t="s">
        <v>199</v>
      </c>
      <c r="U1189" s="1">
        <v>1</v>
      </c>
      <c r="V1189" s="1" t="s">
        <v>186</v>
      </c>
      <c r="Y1189" s="10">
        <v>43467</v>
      </c>
      <c r="Z1189" s="1">
        <v>2019</v>
      </c>
      <c r="AA1189" s="2"/>
      <c r="AB1189" s="2"/>
      <c r="AC1189" s="2">
        <v>331916.20999999996</v>
      </c>
      <c r="AG1189" s="1" t="s">
        <v>56</v>
      </c>
      <c r="AI1189" s="2">
        <v>331916.20999999996</v>
      </c>
      <c r="AL1189" s="1" t="s">
        <v>4319</v>
      </c>
    </row>
    <row r="1190" spans="1:38" ht="12.6" customHeight="1" x14ac:dyDescent="0.2">
      <c r="A1190" s="1" t="s">
        <v>57</v>
      </c>
      <c r="B1190" s="9" t="s">
        <v>39</v>
      </c>
      <c r="C1190" s="1" t="s">
        <v>58</v>
      </c>
      <c r="D1190" s="1" t="s">
        <v>4315</v>
      </c>
      <c r="E1190" s="1" t="s">
        <v>42</v>
      </c>
      <c r="G1190" s="1" t="s">
        <v>4316</v>
      </c>
      <c r="H1190" s="1" t="s">
        <v>61</v>
      </c>
      <c r="I1190" s="1" t="s">
        <v>4990</v>
      </c>
      <c r="J1190" s="1">
        <v>2019</v>
      </c>
      <c r="P1190" s="1" t="s">
        <v>4474</v>
      </c>
      <c r="Q1190" s="1" t="s">
        <v>50</v>
      </c>
      <c r="R1190" s="1" t="s">
        <v>77</v>
      </c>
      <c r="S1190" s="1" t="s">
        <v>198</v>
      </c>
      <c r="T1190" s="1" t="s">
        <v>199</v>
      </c>
      <c r="U1190" s="1">
        <v>1</v>
      </c>
      <c r="V1190" s="1" t="s">
        <v>186</v>
      </c>
      <c r="Y1190" s="10">
        <v>43466</v>
      </c>
      <c r="Z1190" s="1">
        <v>2019</v>
      </c>
      <c r="AA1190" s="2"/>
      <c r="AB1190" s="2"/>
      <c r="AC1190" s="2">
        <v>318283.09999999998</v>
      </c>
      <c r="AG1190" s="1" t="s">
        <v>56</v>
      </c>
      <c r="AI1190" s="2">
        <v>318283.09999999998</v>
      </c>
      <c r="AL1190" s="1" t="s">
        <v>4319</v>
      </c>
    </row>
    <row r="1191" spans="1:38" ht="12.6" customHeight="1" x14ac:dyDescent="0.2">
      <c r="A1191" s="1" t="s">
        <v>57</v>
      </c>
      <c r="B1191" s="9" t="s">
        <v>39</v>
      </c>
      <c r="C1191" s="1" t="s">
        <v>58</v>
      </c>
      <c r="D1191" s="1" t="s">
        <v>4315</v>
      </c>
      <c r="E1191" s="1" t="s">
        <v>42</v>
      </c>
      <c r="G1191" s="1" t="s">
        <v>4316</v>
      </c>
      <c r="H1191" s="1" t="s">
        <v>61</v>
      </c>
      <c r="I1191" s="1" t="s">
        <v>4991</v>
      </c>
      <c r="J1191" s="1">
        <v>2019</v>
      </c>
      <c r="P1191" s="1" t="s">
        <v>4474</v>
      </c>
      <c r="Q1191" s="1" t="s">
        <v>50</v>
      </c>
      <c r="R1191" s="1" t="s">
        <v>77</v>
      </c>
      <c r="S1191" s="1" t="s">
        <v>198</v>
      </c>
      <c r="T1191" s="1" t="s">
        <v>199</v>
      </c>
      <c r="U1191" s="1">
        <v>1</v>
      </c>
      <c r="V1191" s="1" t="s">
        <v>186</v>
      </c>
      <c r="Y1191" s="10">
        <v>43486</v>
      </c>
      <c r="Z1191" s="1">
        <v>2019</v>
      </c>
      <c r="AA1191" s="2"/>
      <c r="AB1191" s="2"/>
      <c r="AC1191" s="2">
        <v>271982.33</v>
      </c>
      <c r="AG1191" s="1" t="s">
        <v>56</v>
      </c>
      <c r="AI1191" s="2">
        <v>271982.33</v>
      </c>
      <c r="AL1191" s="1" t="s">
        <v>4319</v>
      </c>
    </row>
    <row r="1192" spans="1:38" ht="12.6" customHeight="1" x14ac:dyDescent="0.2">
      <c r="A1192" s="1" t="s">
        <v>57</v>
      </c>
      <c r="B1192" s="9" t="s">
        <v>39</v>
      </c>
      <c r="C1192" s="1" t="s">
        <v>58</v>
      </c>
      <c r="D1192" s="1" t="s">
        <v>59</v>
      </c>
      <c r="E1192" s="1" t="s">
        <v>42</v>
      </c>
      <c r="G1192" s="1" t="s">
        <v>88</v>
      </c>
      <c r="H1192" s="1" t="s">
        <v>61</v>
      </c>
      <c r="I1192" s="1" t="s">
        <v>4992</v>
      </c>
      <c r="J1192" s="1" t="s">
        <v>82</v>
      </c>
      <c r="K1192" s="1" t="s">
        <v>4993</v>
      </c>
      <c r="P1192" s="1" t="s">
        <v>4994</v>
      </c>
      <c r="Q1192" s="1" t="s">
        <v>50</v>
      </c>
      <c r="R1192" s="1" t="s">
        <v>68</v>
      </c>
      <c r="S1192" s="1" t="s">
        <v>189</v>
      </c>
      <c r="T1192" s="1" t="s">
        <v>190</v>
      </c>
      <c r="U1192" s="1">
        <v>1</v>
      </c>
      <c r="V1192" s="1" t="s">
        <v>71</v>
      </c>
      <c r="W1192" s="1" t="s">
        <v>4993</v>
      </c>
      <c r="X1192" s="1" t="s">
        <v>87</v>
      </c>
      <c r="Y1192" s="10">
        <v>45069</v>
      </c>
      <c r="Z1192" s="1">
        <v>2023</v>
      </c>
      <c r="AA1192" s="2">
        <v>207222.76</v>
      </c>
      <c r="AB1192" s="2"/>
      <c r="AC1192" s="2">
        <v>62166.83</v>
      </c>
      <c r="AD1192" s="1">
        <v>6</v>
      </c>
      <c r="AG1192" s="1" t="s">
        <v>432</v>
      </c>
      <c r="AH1192" s="1" t="s">
        <v>4371</v>
      </c>
      <c r="AI1192" s="2">
        <v>0</v>
      </c>
    </row>
    <row r="1193" spans="1:38" ht="12.6" customHeight="1" x14ac:dyDescent="0.2">
      <c r="A1193" s="1" t="s">
        <v>57</v>
      </c>
      <c r="B1193" s="9" t="s">
        <v>39</v>
      </c>
      <c r="C1193" s="1" t="s">
        <v>58</v>
      </c>
      <c r="D1193" s="1" t="s">
        <v>59</v>
      </c>
      <c r="E1193" s="1" t="s">
        <v>42</v>
      </c>
      <c r="G1193" s="1" t="s">
        <v>88</v>
      </c>
      <c r="H1193" s="1" t="s">
        <v>61</v>
      </c>
      <c r="I1193" s="1" t="s">
        <v>4995</v>
      </c>
      <c r="J1193" s="1" t="s">
        <v>82</v>
      </c>
      <c r="K1193" s="1" t="s">
        <v>4996</v>
      </c>
      <c r="P1193" s="1" t="s">
        <v>4997</v>
      </c>
      <c r="Q1193" s="1" t="s">
        <v>50</v>
      </c>
      <c r="R1193" s="1" t="s">
        <v>68</v>
      </c>
      <c r="S1193" s="1" t="s">
        <v>1596</v>
      </c>
      <c r="T1193" s="1" t="s">
        <v>1597</v>
      </c>
      <c r="U1193" s="1">
        <v>1</v>
      </c>
      <c r="V1193" s="1" t="s">
        <v>71</v>
      </c>
      <c r="W1193" s="1" t="s">
        <v>4996</v>
      </c>
      <c r="X1193" s="1" t="s">
        <v>87</v>
      </c>
      <c r="Y1193" s="10">
        <v>45069</v>
      </c>
      <c r="Z1193" s="1">
        <v>2023</v>
      </c>
      <c r="AA1193" s="2">
        <v>92823.5</v>
      </c>
      <c r="AB1193" s="2"/>
      <c r="AC1193" s="2">
        <v>34847.050000000003</v>
      </c>
      <c r="AD1193" s="1">
        <v>1</v>
      </c>
      <c r="AG1193" s="1" t="s">
        <v>432</v>
      </c>
      <c r="AH1193" s="1" t="s">
        <v>4371</v>
      </c>
      <c r="AI1193" s="2">
        <v>0</v>
      </c>
    </row>
    <row r="1194" spans="1:38" ht="12.6" customHeight="1" x14ac:dyDescent="0.25">
      <c r="A1194" s="1" t="s">
        <v>57</v>
      </c>
      <c r="B1194" s="9" t="s">
        <v>39</v>
      </c>
      <c r="C1194" s="1" t="s">
        <v>58</v>
      </c>
      <c r="D1194" s="1" t="s">
        <v>59</v>
      </c>
      <c r="E1194" s="1" t="s">
        <v>42</v>
      </c>
      <c r="G1194" s="1" t="s">
        <v>88</v>
      </c>
      <c r="H1194" s="1" t="s">
        <v>61</v>
      </c>
      <c r="I1194" s="1" t="s">
        <v>4998</v>
      </c>
      <c r="J1194" s="1" t="s">
        <v>82</v>
      </c>
      <c r="K1194" s="1" t="s">
        <v>4999</v>
      </c>
      <c r="P1194" s="1" t="s">
        <v>5000</v>
      </c>
      <c r="Q1194" s="1" t="s">
        <v>50</v>
      </c>
      <c r="R1194" s="1" t="s">
        <v>68</v>
      </c>
      <c r="S1194" s="16" t="s">
        <v>814</v>
      </c>
      <c r="T1194" s="1" t="s">
        <v>815</v>
      </c>
      <c r="U1194" s="1">
        <v>2</v>
      </c>
      <c r="V1194" s="1" t="s">
        <v>71</v>
      </c>
      <c r="W1194" s="1" t="s">
        <v>4999</v>
      </c>
      <c r="X1194" s="1" t="s">
        <v>87</v>
      </c>
      <c r="Y1194" s="10">
        <v>45098</v>
      </c>
      <c r="Z1194" s="1">
        <v>2023</v>
      </c>
      <c r="AA1194" s="2">
        <v>154000</v>
      </c>
      <c r="AB1194" s="2"/>
      <c r="AC1194" s="2">
        <v>23100</v>
      </c>
      <c r="AD1194" s="1">
        <v>4</v>
      </c>
      <c r="AG1194" s="1" t="s">
        <v>432</v>
      </c>
      <c r="AH1194" s="1" t="s">
        <v>4371</v>
      </c>
      <c r="AI1194" s="2">
        <v>0</v>
      </c>
      <c r="AL1194" s="1" t="s">
        <v>5001</v>
      </c>
    </row>
    <row r="1195" spans="1:38" ht="12.6" customHeight="1" x14ac:dyDescent="0.2">
      <c r="A1195" s="1" t="s">
        <v>57</v>
      </c>
      <c r="B1195" s="9" t="s">
        <v>39</v>
      </c>
      <c r="C1195" s="1" t="s">
        <v>58</v>
      </c>
      <c r="D1195" s="1" t="s">
        <v>59</v>
      </c>
      <c r="E1195" s="1" t="s">
        <v>42</v>
      </c>
      <c r="G1195" s="1" t="s">
        <v>88</v>
      </c>
      <c r="H1195" s="1" t="s">
        <v>61</v>
      </c>
      <c r="I1195" s="1" t="s">
        <v>5002</v>
      </c>
      <c r="J1195" s="1" t="s">
        <v>82</v>
      </c>
      <c r="K1195" s="1" t="s">
        <v>5003</v>
      </c>
      <c r="P1195" s="1" t="s">
        <v>5004</v>
      </c>
      <c r="Q1195" s="1" t="s">
        <v>50</v>
      </c>
      <c r="R1195" s="1" t="s">
        <v>68</v>
      </c>
      <c r="S1195" s="1" t="s">
        <v>5005</v>
      </c>
      <c r="T1195" s="1" t="s">
        <v>5006</v>
      </c>
      <c r="U1195" s="1">
        <v>2</v>
      </c>
      <c r="V1195" s="1" t="s">
        <v>80</v>
      </c>
      <c r="W1195" s="1" t="s">
        <v>5003</v>
      </c>
      <c r="X1195" s="1" t="s">
        <v>87</v>
      </c>
      <c r="Y1195" s="10">
        <v>45098</v>
      </c>
      <c r="Z1195" s="1">
        <v>2023</v>
      </c>
      <c r="AA1195" s="2">
        <v>65443</v>
      </c>
      <c r="AB1195" s="2"/>
      <c r="AC1195" s="2">
        <v>9816.4500000000007</v>
      </c>
      <c r="AD1195" s="1">
        <v>3</v>
      </c>
      <c r="AG1195" s="1" t="s">
        <v>432</v>
      </c>
      <c r="AH1195" s="1" t="s">
        <v>4371</v>
      </c>
      <c r="AI1195" s="2">
        <v>0</v>
      </c>
      <c r="AL1195" s="1" t="s">
        <v>5007</v>
      </c>
    </row>
    <row r="1196" spans="1:38" ht="12.6" customHeight="1" x14ac:dyDescent="0.2">
      <c r="A1196" s="1" t="s">
        <v>57</v>
      </c>
      <c r="B1196" s="9" t="s">
        <v>39</v>
      </c>
      <c r="C1196" s="1" t="s">
        <v>58</v>
      </c>
      <c r="D1196" s="1" t="s">
        <v>59</v>
      </c>
      <c r="E1196" s="1" t="s">
        <v>42</v>
      </c>
      <c r="G1196" s="1" t="s">
        <v>88</v>
      </c>
      <c r="H1196" s="1" t="s">
        <v>61</v>
      </c>
      <c r="I1196" s="1" t="s">
        <v>5008</v>
      </c>
      <c r="J1196" s="1" t="s">
        <v>82</v>
      </c>
      <c r="K1196" s="1" t="s">
        <v>5009</v>
      </c>
      <c r="P1196" s="1" t="s">
        <v>5010</v>
      </c>
      <c r="Q1196" s="1" t="s">
        <v>50</v>
      </c>
      <c r="R1196" s="1" t="s">
        <v>68</v>
      </c>
      <c r="S1196" s="1" t="s">
        <v>692</v>
      </c>
      <c r="T1196" s="1" t="s">
        <v>693</v>
      </c>
      <c r="U1196" s="1">
        <v>2</v>
      </c>
      <c r="V1196" s="1" t="s">
        <v>71</v>
      </c>
      <c r="W1196" s="1" t="s">
        <v>5009</v>
      </c>
      <c r="X1196" s="1" t="s">
        <v>138</v>
      </c>
      <c r="Y1196" s="10">
        <v>45132</v>
      </c>
      <c r="Z1196" s="1">
        <v>2023</v>
      </c>
      <c r="AA1196" s="2">
        <v>467400.03</v>
      </c>
      <c r="AB1196" s="2"/>
      <c r="AC1196" s="2">
        <v>84110</v>
      </c>
      <c r="AD1196" s="1">
        <v>6</v>
      </c>
      <c r="AE1196" s="1">
        <v>1</v>
      </c>
      <c r="AG1196" s="1" t="s">
        <v>432</v>
      </c>
      <c r="AH1196" s="1" t="s">
        <v>492</v>
      </c>
      <c r="AI1196" s="2">
        <v>0</v>
      </c>
      <c r="AL1196" s="1" t="s">
        <v>5011</v>
      </c>
    </row>
    <row r="1197" spans="1:38" ht="12.6" customHeight="1" x14ac:dyDescent="0.2">
      <c r="A1197" s="1" t="s">
        <v>57</v>
      </c>
      <c r="B1197" s="9" t="s">
        <v>39</v>
      </c>
      <c r="C1197" s="1" t="s">
        <v>58</v>
      </c>
      <c r="D1197" s="1" t="s">
        <v>59</v>
      </c>
      <c r="E1197" s="1" t="s">
        <v>42</v>
      </c>
      <c r="G1197" s="1" t="s">
        <v>88</v>
      </c>
      <c r="H1197" s="1" t="s">
        <v>61</v>
      </c>
      <c r="I1197" s="1" t="s">
        <v>5012</v>
      </c>
      <c r="J1197" s="1" t="s">
        <v>82</v>
      </c>
      <c r="K1197" s="1" t="s">
        <v>5013</v>
      </c>
      <c r="P1197" s="1" t="s">
        <v>5014</v>
      </c>
      <c r="Q1197" s="1" t="s">
        <v>50</v>
      </c>
      <c r="R1197" s="1" t="s">
        <v>68</v>
      </c>
      <c r="S1197" s="1" t="s">
        <v>69</v>
      </c>
      <c r="T1197" s="1" t="s">
        <v>70</v>
      </c>
      <c r="U1197" s="1">
        <v>1</v>
      </c>
      <c r="V1197" s="1" t="s">
        <v>71</v>
      </c>
      <c r="W1197" s="1" t="s">
        <v>5013</v>
      </c>
      <c r="X1197" s="1" t="s">
        <v>309</v>
      </c>
      <c r="Y1197" s="10">
        <v>45162</v>
      </c>
      <c r="Z1197" s="1">
        <v>2023</v>
      </c>
      <c r="AA1197" s="2">
        <v>277207.64</v>
      </c>
      <c r="AB1197" s="2"/>
      <c r="AC1197" s="2">
        <v>97162.29</v>
      </c>
      <c r="AD1197" s="1">
        <v>3</v>
      </c>
      <c r="AE1197" s="1">
        <v>2</v>
      </c>
      <c r="AG1197" s="1" t="s">
        <v>432</v>
      </c>
      <c r="AH1197" s="1" t="s">
        <v>4371</v>
      </c>
      <c r="AI1197" s="2">
        <v>0</v>
      </c>
      <c r="AL1197" s="15" t="s">
        <v>5015</v>
      </c>
    </row>
    <row r="1198" spans="1:38" ht="12.6" customHeight="1" x14ac:dyDescent="0.2">
      <c r="A1198" s="1" t="s">
        <v>57</v>
      </c>
      <c r="B1198" s="9" t="s">
        <v>39</v>
      </c>
      <c r="C1198" s="1" t="s">
        <v>58</v>
      </c>
      <c r="D1198" s="1" t="s">
        <v>59</v>
      </c>
      <c r="E1198" s="1" t="s">
        <v>42</v>
      </c>
      <c r="G1198" s="1" t="s">
        <v>88</v>
      </c>
      <c r="H1198" s="1" t="s">
        <v>61</v>
      </c>
      <c r="I1198" s="1" t="s">
        <v>5016</v>
      </c>
      <c r="J1198" s="1" t="s">
        <v>82</v>
      </c>
      <c r="K1198" s="1" t="s">
        <v>5017</v>
      </c>
      <c r="P1198" s="1" t="s">
        <v>5018</v>
      </c>
      <c r="Q1198" s="1" t="s">
        <v>50</v>
      </c>
      <c r="R1198" s="1" t="s">
        <v>68</v>
      </c>
      <c r="S1198" s="1" t="s">
        <v>172</v>
      </c>
      <c r="T1198" s="1" t="s">
        <v>173</v>
      </c>
      <c r="U1198" s="1">
        <v>2</v>
      </c>
      <c r="V1198" s="1" t="s">
        <v>80</v>
      </c>
      <c r="W1198" s="1" t="s">
        <v>5017</v>
      </c>
      <c r="X1198" s="1" t="s">
        <v>87</v>
      </c>
      <c r="Y1198" s="10">
        <v>45098</v>
      </c>
      <c r="Z1198" s="1">
        <v>2023</v>
      </c>
      <c r="AA1198" s="2">
        <v>70000</v>
      </c>
      <c r="AB1198" s="2"/>
      <c r="AC1198" s="2">
        <v>17500</v>
      </c>
      <c r="AD1198" s="1">
        <v>1</v>
      </c>
      <c r="AG1198" s="1" t="s">
        <v>432</v>
      </c>
      <c r="AH1198" s="1" t="s">
        <v>4371</v>
      </c>
      <c r="AI1198" s="2">
        <v>0</v>
      </c>
    </row>
    <row r="1199" spans="1:38" ht="12.6" customHeight="1" x14ac:dyDescent="0.2">
      <c r="A1199" s="1" t="s">
        <v>57</v>
      </c>
      <c r="B1199" s="9" t="s">
        <v>39</v>
      </c>
      <c r="C1199" s="1" t="s">
        <v>58</v>
      </c>
      <c r="D1199" s="1" t="s">
        <v>59</v>
      </c>
      <c r="E1199" s="1" t="s">
        <v>42</v>
      </c>
      <c r="G1199" s="1" t="s">
        <v>88</v>
      </c>
      <c r="H1199" s="1" t="s">
        <v>61</v>
      </c>
      <c r="I1199" s="1" t="s">
        <v>5019</v>
      </c>
      <c r="J1199" s="1" t="s">
        <v>82</v>
      </c>
      <c r="K1199" s="1" t="s">
        <v>5020</v>
      </c>
      <c r="P1199" s="1" t="s">
        <v>5021</v>
      </c>
      <c r="Q1199" s="1" t="s">
        <v>50</v>
      </c>
      <c r="R1199" s="1" t="s">
        <v>68</v>
      </c>
      <c r="S1199" s="1" t="s">
        <v>5022</v>
      </c>
      <c r="T1199" s="1" t="s">
        <v>5023</v>
      </c>
      <c r="U1199" s="1">
        <v>2</v>
      </c>
      <c r="V1199" s="1" t="s">
        <v>80</v>
      </c>
      <c r="W1199" s="1" t="s">
        <v>5020</v>
      </c>
      <c r="X1199" s="1" t="s">
        <v>87</v>
      </c>
      <c r="Y1199" s="10">
        <v>45069</v>
      </c>
      <c r="Z1199" s="1">
        <v>2023</v>
      </c>
      <c r="AA1199" s="2">
        <v>73965.87</v>
      </c>
      <c r="AB1199" s="2"/>
      <c r="AC1199" s="2">
        <v>7396.59</v>
      </c>
      <c r="AD1199" s="1">
        <v>0</v>
      </c>
      <c r="AG1199" s="1" t="s">
        <v>432</v>
      </c>
      <c r="AH1199" s="1" t="s">
        <v>4371</v>
      </c>
      <c r="AI1199" s="2">
        <v>0</v>
      </c>
      <c r="AK1199" s="1" t="s">
        <v>440</v>
      </c>
    </row>
    <row r="1200" spans="1:38" ht="12.6" customHeight="1" x14ac:dyDescent="0.2">
      <c r="A1200" s="1" t="s">
        <v>57</v>
      </c>
      <c r="B1200" s="9" t="s">
        <v>39</v>
      </c>
      <c r="C1200" s="1" t="s">
        <v>58</v>
      </c>
      <c r="D1200" s="1" t="s">
        <v>59</v>
      </c>
      <c r="E1200" s="1" t="s">
        <v>42</v>
      </c>
      <c r="G1200" s="1" t="s">
        <v>88</v>
      </c>
      <c r="H1200" s="1" t="s">
        <v>61</v>
      </c>
      <c r="I1200" s="1" t="s">
        <v>5024</v>
      </c>
      <c r="J1200" s="1" t="s">
        <v>82</v>
      </c>
      <c r="K1200" s="1" t="s">
        <v>5025</v>
      </c>
      <c r="P1200" s="1" t="s">
        <v>5026</v>
      </c>
      <c r="Q1200" s="1" t="s">
        <v>50</v>
      </c>
      <c r="R1200" s="1" t="s">
        <v>68</v>
      </c>
      <c r="S1200" s="1" t="s">
        <v>1479</v>
      </c>
      <c r="T1200" s="1" t="s">
        <v>1480</v>
      </c>
      <c r="U1200" s="1">
        <v>1</v>
      </c>
      <c r="V1200" s="1" t="s">
        <v>71</v>
      </c>
      <c r="W1200" s="1" t="s">
        <v>5025</v>
      </c>
      <c r="X1200" s="1" t="s">
        <v>145</v>
      </c>
      <c r="Y1200" s="10">
        <v>45069</v>
      </c>
      <c r="Z1200" s="1">
        <v>2023</v>
      </c>
      <c r="AA1200" s="2">
        <v>54108.77</v>
      </c>
      <c r="AB1200" s="2"/>
      <c r="AC1200" s="2">
        <v>16232.63</v>
      </c>
      <c r="AD1200" s="1">
        <v>1</v>
      </c>
      <c r="AG1200" s="1" t="s">
        <v>432</v>
      </c>
      <c r="AH1200" s="1" t="s">
        <v>4371</v>
      </c>
      <c r="AI1200" s="2">
        <v>0</v>
      </c>
    </row>
    <row r="1201" spans="1:38" ht="12.6" customHeight="1" x14ac:dyDescent="0.2">
      <c r="A1201" s="1" t="s">
        <v>57</v>
      </c>
      <c r="B1201" s="9" t="s">
        <v>39</v>
      </c>
      <c r="C1201" s="1" t="s">
        <v>58</v>
      </c>
      <c r="D1201" s="1" t="s">
        <v>59</v>
      </c>
      <c r="E1201" s="1" t="s">
        <v>42</v>
      </c>
      <c r="G1201" s="1" t="s">
        <v>88</v>
      </c>
      <c r="H1201" s="1" t="s">
        <v>61</v>
      </c>
      <c r="I1201" s="1" t="s">
        <v>5027</v>
      </c>
      <c r="J1201" s="1" t="s">
        <v>82</v>
      </c>
      <c r="K1201" s="1" t="s">
        <v>5028</v>
      </c>
      <c r="P1201" s="1" t="s">
        <v>5029</v>
      </c>
      <c r="Q1201" s="1" t="s">
        <v>50</v>
      </c>
      <c r="R1201" s="1" t="s">
        <v>68</v>
      </c>
      <c r="S1201" s="1" t="s">
        <v>1203</v>
      </c>
      <c r="T1201" s="1" t="s">
        <v>1204</v>
      </c>
      <c r="U1201" s="1">
        <v>1</v>
      </c>
      <c r="V1201" s="1" t="s">
        <v>195</v>
      </c>
      <c r="W1201" s="1" t="s">
        <v>5028</v>
      </c>
      <c r="X1201" s="1" t="s">
        <v>321</v>
      </c>
      <c r="Y1201" s="10">
        <v>44315</v>
      </c>
      <c r="Z1201" s="1">
        <v>2021</v>
      </c>
      <c r="AA1201" s="2">
        <v>199954</v>
      </c>
      <c r="AB1201" s="2"/>
      <c r="AC1201" s="2">
        <v>50000</v>
      </c>
      <c r="AD1201" s="1">
        <v>1</v>
      </c>
      <c r="AG1201" s="1" t="s">
        <v>432</v>
      </c>
      <c r="AH1201" s="1" t="s">
        <v>492</v>
      </c>
      <c r="AI1201" s="2">
        <v>0</v>
      </c>
    </row>
    <row r="1202" spans="1:38" ht="12.6" customHeight="1" x14ac:dyDescent="0.25">
      <c r="A1202" s="1" t="s">
        <v>57</v>
      </c>
      <c r="B1202" s="9" t="s">
        <v>38</v>
      </c>
      <c r="C1202" s="1" t="s">
        <v>40</v>
      </c>
      <c r="D1202" s="1" t="s">
        <v>41</v>
      </c>
      <c r="E1202" s="1" t="s">
        <v>42</v>
      </c>
      <c r="F1202" s="1" t="s">
        <v>4705</v>
      </c>
      <c r="G1202" s="1" t="s">
        <v>4706</v>
      </c>
      <c r="H1202" s="1" t="s">
        <v>45</v>
      </c>
      <c r="I1202" s="1" t="s">
        <v>5030</v>
      </c>
      <c r="J1202" s="1">
        <v>2023</v>
      </c>
      <c r="K1202" s="1" t="s">
        <v>5031</v>
      </c>
      <c r="L1202" s="1" t="s">
        <v>5032</v>
      </c>
      <c r="M1202" s="1" t="s">
        <v>5033</v>
      </c>
      <c r="N1202" s="1" t="s">
        <v>5034</v>
      </c>
      <c r="P1202" s="1" t="s">
        <v>5035</v>
      </c>
      <c r="Q1202" s="1" t="s">
        <v>50</v>
      </c>
      <c r="R1202" s="1" t="s">
        <v>77</v>
      </c>
      <c r="S1202" s="1" t="s">
        <v>2638</v>
      </c>
      <c r="T1202" s="1" t="s">
        <v>2639</v>
      </c>
      <c r="U1202" s="1">
        <v>1</v>
      </c>
      <c r="V1202" s="1" t="s">
        <v>186</v>
      </c>
      <c r="W1202" s="1" t="s">
        <v>5036</v>
      </c>
      <c r="X1202" s="1" t="s">
        <v>240</v>
      </c>
      <c r="Y1202" s="10">
        <v>45496</v>
      </c>
      <c r="Z1202" s="1">
        <v>2024</v>
      </c>
      <c r="AA1202" s="35">
        <v>35635560</v>
      </c>
      <c r="AB1202" s="35"/>
      <c r="AC1202" s="35">
        <v>10690668</v>
      </c>
      <c r="AG1202" s="1" t="s">
        <v>3912</v>
      </c>
      <c r="AI1202" s="2">
        <v>10690668</v>
      </c>
      <c r="AK1202" s="1" t="s">
        <v>4714</v>
      </c>
      <c r="AL1202" s="2" t="s">
        <v>4715</v>
      </c>
    </row>
    <row r="1203" spans="1:38" ht="12.6" customHeight="1" x14ac:dyDescent="0.2">
      <c r="A1203" s="1" t="s">
        <v>57</v>
      </c>
      <c r="B1203" s="9" t="s">
        <v>39</v>
      </c>
      <c r="C1203" s="1" t="s">
        <v>58</v>
      </c>
      <c r="D1203" s="1" t="s">
        <v>59</v>
      </c>
      <c r="E1203" s="1" t="s">
        <v>42</v>
      </c>
      <c r="G1203" s="1" t="s">
        <v>88</v>
      </c>
      <c r="H1203" s="1" t="s">
        <v>61</v>
      </c>
      <c r="I1203" s="1" t="s">
        <v>5037</v>
      </c>
      <c r="J1203" s="1" t="s">
        <v>82</v>
      </c>
      <c r="K1203" s="1" t="s">
        <v>5038</v>
      </c>
      <c r="P1203" s="1" t="s">
        <v>5039</v>
      </c>
      <c r="Q1203" s="1" t="s">
        <v>50</v>
      </c>
      <c r="R1203" s="1" t="s">
        <v>68</v>
      </c>
      <c r="S1203" s="1" t="s">
        <v>1596</v>
      </c>
      <c r="T1203" s="1" t="s">
        <v>1597</v>
      </c>
      <c r="U1203" s="1">
        <v>1</v>
      </c>
      <c r="V1203" s="1" t="s">
        <v>71</v>
      </c>
      <c r="W1203" s="1" t="s">
        <v>5038</v>
      </c>
      <c r="X1203" s="1" t="s">
        <v>87</v>
      </c>
      <c r="Y1203" s="10">
        <v>45069</v>
      </c>
      <c r="Z1203" s="1">
        <v>2023</v>
      </c>
      <c r="AA1203" s="2">
        <v>231123</v>
      </c>
      <c r="AB1203" s="2"/>
      <c r="AC1203" s="2">
        <v>69336.899999999994</v>
      </c>
      <c r="AD1203" s="1">
        <v>2</v>
      </c>
      <c r="AG1203" s="1" t="s">
        <v>432</v>
      </c>
      <c r="AH1203" s="1" t="s">
        <v>4371</v>
      </c>
      <c r="AI1203" s="2">
        <v>0</v>
      </c>
      <c r="AL1203" s="1" t="s">
        <v>5040</v>
      </c>
    </row>
    <row r="1204" spans="1:38" ht="12.6" customHeight="1" x14ac:dyDescent="0.2">
      <c r="A1204" s="1" t="s">
        <v>57</v>
      </c>
      <c r="B1204" s="9" t="s">
        <v>39</v>
      </c>
      <c r="C1204" s="1" t="s">
        <v>58</v>
      </c>
      <c r="D1204" s="1" t="s">
        <v>59</v>
      </c>
      <c r="E1204" s="1" t="s">
        <v>42</v>
      </c>
      <c r="G1204" s="1" t="s">
        <v>88</v>
      </c>
      <c r="H1204" s="1" t="s">
        <v>61</v>
      </c>
      <c r="I1204" s="1" t="s">
        <v>5041</v>
      </c>
      <c r="J1204" s="1" t="s">
        <v>82</v>
      </c>
      <c r="K1204" s="1" t="s">
        <v>5042</v>
      </c>
      <c r="P1204" s="1" t="s">
        <v>5043</v>
      </c>
      <c r="Q1204" s="1" t="s">
        <v>50</v>
      </c>
      <c r="R1204" s="1" t="s">
        <v>68</v>
      </c>
      <c r="S1204" s="1" t="s">
        <v>5044</v>
      </c>
      <c r="T1204" s="1" t="s">
        <v>5045</v>
      </c>
      <c r="U1204" s="1">
        <v>2</v>
      </c>
      <c r="V1204" s="1" t="s">
        <v>80</v>
      </c>
      <c r="W1204" s="1" t="s">
        <v>5042</v>
      </c>
      <c r="X1204" s="1" t="s">
        <v>145</v>
      </c>
      <c r="Y1204" s="10">
        <v>45162</v>
      </c>
      <c r="Z1204" s="1">
        <v>2023</v>
      </c>
      <c r="AA1204" s="2">
        <v>145914.9</v>
      </c>
      <c r="AB1204" s="2"/>
      <c r="AC1204" s="2">
        <v>28887.24</v>
      </c>
      <c r="AD1204" s="1">
        <v>1</v>
      </c>
      <c r="AE1204" s="1">
        <v>1</v>
      </c>
      <c r="AG1204" s="1" t="s">
        <v>432</v>
      </c>
      <c r="AH1204" s="1" t="s">
        <v>4371</v>
      </c>
      <c r="AI1204" s="2">
        <v>0</v>
      </c>
      <c r="AL1204" s="1" t="s">
        <v>5046</v>
      </c>
    </row>
    <row r="1205" spans="1:38" ht="12.6" customHeight="1" x14ac:dyDescent="0.2">
      <c r="A1205" s="1" t="s">
        <v>57</v>
      </c>
      <c r="B1205" s="9" t="s">
        <v>39</v>
      </c>
      <c r="C1205" s="1" t="s">
        <v>58</v>
      </c>
      <c r="D1205" s="1" t="s">
        <v>59</v>
      </c>
      <c r="E1205" s="1" t="s">
        <v>42</v>
      </c>
      <c r="G1205" s="1" t="s">
        <v>88</v>
      </c>
      <c r="H1205" s="1" t="s">
        <v>61</v>
      </c>
      <c r="I1205" s="1" t="s">
        <v>5047</v>
      </c>
      <c r="J1205" s="1" t="s">
        <v>82</v>
      </c>
      <c r="K1205" s="1" t="s">
        <v>5048</v>
      </c>
      <c r="P1205" s="1" t="s">
        <v>5049</v>
      </c>
      <c r="Q1205" s="1" t="s">
        <v>50</v>
      </c>
      <c r="R1205" s="1" t="s">
        <v>68</v>
      </c>
      <c r="S1205" s="1" t="s">
        <v>189</v>
      </c>
      <c r="T1205" s="1" t="s">
        <v>190</v>
      </c>
      <c r="U1205" s="1">
        <v>1</v>
      </c>
      <c r="V1205" s="1" t="s">
        <v>71</v>
      </c>
      <c r="W1205" s="1" t="s">
        <v>5048</v>
      </c>
      <c r="X1205" s="1" t="s">
        <v>87</v>
      </c>
      <c r="Y1205" s="10">
        <v>43825</v>
      </c>
      <c r="Z1205" s="1">
        <v>2019</v>
      </c>
      <c r="AA1205" s="2">
        <v>138145.70000000001</v>
      </c>
      <c r="AB1205" s="2"/>
      <c r="AC1205" s="2">
        <v>55443.71</v>
      </c>
      <c r="AD1205" s="1">
        <v>2</v>
      </c>
      <c r="AE1205" s="1">
        <v>1</v>
      </c>
      <c r="AG1205" s="1" t="s">
        <v>432</v>
      </c>
      <c r="AH1205" s="1" t="s">
        <v>4371</v>
      </c>
      <c r="AI1205" s="2">
        <v>0</v>
      </c>
    </row>
    <row r="1206" spans="1:38" ht="12.6" customHeight="1" x14ac:dyDescent="0.2">
      <c r="A1206" s="1" t="s">
        <v>57</v>
      </c>
      <c r="B1206" s="9" t="s">
        <v>39</v>
      </c>
      <c r="C1206" s="1" t="s">
        <v>58</v>
      </c>
      <c r="D1206" s="1" t="s">
        <v>59</v>
      </c>
      <c r="E1206" s="1" t="s">
        <v>42</v>
      </c>
      <c r="G1206" s="1" t="s">
        <v>88</v>
      </c>
      <c r="H1206" s="1" t="s">
        <v>61</v>
      </c>
      <c r="I1206" s="1" t="s">
        <v>5050</v>
      </c>
      <c r="J1206" s="1" t="s">
        <v>82</v>
      </c>
      <c r="K1206" s="1" t="s">
        <v>5051</v>
      </c>
      <c r="P1206" s="1" t="s">
        <v>5052</v>
      </c>
      <c r="Q1206" s="1" t="s">
        <v>50</v>
      </c>
      <c r="R1206" s="1" t="s">
        <v>68</v>
      </c>
      <c r="S1206" s="1" t="s">
        <v>3077</v>
      </c>
      <c r="T1206" s="1" t="s">
        <v>3078</v>
      </c>
      <c r="U1206" s="1">
        <v>1</v>
      </c>
      <c r="V1206" s="1" t="s">
        <v>71</v>
      </c>
      <c r="W1206" s="1" t="s">
        <v>5051</v>
      </c>
      <c r="X1206" s="1" t="s">
        <v>87</v>
      </c>
      <c r="Y1206" s="10">
        <v>45098</v>
      </c>
      <c r="Z1206" s="1">
        <v>2023</v>
      </c>
      <c r="AA1206" s="2">
        <v>265742.32</v>
      </c>
      <c r="AB1206" s="2"/>
      <c r="AC1206" s="2">
        <v>65000</v>
      </c>
      <c r="AD1206" s="1">
        <v>1</v>
      </c>
      <c r="AE1206" s="1">
        <v>0.5</v>
      </c>
      <c r="AG1206" s="1" t="s">
        <v>432</v>
      </c>
      <c r="AH1206" s="1" t="s">
        <v>4371</v>
      </c>
      <c r="AI1206" s="2">
        <v>0</v>
      </c>
      <c r="AK1206" s="1" t="s">
        <v>440</v>
      </c>
    </row>
    <row r="1207" spans="1:38" ht="12.6" customHeight="1" x14ac:dyDescent="0.2">
      <c r="A1207" s="1" t="s">
        <v>57</v>
      </c>
      <c r="B1207" s="9" t="s">
        <v>39</v>
      </c>
      <c r="C1207" s="1" t="s">
        <v>58</v>
      </c>
      <c r="D1207" s="1" t="s">
        <v>59</v>
      </c>
      <c r="E1207" s="1" t="s">
        <v>42</v>
      </c>
      <c r="G1207" s="1" t="s">
        <v>88</v>
      </c>
      <c r="H1207" s="1" t="s">
        <v>61</v>
      </c>
      <c r="I1207" s="1" t="s">
        <v>5053</v>
      </c>
      <c r="J1207" s="1" t="s">
        <v>82</v>
      </c>
      <c r="K1207" s="1" t="s">
        <v>5054</v>
      </c>
      <c r="P1207" s="1" t="s">
        <v>5052</v>
      </c>
      <c r="Q1207" s="1" t="s">
        <v>50</v>
      </c>
      <c r="R1207" s="1" t="s">
        <v>68</v>
      </c>
      <c r="S1207" s="1" t="s">
        <v>3077</v>
      </c>
      <c r="T1207" s="1" t="s">
        <v>3078</v>
      </c>
      <c r="U1207" s="1">
        <v>1</v>
      </c>
      <c r="V1207" s="1" t="s">
        <v>71</v>
      </c>
      <c r="W1207" s="1" t="s">
        <v>5054</v>
      </c>
      <c r="X1207" s="1" t="s">
        <v>145</v>
      </c>
      <c r="Y1207" s="10">
        <v>45069</v>
      </c>
      <c r="Z1207" s="1">
        <v>2023</v>
      </c>
      <c r="AA1207" s="2">
        <v>157344.67000000001</v>
      </c>
      <c r="AB1207" s="2"/>
      <c r="AC1207" s="2">
        <v>54203.4</v>
      </c>
      <c r="AD1207" s="1">
        <v>1</v>
      </c>
      <c r="AE1207" s="1">
        <v>1</v>
      </c>
      <c r="AG1207" s="1" t="s">
        <v>432</v>
      </c>
      <c r="AH1207" s="1" t="s">
        <v>4371</v>
      </c>
      <c r="AI1207" s="2">
        <v>0</v>
      </c>
    </row>
    <row r="1208" spans="1:38" ht="12.6" customHeight="1" x14ac:dyDescent="0.2">
      <c r="A1208" s="1" t="s">
        <v>57</v>
      </c>
      <c r="B1208" s="9" t="s">
        <v>39</v>
      </c>
      <c r="C1208" s="1" t="s">
        <v>58</v>
      </c>
      <c r="D1208" s="1" t="s">
        <v>59</v>
      </c>
      <c r="E1208" s="1" t="s">
        <v>42</v>
      </c>
      <c r="G1208" s="1" t="s">
        <v>60</v>
      </c>
      <c r="H1208" s="1" t="s">
        <v>61</v>
      </c>
      <c r="I1208" s="1" t="s">
        <v>5055</v>
      </c>
      <c r="J1208" s="1">
        <v>2021</v>
      </c>
      <c r="K1208" s="1" t="s">
        <v>5056</v>
      </c>
      <c r="P1208" s="1" t="s">
        <v>5057</v>
      </c>
      <c r="Q1208" s="1" t="s">
        <v>50</v>
      </c>
      <c r="R1208" s="1" t="s">
        <v>68</v>
      </c>
      <c r="S1208" s="1" t="s">
        <v>1479</v>
      </c>
      <c r="T1208" s="1" t="s">
        <v>1480</v>
      </c>
      <c r="U1208" s="1">
        <v>1</v>
      </c>
      <c r="V1208" s="1" t="s">
        <v>71</v>
      </c>
      <c r="W1208" s="1" t="s">
        <v>5056</v>
      </c>
      <c r="X1208" s="1" t="s">
        <v>138</v>
      </c>
      <c r="Y1208" s="10">
        <v>44893</v>
      </c>
      <c r="Z1208" s="1">
        <v>2022</v>
      </c>
      <c r="AA1208" s="2">
        <v>2359778.8150000004</v>
      </c>
      <c r="AB1208" s="2"/>
      <c r="AC1208" s="2">
        <v>471955.76300000009</v>
      </c>
      <c r="AD1208" s="1">
        <v>20</v>
      </c>
      <c r="AE1208" s="1">
        <v>20</v>
      </c>
      <c r="AG1208" s="1" t="s">
        <v>432</v>
      </c>
      <c r="AH1208" s="1" t="s">
        <v>492</v>
      </c>
      <c r="AI1208" s="2">
        <v>0</v>
      </c>
    </row>
    <row r="1209" spans="1:38" ht="12.6" customHeight="1" x14ac:dyDescent="0.2">
      <c r="A1209" s="1" t="s">
        <v>57</v>
      </c>
      <c r="B1209" s="9" t="s">
        <v>39</v>
      </c>
      <c r="C1209" s="1" t="s">
        <v>58</v>
      </c>
      <c r="D1209" s="1" t="s">
        <v>59</v>
      </c>
      <c r="E1209" s="1" t="s">
        <v>42</v>
      </c>
      <c r="G1209" s="1" t="s">
        <v>60</v>
      </c>
      <c r="H1209" s="1" t="s">
        <v>61</v>
      </c>
      <c r="I1209" s="1" t="s">
        <v>5058</v>
      </c>
      <c r="J1209" s="1">
        <v>2021</v>
      </c>
      <c r="K1209" s="1" t="s">
        <v>5059</v>
      </c>
      <c r="P1209" s="1" t="s">
        <v>5060</v>
      </c>
      <c r="Q1209" s="1" t="s">
        <v>50</v>
      </c>
      <c r="R1209" s="1" t="s">
        <v>68</v>
      </c>
      <c r="S1209" s="1" t="s">
        <v>69</v>
      </c>
      <c r="T1209" s="1" t="s">
        <v>70</v>
      </c>
      <c r="U1209" s="1">
        <v>1</v>
      </c>
      <c r="V1209" s="1" t="s">
        <v>71</v>
      </c>
      <c r="W1209" s="1" t="s">
        <v>5059</v>
      </c>
      <c r="X1209" s="1" t="s">
        <v>571</v>
      </c>
      <c r="Y1209" s="10">
        <v>44557</v>
      </c>
      <c r="Z1209" s="1">
        <v>2021</v>
      </c>
      <c r="AA1209" s="2">
        <v>738325.31</v>
      </c>
      <c r="AB1209" s="2"/>
      <c r="AC1209" s="2">
        <v>221497.59300000005</v>
      </c>
      <c r="AD1209" s="1">
        <v>16</v>
      </c>
      <c r="AE1209" s="1">
        <v>4</v>
      </c>
      <c r="AG1209" s="1" t="s">
        <v>432</v>
      </c>
      <c r="AH1209" s="1" t="s">
        <v>433</v>
      </c>
      <c r="AI1209" s="2">
        <v>0</v>
      </c>
    </row>
    <row r="1210" spans="1:38" ht="12.6" customHeight="1" x14ac:dyDescent="0.2">
      <c r="A1210" s="1" t="s">
        <v>57</v>
      </c>
      <c r="B1210" s="9" t="s">
        <v>39</v>
      </c>
      <c r="C1210" s="1" t="s">
        <v>58</v>
      </c>
      <c r="D1210" s="1" t="s">
        <v>59</v>
      </c>
      <c r="E1210" s="1" t="s">
        <v>42</v>
      </c>
      <c r="G1210" s="1" t="s">
        <v>88</v>
      </c>
      <c r="H1210" s="1" t="s">
        <v>61</v>
      </c>
      <c r="I1210" s="1" t="s">
        <v>5061</v>
      </c>
      <c r="J1210" s="1">
        <v>2021</v>
      </c>
      <c r="K1210" s="1" t="s">
        <v>5062</v>
      </c>
      <c r="P1210" s="1" t="s">
        <v>5063</v>
      </c>
      <c r="Q1210" s="1" t="s">
        <v>50</v>
      </c>
      <c r="R1210" s="1" t="s">
        <v>68</v>
      </c>
      <c r="S1210" s="1" t="s">
        <v>425</v>
      </c>
      <c r="T1210" s="1" t="s">
        <v>426</v>
      </c>
      <c r="U1210" s="1">
        <v>1</v>
      </c>
      <c r="V1210" s="1" t="s">
        <v>195</v>
      </c>
      <c r="W1210" s="1" t="s">
        <v>5062</v>
      </c>
      <c r="X1210" s="1" t="s">
        <v>145</v>
      </c>
      <c r="Y1210" s="10">
        <v>44557</v>
      </c>
      <c r="Z1210" s="1">
        <v>2021</v>
      </c>
      <c r="AA1210" s="2">
        <v>199900</v>
      </c>
      <c r="AB1210" s="2"/>
      <c r="AC1210" s="2">
        <v>30000</v>
      </c>
      <c r="AD1210" s="1">
        <v>1</v>
      </c>
      <c r="AG1210" s="1" t="s">
        <v>432</v>
      </c>
      <c r="AH1210" s="1" t="s">
        <v>492</v>
      </c>
      <c r="AI1210" s="2">
        <v>0</v>
      </c>
    </row>
    <row r="1211" spans="1:38" ht="12.6" customHeight="1" x14ac:dyDescent="0.2">
      <c r="A1211" s="1" t="s">
        <v>57</v>
      </c>
      <c r="B1211" s="9" t="s">
        <v>39</v>
      </c>
      <c r="C1211" s="1" t="s">
        <v>58</v>
      </c>
      <c r="D1211" s="1" t="s">
        <v>59</v>
      </c>
      <c r="E1211" s="1" t="s">
        <v>42</v>
      </c>
      <c r="G1211" s="1" t="s">
        <v>88</v>
      </c>
      <c r="H1211" s="1" t="s">
        <v>61</v>
      </c>
      <c r="I1211" s="1" t="s">
        <v>5064</v>
      </c>
      <c r="J1211" s="1">
        <v>2021</v>
      </c>
      <c r="K1211" s="1" t="s">
        <v>5065</v>
      </c>
      <c r="P1211" s="1" t="s">
        <v>5066</v>
      </c>
      <c r="Q1211" s="1" t="s">
        <v>50</v>
      </c>
      <c r="R1211" s="1" t="s">
        <v>68</v>
      </c>
      <c r="S1211" s="1" t="s">
        <v>3437</v>
      </c>
      <c r="T1211" s="1" t="s">
        <v>3438</v>
      </c>
      <c r="U1211" s="1">
        <v>1</v>
      </c>
      <c r="V1211" s="1" t="s">
        <v>195</v>
      </c>
      <c r="W1211" s="1" t="s">
        <v>5065</v>
      </c>
      <c r="X1211" s="1" t="s">
        <v>145</v>
      </c>
      <c r="Y1211" s="10">
        <v>44557</v>
      </c>
      <c r="Z1211" s="1">
        <v>2021</v>
      </c>
      <c r="AA1211" s="2">
        <v>77368.509999999995</v>
      </c>
      <c r="AB1211" s="2"/>
      <c r="AC1211" s="2">
        <v>23210.55</v>
      </c>
      <c r="AD1211" s="1">
        <v>1</v>
      </c>
      <c r="AG1211" s="1" t="s">
        <v>432</v>
      </c>
      <c r="AH1211" s="1" t="s">
        <v>492</v>
      </c>
      <c r="AI1211" s="2">
        <v>0</v>
      </c>
      <c r="AL1211" s="17" t="s">
        <v>5067</v>
      </c>
    </row>
    <row r="1212" spans="1:38" ht="12.6" customHeight="1" x14ac:dyDescent="0.2">
      <c r="A1212" s="1" t="s">
        <v>57</v>
      </c>
      <c r="B1212" s="9" t="s">
        <v>39</v>
      </c>
      <c r="C1212" s="1" t="s">
        <v>58</v>
      </c>
      <c r="D1212" s="1" t="s">
        <v>59</v>
      </c>
      <c r="E1212" s="1" t="s">
        <v>42</v>
      </c>
      <c r="G1212" s="1" t="s">
        <v>88</v>
      </c>
      <c r="H1212" s="1" t="s">
        <v>61</v>
      </c>
      <c r="I1212" s="1" t="s">
        <v>5068</v>
      </c>
      <c r="J1212" s="1">
        <v>2021</v>
      </c>
      <c r="K1212" s="1" t="s">
        <v>5069</v>
      </c>
      <c r="P1212" s="1" t="s">
        <v>5070</v>
      </c>
      <c r="Q1212" s="1" t="s">
        <v>50</v>
      </c>
      <c r="R1212" s="1" t="s">
        <v>68</v>
      </c>
      <c r="S1212" s="1" t="s">
        <v>425</v>
      </c>
      <c r="T1212" s="1" t="s">
        <v>426</v>
      </c>
      <c r="U1212" s="1">
        <v>1</v>
      </c>
      <c r="V1212" s="1" t="s">
        <v>195</v>
      </c>
      <c r="W1212" s="1" t="s">
        <v>5069</v>
      </c>
      <c r="X1212" s="1" t="s">
        <v>145</v>
      </c>
      <c r="Y1212" s="10">
        <v>44557</v>
      </c>
      <c r="Z1212" s="1">
        <v>2021</v>
      </c>
      <c r="AA1212" s="2">
        <v>199990</v>
      </c>
      <c r="AB1212" s="2"/>
      <c r="AC1212" s="2">
        <v>30000</v>
      </c>
      <c r="AD1212" s="1">
        <v>1</v>
      </c>
      <c r="AG1212" s="1" t="s">
        <v>432</v>
      </c>
      <c r="AH1212" s="1" t="s">
        <v>492</v>
      </c>
      <c r="AI1212" s="2">
        <v>0</v>
      </c>
    </row>
    <row r="1213" spans="1:38" ht="12.6" customHeight="1" x14ac:dyDescent="0.2">
      <c r="A1213" s="1" t="s">
        <v>57</v>
      </c>
      <c r="B1213" s="9" t="s">
        <v>38</v>
      </c>
      <c r="C1213" s="1" t="s">
        <v>58</v>
      </c>
      <c r="D1213" s="1" t="s">
        <v>146</v>
      </c>
      <c r="E1213" s="1" t="s">
        <v>42</v>
      </c>
      <c r="G1213" s="1" t="s">
        <v>155</v>
      </c>
      <c r="H1213" s="1" t="s">
        <v>156</v>
      </c>
      <c r="I1213" s="1" t="s">
        <v>5071</v>
      </c>
      <c r="J1213" s="1">
        <v>2022</v>
      </c>
      <c r="K1213" s="1" t="s">
        <v>5072</v>
      </c>
      <c r="L1213" s="1" t="s">
        <v>5073</v>
      </c>
      <c r="P1213" s="1" t="s">
        <v>5074</v>
      </c>
      <c r="Q1213" s="1" t="s">
        <v>1109</v>
      </c>
      <c r="R1213" s="1" t="s">
        <v>1110</v>
      </c>
      <c r="S1213" s="1" t="s">
        <v>2040</v>
      </c>
      <c r="T1213" s="1" t="s">
        <v>2041</v>
      </c>
      <c r="V1213" s="1" t="s">
        <v>54</v>
      </c>
      <c r="W1213" s="1" t="s">
        <v>5075</v>
      </c>
      <c r="Y1213" s="10">
        <v>45112</v>
      </c>
      <c r="Z1213" s="1">
        <v>2023</v>
      </c>
      <c r="AA1213" s="2">
        <v>1376052.24</v>
      </c>
      <c r="AB1213" s="2"/>
      <c r="AC1213" s="2">
        <v>370259.83076923428</v>
      </c>
      <c r="AG1213" s="1" t="s">
        <v>56</v>
      </c>
      <c r="AI1213" s="2">
        <v>370259.83076923428</v>
      </c>
    </row>
    <row r="1214" spans="1:38" ht="12.6" customHeight="1" x14ac:dyDescent="0.25">
      <c r="A1214" s="1" t="s">
        <v>57</v>
      </c>
      <c r="B1214" s="20" t="s">
        <v>38</v>
      </c>
      <c r="C1214" s="3" t="s">
        <v>58</v>
      </c>
      <c r="D1214" s="1" t="s">
        <v>146</v>
      </c>
      <c r="E1214" s="1" t="s">
        <v>42</v>
      </c>
      <c r="F1214" s="1" t="s">
        <v>1236</v>
      </c>
      <c r="G1214" s="1" t="s">
        <v>155</v>
      </c>
      <c r="H1214" s="1" t="s">
        <v>156</v>
      </c>
      <c r="I1214" s="3" t="s">
        <v>5076</v>
      </c>
      <c r="J1214" s="1">
        <v>2022</v>
      </c>
      <c r="K1214" s="1" t="s">
        <v>5077</v>
      </c>
      <c r="L1214" s="23" t="s">
        <v>5078</v>
      </c>
      <c r="M1214" s="1" t="s">
        <v>1240</v>
      </c>
      <c r="P1214" s="1" t="s">
        <v>3830</v>
      </c>
      <c r="Q1214" s="1" t="s">
        <v>101</v>
      </c>
      <c r="R1214" s="1" t="s">
        <v>102</v>
      </c>
      <c r="S1214" s="11" t="s">
        <v>2028</v>
      </c>
      <c r="T1214" s="3" t="s">
        <v>2029</v>
      </c>
      <c r="U1214" s="1">
        <v>2</v>
      </c>
      <c r="V1214" s="3" t="s">
        <v>101</v>
      </c>
      <c r="W1214" s="3" t="s">
        <v>5078</v>
      </c>
      <c r="X1214" s="3" t="s">
        <v>1396</v>
      </c>
      <c r="Y1214" s="21"/>
      <c r="Z1214" s="3">
        <v>2025</v>
      </c>
      <c r="AA1214" s="22">
        <v>1138338.1299999999</v>
      </c>
      <c r="AB1214" s="22"/>
      <c r="AC1214" s="22">
        <v>1138338.1299999999</v>
      </c>
      <c r="AD1214" s="2"/>
      <c r="AG1214" s="1" t="s">
        <v>56</v>
      </c>
      <c r="AI1214" s="22">
        <v>1138338.1299999999</v>
      </c>
    </row>
    <row r="1215" spans="1:38" ht="12.6" customHeight="1" x14ac:dyDescent="0.2">
      <c r="A1215" s="1" t="s">
        <v>57</v>
      </c>
      <c r="B1215" s="9" t="s">
        <v>39</v>
      </c>
      <c r="C1215" s="1" t="s">
        <v>58</v>
      </c>
      <c r="D1215" s="1" t="s">
        <v>4315</v>
      </c>
      <c r="E1215" s="1" t="s">
        <v>42</v>
      </c>
      <c r="G1215" s="1" t="s">
        <v>4316</v>
      </c>
      <c r="H1215" s="1" t="s">
        <v>61</v>
      </c>
      <c r="I1215" s="1" t="s">
        <v>5079</v>
      </c>
      <c r="J1215" s="1">
        <v>2019</v>
      </c>
      <c r="P1215" s="1" t="s">
        <v>4471</v>
      </c>
      <c r="Q1215" s="1" t="s">
        <v>50</v>
      </c>
      <c r="R1215" s="1" t="s">
        <v>68</v>
      </c>
      <c r="S1215" s="1" t="s">
        <v>425</v>
      </c>
      <c r="T1215" s="1" t="s">
        <v>426</v>
      </c>
      <c r="U1215" s="1">
        <v>1</v>
      </c>
      <c r="V1215" s="1" t="s">
        <v>195</v>
      </c>
      <c r="Y1215" s="10">
        <v>43466</v>
      </c>
      <c r="Z1215" s="1">
        <v>2019</v>
      </c>
      <c r="AA1215" s="2"/>
      <c r="AB1215" s="2"/>
      <c r="AC1215" s="2">
        <v>292051.86</v>
      </c>
      <c r="AG1215" s="1" t="s">
        <v>56</v>
      </c>
      <c r="AI1215" s="2">
        <v>292051.86</v>
      </c>
      <c r="AL1215" s="1" t="s">
        <v>4319</v>
      </c>
    </row>
    <row r="1216" spans="1:38" ht="12.6" customHeight="1" x14ac:dyDescent="0.2">
      <c r="A1216" s="1" t="s">
        <v>57</v>
      </c>
      <c r="B1216" s="9" t="s">
        <v>39</v>
      </c>
      <c r="C1216" s="1" t="s">
        <v>58</v>
      </c>
      <c r="D1216" s="1" t="s">
        <v>4315</v>
      </c>
      <c r="E1216" s="1" t="s">
        <v>42</v>
      </c>
      <c r="G1216" s="1" t="s">
        <v>4316</v>
      </c>
      <c r="H1216" s="1" t="s">
        <v>61</v>
      </c>
      <c r="I1216" s="1" t="s">
        <v>5080</v>
      </c>
      <c r="J1216" s="1">
        <v>2019</v>
      </c>
      <c r="P1216" s="1" t="s">
        <v>4471</v>
      </c>
      <c r="Q1216" s="1" t="s">
        <v>50</v>
      </c>
      <c r="R1216" s="1" t="s">
        <v>68</v>
      </c>
      <c r="S1216" s="1" t="s">
        <v>425</v>
      </c>
      <c r="T1216" s="1" t="s">
        <v>426</v>
      </c>
      <c r="U1216" s="1">
        <v>1</v>
      </c>
      <c r="V1216" s="1" t="s">
        <v>195</v>
      </c>
      <c r="Y1216" s="10">
        <v>43466</v>
      </c>
      <c r="Z1216" s="1">
        <v>2019</v>
      </c>
      <c r="AA1216" s="2"/>
      <c r="AB1216" s="2"/>
      <c r="AC1216" s="2">
        <v>557497.35000000009</v>
      </c>
      <c r="AG1216" s="1" t="s">
        <v>56</v>
      </c>
      <c r="AI1216" s="2">
        <v>557497.35000000009</v>
      </c>
      <c r="AL1216" s="1" t="s">
        <v>4319</v>
      </c>
    </row>
    <row r="1217" spans="1:38" ht="12.6" customHeight="1" x14ac:dyDescent="0.2">
      <c r="A1217" s="1" t="s">
        <v>57</v>
      </c>
      <c r="B1217" s="9" t="s">
        <v>39</v>
      </c>
      <c r="C1217" s="1" t="s">
        <v>58</v>
      </c>
      <c r="D1217" s="1" t="s">
        <v>4315</v>
      </c>
      <c r="E1217" s="1" t="s">
        <v>42</v>
      </c>
      <c r="G1217" s="1" t="s">
        <v>4316</v>
      </c>
      <c r="H1217" s="1" t="s">
        <v>61</v>
      </c>
      <c r="I1217" s="1" t="s">
        <v>5081</v>
      </c>
      <c r="J1217" s="1">
        <v>2018</v>
      </c>
      <c r="P1217" s="1" t="s">
        <v>4474</v>
      </c>
      <c r="Q1217" s="1" t="s">
        <v>50</v>
      </c>
      <c r="R1217" s="1" t="s">
        <v>68</v>
      </c>
      <c r="S1217" s="1" t="s">
        <v>430</v>
      </c>
      <c r="T1217" s="1" t="s">
        <v>431</v>
      </c>
      <c r="U1217" s="1">
        <v>1</v>
      </c>
      <c r="V1217" s="1" t="s">
        <v>71</v>
      </c>
      <c r="Y1217" s="10">
        <v>43461</v>
      </c>
      <c r="Z1217" s="1">
        <v>2018</v>
      </c>
      <c r="AA1217" s="2"/>
      <c r="AB1217" s="2"/>
      <c r="AC1217" s="2">
        <v>446969.76999999996</v>
      </c>
      <c r="AG1217" s="1" t="s">
        <v>56</v>
      </c>
      <c r="AI1217" s="2">
        <v>446969.76999999996</v>
      </c>
      <c r="AL1217" s="1" t="s">
        <v>4319</v>
      </c>
    </row>
    <row r="1218" spans="1:38" ht="12.6" customHeight="1" x14ac:dyDescent="0.2">
      <c r="A1218" s="1" t="s">
        <v>57</v>
      </c>
      <c r="B1218" s="9" t="s">
        <v>39</v>
      </c>
      <c r="C1218" s="1" t="s">
        <v>58</v>
      </c>
      <c r="D1218" s="1" t="s">
        <v>4315</v>
      </c>
      <c r="E1218" s="1" t="s">
        <v>42</v>
      </c>
      <c r="G1218" s="1" t="s">
        <v>4316</v>
      </c>
      <c r="H1218" s="1" t="s">
        <v>61</v>
      </c>
      <c r="I1218" s="1" t="s">
        <v>5082</v>
      </c>
      <c r="J1218" s="1">
        <v>2018</v>
      </c>
      <c r="P1218" s="1" t="s">
        <v>4474</v>
      </c>
      <c r="Q1218" s="1" t="s">
        <v>50</v>
      </c>
      <c r="R1218" s="1" t="s">
        <v>68</v>
      </c>
      <c r="S1218" s="1" t="s">
        <v>430</v>
      </c>
      <c r="T1218" s="1" t="s">
        <v>431</v>
      </c>
      <c r="U1218" s="1">
        <v>1</v>
      </c>
      <c r="V1218" s="1" t="s">
        <v>71</v>
      </c>
      <c r="Y1218" s="10">
        <v>43461</v>
      </c>
      <c r="Z1218" s="1">
        <v>2018</v>
      </c>
      <c r="AA1218" s="2"/>
      <c r="AB1218" s="2"/>
      <c r="AC1218" s="2">
        <v>472204.85</v>
      </c>
      <c r="AG1218" s="1" t="s">
        <v>56</v>
      </c>
      <c r="AI1218" s="2">
        <v>472204.85</v>
      </c>
      <c r="AL1218" s="1" t="s">
        <v>4319</v>
      </c>
    </row>
    <row r="1219" spans="1:38" ht="12.6" customHeight="1" x14ac:dyDescent="0.2">
      <c r="A1219" s="1" t="s">
        <v>57</v>
      </c>
      <c r="B1219" s="9" t="s">
        <v>39</v>
      </c>
      <c r="C1219" s="1" t="s">
        <v>58</v>
      </c>
      <c r="D1219" s="1" t="s">
        <v>4315</v>
      </c>
      <c r="E1219" s="1" t="s">
        <v>42</v>
      </c>
      <c r="G1219" s="1" t="s">
        <v>4316</v>
      </c>
      <c r="H1219" s="1" t="s">
        <v>61</v>
      </c>
      <c r="I1219" s="1" t="s">
        <v>5083</v>
      </c>
      <c r="J1219" s="1">
        <v>2018</v>
      </c>
      <c r="P1219" s="1" t="s">
        <v>4474</v>
      </c>
      <c r="Q1219" s="1" t="s">
        <v>50</v>
      </c>
      <c r="R1219" s="1" t="s">
        <v>68</v>
      </c>
      <c r="S1219" s="1" t="s">
        <v>430</v>
      </c>
      <c r="T1219" s="1" t="s">
        <v>431</v>
      </c>
      <c r="U1219" s="1">
        <v>1</v>
      </c>
      <c r="V1219" s="1" t="s">
        <v>71</v>
      </c>
      <c r="Y1219" s="10">
        <v>43461</v>
      </c>
      <c r="Z1219" s="1">
        <v>2018</v>
      </c>
      <c r="AA1219" s="2"/>
      <c r="AB1219" s="2"/>
      <c r="AC1219" s="2">
        <v>582608.22</v>
      </c>
      <c r="AG1219" s="1" t="s">
        <v>56</v>
      </c>
      <c r="AI1219" s="2">
        <v>582608.22</v>
      </c>
      <c r="AL1219" s="1" t="s">
        <v>4319</v>
      </c>
    </row>
    <row r="1220" spans="1:38" ht="12.6" customHeight="1" x14ac:dyDescent="0.2">
      <c r="A1220" s="1" t="s">
        <v>57</v>
      </c>
      <c r="B1220" s="9" t="s">
        <v>39</v>
      </c>
      <c r="C1220" s="1" t="s">
        <v>58</v>
      </c>
      <c r="D1220" s="1" t="s">
        <v>4315</v>
      </c>
      <c r="E1220" s="1" t="s">
        <v>42</v>
      </c>
      <c r="G1220" s="1" t="s">
        <v>4316</v>
      </c>
      <c r="H1220" s="1" t="s">
        <v>61</v>
      </c>
      <c r="I1220" s="1" t="s">
        <v>5084</v>
      </c>
      <c r="J1220" s="1">
        <v>2019</v>
      </c>
      <c r="P1220" s="1" t="s">
        <v>4474</v>
      </c>
      <c r="Q1220" s="1" t="s">
        <v>50</v>
      </c>
      <c r="R1220" s="1" t="s">
        <v>68</v>
      </c>
      <c r="S1220" s="1" t="s">
        <v>430</v>
      </c>
      <c r="T1220" s="1" t="s">
        <v>431</v>
      </c>
      <c r="U1220" s="1">
        <v>1</v>
      </c>
      <c r="V1220" s="1" t="s">
        <v>71</v>
      </c>
      <c r="Y1220" s="10">
        <v>43486</v>
      </c>
      <c r="Z1220" s="1">
        <v>2019</v>
      </c>
      <c r="AA1220" s="2"/>
      <c r="AB1220" s="2"/>
      <c r="AC1220" s="2">
        <v>539200.03</v>
      </c>
      <c r="AG1220" s="1" t="s">
        <v>56</v>
      </c>
      <c r="AI1220" s="2">
        <v>539200.03</v>
      </c>
      <c r="AL1220" s="1" t="s">
        <v>4319</v>
      </c>
    </row>
    <row r="1221" spans="1:38" ht="12.6" customHeight="1" x14ac:dyDescent="0.2">
      <c r="A1221" s="1" t="s">
        <v>57</v>
      </c>
      <c r="B1221" s="9" t="s">
        <v>39</v>
      </c>
      <c r="C1221" s="1" t="s">
        <v>58</v>
      </c>
      <c r="D1221" s="1" t="s">
        <v>4315</v>
      </c>
      <c r="E1221" s="1" t="s">
        <v>42</v>
      </c>
      <c r="G1221" s="1" t="s">
        <v>4316</v>
      </c>
      <c r="H1221" s="1" t="s">
        <v>61</v>
      </c>
      <c r="I1221" s="1" t="s">
        <v>5085</v>
      </c>
      <c r="J1221" s="1">
        <v>2018</v>
      </c>
      <c r="P1221" s="1" t="s">
        <v>4474</v>
      </c>
      <c r="Q1221" s="1" t="s">
        <v>50</v>
      </c>
      <c r="R1221" s="1" t="s">
        <v>68</v>
      </c>
      <c r="S1221" s="1" t="s">
        <v>430</v>
      </c>
      <c r="T1221" s="1" t="s">
        <v>431</v>
      </c>
      <c r="U1221" s="1">
        <v>1</v>
      </c>
      <c r="V1221" s="1" t="s">
        <v>71</v>
      </c>
      <c r="Y1221" s="10">
        <v>43461</v>
      </c>
      <c r="Z1221" s="1">
        <v>2018</v>
      </c>
      <c r="AA1221" s="2"/>
      <c r="AB1221" s="2"/>
      <c r="AC1221" s="2">
        <v>650496.32000000007</v>
      </c>
      <c r="AG1221" s="1" t="s">
        <v>56</v>
      </c>
      <c r="AI1221" s="2">
        <v>650496.32000000007</v>
      </c>
      <c r="AL1221" s="1" t="s">
        <v>4319</v>
      </c>
    </row>
    <row r="1222" spans="1:38" ht="12.6" customHeight="1" x14ac:dyDescent="0.2">
      <c r="A1222" s="1" t="s">
        <v>57</v>
      </c>
      <c r="B1222" s="9" t="s">
        <v>39</v>
      </c>
      <c r="C1222" s="1" t="s">
        <v>58</v>
      </c>
      <c r="D1222" s="1" t="s">
        <v>4315</v>
      </c>
      <c r="E1222" s="1" t="s">
        <v>42</v>
      </c>
      <c r="G1222" s="1" t="s">
        <v>4316</v>
      </c>
      <c r="H1222" s="1" t="s">
        <v>61</v>
      </c>
      <c r="I1222" s="1" t="s">
        <v>5086</v>
      </c>
      <c r="J1222" s="1">
        <v>2018</v>
      </c>
      <c r="P1222" s="1" t="s">
        <v>4474</v>
      </c>
      <c r="Q1222" s="1" t="s">
        <v>50</v>
      </c>
      <c r="R1222" s="1" t="s">
        <v>68</v>
      </c>
      <c r="S1222" s="1" t="s">
        <v>430</v>
      </c>
      <c r="T1222" s="1" t="s">
        <v>431</v>
      </c>
      <c r="U1222" s="1">
        <v>1</v>
      </c>
      <c r="V1222" s="1" t="s">
        <v>71</v>
      </c>
      <c r="Y1222" s="10">
        <v>43461</v>
      </c>
      <c r="Z1222" s="1">
        <v>2018</v>
      </c>
      <c r="AA1222" s="2"/>
      <c r="AB1222" s="2"/>
      <c r="AC1222" s="2">
        <v>444586.17000000004</v>
      </c>
      <c r="AG1222" s="1" t="s">
        <v>56</v>
      </c>
      <c r="AI1222" s="2">
        <v>444586.17000000004</v>
      </c>
      <c r="AL1222" s="1" t="s">
        <v>4319</v>
      </c>
    </row>
    <row r="1223" spans="1:38" ht="12.6" customHeight="1" x14ac:dyDescent="0.2">
      <c r="A1223" s="1" t="s">
        <v>57</v>
      </c>
      <c r="B1223" s="9" t="s">
        <v>39</v>
      </c>
      <c r="C1223" s="1" t="s">
        <v>58</v>
      </c>
      <c r="D1223" s="1" t="s">
        <v>4315</v>
      </c>
      <c r="E1223" s="1" t="s">
        <v>42</v>
      </c>
      <c r="G1223" s="1" t="s">
        <v>4316</v>
      </c>
      <c r="H1223" s="1" t="s">
        <v>61</v>
      </c>
      <c r="I1223" s="1" t="s">
        <v>5087</v>
      </c>
      <c r="J1223" s="1">
        <v>2019</v>
      </c>
      <c r="P1223" s="1" t="s">
        <v>4474</v>
      </c>
      <c r="Q1223" s="1" t="s">
        <v>50</v>
      </c>
      <c r="R1223" s="1" t="s">
        <v>68</v>
      </c>
      <c r="S1223" s="1" t="s">
        <v>430</v>
      </c>
      <c r="T1223" s="1" t="s">
        <v>431</v>
      </c>
      <c r="U1223" s="1">
        <v>1</v>
      </c>
      <c r="V1223" s="1" t="s">
        <v>71</v>
      </c>
      <c r="Y1223" s="10">
        <v>43486</v>
      </c>
      <c r="Z1223" s="1">
        <v>2019</v>
      </c>
      <c r="AA1223" s="2"/>
      <c r="AB1223" s="2"/>
      <c r="AC1223" s="2">
        <v>352291.83</v>
      </c>
      <c r="AG1223" s="1" t="s">
        <v>56</v>
      </c>
      <c r="AI1223" s="2">
        <v>352291.83</v>
      </c>
      <c r="AL1223" s="1" t="s">
        <v>4319</v>
      </c>
    </row>
    <row r="1224" spans="1:38" ht="12.6" customHeight="1" x14ac:dyDescent="0.2">
      <c r="A1224" s="1" t="s">
        <v>57</v>
      </c>
      <c r="B1224" s="9" t="s">
        <v>39</v>
      </c>
      <c r="C1224" s="1" t="s">
        <v>58</v>
      </c>
      <c r="D1224" s="1" t="s">
        <v>4315</v>
      </c>
      <c r="E1224" s="1" t="s">
        <v>42</v>
      </c>
      <c r="G1224" s="1" t="s">
        <v>4316</v>
      </c>
      <c r="H1224" s="1" t="s">
        <v>61</v>
      </c>
      <c r="I1224" s="1" t="s">
        <v>5088</v>
      </c>
      <c r="J1224" s="1">
        <v>2018</v>
      </c>
      <c r="P1224" s="1" t="s">
        <v>4474</v>
      </c>
      <c r="Q1224" s="1" t="s">
        <v>50</v>
      </c>
      <c r="R1224" s="1" t="s">
        <v>68</v>
      </c>
      <c r="S1224" s="1" t="s">
        <v>430</v>
      </c>
      <c r="T1224" s="1" t="s">
        <v>431</v>
      </c>
      <c r="U1224" s="1">
        <v>1</v>
      </c>
      <c r="V1224" s="1" t="s">
        <v>71</v>
      </c>
      <c r="Y1224" s="10">
        <v>43461</v>
      </c>
      <c r="Z1224" s="1">
        <v>2018</v>
      </c>
      <c r="AA1224" s="2"/>
      <c r="AB1224" s="2"/>
      <c r="AC1224" s="2">
        <v>658280.07999999996</v>
      </c>
      <c r="AG1224" s="1" t="s">
        <v>56</v>
      </c>
      <c r="AI1224" s="2">
        <v>658280.07999999996</v>
      </c>
      <c r="AL1224" s="1" t="s">
        <v>4319</v>
      </c>
    </row>
    <row r="1225" spans="1:38" ht="12.6" customHeight="1" x14ac:dyDescent="0.2">
      <c r="A1225" s="1" t="s">
        <v>57</v>
      </c>
      <c r="B1225" s="9" t="s">
        <v>39</v>
      </c>
      <c r="C1225" s="1" t="s">
        <v>58</v>
      </c>
      <c r="D1225" s="1" t="s">
        <v>4315</v>
      </c>
      <c r="E1225" s="1" t="s">
        <v>42</v>
      </c>
      <c r="G1225" s="1" t="s">
        <v>4316</v>
      </c>
      <c r="H1225" s="1" t="s">
        <v>61</v>
      </c>
      <c r="I1225" s="1" t="s">
        <v>5089</v>
      </c>
      <c r="J1225" s="1">
        <v>2018</v>
      </c>
      <c r="P1225" s="1" t="s">
        <v>4474</v>
      </c>
      <c r="Q1225" s="1" t="s">
        <v>50</v>
      </c>
      <c r="R1225" s="1" t="s">
        <v>68</v>
      </c>
      <c r="S1225" s="1" t="s">
        <v>430</v>
      </c>
      <c r="T1225" s="1" t="s">
        <v>431</v>
      </c>
      <c r="U1225" s="1">
        <v>1</v>
      </c>
      <c r="V1225" s="1" t="s">
        <v>71</v>
      </c>
      <c r="Y1225" s="10">
        <v>43459</v>
      </c>
      <c r="Z1225" s="1">
        <v>2018</v>
      </c>
      <c r="AA1225" s="2"/>
      <c r="AB1225" s="2"/>
      <c r="AC1225" s="2">
        <v>539555.32000000007</v>
      </c>
      <c r="AG1225" s="1" t="s">
        <v>56</v>
      </c>
      <c r="AI1225" s="2">
        <v>539555.32000000007</v>
      </c>
      <c r="AL1225" s="1" t="s">
        <v>4319</v>
      </c>
    </row>
    <row r="1226" spans="1:38" ht="12.6" customHeight="1" x14ac:dyDescent="0.2">
      <c r="A1226" s="1" t="s">
        <v>57</v>
      </c>
      <c r="B1226" s="9" t="s">
        <v>39</v>
      </c>
      <c r="C1226" s="1" t="s">
        <v>58</v>
      </c>
      <c r="D1226" s="1" t="s">
        <v>4315</v>
      </c>
      <c r="E1226" s="1" t="s">
        <v>42</v>
      </c>
      <c r="G1226" s="1" t="s">
        <v>4316</v>
      </c>
      <c r="H1226" s="1" t="s">
        <v>61</v>
      </c>
      <c r="I1226" s="1" t="s">
        <v>5090</v>
      </c>
      <c r="J1226" s="1">
        <v>2018</v>
      </c>
      <c r="P1226" s="1" t="s">
        <v>4474</v>
      </c>
      <c r="Q1226" s="1" t="s">
        <v>50</v>
      </c>
      <c r="R1226" s="1" t="s">
        <v>68</v>
      </c>
      <c r="S1226" s="1" t="s">
        <v>430</v>
      </c>
      <c r="T1226" s="1" t="s">
        <v>431</v>
      </c>
      <c r="U1226" s="1">
        <v>1</v>
      </c>
      <c r="V1226" s="1" t="s">
        <v>71</v>
      </c>
      <c r="Y1226" s="10">
        <v>43461</v>
      </c>
      <c r="Z1226" s="1">
        <v>2018</v>
      </c>
      <c r="AA1226" s="2"/>
      <c r="AB1226" s="2"/>
      <c r="AC1226" s="2">
        <v>364456.16000000003</v>
      </c>
      <c r="AG1226" s="1" t="s">
        <v>56</v>
      </c>
      <c r="AI1226" s="2">
        <v>364456.16000000003</v>
      </c>
      <c r="AL1226" s="1" t="s">
        <v>4319</v>
      </c>
    </row>
    <row r="1227" spans="1:38" ht="12.6" customHeight="1" x14ac:dyDescent="0.2">
      <c r="A1227" s="1" t="s">
        <v>57</v>
      </c>
      <c r="B1227" s="9" t="s">
        <v>39</v>
      </c>
      <c r="C1227" s="1" t="s">
        <v>58</v>
      </c>
      <c r="D1227" s="1" t="s">
        <v>4315</v>
      </c>
      <c r="E1227" s="1" t="s">
        <v>42</v>
      </c>
      <c r="G1227" s="1" t="s">
        <v>4316</v>
      </c>
      <c r="H1227" s="1" t="s">
        <v>61</v>
      </c>
      <c r="I1227" s="1" t="s">
        <v>5091</v>
      </c>
      <c r="J1227" s="1">
        <v>2018</v>
      </c>
      <c r="P1227" s="1" t="s">
        <v>4474</v>
      </c>
      <c r="Q1227" s="1" t="s">
        <v>50</v>
      </c>
      <c r="R1227" s="1" t="s">
        <v>68</v>
      </c>
      <c r="S1227" s="1" t="s">
        <v>430</v>
      </c>
      <c r="T1227" s="1" t="s">
        <v>431</v>
      </c>
      <c r="U1227" s="1">
        <v>1</v>
      </c>
      <c r="V1227" s="1" t="s">
        <v>71</v>
      </c>
      <c r="Y1227" s="10">
        <v>43461</v>
      </c>
      <c r="Z1227" s="1">
        <v>2018</v>
      </c>
      <c r="AA1227" s="2"/>
      <c r="AB1227" s="2"/>
      <c r="AC1227" s="2">
        <v>185516.29</v>
      </c>
      <c r="AG1227" s="1" t="s">
        <v>56</v>
      </c>
      <c r="AI1227" s="2">
        <v>185516.29</v>
      </c>
      <c r="AL1227" s="1" t="s">
        <v>4319</v>
      </c>
    </row>
    <row r="1228" spans="1:38" ht="12.6" customHeight="1" x14ac:dyDescent="0.2">
      <c r="A1228" s="1" t="s">
        <v>57</v>
      </c>
      <c r="B1228" s="9" t="s">
        <v>39</v>
      </c>
      <c r="C1228" s="1" t="s">
        <v>58</v>
      </c>
      <c r="D1228" s="1" t="s">
        <v>4315</v>
      </c>
      <c r="E1228" s="1" t="s">
        <v>42</v>
      </c>
      <c r="G1228" s="1" t="s">
        <v>4316</v>
      </c>
      <c r="H1228" s="1" t="s">
        <v>61</v>
      </c>
      <c r="I1228" s="1" t="s">
        <v>5092</v>
      </c>
      <c r="J1228" s="1">
        <v>2021</v>
      </c>
      <c r="P1228" s="1" t="s">
        <v>4474</v>
      </c>
      <c r="Q1228" s="1" t="s">
        <v>50</v>
      </c>
      <c r="R1228" s="1" t="s">
        <v>77</v>
      </c>
      <c r="S1228" s="1" t="s">
        <v>198</v>
      </c>
      <c r="T1228" s="1" t="s">
        <v>199</v>
      </c>
      <c r="U1228" s="1">
        <v>1</v>
      </c>
      <c r="V1228" s="1" t="s">
        <v>186</v>
      </c>
      <c r="Y1228" s="10">
        <v>43471</v>
      </c>
      <c r="Z1228" s="1">
        <v>2019</v>
      </c>
      <c r="AA1228" s="2"/>
      <c r="AB1228" s="2"/>
      <c r="AC1228" s="2">
        <v>330552.99</v>
      </c>
      <c r="AG1228" s="1" t="s">
        <v>56</v>
      </c>
      <c r="AI1228" s="2">
        <v>330552.99</v>
      </c>
      <c r="AL1228" s="1" t="s">
        <v>4319</v>
      </c>
    </row>
    <row r="1229" spans="1:38" ht="12.6" customHeight="1" x14ac:dyDescent="0.2">
      <c r="A1229" s="1" t="s">
        <v>57</v>
      </c>
      <c r="B1229" s="9" t="s">
        <v>39</v>
      </c>
      <c r="C1229" s="1" t="s">
        <v>58</v>
      </c>
      <c r="D1229" s="1" t="s">
        <v>4315</v>
      </c>
      <c r="E1229" s="1" t="s">
        <v>42</v>
      </c>
      <c r="G1229" s="1" t="s">
        <v>4316</v>
      </c>
      <c r="H1229" s="1" t="s">
        <v>61</v>
      </c>
      <c r="I1229" s="1" t="s">
        <v>5093</v>
      </c>
      <c r="J1229" s="1">
        <v>2019</v>
      </c>
      <c r="P1229" s="1" t="s">
        <v>4471</v>
      </c>
      <c r="Q1229" s="1" t="s">
        <v>50</v>
      </c>
      <c r="R1229" s="1" t="s">
        <v>68</v>
      </c>
      <c r="S1229" s="1" t="s">
        <v>425</v>
      </c>
      <c r="T1229" s="1" t="s">
        <v>426</v>
      </c>
      <c r="U1229" s="1">
        <v>1</v>
      </c>
      <c r="V1229" s="1" t="s">
        <v>195</v>
      </c>
      <c r="Y1229" s="10">
        <v>43466</v>
      </c>
      <c r="Z1229" s="1">
        <v>2019</v>
      </c>
      <c r="AA1229" s="2"/>
      <c r="AB1229" s="2"/>
      <c r="AC1229" s="2">
        <v>653936.09</v>
      </c>
      <c r="AG1229" s="1" t="s">
        <v>56</v>
      </c>
      <c r="AI1229" s="2">
        <v>653936.09</v>
      </c>
      <c r="AL1229" s="1" t="s">
        <v>4319</v>
      </c>
    </row>
    <row r="1230" spans="1:38" ht="12.6" customHeight="1" x14ac:dyDescent="0.2">
      <c r="A1230" s="1" t="s">
        <v>57</v>
      </c>
      <c r="B1230" s="9" t="s">
        <v>39</v>
      </c>
      <c r="C1230" s="1" t="s">
        <v>58</v>
      </c>
      <c r="D1230" s="1" t="s">
        <v>4315</v>
      </c>
      <c r="E1230" s="1" t="s">
        <v>42</v>
      </c>
      <c r="G1230" s="1" t="s">
        <v>4316</v>
      </c>
      <c r="H1230" s="1" t="s">
        <v>61</v>
      </c>
      <c r="I1230" s="1" t="s">
        <v>5094</v>
      </c>
      <c r="J1230" s="1">
        <v>2019</v>
      </c>
      <c r="P1230" s="1" t="s">
        <v>4471</v>
      </c>
      <c r="Q1230" s="1" t="s">
        <v>50</v>
      </c>
      <c r="R1230" s="1" t="s">
        <v>68</v>
      </c>
      <c r="S1230" s="1" t="s">
        <v>425</v>
      </c>
      <c r="T1230" s="1" t="s">
        <v>426</v>
      </c>
      <c r="U1230" s="1">
        <v>1</v>
      </c>
      <c r="V1230" s="1" t="s">
        <v>195</v>
      </c>
      <c r="Y1230" s="10">
        <v>43466</v>
      </c>
      <c r="Z1230" s="1">
        <v>2019</v>
      </c>
      <c r="AA1230" s="2"/>
      <c r="AB1230" s="2"/>
      <c r="AC1230" s="2">
        <v>518535.76</v>
      </c>
      <c r="AG1230" s="1" t="s">
        <v>56</v>
      </c>
      <c r="AI1230" s="2">
        <v>518535.76</v>
      </c>
      <c r="AL1230" s="1" t="s">
        <v>4319</v>
      </c>
    </row>
    <row r="1231" spans="1:38" ht="12.6" customHeight="1" x14ac:dyDescent="0.2">
      <c r="A1231" s="1" t="s">
        <v>57</v>
      </c>
      <c r="B1231" s="9" t="s">
        <v>39</v>
      </c>
      <c r="C1231" s="1" t="s">
        <v>58</v>
      </c>
      <c r="D1231" s="1" t="s">
        <v>4315</v>
      </c>
      <c r="E1231" s="1" t="s">
        <v>42</v>
      </c>
      <c r="G1231" s="1" t="s">
        <v>4316</v>
      </c>
      <c r="H1231" s="1" t="s">
        <v>61</v>
      </c>
      <c r="I1231" s="1" t="s">
        <v>5095</v>
      </c>
      <c r="J1231" s="1">
        <v>2019</v>
      </c>
      <c r="P1231" s="1" t="s">
        <v>4471</v>
      </c>
      <c r="Q1231" s="1" t="s">
        <v>50</v>
      </c>
      <c r="R1231" s="1" t="s">
        <v>68</v>
      </c>
      <c r="S1231" s="1" t="s">
        <v>425</v>
      </c>
      <c r="T1231" s="1" t="s">
        <v>426</v>
      </c>
      <c r="U1231" s="1">
        <v>1</v>
      </c>
      <c r="V1231" s="1" t="s">
        <v>195</v>
      </c>
      <c r="Y1231" s="10">
        <v>43466</v>
      </c>
      <c r="Z1231" s="1">
        <v>2019</v>
      </c>
      <c r="AA1231" s="2"/>
      <c r="AB1231" s="2"/>
      <c r="AC1231" s="2">
        <v>568858.25</v>
      </c>
      <c r="AG1231" s="1" t="s">
        <v>56</v>
      </c>
      <c r="AI1231" s="2">
        <v>568858.25</v>
      </c>
      <c r="AL1231" s="1" t="s">
        <v>4319</v>
      </c>
    </row>
    <row r="1232" spans="1:38" ht="12.6" customHeight="1" x14ac:dyDescent="0.2">
      <c r="A1232" s="1" t="s">
        <v>57</v>
      </c>
      <c r="B1232" s="9" t="s">
        <v>39</v>
      </c>
      <c r="C1232" s="1" t="s">
        <v>58</v>
      </c>
      <c r="D1232" s="1" t="s">
        <v>4315</v>
      </c>
      <c r="E1232" s="1" t="s">
        <v>42</v>
      </c>
      <c r="G1232" s="1" t="s">
        <v>4316</v>
      </c>
      <c r="H1232" s="1" t="s">
        <v>61</v>
      </c>
      <c r="I1232" s="1" t="s">
        <v>5096</v>
      </c>
      <c r="J1232" s="1">
        <v>2019</v>
      </c>
      <c r="P1232" s="1" t="s">
        <v>4471</v>
      </c>
      <c r="Q1232" s="1" t="s">
        <v>50</v>
      </c>
      <c r="R1232" s="1" t="s">
        <v>68</v>
      </c>
      <c r="S1232" s="1" t="s">
        <v>425</v>
      </c>
      <c r="T1232" s="1" t="s">
        <v>426</v>
      </c>
      <c r="U1232" s="1">
        <v>1</v>
      </c>
      <c r="V1232" s="1" t="s">
        <v>195</v>
      </c>
      <c r="Y1232" s="10">
        <v>43466</v>
      </c>
      <c r="Z1232" s="1">
        <v>2019</v>
      </c>
      <c r="AA1232" s="2"/>
      <c r="AB1232" s="2"/>
      <c r="AC1232" s="2">
        <v>553194.42000000004</v>
      </c>
      <c r="AG1232" s="1" t="s">
        <v>56</v>
      </c>
      <c r="AI1232" s="2">
        <v>553194.42000000004</v>
      </c>
      <c r="AL1232" s="1" t="s">
        <v>4319</v>
      </c>
    </row>
    <row r="1233" spans="1:38" ht="12.6" customHeight="1" x14ac:dyDescent="0.2">
      <c r="A1233" s="1" t="s">
        <v>57</v>
      </c>
      <c r="B1233" s="9" t="s">
        <v>39</v>
      </c>
      <c r="C1233" s="1" t="s">
        <v>58</v>
      </c>
      <c r="D1233" s="1" t="s">
        <v>4315</v>
      </c>
      <c r="E1233" s="1" t="s">
        <v>42</v>
      </c>
      <c r="G1233" s="1" t="s">
        <v>4316</v>
      </c>
      <c r="H1233" s="1" t="s">
        <v>61</v>
      </c>
      <c r="I1233" s="1" t="s">
        <v>5097</v>
      </c>
      <c r="J1233" s="1">
        <v>2019</v>
      </c>
      <c r="P1233" s="1" t="s">
        <v>4471</v>
      </c>
      <c r="Q1233" s="1" t="s">
        <v>50</v>
      </c>
      <c r="R1233" s="1" t="s">
        <v>68</v>
      </c>
      <c r="S1233" s="1" t="s">
        <v>425</v>
      </c>
      <c r="T1233" s="1" t="s">
        <v>426</v>
      </c>
      <c r="U1233" s="1">
        <v>1</v>
      </c>
      <c r="V1233" s="1" t="s">
        <v>195</v>
      </c>
      <c r="Y1233" s="10">
        <v>43466</v>
      </c>
      <c r="Z1233" s="1">
        <v>2019</v>
      </c>
      <c r="AA1233" s="2"/>
      <c r="AB1233" s="2"/>
      <c r="AC1233" s="2">
        <v>583412.57000000007</v>
      </c>
      <c r="AG1233" s="1" t="s">
        <v>56</v>
      </c>
      <c r="AI1233" s="2">
        <v>583412.57000000007</v>
      </c>
      <c r="AL1233" s="1" t="s">
        <v>4319</v>
      </c>
    </row>
    <row r="1234" spans="1:38" ht="12.6" customHeight="1" x14ac:dyDescent="0.2">
      <c r="A1234" s="1" t="s">
        <v>57</v>
      </c>
      <c r="B1234" s="9" t="s">
        <v>39</v>
      </c>
      <c r="C1234" s="1" t="s">
        <v>58</v>
      </c>
      <c r="D1234" s="1" t="s">
        <v>4315</v>
      </c>
      <c r="E1234" s="1" t="s">
        <v>42</v>
      </c>
      <c r="G1234" s="1" t="s">
        <v>4316</v>
      </c>
      <c r="H1234" s="1" t="s">
        <v>61</v>
      </c>
      <c r="I1234" s="1" t="s">
        <v>5098</v>
      </c>
      <c r="J1234" s="1">
        <v>2019</v>
      </c>
      <c r="P1234" s="1" t="s">
        <v>4471</v>
      </c>
      <c r="Q1234" s="1" t="s">
        <v>50</v>
      </c>
      <c r="R1234" s="1" t="s">
        <v>68</v>
      </c>
      <c r="S1234" s="1" t="s">
        <v>425</v>
      </c>
      <c r="T1234" s="1" t="s">
        <v>426</v>
      </c>
      <c r="U1234" s="1">
        <v>1</v>
      </c>
      <c r="V1234" s="1" t="s">
        <v>195</v>
      </c>
      <c r="Y1234" s="10">
        <v>43466</v>
      </c>
      <c r="Z1234" s="1">
        <v>2019</v>
      </c>
      <c r="AA1234" s="2"/>
      <c r="AB1234" s="2"/>
      <c r="AC1234" s="2">
        <v>374169.52</v>
      </c>
      <c r="AG1234" s="1" t="s">
        <v>56</v>
      </c>
      <c r="AI1234" s="2">
        <v>374169.52</v>
      </c>
      <c r="AL1234" s="1" t="s">
        <v>4319</v>
      </c>
    </row>
    <row r="1235" spans="1:38" ht="12.6" customHeight="1" x14ac:dyDescent="0.2">
      <c r="A1235" s="1" t="s">
        <v>57</v>
      </c>
      <c r="B1235" s="9" t="s">
        <v>39</v>
      </c>
      <c r="C1235" s="1" t="s">
        <v>58</v>
      </c>
      <c r="D1235" s="1" t="s">
        <v>4315</v>
      </c>
      <c r="E1235" s="1" t="s">
        <v>42</v>
      </c>
      <c r="G1235" s="1" t="s">
        <v>4316</v>
      </c>
      <c r="H1235" s="1" t="s">
        <v>61</v>
      </c>
      <c r="I1235" s="1" t="s">
        <v>5099</v>
      </c>
      <c r="J1235" s="1">
        <v>2019</v>
      </c>
      <c r="P1235" s="1" t="s">
        <v>4471</v>
      </c>
      <c r="Q1235" s="1" t="s">
        <v>50</v>
      </c>
      <c r="R1235" s="1" t="s">
        <v>68</v>
      </c>
      <c r="S1235" s="1" t="s">
        <v>425</v>
      </c>
      <c r="T1235" s="1" t="s">
        <v>426</v>
      </c>
      <c r="U1235" s="1">
        <v>1</v>
      </c>
      <c r="V1235" s="1" t="s">
        <v>195</v>
      </c>
      <c r="Y1235" s="10">
        <v>43466</v>
      </c>
      <c r="Z1235" s="1">
        <v>2019</v>
      </c>
      <c r="AA1235" s="2"/>
      <c r="AB1235" s="2"/>
      <c r="AC1235" s="2">
        <v>141698.82</v>
      </c>
      <c r="AG1235" s="1" t="s">
        <v>56</v>
      </c>
      <c r="AI1235" s="2">
        <v>141698.82</v>
      </c>
      <c r="AL1235" s="1" t="s">
        <v>4319</v>
      </c>
    </row>
    <row r="1236" spans="1:38" ht="12.6" customHeight="1" x14ac:dyDescent="0.2">
      <c r="A1236" s="1" t="s">
        <v>57</v>
      </c>
      <c r="B1236" s="9" t="s">
        <v>39</v>
      </c>
      <c r="C1236" s="1" t="s">
        <v>58</v>
      </c>
      <c r="D1236" s="1" t="s">
        <v>4315</v>
      </c>
      <c r="E1236" s="1" t="s">
        <v>42</v>
      </c>
      <c r="G1236" s="1" t="s">
        <v>4316</v>
      </c>
      <c r="H1236" s="1" t="s">
        <v>61</v>
      </c>
      <c r="I1236" s="1" t="s">
        <v>5100</v>
      </c>
      <c r="J1236" s="1">
        <v>2019</v>
      </c>
      <c r="P1236" s="1" t="s">
        <v>4471</v>
      </c>
      <c r="Q1236" s="1" t="s">
        <v>50</v>
      </c>
      <c r="R1236" s="1" t="s">
        <v>68</v>
      </c>
      <c r="S1236" s="1" t="s">
        <v>425</v>
      </c>
      <c r="T1236" s="1" t="s">
        <v>426</v>
      </c>
      <c r="U1236" s="1">
        <v>1</v>
      </c>
      <c r="V1236" s="1" t="s">
        <v>195</v>
      </c>
      <c r="Y1236" s="10">
        <v>43466</v>
      </c>
      <c r="Z1236" s="1">
        <v>2019</v>
      </c>
      <c r="AA1236" s="2"/>
      <c r="AB1236" s="2"/>
      <c r="AC1236" s="2">
        <v>484258.33000000007</v>
      </c>
      <c r="AG1236" s="1" t="s">
        <v>56</v>
      </c>
      <c r="AI1236" s="2">
        <v>484258.33000000007</v>
      </c>
      <c r="AL1236" s="1" t="s">
        <v>4319</v>
      </c>
    </row>
    <row r="1237" spans="1:38" ht="12.6" customHeight="1" x14ac:dyDescent="0.2">
      <c r="A1237" s="1" t="s">
        <v>57</v>
      </c>
      <c r="B1237" s="9" t="s">
        <v>39</v>
      </c>
      <c r="C1237" s="1" t="s">
        <v>58</v>
      </c>
      <c r="D1237" s="1" t="s">
        <v>4315</v>
      </c>
      <c r="E1237" s="1" t="s">
        <v>42</v>
      </c>
      <c r="G1237" s="1" t="s">
        <v>4316</v>
      </c>
      <c r="H1237" s="1" t="s">
        <v>61</v>
      </c>
      <c r="I1237" s="1" t="s">
        <v>5101</v>
      </c>
      <c r="J1237" s="1">
        <v>2021</v>
      </c>
      <c r="P1237" s="1" t="s">
        <v>4471</v>
      </c>
      <c r="Q1237" s="1" t="s">
        <v>50</v>
      </c>
      <c r="R1237" s="1" t="s">
        <v>68</v>
      </c>
      <c r="S1237" s="1" t="s">
        <v>425</v>
      </c>
      <c r="T1237" s="1" t="s">
        <v>426</v>
      </c>
      <c r="U1237" s="1">
        <v>1</v>
      </c>
      <c r="V1237" s="1" t="s">
        <v>195</v>
      </c>
      <c r="Y1237" s="10">
        <v>44317</v>
      </c>
      <c r="Z1237" s="1">
        <v>2021</v>
      </c>
      <c r="AA1237" s="2"/>
      <c r="AB1237" s="2"/>
      <c r="AC1237" s="2">
        <v>707416.6</v>
      </c>
      <c r="AG1237" s="1" t="s">
        <v>56</v>
      </c>
      <c r="AI1237" s="2">
        <v>707416.6</v>
      </c>
      <c r="AL1237" s="1" t="s">
        <v>4319</v>
      </c>
    </row>
    <row r="1238" spans="1:38" ht="12.6" customHeight="1" x14ac:dyDescent="0.2">
      <c r="A1238" s="1" t="s">
        <v>57</v>
      </c>
      <c r="B1238" s="9" t="s">
        <v>39</v>
      </c>
      <c r="C1238" s="1" t="s">
        <v>58</v>
      </c>
      <c r="D1238" s="1" t="s">
        <v>4315</v>
      </c>
      <c r="E1238" s="1" t="s">
        <v>42</v>
      </c>
      <c r="G1238" s="1" t="s">
        <v>4316</v>
      </c>
      <c r="H1238" s="1" t="s">
        <v>61</v>
      </c>
      <c r="I1238" s="1" t="s">
        <v>5102</v>
      </c>
      <c r="J1238" s="1">
        <v>2019</v>
      </c>
      <c r="P1238" s="1" t="s">
        <v>4471</v>
      </c>
      <c r="Q1238" s="1" t="s">
        <v>50</v>
      </c>
      <c r="R1238" s="1" t="s">
        <v>68</v>
      </c>
      <c r="S1238" s="1" t="s">
        <v>425</v>
      </c>
      <c r="T1238" s="1" t="s">
        <v>426</v>
      </c>
      <c r="U1238" s="1">
        <v>1</v>
      </c>
      <c r="V1238" s="1" t="s">
        <v>195</v>
      </c>
      <c r="Y1238" s="10">
        <v>43800</v>
      </c>
      <c r="Z1238" s="1">
        <v>2019</v>
      </c>
      <c r="AA1238" s="2"/>
      <c r="AB1238" s="2"/>
      <c r="AC1238" s="2">
        <v>761693.16999999993</v>
      </c>
      <c r="AG1238" s="1" t="s">
        <v>56</v>
      </c>
      <c r="AI1238" s="2">
        <v>761693.16999999993</v>
      </c>
      <c r="AL1238" s="1" t="s">
        <v>4319</v>
      </c>
    </row>
    <row r="1239" spans="1:38" ht="12.6" customHeight="1" x14ac:dyDescent="0.2">
      <c r="A1239" s="1" t="s">
        <v>57</v>
      </c>
      <c r="B1239" s="9" t="s">
        <v>39</v>
      </c>
      <c r="C1239" s="1" t="s">
        <v>58</v>
      </c>
      <c r="D1239" s="1" t="s">
        <v>4315</v>
      </c>
      <c r="E1239" s="1" t="s">
        <v>42</v>
      </c>
      <c r="G1239" s="1" t="s">
        <v>4316</v>
      </c>
      <c r="H1239" s="1" t="s">
        <v>61</v>
      </c>
      <c r="I1239" s="1" t="s">
        <v>5103</v>
      </c>
      <c r="J1239" s="1">
        <v>2019</v>
      </c>
      <c r="P1239" s="1" t="s">
        <v>4471</v>
      </c>
      <c r="Q1239" s="1" t="s">
        <v>50</v>
      </c>
      <c r="R1239" s="1" t="s">
        <v>68</v>
      </c>
      <c r="S1239" s="1" t="s">
        <v>425</v>
      </c>
      <c r="T1239" s="1" t="s">
        <v>426</v>
      </c>
      <c r="U1239" s="1">
        <v>1</v>
      </c>
      <c r="V1239" s="1" t="s">
        <v>195</v>
      </c>
      <c r="Y1239" s="10">
        <v>43800</v>
      </c>
      <c r="Z1239" s="1">
        <v>2019</v>
      </c>
      <c r="AA1239" s="2"/>
      <c r="AB1239" s="2"/>
      <c r="AC1239" s="2">
        <v>599196.84000000008</v>
      </c>
      <c r="AG1239" s="1" t="s">
        <v>56</v>
      </c>
      <c r="AI1239" s="2">
        <v>599196.84000000008</v>
      </c>
      <c r="AL1239" s="1" t="s">
        <v>4319</v>
      </c>
    </row>
    <row r="1240" spans="1:38" ht="12.6" customHeight="1" x14ac:dyDescent="0.2">
      <c r="A1240" s="1" t="s">
        <v>57</v>
      </c>
      <c r="B1240" s="9" t="s">
        <v>39</v>
      </c>
      <c r="C1240" s="1" t="s">
        <v>58</v>
      </c>
      <c r="D1240" s="1" t="s">
        <v>4315</v>
      </c>
      <c r="E1240" s="1" t="s">
        <v>42</v>
      </c>
      <c r="G1240" s="1" t="s">
        <v>4316</v>
      </c>
      <c r="H1240" s="1" t="s">
        <v>61</v>
      </c>
      <c r="I1240" s="1" t="s">
        <v>5104</v>
      </c>
      <c r="J1240" s="1">
        <v>2019</v>
      </c>
      <c r="P1240" s="1" t="s">
        <v>4471</v>
      </c>
      <c r="Q1240" s="1" t="s">
        <v>50</v>
      </c>
      <c r="R1240" s="1" t="s">
        <v>68</v>
      </c>
      <c r="S1240" s="1" t="s">
        <v>425</v>
      </c>
      <c r="T1240" s="1" t="s">
        <v>426</v>
      </c>
      <c r="U1240" s="1">
        <v>1</v>
      </c>
      <c r="V1240" s="1" t="s">
        <v>195</v>
      </c>
      <c r="Y1240" s="10">
        <v>43466</v>
      </c>
      <c r="Z1240" s="1">
        <v>2019</v>
      </c>
      <c r="AA1240" s="2"/>
      <c r="AB1240" s="2"/>
      <c r="AC1240" s="2">
        <v>629315.83999999997</v>
      </c>
      <c r="AG1240" s="1" t="s">
        <v>56</v>
      </c>
      <c r="AI1240" s="2">
        <v>629315.83999999997</v>
      </c>
      <c r="AL1240" s="1" t="s">
        <v>4319</v>
      </c>
    </row>
    <row r="1241" spans="1:38" ht="12.6" customHeight="1" x14ac:dyDescent="0.2">
      <c r="A1241" s="1" t="s">
        <v>57</v>
      </c>
      <c r="B1241" s="9" t="s">
        <v>39</v>
      </c>
      <c r="C1241" s="1" t="s">
        <v>58</v>
      </c>
      <c r="D1241" s="1" t="s">
        <v>4315</v>
      </c>
      <c r="E1241" s="1" t="s">
        <v>42</v>
      </c>
      <c r="G1241" s="1" t="s">
        <v>4316</v>
      </c>
      <c r="H1241" s="1" t="s">
        <v>61</v>
      </c>
      <c r="I1241" s="1" t="s">
        <v>5105</v>
      </c>
      <c r="J1241" s="1">
        <v>2019</v>
      </c>
      <c r="P1241" s="1" t="s">
        <v>4471</v>
      </c>
      <c r="Q1241" s="1" t="s">
        <v>50</v>
      </c>
      <c r="R1241" s="1" t="s">
        <v>68</v>
      </c>
      <c r="S1241" s="1" t="s">
        <v>425</v>
      </c>
      <c r="T1241" s="1" t="s">
        <v>426</v>
      </c>
      <c r="U1241" s="1">
        <v>1</v>
      </c>
      <c r="V1241" s="1" t="s">
        <v>195</v>
      </c>
      <c r="Y1241" s="10">
        <v>43466</v>
      </c>
      <c r="Z1241" s="1">
        <v>2019</v>
      </c>
      <c r="AA1241" s="2"/>
      <c r="AB1241" s="2"/>
      <c r="AC1241" s="2">
        <v>539089.87999999989</v>
      </c>
      <c r="AG1241" s="1" t="s">
        <v>56</v>
      </c>
      <c r="AI1241" s="2">
        <v>539089.87999999989</v>
      </c>
      <c r="AL1241" s="1" t="s">
        <v>4319</v>
      </c>
    </row>
    <row r="1242" spans="1:38" ht="12.6" customHeight="1" x14ac:dyDescent="0.2">
      <c r="A1242" s="1" t="s">
        <v>57</v>
      </c>
      <c r="B1242" s="9" t="s">
        <v>39</v>
      </c>
      <c r="C1242" s="1" t="s">
        <v>58</v>
      </c>
      <c r="D1242" s="1" t="s">
        <v>4315</v>
      </c>
      <c r="E1242" s="1" t="s">
        <v>42</v>
      </c>
      <c r="G1242" s="1" t="s">
        <v>4316</v>
      </c>
      <c r="H1242" s="1" t="s">
        <v>61</v>
      </c>
      <c r="I1242" s="1" t="s">
        <v>5106</v>
      </c>
      <c r="J1242" s="1">
        <v>2019</v>
      </c>
      <c r="P1242" s="1" t="s">
        <v>4471</v>
      </c>
      <c r="Q1242" s="1" t="s">
        <v>50</v>
      </c>
      <c r="R1242" s="1" t="s">
        <v>68</v>
      </c>
      <c r="S1242" s="1" t="s">
        <v>425</v>
      </c>
      <c r="T1242" s="1" t="s">
        <v>426</v>
      </c>
      <c r="U1242" s="1">
        <v>1</v>
      </c>
      <c r="V1242" s="1" t="s">
        <v>195</v>
      </c>
      <c r="Y1242" s="10">
        <v>43466</v>
      </c>
      <c r="Z1242" s="1">
        <v>2019</v>
      </c>
      <c r="AA1242" s="2"/>
      <c r="AB1242" s="2"/>
      <c r="AC1242" s="2">
        <v>657624.27000000014</v>
      </c>
      <c r="AG1242" s="1" t="s">
        <v>56</v>
      </c>
      <c r="AI1242" s="2">
        <v>657624.27000000014</v>
      </c>
      <c r="AL1242" s="1" t="s">
        <v>4319</v>
      </c>
    </row>
    <row r="1243" spans="1:38" ht="12.6" customHeight="1" x14ac:dyDescent="0.2">
      <c r="A1243" s="1" t="s">
        <v>57</v>
      </c>
      <c r="B1243" s="9" t="s">
        <v>39</v>
      </c>
      <c r="C1243" s="1" t="s">
        <v>58</v>
      </c>
      <c r="D1243" s="1" t="s">
        <v>4315</v>
      </c>
      <c r="E1243" s="1" t="s">
        <v>42</v>
      </c>
      <c r="G1243" s="1" t="s">
        <v>4340</v>
      </c>
      <c r="H1243" s="1" t="s">
        <v>61</v>
      </c>
      <c r="I1243" s="1" t="s">
        <v>5107</v>
      </c>
      <c r="J1243" s="1">
        <v>2020</v>
      </c>
      <c r="P1243" s="1" t="s">
        <v>4471</v>
      </c>
      <c r="Q1243" s="1" t="s">
        <v>50</v>
      </c>
      <c r="R1243" s="1" t="s">
        <v>68</v>
      </c>
      <c r="S1243" s="1" t="s">
        <v>425</v>
      </c>
      <c r="T1243" s="1" t="s">
        <v>426</v>
      </c>
      <c r="U1243" s="1">
        <v>1</v>
      </c>
      <c r="V1243" s="1" t="s">
        <v>195</v>
      </c>
      <c r="Y1243" s="10">
        <v>44008</v>
      </c>
      <c r="Z1243" s="1">
        <v>2020</v>
      </c>
      <c r="AA1243" s="2"/>
      <c r="AB1243" s="2"/>
      <c r="AC1243" s="2">
        <v>21286.15</v>
      </c>
      <c r="AG1243" s="1" t="s">
        <v>56</v>
      </c>
      <c r="AI1243" s="2">
        <v>21286.15</v>
      </c>
    </row>
    <row r="1244" spans="1:38" ht="12.6" customHeight="1" x14ac:dyDescent="0.2">
      <c r="A1244" s="1" t="s">
        <v>57</v>
      </c>
      <c r="B1244" s="9" t="s">
        <v>39</v>
      </c>
      <c r="C1244" s="1" t="s">
        <v>58</v>
      </c>
      <c r="D1244" s="1" t="s">
        <v>4315</v>
      </c>
      <c r="E1244" s="1" t="s">
        <v>42</v>
      </c>
      <c r="G1244" s="1" t="s">
        <v>4316</v>
      </c>
      <c r="H1244" s="1" t="s">
        <v>61</v>
      </c>
      <c r="I1244" s="1" t="s">
        <v>5108</v>
      </c>
      <c r="J1244" s="1">
        <v>2018</v>
      </c>
      <c r="P1244" s="1" t="s">
        <v>4474</v>
      </c>
      <c r="Q1244" s="1" t="s">
        <v>50</v>
      </c>
      <c r="R1244" s="1" t="s">
        <v>68</v>
      </c>
      <c r="S1244" s="1" t="s">
        <v>430</v>
      </c>
      <c r="T1244" s="1" t="s">
        <v>431</v>
      </c>
      <c r="U1244" s="1">
        <v>1</v>
      </c>
      <c r="V1244" s="1" t="s">
        <v>71</v>
      </c>
      <c r="Y1244" s="10">
        <v>43461</v>
      </c>
      <c r="Z1244" s="1">
        <v>2018</v>
      </c>
      <c r="AA1244" s="2"/>
      <c r="AB1244" s="2"/>
      <c r="AC1244" s="2">
        <v>414630.75000000006</v>
      </c>
      <c r="AG1244" s="1" t="s">
        <v>56</v>
      </c>
      <c r="AI1244" s="2">
        <v>414630.75000000006</v>
      </c>
      <c r="AL1244" s="1" t="s">
        <v>4319</v>
      </c>
    </row>
    <row r="1245" spans="1:38" ht="12.6" customHeight="1" x14ac:dyDescent="0.2">
      <c r="A1245" s="1" t="s">
        <v>57</v>
      </c>
      <c r="B1245" s="9" t="s">
        <v>39</v>
      </c>
      <c r="C1245" s="1" t="s">
        <v>58</v>
      </c>
      <c r="D1245" s="1" t="s">
        <v>4315</v>
      </c>
      <c r="E1245" s="1" t="s">
        <v>42</v>
      </c>
      <c r="G1245" s="1" t="s">
        <v>4316</v>
      </c>
      <c r="H1245" s="1" t="s">
        <v>61</v>
      </c>
      <c r="I1245" s="1" t="s">
        <v>5109</v>
      </c>
      <c r="J1245" s="1">
        <v>2021</v>
      </c>
      <c r="P1245" s="1" t="s">
        <v>4979</v>
      </c>
      <c r="Q1245" s="1" t="s">
        <v>50</v>
      </c>
      <c r="R1245" s="1" t="s">
        <v>68</v>
      </c>
      <c r="S1245" s="1" t="s">
        <v>189</v>
      </c>
      <c r="T1245" s="1" t="s">
        <v>190</v>
      </c>
      <c r="U1245" s="1">
        <v>1</v>
      </c>
      <c r="V1245" s="1" t="s">
        <v>71</v>
      </c>
      <c r="Y1245" s="10">
        <v>44454</v>
      </c>
      <c r="Z1245" s="1">
        <v>2021</v>
      </c>
      <c r="AA1245" s="2"/>
      <c r="AB1245" s="2"/>
      <c r="AC1245" s="2">
        <v>334040.56000000006</v>
      </c>
      <c r="AG1245" s="1" t="s">
        <v>56</v>
      </c>
      <c r="AI1245" s="2">
        <v>334040.56000000006</v>
      </c>
      <c r="AL1245" s="1" t="s">
        <v>4319</v>
      </c>
    </row>
    <row r="1246" spans="1:38" ht="12.6" customHeight="1" x14ac:dyDescent="0.2">
      <c r="A1246" s="1" t="s">
        <v>57</v>
      </c>
      <c r="B1246" s="9" t="s">
        <v>39</v>
      </c>
      <c r="C1246" s="1" t="s">
        <v>58</v>
      </c>
      <c r="D1246" s="1" t="s">
        <v>4315</v>
      </c>
      <c r="E1246" s="1" t="s">
        <v>42</v>
      </c>
      <c r="G1246" s="1" t="s">
        <v>4316</v>
      </c>
      <c r="H1246" s="1" t="s">
        <v>61</v>
      </c>
      <c r="I1246" s="1" t="s">
        <v>5110</v>
      </c>
      <c r="J1246" s="1">
        <v>2018</v>
      </c>
      <c r="P1246" s="1" t="s">
        <v>4474</v>
      </c>
      <c r="Q1246" s="1" t="s">
        <v>50</v>
      </c>
      <c r="R1246" s="1" t="s">
        <v>68</v>
      </c>
      <c r="S1246" s="1" t="s">
        <v>430</v>
      </c>
      <c r="T1246" s="1" t="s">
        <v>431</v>
      </c>
      <c r="U1246" s="1">
        <v>1</v>
      </c>
      <c r="V1246" s="1" t="s">
        <v>71</v>
      </c>
      <c r="Y1246" s="10">
        <v>43461</v>
      </c>
      <c r="Z1246" s="1">
        <v>2018</v>
      </c>
      <c r="AA1246" s="2"/>
      <c r="AB1246" s="2"/>
      <c r="AC1246" s="2">
        <v>564056.17000000004</v>
      </c>
      <c r="AG1246" s="1" t="s">
        <v>56</v>
      </c>
      <c r="AI1246" s="2">
        <v>564056.17000000004</v>
      </c>
      <c r="AL1246" s="1" t="s">
        <v>4319</v>
      </c>
    </row>
    <row r="1247" spans="1:38" ht="12.6" customHeight="1" x14ac:dyDescent="0.2">
      <c r="A1247" s="1" t="s">
        <v>57</v>
      </c>
      <c r="B1247" s="9" t="s">
        <v>39</v>
      </c>
      <c r="C1247" s="1" t="s">
        <v>58</v>
      </c>
      <c r="D1247" s="1" t="s">
        <v>4315</v>
      </c>
      <c r="E1247" s="1" t="s">
        <v>42</v>
      </c>
      <c r="G1247" s="1" t="s">
        <v>4316</v>
      </c>
      <c r="H1247" s="1" t="s">
        <v>61</v>
      </c>
      <c r="I1247" s="1" t="s">
        <v>5111</v>
      </c>
      <c r="J1247" s="1">
        <v>2018</v>
      </c>
      <c r="P1247" s="1" t="s">
        <v>4979</v>
      </c>
      <c r="Q1247" s="1" t="s">
        <v>50</v>
      </c>
      <c r="R1247" s="1" t="s">
        <v>68</v>
      </c>
      <c r="S1247" s="1" t="s">
        <v>189</v>
      </c>
      <c r="T1247" s="1" t="s">
        <v>190</v>
      </c>
      <c r="U1247" s="1">
        <v>1</v>
      </c>
      <c r="V1247" s="1" t="s">
        <v>71</v>
      </c>
      <c r="Y1247" s="10">
        <v>43461</v>
      </c>
      <c r="Z1247" s="1">
        <v>2018</v>
      </c>
      <c r="AA1247" s="2"/>
      <c r="AB1247" s="2"/>
      <c r="AC1247" s="2">
        <v>434527.13</v>
      </c>
      <c r="AG1247" s="1" t="s">
        <v>56</v>
      </c>
      <c r="AI1247" s="2">
        <v>434527.13</v>
      </c>
      <c r="AL1247" s="1" t="s">
        <v>4319</v>
      </c>
    </row>
    <row r="1248" spans="1:38" ht="12.6" customHeight="1" x14ac:dyDescent="0.2">
      <c r="A1248" s="1" t="s">
        <v>57</v>
      </c>
      <c r="B1248" s="9" t="s">
        <v>39</v>
      </c>
      <c r="C1248" s="1" t="s">
        <v>58</v>
      </c>
      <c r="D1248" s="1" t="s">
        <v>4315</v>
      </c>
      <c r="E1248" s="1" t="s">
        <v>42</v>
      </c>
      <c r="G1248" s="1" t="s">
        <v>4316</v>
      </c>
      <c r="H1248" s="1" t="s">
        <v>61</v>
      </c>
      <c r="I1248" s="1" t="s">
        <v>5112</v>
      </c>
      <c r="J1248" s="1">
        <v>2018</v>
      </c>
      <c r="P1248" s="1" t="s">
        <v>4474</v>
      </c>
      <c r="Q1248" s="1" t="s">
        <v>50</v>
      </c>
      <c r="R1248" s="1" t="s">
        <v>68</v>
      </c>
      <c r="S1248" s="1" t="s">
        <v>430</v>
      </c>
      <c r="T1248" s="1" t="s">
        <v>431</v>
      </c>
      <c r="U1248" s="1">
        <v>1</v>
      </c>
      <c r="V1248" s="1" t="s">
        <v>71</v>
      </c>
      <c r="Y1248" s="10">
        <v>43461</v>
      </c>
      <c r="Z1248" s="1">
        <v>2018</v>
      </c>
      <c r="AA1248" s="2"/>
      <c r="AB1248" s="2"/>
      <c r="AC1248" s="2">
        <v>764831.4</v>
      </c>
      <c r="AG1248" s="1" t="s">
        <v>56</v>
      </c>
      <c r="AI1248" s="2">
        <v>764831.4</v>
      </c>
      <c r="AL1248" s="1" t="s">
        <v>4319</v>
      </c>
    </row>
    <row r="1249" spans="1:38" ht="12.6" customHeight="1" x14ac:dyDescent="0.2">
      <c r="A1249" s="1" t="s">
        <v>57</v>
      </c>
      <c r="B1249" s="9" t="s">
        <v>39</v>
      </c>
      <c r="C1249" s="1" t="s">
        <v>58</v>
      </c>
      <c r="D1249" s="1" t="s">
        <v>4315</v>
      </c>
      <c r="E1249" s="1" t="s">
        <v>42</v>
      </c>
      <c r="G1249" s="1" t="s">
        <v>4316</v>
      </c>
      <c r="H1249" s="1" t="s">
        <v>61</v>
      </c>
      <c r="I1249" s="1" t="s">
        <v>5113</v>
      </c>
      <c r="J1249" s="1">
        <v>2018</v>
      </c>
      <c r="P1249" s="1" t="s">
        <v>4474</v>
      </c>
      <c r="Q1249" s="1" t="s">
        <v>264</v>
      </c>
      <c r="R1249" s="1" t="s">
        <v>265</v>
      </c>
      <c r="S1249" s="1" t="s">
        <v>935</v>
      </c>
      <c r="T1249" s="1" t="s">
        <v>936</v>
      </c>
      <c r="U1249" s="1">
        <v>1</v>
      </c>
      <c r="V1249" s="1" t="s">
        <v>308</v>
      </c>
      <c r="Y1249" s="10">
        <v>43465</v>
      </c>
      <c r="Z1249" s="1">
        <v>2018</v>
      </c>
      <c r="AA1249" s="2"/>
      <c r="AB1249" s="2"/>
      <c r="AC1249" s="2">
        <v>236100.61</v>
      </c>
      <c r="AG1249" s="1" t="s">
        <v>56</v>
      </c>
      <c r="AI1249" s="2">
        <v>236100.61</v>
      </c>
      <c r="AL1249" s="1" t="s">
        <v>4319</v>
      </c>
    </row>
    <row r="1250" spans="1:38" ht="12.6" customHeight="1" x14ac:dyDescent="0.2">
      <c r="A1250" s="1" t="s">
        <v>57</v>
      </c>
      <c r="B1250" s="9" t="s">
        <v>39</v>
      </c>
      <c r="C1250" s="1" t="s">
        <v>58</v>
      </c>
      <c r="D1250" s="1" t="s">
        <v>4315</v>
      </c>
      <c r="E1250" s="1" t="s">
        <v>42</v>
      </c>
      <c r="G1250" s="1" t="s">
        <v>4316</v>
      </c>
      <c r="H1250" s="1" t="s">
        <v>61</v>
      </c>
      <c r="I1250" s="1" t="s">
        <v>5114</v>
      </c>
      <c r="J1250" s="1">
        <v>2018</v>
      </c>
      <c r="P1250" s="1" t="s">
        <v>4474</v>
      </c>
      <c r="Q1250" s="1" t="s">
        <v>264</v>
      </c>
      <c r="R1250" s="1" t="s">
        <v>265</v>
      </c>
      <c r="S1250" s="1" t="s">
        <v>935</v>
      </c>
      <c r="T1250" s="1" t="s">
        <v>936</v>
      </c>
      <c r="U1250" s="1">
        <v>1</v>
      </c>
      <c r="V1250" s="1" t="s">
        <v>308</v>
      </c>
      <c r="Y1250" s="10">
        <v>43461</v>
      </c>
      <c r="Z1250" s="1">
        <v>2018</v>
      </c>
      <c r="AA1250" s="2"/>
      <c r="AB1250" s="2"/>
      <c r="AC1250" s="2">
        <v>367714.75</v>
      </c>
      <c r="AG1250" s="1" t="s">
        <v>56</v>
      </c>
      <c r="AI1250" s="2">
        <v>367714.75</v>
      </c>
      <c r="AL1250" s="1" t="s">
        <v>4319</v>
      </c>
    </row>
    <row r="1251" spans="1:38" ht="12.6" customHeight="1" x14ac:dyDescent="0.2">
      <c r="A1251" s="1" t="s">
        <v>57</v>
      </c>
      <c r="B1251" s="9" t="s">
        <v>39</v>
      </c>
      <c r="C1251" s="1" t="s">
        <v>58</v>
      </c>
      <c r="D1251" s="1" t="s">
        <v>4315</v>
      </c>
      <c r="E1251" s="1" t="s">
        <v>42</v>
      </c>
      <c r="G1251" s="1" t="s">
        <v>4316</v>
      </c>
      <c r="H1251" s="1" t="s">
        <v>61</v>
      </c>
      <c r="I1251" s="1" t="s">
        <v>5115</v>
      </c>
      <c r="J1251" s="1">
        <v>2018</v>
      </c>
      <c r="P1251" s="1" t="s">
        <v>4474</v>
      </c>
      <c r="Q1251" s="1" t="s">
        <v>264</v>
      </c>
      <c r="R1251" s="1" t="s">
        <v>265</v>
      </c>
      <c r="S1251" s="1" t="s">
        <v>935</v>
      </c>
      <c r="T1251" s="1" t="s">
        <v>936</v>
      </c>
      <c r="U1251" s="1">
        <v>1</v>
      </c>
      <c r="V1251" s="1" t="s">
        <v>308</v>
      </c>
      <c r="Y1251" s="10">
        <v>43461</v>
      </c>
      <c r="Z1251" s="1">
        <v>2018</v>
      </c>
      <c r="AA1251" s="2"/>
      <c r="AB1251" s="2"/>
      <c r="AC1251" s="2">
        <v>615266.37</v>
      </c>
      <c r="AG1251" s="1" t="s">
        <v>56</v>
      </c>
      <c r="AI1251" s="2">
        <v>615266.37</v>
      </c>
      <c r="AL1251" s="1" t="s">
        <v>4319</v>
      </c>
    </row>
    <row r="1252" spans="1:38" ht="12.6" customHeight="1" x14ac:dyDescent="0.2">
      <c r="A1252" s="1" t="s">
        <v>57</v>
      </c>
      <c r="B1252" s="9" t="s">
        <v>39</v>
      </c>
      <c r="C1252" s="1" t="s">
        <v>58</v>
      </c>
      <c r="D1252" s="1" t="s">
        <v>4315</v>
      </c>
      <c r="E1252" s="1" t="s">
        <v>42</v>
      </c>
      <c r="G1252" s="1" t="s">
        <v>4316</v>
      </c>
      <c r="H1252" s="1" t="s">
        <v>61</v>
      </c>
      <c r="I1252" s="1" t="s">
        <v>5116</v>
      </c>
      <c r="J1252" s="1">
        <v>2018</v>
      </c>
      <c r="P1252" s="1" t="s">
        <v>4474</v>
      </c>
      <c r="Q1252" s="1" t="s">
        <v>264</v>
      </c>
      <c r="R1252" s="1" t="s">
        <v>265</v>
      </c>
      <c r="S1252" s="1" t="s">
        <v>935</v>
      </c>
      <c r="T1252" s="1" t="s">
        <v>936</v>
      </c>
      <c r="U1252" s="1">
        <v>1</v>
      </c>
      <c r="V1252" s="1" t="s">
        <v>308</v>
      </c>
      <c r="Y1252" s="10">
        <v>43461</v>
      </c>
      <c r="Z1252" s="1">
        <v>2018</v>
      </c>
      <c r="AA1252" s="2"/>
      <c r="AB1252" s="2"/>
      <c r="AC1252" s="2">
        <v>331093.86</v>
      </c>
      <c r="AG1252" s="1" t="s">
        <v>56</v>
      </c>
      <c r="AI1252" s="2">
        <v>331093.86</v>
      </c>
      <c r="AL1252" s="1" t="s">
        <v>4319</v>
      </c>
    </row>
    <row r="1253" spans="1:38" ht="12.6" customHeight="1" x14ac:dyDescent="0.2">
      <c r="A1253" s="1" t="s">
        <v>57</v>
      </c>
      <c r="B1253" s="9" t="s">
        <v>39</v>
      </c>
      <c r="C1253" s="1" t="s">
        <v>58</v>
      </c>
      <c r="D1253" s="1" t="s">
        <v>4315</v>
      </c>
      <c r="E1253" s="1" t="s">
        <v>42</v>
      </c>
      <c r="G1253" s="1" t="s">
        <v>4316</v>
      </c>
      <c r="H1253" s="1" t="s">
        <v>61</v>
      </c>
      <c r="I1253" s="1" t="s">
        <v>5117</v>
      </c>
      <c r="J1253" s="1">
        <v>2018</v>
      </c>
      <c r="P1253" s="1" t="s">
        <v>4474</v>
      </c>
      <c r="Q1253" s="1" t="s">
        <v>264</v>
      </c>
      <c r="R1253" s="1" t="s">
        <v>265</v>
      </c>
      <c r="S1253" s="1" t="s">
        <v>935</v>
      </c>
      <c r="T1253" s="1" t="s">
        <v>936</v>
      </c>
      <c r="U1253" s="1">
        <v>1</v>
      </c>
      <c r="V1253" s="1" t="s">
        <v>308</v>
      </c>
      <c r="Y1253" s="10">
        <v>43461</v>
      </c>
      <c r="Z1253" s="1">
        <v>2018</v>
      </c>
      <c r="AA1253" s="2"/>
      <c r="AB1253" s="2"/>
      <c r="AC1253" s="2">
        <v>348148.8600000001</v>
      </c>
      <c r="AG1253" s="1" t="s">
        <v>56</v>
      </c>
      <c r="AI1253" s="2">
        <v>348148.8600000001</v>
      </c>
      <c r="AL1253" s="1" t="s">
        <v>4319</v>
      </c>
    </row>
    <row r="1254" spans="1:38" ht="12.6" customHeight="1" x14ac:dyDescent="0.2">
      <c r="A1254" s="1" t="s">
        <v>57</v>
      </c>
      <c r="B1254" s="9" t="s">
        <v>39</v>
      </c>
      <c r="C1254" s="1" t="s">
        <v>58</v>
      </c>
      <c r="D1254" s="1" t="s">
        <v>4315</v>
      </c>
      <c r="E1254" s="1" t="s">
        <v>42</v>
      </c>
      <c r="G1254" s="1" t="s">
        <v>4316</v>
      </c>
      <c r="H1254" s="1" t="s">
        <v>61</v>
      </c>
      <c r="I1254" s="1" t="s">
        <v>5118</v>
      </c>
      <c r="J1254" s="1">
        <v>2018</v>
      </c>
      <c r="P1254" s="1" t="s">
        <v>4474</v>
      </c>
      <c r="Q1254" s="1" t="s">
        <v>264</v>
      </c>
      <c r="R1254" s="1" t="s">
        <v>265</v>
      </c>
      <c r="S1254" s="1" t="s">
        <v>935</v>
      </c>
      <c r="T1254" s="1" t="s">
        <v>936</v>
      </c>
      <c r="U1254" s="1">
        <v>1</v>
      </c>
      <c r="V1254" s="1" t="s">
        <v>308</v>
      </c>
      <c r="Y1254" s="10">
        <v>43465</v>
      </c>
      <c r="Z1254" s="1">
        <v>2018</v>
      </c>
      <c r="AA1254" s="2"/>
      <c r="AB1254" s="2"/>
      <c r="AC1254" s="2">
        <v>510279.38</v>
      </c>
      <c r="AG1254" s="1" t="s">
        <v>56</v>
      </c>
      <c r="AI1254" s="2">
        <v>510279.38</v>
      </c>
      <c r="AL1254" s="1" t="s">
        <v>4319</v>
      </c>
    </row>
    <row r="1255" spans="1:38" ht="12.6" customHeight="1" x14ac:dyDescent="0.2">
      <c r="A1255" s="1" t="s">
        <v>57</v>
      </c>
      <c r="B1255" s="9" t="s">
        <v>39</v>
      </c>
      <c r="C1255" s="1" t="s">
        <v>58</v>
      </c>
      <c r="D1255" s="1" t="s">
        <v>4315</v>
      </c>
      <c r="E1255" s="1" t="s">
        <v>42</v>
      </c>
      <c r="G1255" s="1" t="s">
        <v>4316</v>
      </c>
      <c r="H1255" s="1" t="s">
        <v>61</v>
      </c>
      <c r="I1255" s="1" t="s">
        <v>5119</v>
      </c>
      <c r="J1255" s="1">
        <v>2018</v>
      </c>
      <c r="P1255" s="1" t="s">
        <v>4474</v>
      </c>
      <c r="Q1255" s="1" t="s">
        <v>264</v>
      </c>
      <c r="R1255" s="1" t="s">
        <v>265</v>
      </c>
      <c r="S1255" s="1" t="s">
        <v>935</v>
      </c>
      <c r="T1255" s="1" t="s">
        <v>936</v>
      </c>
      <c r="U1255" s="1">
        <v>1</v>
      </c>
      <c r="V1255" s="1" t="s">
        <v>308</v>
      </c>
      <c r="Y1255" s="10">
        <v>43461</v>
      </c>
      <c r="Z1255" s="1">
        <v>2018</v>
      </c>
      <c r="AA1255" s="2"/>
      <c r="AB1255" s="2"/>
      <c r="AC1255" s="2">
        <v>621810.4</v>
      </c>
      <c r="AG1255" s="1" t="s">
        <v>56</v>
      </c>
      <c r="AI1255" s="2">
        <v>621810.4</v>
      </c>
      <c r="AL1255" s="1" t="s">
        <v>4319</v>
      </c>
    </row>
    <row r="1256" spans="1:38" ht="12.6" customHeight="1" x14ac:dyDescent="0.2">
      <c r="A1256" s="1" t="s">
        <v>57</v>
      </c>
      <c r="B1256" s="9" t="s">
        <v>39</v>
      </c>
      <c r="C1256" s="1" t="s">
        <v>58</v>
      </c>
      <c r="D1256" s="1" t="s">
        <v>4315</v>
      </c>
      <c r="E1256" s="1" t="s">
        <v>42</v>
      </c>
      <c r="G1256" s="1" t="s">
        <v>4316</v>
      </c>
      <c r="H1256" s="1" t="s">
        <v>61</v>
      </c>
      <c r="I1256" s="1" t="s">
        <v>5120</v>
      </c>
      <c r="J1256" s="1">
        <v>2018</v>
      </c>
      <c r="P1256" s="1" t="s">
        <v>4474</v>
      </c>
      <c r="Q1256" s="1" t="s">
        <v>264</v>
      </c>
      <c r="R1256" s="1" t="s">
        <v>265</v>
      </c>
      <c r="S1256" s="1" t="s">
        <v>935</v>
      </c>
      <c r="T1256" s="1" t="s">
        <v>936</v>
      </c>
      <c r="U1256" s="1">
        <v>1</v>
      </c>
      <c r="V1256" s="1" t="s">
        <v>308</v>
      </c>
      <c r="Y1256" s="10">
        <v>43461</v>
      </c>
      <c r="Z1256" s="1">
        <v>2018</v>
      </c>
      <c r="AA1256" s="2"/>
      <c r="AB1256" s="2"/>
      <c r="AC1256" s="2">
        <v>536813.6</v>
      </c>
      <c r="AG1256" s="1" t="s">
        <v>56</v>
      </c>
      <c r="AI1256" s="2">
        <v>536813.6</v>
      </c>
      <c r="AL1256" s="1" t="s">
        <v>4319</v>
      </c>
    </row>
    <row r="1257" spans="1:38" ht="12.6" customHeight="1" x14ac:dyDescent="0.2">
      <c r="A1257" s="1" t="s">
        <v>57</v>
      </c>
      <c r="B1257" s="9" t="s">
        <v>39</v>
      </c>
      <c r="C1257" s="1" t="s">
        <v>58</v>
      </c>
      <c r="D1257" s="1" t="s">
        <v>4315</v>
      </c>
      <c r="E1257" s="1" t="s">
        <v>42</v>
      </c>
      <c r="G1257" s="1" t="s">
        <v>4316</v>
      </c>
      <c r="H1257" s="1" t="s">
        <v>61</v>
      </c>
      <c r="I1257" s="1" t="s">
        <v>5121</v>
      </c>
      <c r="J1257" s="1">
        <v>2018</v>
      </c>
      <c r="P1257" s="1" t="s">
        <v>4474</v>
      </c>
      <c r="Q1257" s="1" t="s">
        <v>264</v>
      </c>
      <c r="R1257" s="1" t="s">
        <v>265</v>
      </c>
      <c r="S1257" s="1" t="s">
        <v>935</v>
      </c>
      <c r="T1257" s="1" t="s">
        <v>936</v>
      </c>
      <c r="U1257" s="1">
        <v>1</v>
      </c>
      <c r="V1257" s="1" t="s">
        <v>308</v>
      </c>
      <c r="Y1257" s="10">
        <v>43461</v>
      </c>
      <c r="Z1257" s="1">
        <v>2018</v>
      </c>
      <c r="AA1257" s="2"/>
      <c r="AB1257" s="2"/>
      <c r="AC1257" s="2">
        <v>558185.55000000005</v>
      </c>
      <c r="AG1257" s="1" t="s">
        <v>56</v>
      </c>
      <c r="AI1257" s="2">
        <v>558185.55000000005</v>
      </c>
      <c r="AL1257" s="1" t="s">
        <v>4319</v>
      </c>
    </row>
    <row r="1258" spans="1:38" ht="12.6" customHeight="1" x14ac:dyDescent="0.2">
      <c r="A1258" s="1" t="s">
        <v>57</v>
      </c>
      <c r="B1258" s="9" t="s">
        <v>39</v>
      </c>
      <c r="C1258" s="1" t="s">
        <v>58</v>
      </c>
      <c r="D1258" s="1" t="s">
        <v>4315</v>
      </c>
      <c r="E1258" s="1" t="s">
        <v>42</v>
      </c>
      <c r="G1258" s="1" t="s">
        <v>4316</v>
      </c>
      <c r="H1258" s="1" t="s">
        <v>61</v>
      </c>
      <c r="I1258" s="1" t="s">
        <v>5122</v>
      </c>
      <c r="J1258" s="1">
        <v>2018</v>
      </c>
      <c r="P1258" s="1" t="s">
        <v>4474</v>
      </c>
      <c r="Q1258" s="1" t="s">
        <v>264</v>
      </c>
      <c r="R1258" s="1" t="s">
        <v>265</v>
      </c>
      <c r="S1258" s="1" t="s">
        <v>935</v>
      </c>
      <c r="T1258" s="1" t="s">
        <v>936</v>
      </c>
      <c r="U1258" s="1">
        <v>1</v>
      </c>
      <c r="V1258" s="1" t="s">
        <v>308</v>
      </c>
      <c r="Y1258" s="10">
        <v>43461</v>
      </c>
      <c r="Z1258" s="1">
        <v>2018</v>
      </c>
      <c r="AA1258" s="2"/>
      <c r="AB1258" s="2"/>
      <c r="AC1258" s="2">
        <v>447342.2</v>
      </c>
      <c r="AG1258" s="1" t="s">
        <v>56</v>
      </c>
      <c r="AI1258" s="2">
        <v>447342.2</v>
      </c>
      <c r="AL1258" s="1" t="s">
        <v>4319</v>
      </c>
    </row>
    <row r="1259" spans="1:38" ht="12.6" customHeight="1" x14ac:dyDescent="0.2">
      <c r="A1259" s="1" t="s">
        <v>57</v>
      </c>
      <c r="B1259" s="9" t="s">
        <v>39</v>
      </c>
      <c r="C1259" s="1" t="s">
        <v>58</v>
      </c>
      <c r="D1259" s="1" t="s">
        <v>4315</v>
      </c>
      <c r="E1259" s="1" t="s">
        <v>42</v>
      </c>
      <c r="G1259" s="1" t="s">
        <v>4316</v>
      </c>
      <c r="H1259" s="1" t="s">
        <v>61</v>
      </c>
      <c r="I1259" s="1" t="s">
        <v>5123</v>
      </c>
      <c r="J1259" s="1">
        <v>2018</v>
      </c>
      <c r="P1259" s="1" t="s">
        <v>4474</v>
      </c>
      <c r="Q1259" s="1" t="s">
        <v>264</v>
      </c>
      <c r="R1259" s="1" t="s">
        <v>265</v>
      </c>
      <c r="S1259" s="1" t="s">
        <v>935</v>
      </c>
      <c r="T1259" s="1" t="s">
        <v>936</v>
      </c>
      <c r="U1259" s="1">
        <v>1</v>
      </c>
      <c r="V1259" s="1" t="s">
        <v>308</v>
      </c>
      <c r="Y1259" s="10">
        <v>43461</v>
      </c>
      <c r="Z1259" s="1">
        <v>2018</v>
      </c>
      <c r="AA1259" s="2"/>
      <c r="AB1259" s="2"/>
      <c r="AC1259" s="2">
        <v>473553.51000000013</v>
      </c>
      <c r="AG1259" s="1" t="s">
        <v>56</v>
      </c>
      <c r="AI1259" s="2">
        <v>473553.51000000013</v>
      </c>
      <c r="AL1259" s="1" t="s">
        <v>4319</v>
      </c>
    </row>
    <row r="1260" spans="1:38" ht="12.6" customHeight="1" x14ac:dyDescent="0.2">
      <c r="A1260" s="1" t="s">
        <v>57</v>
      </c>
      <c r="B1260" s="9" t="s">
        <v>39</v>
      </c>
      <c r="C1260" s="1" t="s">
        <v>58</v>
      </c>
      <c r="D1260" s="1" t="s">
        <v>4315</v>
      </c>
      <c r="E1260" s="1" t="s">
        <v>42</v>
      </c>
      <c r="G1260" s="1" t="s">
        <v>4316</v>
      </c>
      <c r="H1260" s="1" t="s">
        <v>61</v>
      </c>
      <c r="I1260" s="1" t="s">
        <v>5124</v>
      </c>
      <c r="J1260" s="1">
        <v>2018</v>
      </c>
      <c r="P1260" s="1" t="s">
        <v>4474</v>
      </c>
      <c r="Q1260" s="1" t="s">
        <v>264</v>
      </c>
      <c r="R1260" s="1" t="s">
        <v>265</v>
      </c>
      <c r="S1260" s="1" t="s">
        <v>935</v>
      </c>
      <c r="T1260" s="1" t="s">
        <v>936</v>
      </c>
      <c r="U1260" s="1">
        <v>1</v>
      </c>
      <c r="V1260" s="1" t="s">
        <v>308</v>
      </c>
      <c r="Y1260" s="10">
        <v>43461</v>
      </c>
      <c r="Z1260" s="1">
        <v>2018</v>
      </c>
      <c r="AA1260" s="2"/>
      <c r="AB1260" s="2"/>
      <c r="AC1260" s="2">
        <v>547951.24</v>
      </c>
      <c r="AG1260" s="1" t="s">
        <v>56</v>
      </c>
      <c r="AI1260" s="2">
        <v>547951.24</v>
      </c>
      <c r="AL1260" s="1" t="s">
        <v>4319</v>
      </c>
    </row>
    <row r="1261" spans="1:38" ht="12.6" customHeight="1" x14ac:dyDescent="0.2">
      <c r="A1261" s="1" t="s">
        <v>57</v>
      </c>
      <c r="B1261" s="9" t="s">
        <v>39</v>
      </c>
      <c r="C1261" s="1" t="s">
        <v>58</v>
      </c>
      <c r="D1261" s="1" t="s">
        <v>4315</v>
      </c>
      <c r="E1261" s="1" t="s">
        <v>42</v>
      </c>
      <c r="G1261" s="1" t="s">
        <v>4316</v>
      </c>
      <c r="H1261" s="1" t="s">
        <v>61</v>
      </c>
      <c r="I1261" s="1" t="s">
        <v>5125</v>
      </c>
      <c r="J1261" s="1">
        <v>2018</v>
      </c>
      <c r="P1261" s="1" t="s">
        <v>4474</v>
      </c>
      <c r="Q1261" s="1" t="s">
        <v>264</v>
      </c>
      <c r="R1261" s="1" t="s">
        <v>265</v>
      </c>
      <c r="S1261" s="1" t="s">
        <v>935</v>
      </c>
      <c r="T1261" s="1" t="s">
        <v>936</v>
      </c>
      <c r="U1261" s="1">
        <v>1</v>
      </c>
      <c r="V1261" s="1" t="s">
        <v>308</v>
      </c>
      <c r="Y1261" s="10">
        <v>43461</v>
      </c>
      <c r="Z1261" s="1">
        <v>2018</v>
      </c>
      <c r="AA1261" s="2"/>
      <c r="AB1261" s="2"/>
      <c r="AC1261" s="2">
        <v>395745.38</v>
      </c>
      <c r="AG1261" s="1" t="s">
        <v>56</v>
      </c>
      <c r="AI1261" s="2">
        <v>395745.38</v>
      </c>
      <c r="AL1261" s="1" t="s">
        <v>4319</v>
      </c>
    </row>
    <row r="1262" spans="1:38" ht="12.6" customHeight="1" x14ac:dyDescent="0.2">
      <c r="A1262" s="1" t="s">
        <v>57</v>
      </c>
      <c r="B1262" s="9" t="s">
        <v>39</v>
      </c>
      <c r="C1262" s="1" t="s">
        <v>58</v>
      </c>
      <c r="D1262" s="1" t="s">
        <v>4315</v>
      </c>
      <c r="E1262" s="1" t="s">
        <v>42</v>
      </c>
      <c r="G1262" s="1" t="s">
        <v>4316</v>
      </c>
      <c r="H1262" s="1" t="s">
        <v>61</v>
      </c>
      <c r="I1262" s="1" t="s">
        <v>5126</v>
      </c>
      <c r="J1262" s="1">
        <v>2018</v>
      </c>
      <c r="P1262" s="1" t="s">
        <v>4474</v>
      </c>
      <c r="Q1262" s="1" t="s">
        <v>264</v>
      </c>
      <c r="R1262" s="1" t="s">
        <v>265</v>
      </c>
      <c r="S1262" s="1" t="s">
        <v>935</v>
      </c>
      <c r="T1262" s="1" t="s">
        <v>936</v>
      </c>
      <c r="U1262" s="1">
        <v>1</v>
      </c>
      <c r="V1262" s="1" t="s">
        <v>308</v>
      </c>
      <c r="Y1262" s="10">
        <v>43461</v>
      </c>
      <c r="Z1262" s="1">
        <v>2018</v>
      </c>
      <c r="AA1262" s="2"/>
      <c r="AB1262" s="2"/>
      <c r="AC1262" s="2">
        <v>493573.08999999997</v>
      </c>
      <c r="AG1262" s="1" t="s">
        <v>56</v>
      </c>
      <c r="AI1262" s="2">
        <v>493573.08999999997</v>
      </c>
      <c r="AL1262" s="1" t="s">
        <v>4319</v>
      </c>
    </row>
    <row r="1263" spans="1:38" ht="12.6" customHeight="1" x14ac:dyDescent="0.2">
      <c r="A1263" s="1" t="s">
        <v>57</v>
      </c>
      <c r="B1263" s="9" t="s">
        <v>39</v>
      </c>
      <c r="C1263" s="1" t="s">
        <v>58</v>
      </c>
      <c r="D1263" s="1" t="s">
        <v>4315</v>
      </c>
      <c r="E1263" s="1" t="s">
        <v>42</v>
      </c>
      <c r="G1263" s="1" t="s">
        <v>4316</v>
      </c>
      <c r="H1263" s="1" t="s">
        <v>61</v>
      </c>
      <c r="I1263" s="1" t="s">
        <v>5127</v>
      </c>
      <c r="J1263" s="1">
        <v>2018</v>
      </c>
      <c r="P1263" s="1" t="s">
        <v>4474</v>
      </c>
      <c r="Q1263" s="1" t="s">
        <v>264</v>
      </c>
      <c r="R1263" s="1" t="s">
        <v>265</v>
      </c>
      <c r="S1263" s="1" t="s">
        <v>935</v>
      </c>
      <c r="T1263" s="1" t="s">
        <v>936</v>
      </c>
      <c r="U1263" s="1">
        <v>1</v>
      </c>
      <c r="V1263" s="1" t="s">
        <v>308</v>
      </c>
      <c r="Y1263" s="10">
        <v>43461</v>
      </c>
      <c r="Z1263" s="1">
        <v>2018</v>
      </c>
      <c r="AA1263" s="2"/>
      <c r="AB1263" s="2"/>
      <c r="AC1263" s="2">
        <v>388040.26</v>
      </c>
      <c r="AG1263" s="1" t="s">
        <v>56</v>
      </c>
      <c r="AI1263" s="2">
        <v>388040.26</v>
      </c>
      <c r="AL1263" s="1" t="s">
        <v>4319</v>
      </c>
    </row>
    <row r="1264" spans="1:38" ht="12.6" customHeight="1" x14ac:dyDescent="0.2">
      <c r="A1264" s="1" t="s">
        <v>57</v>
      </c>
      <c r="B1264" s="9" t="s">
        <v>39</v>
      </c>
      <c r="C1264" s="1" t="s">
        <v>58</v>
      </c>
      <c r="D1264" s="1" t="s">
        <v>4315</v>
      </c>
      <c r="E1264" s="1" t="s">
        <v>42</v>
      </c>
      <c r="G1264" s="1" t="s">
        <v>4316</v>
      </c>
      <c r="H1264" s="1" t="s">
        <v>61</v>
      </c>
      <c r="I1264" s="1" t="s">
        <v>5128</v>
      </c>
      <c r="J1264" s="1">
        <v>2018</v>
      </c>
      <c r="P1264" s="1" t="s">
        <v>4474</v>
      </c>
      <c r="Q1264" s="1" t="s">
        <v>264</v>
      </c>
      <c r="R1264" s="1" t="s">
        <v>265</v>
      </c>
      <c r="S1264" s="1" t="s">
        <v>935</v>
      </c>
      <c r="T1264" s="1" t="s">
        <v>936</v>
      </c>
      <c r="U1264" s="1">
        <v>1</v>
      </c>
      <c r="V1264" s="1" t="s">
        <v>308</v>
      </c>
      <c r="Y1264" s="10">
        <v>43461</v>
      </c>
      <c r="Z1264" s="1">
        <v>2018</v>
      </c>
      <c r="AA1264" s="2"/>
      <c r="AB1264" s="2"/>
      <c r="AC1264" s="2">
        <v>430069.95999999996</v>
      </c>
      <c r="AG1264" s="1" t="s">
        <v>56</v>
      </c>
      <c r="AI1264" s="2">
        <v>430069.95999999996</v>
      </c>
      <c r="AL1264" s="1" t="s">
        <v>4319</v>
      </c>
    </row>
    <row r="1265" spans="1:38" ht="12.6" customHeight="1" x14ac:dyDescent="0.2">
      <c r="A1265" s="1" t="s">
        <v>57</v>
      </c>
      <c r="B1265" s="9" t="s">
        <v>39</v>
      </c>
      <c r="C1265" s="1" t="s">
        <v>58</v>
      </c>
      <c r="D1265" s="1" t="s">
        <v>4315</v>
      </c>
      <c r="E1265" s="1" t="s">
        <v>42</v>
      </c>
      <c r="G1265" s="1" t="s">
        <v>4316</v>
      </c>
      <c r="H1265" s="1" t="s">
        <v>61</v>
      </c>
      <c r="I1265" s="1" t="s">
        <v>5129</v>
      </c>
      <c r="J1265" s="1">
        <v>2018</v>
      </c>
      <c r="P1265" s="1" t="s">
        <v>4474</v>
      </c>
      <c r="Q1265" s="1" t="s">
        <v>264</v>
      </c>
      <c r="R1265" s="1" t="s">
        <v>265</v>
      </c>
      <c r="S1265" s="1" t="s">
        <v>935</v>
      </c>
      <c r="T1265" s="1" t="s">
        <v>936</v>
      </c>
      <c r="U1265" s="1">
        <v>1</v>
      </c>
      <c r="V1265" s="1" t="s">
        <v>308</v>
      </c>
      <c r="Y1265" s="10">
        <v>43465</v>
      </c>
      <c r="Z1265" s="1">
        <v>2018</v>
      </c>
      <c r="AA1265" s="2"/>
      <c r="AB1265" s="2"/>
      <c r="AC1265" s="2">
        <v>214258.94999999995</v>
      </c>
      <c r="AG1265" s="1" t="s">
        <v>56</v>
      </c>
      <c r="AI1265" s="2">
        <v>214258.94999999995</v>
      </c>
      <c r="AL1265" s="1" t="s">
        <v>4319</v>
      </c>
    </row>
    <row r="1266" spans="1:38" ht="12.6" customHeight="1" x14ac:dyDescent="0.2">
      <c r="A1266" s="1" t="s">
        <v>57</v>
      </c>
      <c r="B1266" s="9" t="s">
        <v>39</v>
      </c>
      <c r="C1266" s="1" t="s">
        <v>58</v>
      </c>
      <c r="D1266" s="1" t="s">
        <v>4315</v>
      </c>
      <c r="E1266" s="1" t="s">
        <v>42</v>
      </c>
      <c r="G1266" s="1" t="s">
        <v>4316</v>
      </c>
      <c r="H1266" s="1" t="s">
        <v>61</v>
      </c>
      <c r="I1266" s="1" t="s">
        <v>5130</v>
      </c>
      <c r="J1266" s="1">
        <v>2018</v>
      </c>
      <c r="P1266" s="1" t="s">
        <v>4474</v>
      </c>
      <c r="Q1266" s="1" t="s">
        <v>264</v>
      </c>
      <c r="R1266" s="1" t="s">
        <v>265</v>
      </c>
      <c r="S1266" s="1" t="s">
        <v>935</v>
      </c>
      <c r="T1266" s="1" t="s">
        <v>936</v>
      </c>
      <c r="U1266" s="1">
        <v>1</v>
      </c>
      <c r="V1266" s="1" t="s">
        <v>308</v>
      </c>
      <c r="Y1266" s="10">
        <v>43461</v>
      </c>
      <c r="Z1266" s="1">
        <v>2018</v>
      </c>
      <c r="AA1266" s="2"/>
      <c r="AB1266" s="2"/>
      <c r="AC1266" s="2">
        <v>274942.37999999995</v>
      </c>
      <c r="AG1266" s="1" t="s">
        <v>56</v>
      </c>
      <c r="AI1266" s="2">
        <v>274942.37999999995</v>
      </c>
      <c r="AL1266" s="1" t="s">
        <v>4319</v>
      </c>
    </row>
    <row r="1267" spans="1:38" ht="12.6" customHeight="1" x14ac:dyDescent="0.2">
      <c r="A1267" s="1" t="s">
        <v>57</v>
      </c>
      <c r="B1267" s="9" t="s">
        <v>39</v>
      </c>
      <c r="C1267" s="1" t="s">
        <v>58</v>
      </c>
      <c r="D1267" s="1" t="s">
        <v>4315</v>
      </c>
      <c r="E1267" s="1" t="s">
        <v>42</v>
      </c>
      <c r="G1267" s="1" t="s">
        <v>4316</v>
      </c>
      <c r="H1267" s="1" t="s">
        <v>61</v>
      </c>
      <c r="I1267" s="1" t="s">
        <v>5131</v>
      </c>
      <c r="J1267" s="1">
        <v>2018</v>
      </c>
      <c r="P1267" s="1" t="s">
        <v>4474</v>
      </c>
      <c r="Q1267" s="1" t="s">
        <v>264</v>
      </c>
      <c r="R1267" s="1" t="s">
        <v>265</v>
      </c>
      <c r="S1267" s="1" t="s">
        <v>935</v>
      </c>
      <c r="T1267" s="1" t="s">
        <v>936</v>
      </c>
      <c r="U1267" s="1">
        <v>1</v>
      </c>
      <c r="V1267" s="1" t="s">
        <v>308</v>
      </c>
      <c r="Y1267" s="10">
        <v>43461</v>
      </c>
      <c r="Z1267" s="1">
        <v>2018</v>
      </c>
      <c r="AA1267" s="2"/>
      <c r="AB1267" s="2"/>
      <c r="AC1267" s="2">
        <v>326622.77</v>
      </c>
      <c r="AG1267" s="1" t="s">
        <v>56</v>
      </c>
      <c r="AI1267" s="2">
        <v>326622.77</v>
      </c>
      <c r="AL1267" s="1" t="s">
        <v>4319</v>
      </c>
    </row>
    <row r="1268" spans="1:38" ht="12.6" customHeight="1" x14ac:dyDescent="0.2">
      <c r="A1268" s="1" t="s">
        <v>57</v>
      </c>
      <c r="B1268" s="9" t="s">
        <v>39</v>
      </c>
      <c r="C1268" s="1" t="s">
        <v>58</v>
      </c>
      <c r="D1268" s="1" t="s">
        <v>4315</v>
      </c>
      <c r="E1268" s="1" t="s">
        <v>42</v>
      </c>
      <c r="G1268" s="1" t="s">
        <v>4316</v>
      </c>
      <c r="H1268" s="1" t="s">
        <v>61</v>
      </c>
      <c r="I1268" s="1" t="s">
        <v>5132</v>
      </c>
      <c r="J1268" s="1">
        <v>2018</v>
      </c>
      <c r="P1268" s="1" t="s">
        <v>4474</v>
      </c>
      <c r="Q1268" s="1" t="s">
        <v>264</v>
      </c>
      <c r="R1268" s="1" t="s">
        <v>265</v>
      </c>
      <c r="S1268" s="1" t="s">
        <v>935</v>
      </c>
      <c r="T1268" s="1" t="s">
        <v>936</v>
      </c>
      <c r="U1268" s="1">
        <v>1</v>
      </c>
      <c r="V1268" s="1" t="s">
        <v>308</v>
      </c>
      <c r="Y1268" s="10">
        <v>43461</v>
      </c>
      <c r="Z1268" s="1">
        <v>2018</v>
      </c>
      <c r="AA1268" s="2"/>
      <c r="AB1268" s="2"/>
      <c r="AC1268" s="2">
        <v>307748.88</v>
      </c>
      <c r="AG1268" s="1" t="s">
        <v>56</v>
      </c>
      <c r="AI1268" s="2">
        <v>307748.88</v>
      </c>
      <c r="AL1268" s="1" t="s">
        <v>4319</v>
      </c>
    </row>
    <row r="1269" spans="1:38" ht="12.6" customHeight="1" x14ac:dyDescent="0.2">
      <c r="A1269" s="1" t="s">
        <v>57</v>
      </c>
      <c r="B1269" s="9" t="s">
        <v>39</v>
      </c>
      <c r="C1269" s="1" t="s">
        <v>58</v>
      </c>
      <c r="D1269" s="1" t="s">
        <v>4315</v>
      </c>
      <c r="E1269" s="1" t="s">
        <v>42</v>
      </c>
      <c r="G1269" s="1" t="s">
        <v>4316</v>
      </c>
      <c r="H1269" s="1" t="s">
        <v>61</v>
      </c>
      <c r="I1269" s="1" t="s">
        <v>5133</v>
      </c>
      <c r="J1269" s="1">
        <v>2018</v>
      </c>
      <c r="P1269" s="1" t="s">
        <v>4474</v>
      </c>
      <c r="Q1269" s="1" t="s">
        <v>264</v>
      </c>
      <c r="R1269" s="1" t="s">
        <v>265</v>
      </c>
      <c r="S1269" s="1" t="s">
        <v>935</v>
      </c>
      <c r="T1269" s="1" t="s">
        <v>936</v>
      </c>
      <c r="U1269" s="1">
        <v>1</v>
      </c>
      <c r="V1269" s="1" t="s">
        <v>308</v>
      </c>
      <c r="Y1269" s="10">
        <v>43461</v>
      </c>
      <c r="Z1269" s="1">
        <v>2018</v>
      </c>
      <c r="AA1269" s="2"/>
      <c r="AB1269" s="2"/>
      <c r="AC1269" s="2">
        <v>622563.09000000008</v>
      </c>
      <c r="AG1269" s="1" t="s">
        <v>56</v>
      </c>
      <c r="AI1269" s="2">
        <v>622563.09000000008</v>
      </c>
      <c r="AL1269" s="1" t="s">
        <v>4319</v>
      </c>
    </row>
    <row r="1270" spans="1:38" ht="12.6" customHeight="1" x14ac:dyDescent="0.2">
      <c r="A1270" s="1" t="s">
        <v>57</v>
      </c>
      <c r="B1270" s="9" t="s">
        <v>39</v>
      </c>
      <c r="C1270" s="1" t="s">
        <v>58</v>
      </c>
      <c r="D1270" s="1" t="s">
        <v>4315</v>
      </c>
      <c r="E1270" s="1" t="s">
        <v>42</v>
      </c>
      <c r="G1270" s="1" t="s">
        <v>4316</v>
      </c>
      <c r="H1270" s="1" t="s">
        <v>61</v>
      </c>
      <c r="I1270" s="1" t="s">
        <v>5134</v>
      </c>
      <c r="J1270" s="1">
        <v>2018</v>
      </c>
      <c r="P1270" s="1" t="s">
        <v>4474</v>
      </c>
      <c r="Q1270" s="1" t="s">
        <v>264</v>
      </c>
      <c r="R1270" s="1" t="s">
        <v>265</v>
      </c>
      <c r="S1270" s="1" t="s">
        <v>935</v>
      </c>
      <c r="T1270" s="1" t="s">
        <v>936</v>
      </c>
      <c r="U1270" s="1">
        <v>1</v>
      </c>
      <c r="V1270" s="1" t="s">
        <v>308</v>
      </c>
      <c r="Y1270" s="10">
        <v>43461</v>
      </c>
      <c r="Z1270" s="1">
        <v>2018</v>
      </c>
      <c r="AA1270" s="2"/>
      <c r="AB1270" s="2"/>
      <c r="AC1270" s="2">
        <v>445381.35000000003</v>
      </c>
      <c r="AG1270" s="1" t="s">
        <v>56</v>
      </c>
      <c r="AI1270" s="2">
        <v>445381.35000000003</v>
      </c>
      <c r="AL1270" s="1" t="s">
        <v>4319</v>
      </c>
    </row>
    <row r="1271" spans="1:38" ht="12.6" customHeight="1" x14ac:dyDescent="0.2">
      <c r="A1271" s="1" t="s">
        <v>57</v>
      </c>
      <c r="B1271" s="9" t="s">
        <v>39</v>
      </c>
      <c r="C1271" s="1" t="s">
        <v>58</v>
      </c>
      <c r="D1271" s="1" t="s">
        <v>4315</v>
      </c>
      <c r="E1271" s="1" t="s">
        <v>42</v>
      </c>
      <c r="G1271" s="1" t="s">
        <v>4316</v>
      </c>
      <c r="H1271" s="1" t="s">
        <v>61</v>
      </c>
      <c r="I1271" s="1" t="s">
        <v>5135</v>
      </c>
      <c r="J1271" s="1">
        <v>2018</v>
      </c>
      <c r="P1271" s="1" t="s">
        <v>4474</v>
      </c>
      <c r="Q1271" s="1" t="s">
        <v>264</v>
      </c>
      <c r="R1271" s="1" t="s">
        <v>265</v>
      </c>
      <c r="S1271" s="1" t="s">
        <v>935</v>
      </c>
      <c r="T1271" s="1" t="s">
        <v>936</v>
      </c>
      <c r="U1271" s="1">
        <v>1</v>
      </c>
      <c r="V1271" s="1" t="s">
        <v>308</v>
      </c>
      <c r="Y1271" s="10">
        <v>43461</v>
      </c>
      <c r="Z1271" s="1">
        <v>2018</v>
      </c>
      <c r="AA1271" s="2"/>
      <c r="AB1271" s="2"/>
      <c r="AC1271" s="2">
        <v>542910.19000000006</v>
      </c>
      <c r="AG1271" s="1" t="s">
        <v>56</v>
      </c>
      <c r="AI1271" s="2">
        <v>542910.19000000006</v>
      </c>
      <c r="AL1271" s="1" t="s">
        <v>4319</v>
      </c>
    </row>
    <row r="1272" spans="1:38" ht="12.6" customHeight="1" x14ac:dyDescent="0.2">
      <c r="A1272" s="1" t="s">
        <v>57</v>
      </c>
      <c r="B1272" s="9" t="s">
        <v>39</v>
      </c>
      <c r="C1272" s="1" t="s">
        <v>58</v>
      </c>
      <c r="D1272" s="1" t="s">
        <v>4315</v>
      </c>
      <c r="E1272" s="1" t="s">
        <v>42</v>
      </c>
      <c r="G1272" s="1" t="s">
        <v>4316</v>
      </c>
      <c r="H1272" s="1" t="s">
        <v>61</v>
      </c>
      <c r="I1272" s="1" t="s">
        <v>5136</v>
      </c>
      <c r="J1272" s="1">
        <v>2018</v>
      </c>
      <c r="P1272" s="1" t="s">
        <v>4474</v>
      </c>
      <c r="Q1272" s="1" t="s">
        <v>264</v>
      </c>
      <c r="R1272" s="1" t="s">
        <v>265</v>
      </c>
      <c r="S1272" s="1" t="s">
        <v>935</v>
      </c>
      <c r="T1272" s="1" t="s">
        <v>936</v>
      </c>
      <c r="U1272" s="1">
        <v>1</v>
      </c>
      <c r="V1272" s="1" t="s">
        <v>308</v>
      </c>
      <c r="Y1272" s="10">
        <v>43465</v>
      </c>
      <c r="Z1272" s="1">
        <v>2018</v>
      </c>
      <c r="AA1272" s="2"/>
      <c r="AB1272" s="2"/>
      <c r="AC1272" s="2">
        <v>283938.3</v>
      </c>
      <c r="AG1272" s="1" t="s">
        <v>56</v>
      </c>
      <c r="AI1272" s="2">
        <v>283938.3</v>
      </c>
      <c r="AL1272" s="1" t="s">
        <v>4319</v>
      </c>
    </row>
    <row r="1273" spans="1:38" ht="12.6" customHeight="1" x14ac:dyDescent="0.2">
      <c r="A1273" s="1" t="s">
        <v>57</v>
      </c>
      <c r="B1273" s="9" t="s">
        <v>39</v>
      </c>
      <c r="C1273" s="1" t="s">
        <v>58</v>
      </c>
      <c r="D1273" s="1" t="s">
        <v>4315</v>
      </c>
      <c r="E1273" s="1" t="s">
        <v>42</v>
      </c>
      <c r="G1273" s="1" t="s">
        <v>4316</v>
      </c>
      <c r="H1273" s="1" t="s">
        <v>61</v>
      </c>
      <c r="I1273" s="1" t="s">
        <v>5137</v>
      </c>
      <c r="J1273" s="1">
        <v>2018</v>
      </c>
      <c r="P1273" s="1" t="s">
        <v>4474</v>
      </c>
      <c r="Q1273" s="1" t="s">
        <v>264</v>
      </c>
      <c r="R1273" s="1" t="s">
        <v>265</v>
      </c>
      <c r="S1273" s="1" t="s">
        <v>935</v>
      </c>
      <c r="T1273" s="1" t="s">
        <v>936</v>
      </c>
      <c r="U1273" s="1">
        <v>1</v>
      </c>
      <c r="V1273" s="1" t="s">
        <v>308</v>
      </c>
      <c r="Y1273" s="10">
        <v>43461</v>
      </c>
      <c r="Z1273" s="1">
        <v>2018</v>
      </c>
      <c r="AA1273" s="2"/>
      <c r="AB1273" s="2"/>
      <c r="AC1273" s="2">
        <v>494338.66000000003</v>
      </c>
      <c r="AG1273" s="1" t="s">
        <v>56</v>
      </c>
      <c r="AI1273" s="2">
        <v>494338.66000000003</v>
      </c>
      <c r="AL1273" s="1" t="s">
        <v>4319</v>
      </c>
    </row>
    <row r="1274" spans="1:38" ht="12.6" customHeight="1" x14ac:dyDescent="0.2">
      <c r="A1274" s="1" t="s">
        <v>57</v>
      </c>
      <c r="B1274" s="9" t="s">
        <v>39</v>
      </c>
      <c r="C1274" s="1" t="s">
        <v>58</v>
      </c>
      <c r="D1274" s="1" t="s">
        <v>4315</v>
      </c>
      <c r="E1274" s="1" t="s">
        <v>42</v>
      </c>
      <c r="G1274" s="1" t="s">
        <v>4316</v>
      </c>
      <c r="H1274" s="1" t="s">
        <v>61</v>
      </c>
      <c r="I1274" s="1" t="s">
        <v>5138</v>
      </c>
      <c r="J1274" s="1">
        <v>2018</v>
      </c>
      <c r="P1274" s="1" t="s">
        <v>4474</v>
      </c>
      <c r="Q1274" s="1" t="s">
        <v>50</v>
      </c>
      <c r="R1274" s="1" t="s">
        <v>68</v>
      </c>
      <c r="S1274" s="1" t="s">
        <v>430</v>
      </c>
      <c r="T1274" s="1" t="s">
        <v>431</v>
      </c>
      <c r="U1274" s="1">
        <v>1</v>
      </c>
      <c r="V1274" s="1" t="s">
        <v>71</v>
      </c>
      <c r="Y1274" s="10">
        <v>43461</v>
      </c>
      <c r="Z1274" s="1">
        <v>2018</v>
      </c>
      <c r="AA1274" s="2"/>
      <c r="AB1274" s="2"/>
      <c r="AC1274" s="2">
        <v>424947.31</v>
      </c>
      <c r="AG1274" s="1" t="s">
        <v>56</v>
      </c>
      <c r="AI1274" s="2">
        <v>424947.31</v>
      </c>
      <c r="AL1274" s="1" t="s">
        <v>4319</v>
      </c>
    </row>
    <row r="1275" spans="1:38" ht="12.6" customHeight="1" x14ac:dyDescent="0.2">
      <c r="A1275" s="1" t="s">
        <v>57</v>
      </c>
      <c r="B1275" s="9" t="s">
        <v>39</v>
      </c>
      <c r="C1275" s="1" t="s">
        <v>58</v>
      </c>
      <c r="D1275" s="1" t="s">
        <v>4315</v>
      </c>
      <c r="E1275" s="1" t="s">
        <v>42</v>
      </c>
      <c r="G1275" s="1" t="s">
        <v>4316</v>
      </c>
      <c r="H1275" s="1" t="s">
        <v>61</v>
      </c>
      <c r="I1275" s="1" t="s">
        <v>5139</v>
      </c>
      <c r="J1275" s="1">
        <v>2018</v>
      </c>
      <c r="P1275" s="1" t="s">
        <v>4474</v>
      </c>
      <c r="Q1275" s="1" t="s">
        <v>50</v>
      </c>
      <c r="R1275" s="1" t="s">
        <v>68</v>
      </c>
      <c r="S1275" s="1" t="s">
        <v>430</v>
      </c>
      <c r="T1275" s="1" t="s">
        <v>431</v>
      </c>
      <c r="U1275" s="1">
        <v>1</v>
      </c>
      <c r="V1275" s="1" t="s">
        <v>71</v>
      </c>
      <c r="Y1275" s="10">
        <v>43461</v>
      </c>
      <c r="Z1275" s="1">
        <v>2018</v>
      </c>
      <c r="AA1275" s="2"/>
      <c r="AB1275" s="2"/>
      <c r="AC1275" s="2">
        <v>540245.07000000007</v>
      </c>
      <c r="AG1275" s="1" t="s">
        <v>56</v>
      </c>
      <c r="AI1275" s="2">
        <v>540245.07000000007</v>
      </c>
      <c r="AL1275" s="1" t="s">
        <v>4319</v>
      </c>
    </row>
    <row r="1276" spans="1:38" ht="12.6" customHeight="1" x14ac:dyDescent="0.2">
      <c r="A1276" s="1" t="s">
        <v>57</v>
      </c>
      <c r="B1276" s="9" t="s">
        <v>39</v>
      </c>
      <c r="C1276" s="1" t="s">
        <v>58</v>
      </c>
      <c r="D1276" s="1" t="s">
        <v>4315</v>
      </c>
      <c r="E1276" s="1" t="s">
        <v>42</v>
      </c>
      <c r="G1276" s="1" t="s">
        <v>4316</v>
      </c>
      <c r="H1276" s="1" t="s">
        <v>61</v>
      </c>
      <c r="I1276" s="1" t="s">
        <v>5140</v>
      </c>
      <c r="J1276" s="1">
        <v>2018</v>
      </c>
      <c r="P1276" s="1" t="s">
        <v>4474</v>
      </c>
      <c r="Q1276" s="1" t="s">
        <v>50</v>
      </c>
      <c r="R1276" s="1" t="s">
        <v>68</v>
      </c>
      <c r="S1276" s="1" t="s">
        <v>430</v>
      </c>
      <c r="T1276" s="1" t="s">
        <v>431</v>
      </c>
      <c r="U1276" s="1">
        <v>1</v>
      </c>
      <c r="V1276" s="1" t="s">
        <v>71</v>
      </c>
      <c r="Y1276" s="10">
        <v>43459</v>
      </c>
      <c r="Z1276" s="1">
        <v>2018</v>
      </c>
      <c r="AA1276" s="2"/>
      <c r="AB1276" s="2"/>
      <c r="AC1276" s="2">
        <v>632577.61</v>
      </c>
      <c r="AG1276" s="1" t="s">
        <v>56</v>
      </c>
      <c r="AI1276" s="2">
        <v>632577.61</v>
      </c>
      <c r="AL1276" s="1" t="s">
        <v>4319</v>
      </c>
    </row>
    <row r="1277" spans="1:38" ht="12.6" customHeight="1" x14ac:dyDescent="0.2">
      <c r="A1277" s="1" t="s">
        <v>57</v>
      </c>
      <c r="B1277" s="9" t="s">
        <v>39</v>
      </c>
      <c r="C1277" s="1" t="s">
        <v>58</v>
      </c>
      <c r="D1277" s="1" t="s">
        <v>4315</v>
      </c>
      <c r="E1277" s="1" t="s">
        <v>42</v>
      </c>
      <c r="G1277" s="1" t="s">
        <v>4316</v>
      </c>
      <c r="H1277" s="1" t="s">
        <v>61</v>
      </c>
      <c r="I1277" s="1" t="s">
        <v>5141</v>
      </c>
      <c r="J1277" s="1">
        <v>2018</v>
      </c>
      <c r="P1277" s="1" t="s">
        <v>4474</v>
      </c>
      <c r="Q1277" s="1" t="s">
        <v>50</v>
      </c>
      <c r="R1277" s="1" t="s">
        <v>77</v>
      </c>
      <c r="S1277" s="1" t="s">
        <v>198</v>
      </c>
      <c r="T1277" s="1" t="s">
        <v>199</v>
      </c>
      <c r="U1277" s="1">
        <v>1</v>
      </c>
      <c r="V1277" s="1" t="s">
        <v>186</v>
      </c>
      <c r="Y1277" s="10">
        <v>43461</v>
      </c>
      <c r="Z1277" s="1">
        <v>2018</v>
      </c>
      <c r="AA1277" s="2"/>
      <c r="AB1277" s="2"/>
      <c r="AC1277" s="2">
        <v>571688.86999999988</v>
      </c>
      <c r="AG1277" s="1" t="s">
        <v>56</v>
      </c>
      <c r="AI1277" s="2">
        <v>571688.86999999988</v>
      </c>
      <c r="AL1277" s="1" t="s">
        <v>4319</v>
      </c>
    </row>
    <row r="1278" spans="1:38" ht="12.6" customHeight="1" x14ac:dyDescent="0.2">
      <c r="A1278" s="1" t="s">
        <v>57</v>
      </c>
      <c r="B1278" s="9" t="s">
        <v>39</v>
      </c>
      <c r="C1278" s="1" t="s">
        <v>58</v>
      </c>
      <c r="D1278" s="1" t="s">
        <v>4315</v>
      </c>
      <c r="E1278" s="1" t="s">
        <v>42</v>
      </c>
      <c r="G1278" s="1" t="s">
        <v>4316</v>
      </c>
      <c r="H1278" s="1" t="s">
        <v>61</v>
      </c>
      <c r="I1278" s="1" t="s">
        <v>5142</v>
      </c>
      <c r="J1278" s="1">
        <v>2019</v>
      </c>
      <c r="P1278" s="1" t="s">
        <v>4471</v>
      </c>
      <c r="Q1278" s="1" t="s">
        <v>50</v>
      </c>
      <c r="R1278" s="1" t="s">
        <v>68</v>
      </c>
      <c r="S1278" s="1" t="s">
        <v>425</v>
      </c>
      <c r="T1278" s="1" t="s">
        <v>426</v>
      </c>
      <c r="U1278" s="1">
        <v>1</v>
      </c>
      <c r="V1278" s="1" t="s">
        <v>195</v>
      </c>
      <c r="Y1278" s="10">
        <v>43466</v>
      </c>
      <c r="Z1278" s="1">
        <v>2019</v>
      </c>
      <c r="AA1278" s="2"/>
      <c r="AB1278" s="2"/>
      <c r="AC1278" s="2">
        <v>375555.14999999997</v>
      </c>
      <c r="AG1278" s="1" t="s">
        <v>56</v>
      </c>
      <c r="AI1278" s="2">
        <v>375555.14999999997</v>
      </c>
      <c r="AL1278" s="1" t="s">
        <v>4319</v>
      </c>
    </row>
    <row r="1279" spans="1:38" ht="12.6" customHeight="1" x14ac:dyDescent="0.2">
      <c r="A1279" s="1" t="s">
        <v>57</v>
      </c>
      <c r="B1279" s="9" t="s">
        <v>39</v>
      </c>
      <c r="C1279" s="1" t="s">
        <v>58</v>
      </c>
      <c r="D1279" s="1" t="s">
        <v>146</v>
      </c>
      <c r="E1279" s="1" t="s">
        <v>42</v>
      </c>
      <c r="G1279" s="1" t="s">
        <v>147</v>
      </c>
      <c r="H1279" s="1" t="s">
        <v>148</v>
      </c>
      <c r="I1279" s="1" t="s">
        <v>5143</v>
      </c>
      <c r="J1279" s="1">
        <v>2020</v>
      </c>
      <c r="K1279" s="1" t="s">
        <v>5144</v>
      </c>
      <c r="P1279" s="1" t="s">
        <v>3189</v>
      </c>
      <c r="Q1279" s="1" t="s">
        <v>264</v>
      </c>
      <c r="R1279" s="1" t="s">
        <v>265</v>
      </c>
      <c r="S1279" s="1" t="s">
        <v>935</v>
      </c>
      <c r="T1279" s="1" t="s">
        <v>936</v>
      </c>
      <c r="U1279" s="1">
        <v>1</v>
      </c>
      <c r="V1279" s="1" t="s">
        <v>308</v>
      </c>
      <c r="W1279" s="1" t="s">
        <v>5144</v>
      </c>
      <c r="X1279" s="1" t="s">
        <v>153</v>
      </c>
      <c r="Y1279" s="10">
        <v>44127</v>
      </c>
      <c r="Z1279" s="1">
        <v>2020</v>
      </c>
      <c r="AA1279" s="2">
        <v>258000</v>
      </c>
      <c r="AB1279" s="2"/>
      <c r="AC1279" s="2">
        <v>193500</v>
      </c>
      <c r="AD1279" s="1">
        <v>0</v>
      </c>
      <c r="AF1279" s="1">
        <v>0</v>
      </c>
      <c r="AG1279" s="1" t="s">
        <v>432</v>
      </c>
      <c r="AH1279" s="1" t="s">
        <v>492</v>
      </c>
      <c r="AI1279" s="2">
        <v>0</v>
      </c>
      <c r="AL1279" s="1" t="s">
        <v>1807</v>
      </c>
    </row>
    <row r="1280" spans="1:38" ht="12.6" customHeight="1" x14ac:dyDescent="0.2">
      <c r="A1280" s="1" t="s">
        <v>57</v>
      </c>
      <c r="B1280" s="9" t="s">
        <v>39</v>
      </c>
      <c r="C1280" s="1" t="s">
        <v>58</v>
      </c>
      <c r="D1280" s="1" t="s">
        <v>146</v>
      </c>
      <c r="E1280" s="1" t="s">
        <v>42</v>
      </c>
      <c r="G1280" s="1" t="s">
        <v>147</v>
      </c>
      <c r="H1280" s="1" t="s">
        <v>148</v>
      </c>
      <c r="I1280" s="1" t="s">
        <v>5145</v>
      </c>
      <c r="J1280" s="1">
        <v>2020</v>
      </c>
      <c r="K1280" s="1" t="s">
        <v>5146</v>
      </c>
      <c r="P1280" s="1" t="s">
        <v>3189</v>
      </c>
      <c r="Q1280" s="1" t="s">
        <v>264</v>
      </c>
      <c r="R1280" s="1" t="s">
        <v>265</v>
      </c>
      <c r="S1280" s="1" t="s">
        <v>935</v>
      </c>
      <c r="T1280" s="1" t="s">
        <v>936</v>
      </c>
      <c r="U1280" s="1">
        <v>1</v>
      </c>
      <c r="V1280" s="1" t="s">
        <v>308</v>
      </c>
      <c r="W1280" s="1" t="s">
        <v>5146</v>
      </c>
      <c r="X1280" s="1" t="s">
        <v>153</v>
      </c>
      <c r="Y1280" s="10">
        <v>44127</v>
      </c>
      <c r="Z1280" s="1">
        <v>2020</v>
      </c>
      <c r="AA1280" s="2">
        <v>92000</v>
      </c>
      <c r="AB1280" s="2"/>
      <c r="AC1280" s="2">
        <v>69000</v>
      </c>
      <c r="AD1280" s="1">
        <v>0</v>
      </c>
      <c r="AF1280" s="1">
        <v>0</v>
      </c>
      <c r="AG1280" s="1" t="s">
        <v>432</v>
      </c>
      <c r="AH1280" s="1" t="s">
        <v>492</v>
      </c>
      <c r="AI1280" s="2">
        <v>0</v>
      </c>
    </row>
    <row r="1281" spans="1:38" ht="12.6" customHeight="1" x14ac:dyDescent="0.2">
      <c r="A1281" s="1" t="s">
        <v>57</v>
      </c>
      <c r="B1281" s="9" t="s">
        <v>39</v>
      </c>
      <c r="C1281" s="1" t="s">
        <v>58</v>
      </c>
      <c r="D1281" s="1" t="s">
        <v>146</v>
      </c>
      <c r="E1281" s="1" t="s">
        <v>42</v>
      </c>
      <c r="G1281" s="1" t="s">
        <v>147</v>
      </c>
      <c r="H1281" s="1" t="s">
        <v>148</v>
      </c>
      <c r="I1281" s="1" t="s">
        <v>5147</v>
      </c>
      <c r="J1281" s="1">
        <v>2020</v>
      </c>
      <c r="K1281" s="1" t="s">
        <v>5148</v>
      </c>
      <c r="P1281" s="1" t="s">
        <v>1345</v>
      </c>
      <c r="Q1281" s="1" t="s">
        <v>264</v>
      </c>
      <c r="R1281" s="1" t="s">
        <v>265</v>
      </c>
      <c r="S1281" s="1" t="s">
        <v>290</v>
      </c>
      <c r="T1281" s="1" t="s">
        <v>291</v>
      </c>
      <c r="U1281" s="1">
        <v>1</v>
      </c>
      <c r="V1281" s="1" t="s">
        <v>268</v>
      </c>
      <c r="W1281" s="1" t="s">
        <v>5149</v>
      </c>
      <c r="X1281" s="1" t="s">
        <v>321</v>
      </c>
      <c r="Y1281" s="10">
        <v>44127</v>
      </c>
      <c r="Z1281" s="1">
        <v>2020</v>
      </c>
      <c r="AA1281" s="2">
        <v>600000</v>
      </c>
      <c r="AB1281" s="2"/>
      <c r="AC1281" s="2">
        <v>450000</v>
      </c>
      <c r="AD1281" s="1">
        <v>0</v>
      </c>
      <c r="AF1281" s="1">
        <v>0</v>
      </c>
      <c r="AG1281" s="1" t="s">
        <v>432</v>
      </c>
      <c r="AH1281" s="1" t="s">
        <v>5150</v>
      </c>
      <c r="AI1281" s="2">
        <v>0</v>
      </c>
    </row>
    <row r="1282" spans="1:38" ht="12.6" customHeight="1" x14ac:dyDescent="0.2">
      <c r="A1282" s="1" t="s">
        <v>57</v>
      </c>
      <c r="B1282" s="9" t="s">
        <v>39</v>
      </c>
      <c r="C1282" s="1" t="s">
        <v>58</v>
      </c>
      <c r="D1282" s="1" t="s">
        <v>146</v>
      </c>
      <c r="E1282" s="1" t="s">
        <v>42</v>
      </c>
      <c r="G1282" s="1" t="s">
        <v>147</v>
      </c>
      <c r="H1282" s="1" t="s">
        <v>148</v>
      </c>
      <c r="I1282" s="1" t="s">
        <v>5151</v>
      </c>
      <c r="J1282" s="1">
        <v>2020</v>
      </c>
      <c r="K1282" s="1" t="s">
        <v>5152</v>
      </c>
      <c r="L1282" s="1" t="s">
        <v>5153</v>
      </c>
      <c r="P1282" s="1" t="s">
        <v>1456</v>
      </c>
      <c r="Q1282" s="1" t="s">
        <v>110</v>
      </c>
      <c r="R1282" s="1" t="s">
        <v>605</v>
      </c>
      <c r="S1282" s="1" t="s">
        <v>606</v>
      </c>
      <c r="T1282" s="1" t="s">
        <v>607</v>
      </c>
      <c r="U1282" s="1">
        <v>1</v>
      </c>
      <c r="V1282" s="1" t="s">
        <v>80</v>
      </c>
      <c r="W1282" s="1" t="s">
        <v>5153</v>
      </c>
      <c r="X1282" s="1" t="s">
        <v>153</v>
      </c>
      <c r="Y1282" s="10">
        <v>44127</v>
      </c>
      <c r="Z1282" s="1">
        <v>2020</v>
      </c>
      <c r="AA1282" s="2">
        <v>3825000</v>
      </c>
      <c r="AB1282" s="2"/>
      <c r="AC1282" s="2">
        <v>2868750</v>
      </c>
      <c r="AD1282" s="1">
        <v>0</v>
      </c>
      <c r="AG1282" s="1" t="s">
        <v>432</v>
      </c>
      <c r="AH1282" s="1" t="s">
        <v>5150</v>
      </c>
      <c r="AI1282" s="2">
        <v>0</v>
      </c>
      <c r="AL1282" s="1" t="s">
        <v>1744</v>
      </c>
    </row>
    <row r="1283" spans="1:38" ht="12.6" customHeight="1" x14ac:dyDescent="0.2">
      <c r="A1283" s="1" t="s">
        <v>57</v>
      </c>
      <c r="B1283" s="9" t="s">
        <v>39</v>
      </c>
      <c r="C1283" s="1" t="s">
        <v>58</v>
      </c>
      <c r="D1283" s="1" t="s">
        <v>4315</v>
      </c>
      <c r="E1283" s="1" t="s">
        <v>42</v>
      </c>
      <c r="G1283" s="1" t="s">
        <v>4316</v>
      </c>
      <c r="H1283" s="1" t="s">
        <v>61</v>
      </c>
      <c r="I1283" s="1" t="s">
        <v>5154</v>
      </c>
      <c r="J1283" s="1">
        <v>2019</v>
      </c>
      <c r="P1283" s="1" t="s">
        <v>4471</v>
      </c>
      <c r="Q1283" s="1" t="s">
        <v>50</v>
      </c>
      <c r="R1283" s="1" t="s">
        <v>68</v>
      </c>
      <c r="S1283" s="1" t="s">
        <v>425</v>
      </c>
      <c r="T1283" s="1" t="s">
        <v>426</v>
      </c>
      <c r="U1283" s="1">
        <v>1</v>
      </c>
      <c r="V1283" s="1" t="s">
        <v>195</v>
      </c>
      <c r="Y1283" s="10">
        <v>43466</v>
      </c>
      <c r="Z1283" s="1">
        <v>2019</v>
      </c>
      <c r="AA1283" s="2"/>
      <c r="AB1283" s="2"/>
      <c r="AC1283" s="2">
        <v>592187.8600000001</v>
      </c>
      <c r="AG1283" s="1" t="s">
        <v>56</v>
      </c>
      <c r="AI1283" s="2">
        <v>592187.8600000001</v>
      </c>
      <c r="AL1283" s="1" t="s">
        <v>4319</v>
      </c>
    </row>
    <row r="1284" spans="1:38" ht="12.6" customHeight="1" x14ac:dyDescent="0.2">
      <c r="A1284" s="1" t="s">
        <v>57</v>
      </c>
      <c r="B1284" s="9" t="s">
        <v>39</v>
      </c>
      <c r="C1284" s="1" t="s">
        <v>58</v>
      </c>
      <c r="D1284" s="1" t="s">
        <v>146</v>
      </c>
      <c r="E1284" s="1" t="s">
        <v>42</v>
      </c>
      <c r="G1284" s="1" t="s">
        <v>147</v>
      </c>
      <c r="H1284" s="1" t="s">
        <v>148</v>
      </c>
      <c r="I1284" s="1" t="s">
        <v>5155</v>
      </c>
      <c r="J1284" s="1">
        <v>2020</v>
      </c>
      <c r="K1284" s="1" t="s">
        <v>5156</v>
      </c>
      <c r="P1284" s="1" t="s">
        <v>5157</v>
      </c>
      <c r="Q1284" s="1" t="s">
        <v>101</v>
      </c>
      <c r="R1284" s="1" t="s">
        <v>102</v>
      </c>
      <c r="S1284" s="1" t="s">
        <v>1486</v>
      </c>
      <c r="T1284" s="1" t="s">
        <v>1487</v>
      </c>
      <c r="U1284" s="1">
        <v>1</v>
      </c>
      <c r="V1284" s="1" t="s">
        <v>101</v>
      </c>
      <c r="W1284" s="1" t="s">
        <v>5158</v>
      </c>
      <c r="X1284" s="1" t="s">
        <v>321</v>
      </c>
      <c r="Y1284" s="10">
        <v>44127</v>
      </c>
      <c r="Z1284" s="1">
        <v>2020</v>
      </c>
      <c r="AA1284" s="2">
        <v>1465227.2</v>
      </c>
      <c r="AB1284" s="2"/>
      <c r="AC1284" s="2">
        <v>1098920.3999999999</v>
      </c>
      <c r="AD1284" s="1">
        <v>8</v>
      </c>
      <c r="AF1284" s="1">
        <v>0</v>
      </c>
      <c r="AG1284" s="1" t="s">
        <v>432</v>
      </c>
      <c r="AH1284" s="1" t="s">
        <v>492</v>
      </c>
      <c r="AI1284" s="2">
        <v>0</v>
      </c>
      <c r="AK1284" s="1" t="s">
        <v>301</v>
      </c>
      <c r="AL1284" s="1" t="s">
        <v>5159</v>
      </c>
    </row>
    <row r="1285" spans="1:38" ht="12.6" customHeight="1" x14ac:dyDescent="0.2">
      <c r="A1285" s="1" t="s">
        <v>57</v>
      </c>
      <c r="B1285" s="9" t="s">
        <v>39</v>
      </c>
      <c r="C1285" s="1" t="s">
        <v>58</v>
      </c>
      <c r="D1285" s="1" t="s">
        <v>59</v>
      </c>
      <c r="E1285" s="1" t="s">
        <v>42</v>
      </c>
      <c r="G1285" s="1" t="s">
        <v>105</v>
      </c>
      <c r="H1285" s="1" t="s">
        <v>1893</v>
      </c>
      <c r="I1285" s="1" t="s">
        <v>5160</v>
      </c>
      <c r="J1285" s="1">
        <v>2023</v>
      </c>
      <c r="K1285" s="1" t="s">
        <v>5161</v>
      </c>
      <c r="P1285" s="1" t="s">
        <v>5162</v>
      </c>
      <c r="Q1285" s="1" t="s">
        <v>101</v>
      </c>
      <c r="R1285" s="1" t="s">
        <v>102</v>
      </c>
      <c r="S1285" s="1" t="s">
        <v>523</v>
      </c>
      <c r="T1285" s="1" t="s">
        <v>524</v>
      </c>
      <c r="U1285" s="1">
        <v>1</v>
      </c>
      <c r="V1285" s="1" t="s">
        <v>101</v>
      </c>
      <c r="W1285" s="1" t="s">
        <v>5161</v>
      </c>
      <c r="Y1285" s="10">
        <v>45462</v>
      </c>
      <c r="Z1285" s="1">
        <v>2024</v>
      </c>
      <c r="AA1285" s="2">
        <v>9024275.0800000001</v>
      </c>
      <c r="AB1285" s="2"/>
      <c r="AC1285" s="2">
        <v>2322355.02</v>
      </c>
      <c r="AD1285" s="1">
        <v>44</v>
      </c>
      <c r="AE1285" s="1">
        <v>10</v>
      </c>
      <c r="AG1285" s="1" t="s">
        <v>56</v>
      </c>
      <c r="AI1285" s="2">
        <v>2322355.02</v>
      </c>
    </row>
    <row r="1286" spans="1:38" ht="12.6" customHeight="1" x14ac:dyDescent="0.2">
      <c r="A1286" s="1" t="s">
        <v>57</v>
      </c>
      <c r="B1286" s="9" t="s">
        <v>39</v>
      </c>
      <c r="C1286" s="1" t="s">
        <v>58</v>
      </c>
      <c r="D1286" s="1" t="s">
        <v>59</v>
      </c>
      <c r="E1286" s="1" t="s">
        <v>42</v>
      </c>
      <c r="G1286" s="1" t="s">
        <v>105</v>
      </c>
      <c r="H1286" s="1" t="s">
        <v>1893</v>
      </c>
      <c r="I1286" s="1" t="s">
        <v>5163</v>
      </c>
      <c r="J1286" s="1">
        <v>2023</v>
      </c>
      <c r="K1286" s="1" t="s">
        <v>5164</v>
      </c>
      <c r="L1286" s="1" t="s">
        <v>5165</v>
      </c>
      <c r="P1286" s="1" t="s">
        <v>5166</v>
      </c>
      <c r="Q1286" s="1" t="s">
        <v>1149</v>
      </c>
      <c r="R1286" s="1" t="s">
        <v>1150</v>
      </c>
      <c r="S1286" s="1" t="s">
        <v>1535</v>
      </c>
      <c r="T1286" s="1" t="s">
        <v>1536</v>
      </c>
      <c r="V1286" s="1" t="s">
        <v>1537</v>
      </c>
      <c r="W1286" s="1" t="s">
        <v>5167</v>
      </c>
      <c r="Y1286" s="10">
        <v>45462</v>
      </c>
      <c r="Z1286" s="1">
        <v>2024</v>
      </c>
      <c r="AA1286" s="2">
        <v>11645062.539999999</v>
      </c>
      <c r="AB1286" s="2"/>
      <c r="AC1286" s="2">
        <v>2637885.94</v>
      </c>
      <c r="AD1286" s="1">
        <v>40</v>
      </c>
      <c r="AE1286" s="1">
        <v>12</v>
      </c>
      <c r="AG1286" s="1" t="s">
        <v>56</v>
      </c>
      <c r="AI1286" s="2">
        <v>2637885.94</v>
      </c>
    </row>
    <row r="1287" spans="1:38" ht="12.6" customHeight="1" x14ac:dyDescent="0.2">
      <c r="A1287" s="1" t="s">
        <v>57</v>
      </c>
      <c r="B1287" s="9" t="s">
        <v>39</v>
      </c>
      <c r="C1287" s="1" t="s">
        <v>58</v>
      </c>
      <c r="D1287" s="1" t="s">
        <v>59</v>
      </c>
      <c r="E1287" s="1" t="s">
        <v>42</v>
      </c>
      <c r="G1287" s="1" t="s">
        <v>105</v>
      </c>
      <c r="H1287" s="1" t="s">
        <v>1893</v>
      </c>
      <c r="I1287" s="1" t="s">
        <v>5168</v>
      </c>
      <c r="J1287" s="1">
        <v>2023</v>
      </c>
      <c r="K1287" s="1" t="s">
        <v>5169</v>
      </c>
      <c r="L1287" s="1" t="s">
        <v>5170</v>
      </c>
      <c r="M1287" s="1" t="s">
        <v>5171</v>
      </c>
      <c r="P1287" s="1" t="s">
        <v>5172</v>
      </c>
      <c r="Q1287" s="1" t="s">
        <v>1149</v>
      </c>
      <c r="R1287" s="1" t="s">
        <v>1150</v>
      </c>
      <c r="S1287" s="1" t="s">
        <v>1218</v>
      </c>
      <c r="T1287" s="1" t="s">
        <v>1219</v>
      </c>
      <c r="V1287" s="1" t="s">
        <v>1153</v>
      </c>
      <c r="W1287" s="1" t="s">
        <v>5169</v>
      </c>
      <c r="Y1287" s="10">
        <v>45462</v>
      </c>
      <c r="Z1287" s="1">
        <v>2024</v>
      </c>
      <c r="AA1287" s="2">
        <v>1033350.16</v>
      </c>
      <c r="AB1287" s="2"/>
      <c r="AC1287" s="2">
        <v>258337.54</v>
      </c>
      <c r="AD1287" s="1">
        <v>11</v>
      </c>
      <c r="AE1287" s="1">
        <v>11</v>
      </c>
      <c r="AG1287" s="1" t="s">
        <v>56</v>
      </c>
      <c r="AI1287" s="2">
        <v>258337.54</v>
      </c>
    </row>
    <row r="1288" spans="1:38" ht="12.6" customHeight="1" x14ac:dyDescent="0.2">
      <c r="A1288" s="1" t="s">
        <v>57</v>
      </c>
      <c r="B1288" s="9" t="s">
        <v>39</v>
      </c>
      <c r="C1288" s="1" t="s">
        <v>58</v>
      </c>
      <c r="D1288" s="1" t="s">
        <v>59</v>
      </c>
      <c r="E1288" s="1" t="s">
        <v>42</v>
      </c>
      <c r="G1288" s="1" t="s">
        <v>105</v>
      </c>
      <c r="H1288" s="1" t="s">
        <v>1893</v>
      </c>
      <c r="I1288" s="1" t="s">
        <v>5173</v>
      </c>
      <c r="J1288" s="1">
        <v>2023</v>
      </c>
      <c r="K1288" s="1" t="s">
        <v>5174</v>
      </c>
      <c r="P1288" s="1" t="s">
        <v>5175</v>
      </c>
      <c r="Q1288" s="1" t="s">
        <v>264</v>
      </c>
      <c r="R1288" s="1" t="s">
        <v>265</v>
      </c>
      <c r="S1288" s="1" t="s">
        <v>299</v>
      </c>
      <c r="T1288" s="1" t="s">
        <v>300</v>
      </c>
      <c r="U1288" s="1">
        <v>2</v>
      </c>
      <c r="V1288" s="1" t="s">
        <v>268</v>
      </c>
      <c r="W1288" s="1" t="s">
        <v>5176</v>
      </c>
      <c r="Y1288" s="10">
        <v>45594</v>
      </c>
      <c r="Z1288" s="1">
        <v>2024</v>
      </c>
      <c r="AA1288" s="2">
        <v>4187960</v>
      </c>
      <c r="AB1288" s="2"/>
      <c r="AC1288" s="2">
        <v>845393</v>
      </c>
      <c r="AD1288" s="1">
        <v>10</v>
      </c>
      <c r="AE1288" s="1">
        <v>1</v>
      </c>
      <c r="AG1288" s="1" t="s">
        <v>56</v>
      </c>
    </row>
    <row r="1289" spans="1:38" ht="12.6" customHeight="1" x14ac:dyDescent="0.2">
      <c r="A1289" s="1" t="s">
        <v>57</v>
      </c>
      <c r="B1289" s="9" t="s">
        <v>39</v>
      </c>
      <c r="C1289" s="1" t="s">
        <v>58</v>
      </c>
      <c r="D1289" s="1" t="s">
        <v>59</v>
      </c>
      <c r="E1289" s="1" t="s">
        <v>42</v>
      </c>
      <c r="G1289" s="1" t="s">
        <v>122</v>
      </c>
      <c r="H1289" s="1" t="s">
        <v>1893</v>
      </c>
      <c r="I1289" s="1" t="s">
        <v>5177</v>
      </c>
      <c r="J1289" s="1">
        <v>2023</v>
      </c>
      <c r="K1289" s="1" t="s">
        <v>5178</v>
      </c>
      <c r="P1289" s="1" t="s">
        <v>5179</v>
      </c>
      <c r="Q1289" s="1" t="s">
        <v>842</v>
      </c>
      <c r="R1289" s="1" t="s">
        <v>1177</v>
      </c>
      <c r="S1289" s="1" t="s">
        <v>1178</v>
      </c>
      <c r="T1289" s="1" t="s">
        <v>1179</v>
      </c>
      <c r="V1289" s="1" t="s">
        <v>1178</v>
      </c>
      <c r="W1289" s="1" t="s">
        <v>5178</v>
      </c>
      <c r="Y1289" s="10">
        <v>45478</v>
      </c>
      <c r="Z1289" s="1">
        <v>2024</v>
      </c>
      <c r="AA1289" s="2">
        <v>182091.71</v>
      </c>
      <c r="AB1289" s="2"/>
      <c r="AC1289" s="2">
        <v>91045.85</v>
      </c>
      <c r="AD1289" s="1">
        <v>2</v>
      </c>
      <c r="AG1289" s="1" t="s">
        <v>432</v>
      </c>
      <c r="AH1289" s="1" t="s">
        <v>492</v>
      </c>
      <c r="AI1289" s="2">
        <v>0</v>
      </c>
    </row>
    <row r="1290" spans="1:38" ht="12.6" customHeight="1" x14ac:dyDescent="0.2">
      <c r="A1290" s="1" t="s">
        <v>57</v>
      </c>
      <c r="B1290" s="9" t="s">
        <v>38</v>
      </c>
      <c r="C1290" s="1" t="s">
        <v>40</v>
      </c>
      <c r="D1290" s="1" t="s">
        <v>41</v>
      </c>
      <c r="E1290" s="1" t="s">
        <v>200</v>
      </c>
      <c r="F1290" s="1" t="s">
        <v>43</v>
      </c>
      <c r="G1290" s="1" t="s">
        <v>44</v>
      </c>
      <c r="H1290" s="1" t="s">
        <v>45</v>
      </c>
      <c r="I1290" s="1" t="s">
        <v>5180</v>
      </c>
      <c r="J1290" s="1">
        <v>2022</v>
      </c>
      <c r="K1290" s="1" t="s">
        <v>5181</v>
      </c>
      <c r="L1290" s="1" t="s">
        <v>5182</v>
      </c>
      <c r="N1290" s="1" t="s">
        <v>5183</v>
      </c>
      <c r="P1290" s="1" t="s">
        <v>1172</v>
      </c>
      <c r="Q1290" s="1" t="s">
        <v>50</v>
      </c>
      <c r="R1290" s="1" t="s">
        <v>68</v>
      </c>
      <c r="S1290" s="1" t="s">
        <v>814</v>
      </c>
      <c r="T1290" s="1" t="s">
        <v>815</v>
      </c>
      <c r="U1290" s="1">
        <v>2</v>
      </c>
      <c r="V1290" s="1" t="s">
        <v>71</v>
      </c>
      <c r="W1290" s="1" t="s">
        <v>5184</v>
      </c>
      <c r="X1290" s="1" t="s">
        <v>55</v>
      </c>
      <c r="Y1290" s="10">
        <v>45222</v>
      </c>
      <c r="Z1290" s="1">
        <v>2023</v>
      </c>
      <c r="AA1290" s="2">
        <v>219388</v>
      </c>
      <c r="AB1290" s="2"/>
      <c r="AC1290" s="2">
        <v>175510.39999999999</v>
      </c>
      <c r="AG1290" s="1" t="s">
        <v>56</v>
      </c>
      <c r="AI1290" s="2">
        <v>175510.39999999999</v>
      </c>
    </row>
    <row r="1291" spans="1:38" ht="12.6" customHeight="1" x14ac:dyDescent="0.25">
      <c r="A1291" s="1" t="s">
        <v>57</v>
      </c>
      <c r="B1291" s="9" t="s">
        <v>38</v>
      </c>
      <c r="C1291" s="1" t="s">
        <v>58</v>
      </c>
      <c r="D1291" s="1" t="s">
        <v>146</v>
      </c>
      <c r="E1291" s="1" t="s">
        <v>42</v>
      </c>
      <c r="G1291" s="1" t="s">
        <v>155</v>
      </c>
      <c r="H1291" s="1" t="s">
        <v>156</v>
      </c>
      <c r="I1291" s="1" t="s">
        <v>5185</v>
      </c>
      <c r="J1291" s="1">
        <v>2022</v>
      </c>
      <c r="K1291" s="1" t="s">
        <v>5186</v>
      </c>
      <c r="L1291" s="1" t="s">
        <v>5187</v>
      </c>
      <c r="M1291" s="1" t="s">
        <v>5188</v>
      </c>
      <c r="P1291" s="1" t="s">
        <v>1176</v>
      </c>
      <c r="Q1291" s="1" t="s">
        <v>842</v>
      </c>
      <c r="R1291" s="1" t="s">
        <v>1177</v>
      </c>
      <c r="S1291" s="16" t="s">
        <v>1178</v>
      </c>
      <c r="T1291" s="1" t="s">
        <v>1179</v>
      </c>
      <c r="V1291" s="1" t="s">
        <v>1178</v>
      </c>
      <c r="W1291" s="1" t="s">
        <v>5189</v>
      </c>
      <c r="Y1291" s="10">
        <v>45112</v>
      </c>
      <c r="Z1291" s="1">
        <v>2023</v>
      </c>
      <c r="AA1291" s="2">
        <v>359975</v>
      </c>
      <c r="AB1291" s="2"/>
      <c r="AC1291" s="2">
        <v>359975</v>
      </c>
      <c r="AG1291" s="1" t="s">
        <v>56</v>
      </c>
      <c r="AI1291" s="2">
        <v>359975</v>
      </c>
    </row>
    <row r="1292" spans="1:38" ht="12.6" customHeight="1" x14ac:dyDescent="0.2">
      <c r="A1292" s="1" t="s">
        <v>57</v>
      </c>
      <c r="B1292" s="9" t="s">
        <v>39</v>
      </c>
      <c r="C1292" s="1" t="s">
        <v>58</v>
      </c>
      <c r="D1292" s="1" t="s">
        <v>146</v>
      </c>
      <c r="E1292" s="1" t="s">
        <v>42</v>
      </c>
      <c r="G1292" s="1" t="s">
        <v>147</v>
      </c>
      <c r="H1292" s="1" t="s">
        <v>148</v>
      </c>
      <c r="I1292" s="1" t="s">
        <v>5190</v>
      </c>
      <c r="J1292" s="1">
        <v>2021</v>
      </c>
      <c r="K1292" s="1" t="s">
        <v>5191</v>
      </c>
      <c r="L1292" s="1" t="s">
        <v>5192</v>
      </c>
      <c r="M1292" s="1" t="s">
        <v>5193</v>
      </c>
      <c r="P1292" s="1" t="s">
        <v>1774</v>
      </c>
      <c r="Q1292" s="1" t="s">
        <v>50</v>
      </c>
      <c r="R1292" s="1" t="s">
        <v>77</v>
      </c>
      <c r="S1292" s="1" t="s">
        <v>1775</v>
      </c>
      <c r="T1292" s="1" t="s">
        <v>1776</v>
      </c>
      <c r="U1292" s="1">
        <v>1</v>
      </c>
      <c r="V1292" s="1" t="s">
        <v>186</v>
      </c>
      <c r="W1292" s="1" t="s">
        <v>5191</v>
      </c>
      <c r="X1292" s="1" t="s">
        <v>599</v>
      </c>
      <c r="Y1292" s="10">
        <v>44559</v>
      </c>
      <c r="Z1292" s="1">
        <v>2021</v>
      </c>
      <c r="AA1292" s="2">
        <v>94868.86</v>
      </c>
      <c r="AB1292" s="2"/>
      <c r="AC1292" s="2">
        <v>71151.649999999994</v>
      </c>
      <c r="AD1292" s="1">
        <v>0.5</v>
      </c>
      <c r="AG1292" s="1" t="s">
        <v>432</v>
      </c>
      <c r="AH1292" s="1" t="s">
        <v>5150</v>
      </c>
      <c r="AI1292" s="2">
        <v>0</v>
      </c>
      <c r="AL1292" s="1" t="s">
        <v>1744</v>
      </c>
    </row>
    <row r="1293" spans="1:38" ht="12.6" customHeight="1" x14ac:dyDescent="0.2">
      <c r="A1293" s="1" t="s">
        <v>57</v>
      </c>
      <c r="B1293" s="9" t="s">
        <v>39</v>
      </c>
      <c r="C1293" s="1" t="s">
        <v>58</v>
      </c>
      <c r="D1293" s="1" t="s">
        <v>146</v>
      </c>
      <c r="E1293" s="1" t="s">
        <v>42</v>
      </c>
      <c r="G1293" s="1" t="s">
        <v>1172</v>
      </c>
      <c r="H1293" s="1" t="s">
        <v>61</v>
      </c>
      <c r="I1293" s="1" t="s">
        <v>5194</v>
      </c>
      <c r="J1293" s="1">
        <v>2020</v>
      </c>
      <c r="K1293" s="1" t="s">
        <v>5195</v>
      </c>
      <c r="P1293" s="1" t="s">
        <v>5196</v>
      </c>
      <c r="Q1293" s="1" t="s">
        <v>50</v>
      </c>
      <c r="R1293" s="1" t="s">
        <v>77</v>
      </c>
      <c r="S1293" s="1" t="s">
        <v>5197</v>
      </c>
      <c r="T1293" s="1" t="s">
        <v>5198</v>
      </c>
      <c r="U1293" s="1">
        <v>2</v>
      </c>
      <c r="V1293" s="1" t="s">
        <v>186</v>
      </c>
      <c r="W1293" s="1" t="s">
        <v>5195</v>
      </c>
      <c r="X1293" s="1" t="s">
        <v>138</v>
      </c>
      <c r="Y1293" s="10">
        <v>44337</v>
      </c>
      <c r="Z1293" s="1">
        <v>2021</v>
      </c>
      <c r="AA1293" s="2">
        <v>1000000</v>
      </c>
      <c r="AB1293" s="2"/>
      <c r="AC1293" s="2">
        <v>500000</v>
      </c>
      <c r="AD1293" s="1">
        <v>20</v>
      </c>
      <c r="AE1293" s="1">
        <v>18</v>
      </c>
      <c r="AG1293" s="1" t="s">
        <v>432</v>
      </c>
      <c r="AH1293" s="1" t="s">
        <v>4485</v>
      </c>
      <c r="AI1293" s="2">
        <v>0</v>
      </c>
      <c r="AK1293" s="1">
        <v>20</v>
      </c>
      <c r="AL1293" s="1" t="s">
        <v>5199</v>
      </c>
    </row>
    <row r="1294" spans="1:38" ht="12.6" customHeight="1" x14ac:dyDescent="0.2">
      <c r="A1294" s="1" t="s">
        <v>57</v>
      </c>
      <c r="B1294" s="9" t="s">
        <v>38</v>
      </c>
      <c r="C1294" s="1" t="s">
        <v>40</v>
      </c>
      <c r="D1294" s="1" t="s">
        <v>41</v>
      </c>
      <c r="E1294" s="1" t="s">
        <v>42</v>
      </c>
      <c r="F1294" s="1" t="s">
        <v>4146</v>
      </c>
      <c r="G1294" s="1" t="s">
        <v>4147</v>
      </c>
      <c r="H1294" s="1" t="s">
        <v>45</v>
      </c>
      <c r="I1294" s="1" t="s">
        <v>5200</v>
      </c>
      <c r="J1294" s="1">
        <v>2024</v>
      </c>
      <c r="K1294" s="1" t="s">
        <v>5201</v>
      </c>
      <c r="L1294" s="1" t="s">
        <v>5202</v>
      </c>
      <c r="M1294" s="1" t="s">
        <v>5203</v>
      </c>
      <c r="N1294" s="1" t="s">
        <v>5204</v>
      </c>
      <c r="P1294" s="1" t="s">
        <v>5205</v>
      </c>
      <c r="Q1294" s="1" t="s">
        <v>50</v>
      </c>
      <c r="R1294" s="1" t="s">
        <v>68</v>
      </c>
      <c r="S1294" s="1" t="s">
        <v>69</v>
      </c>
      <c r="T1294" s="1" t="s">
        <v>70</v>
      </c>
      <c r="U1294" s="1">
        <v>1</v>
      </c>
      <c r="V1294" s="1" t="s">
        <v>71</v>
      </c>
      <c r="W1294" s="1" t="s">
        <v>5206</v>
      </c>
      <c r="X1294" s="1" t="s">
        <v>5207</v>
      </c>
      <c r="Y1294" s="10">
        <v>45834</v>
      </c>
      <c r="Z1294" s="1">
        <v>2025</v>
      </c>
      <c r="AA1294" s="2">
        <v>3448712</v>
      </c>
      <c r="AB1294" s="2"/>
      <c r="AC1294" s="2">
        <v>1207049</v>
      </c>
      <c r="AG1294" s="1" t="s">
        <v>56</v>
      </c>
      <c r="AI1294" s="2">
        <v>1207049</v>
      </c>
    </row>
    <row r="1295" spans="1:38" ht="12.6" customHeight="1" x14ac:dyDescent="0.2">
      <c r="A1295" s="1" t="s">
        <v>57</v>
      </c>
      <c r="B1295" s="9" t="s">
        <v>38</v>
      </c>
      <c r="C1295" s="1" t="s">
        <v>40</v>
      </c>
      <c r="D1295" s="1" t="s">
        <v>41</v>
      </c>
      <c r="E1295" s="1" t="s">
        <v>200</v>
      </c>
      <c r="F1295" s="1" t="s">
        <v>230</v>
      </c>
      <c r="G1295" s="1" t="s">
        <v>231</v>
      </c>
      <c r="H1295" s="1" t="s">
        <v>45</v>
      </c>
      <c r="I1295" s="1" t="s">
        <v>5208</v>
      </c>
      <c r="J1295" s="1">
        <v>2022</v>
      </c>
      <c r="K1295" s="1" t="s">
        <v>5209</v>
      </c>
      <c r="L1295" s="1" t="s">
        <v>5210</v>
      </c>
      <c r="M1295" s="1" t="s">
        <v>5211</v>
      </c>
      <c r="N1295" s="1" t="s">
        <v>5212</v>
      </c>
      <c r="P1295" s="1" t="s">
        <v>5213</v>
      </c>
      <c r="Q1295" s="1" t="s">
        <v>50</v>
      </c>
      <c r="R1295" s="1" t="s">
        <v>68</v>
      </c>
      <c r="S1295" s="1" t="s">
        <v>189</v>
      </c>
      <c r="T1295" s="1" t="s">
        <v>190</v>
      </c>
      <c r="U1295" s="1">
        <v>1</v>
      </c>
      <c r="V1295" s="1" t="s">
        <v>71</v>
      </c>
      <c r="W1295" s="1" t="s">
        <v>5214</v>
      </c>
      <c r="X1295" s="1" t="s">
        <v>240</v>
      </c>
      <c r="Y1295" s="10">
        <v>45254</v>
      </c>
      <c r="Z1295" s="1">
        <v>2023</v>
      </c>
      <c r="AA1295" s="2">
        <v>1439968</v>
      </c>
      <c r="AB1295" s="2"/>
      <c r="AC1295" s="2">
        <v>499995</v>
      </c>
      <c r="AG1295" s="1" t="s">
        <v>56</v>
      </c>
      <c r="AI1295" s="2">
        <v>499995</v>
      </c>
    </row>
    <row r="1296" spans="1:38" ht="12.6" customHeight="1" x14ac:dyDescent="0.2">
      <c r="A1296" s="1" t="s">
        <v>57</v>
      </c>
      <c r="B1296" s="9" t="s">
        <v>38</v>
      </c>
      <c r="C1296" s="1" t="s">
        <v>58</v>
      </c>
      <c r="D1296" s="1" t="s">
        <v>146</v>
      </c>
      <c r="E1296" s="1" t="s">
        <v>42</v>
      </c>
      <c r="G1296" s="1" t="s">
        <v>155</v>
      </c>
      <c r="H1296" s="1" t="s">
        <v>156</v>
      </c>
      <c r="I1296" s="1" t="s">
        <v>5215</v>
      </c>
      <c r="J1296" s="1">
        <v>2022</v>
      </c>
      <c r="K1296" s="1" t="s">
        <v>5216</v>
      </c>
      <c r="L1296" s="1" t="s">
        <v>5217</v>
      </c>
      <c r="P1296" s="1" t="s">
        <v>3646</v>
      </c>
      <c r="Q1296" s="1" t="s">
        <v>1149</v>
      </c>
      <c r="R1296" s="1" t="s">
        <v>1150</v>
      </c>
      <c r="S1296" s="1" t="s">
        <v>2749</v>
      </c>
      <c r="T1296" s="1" t="s">
        <v>2750</v>
      </c>
      <c r="V1296" s="1" t="s">
        <v>1537</v>
      </c>
      <c r="W1296" s="1" t="s">
        <v>5218</v>
      </c>
      <c r="Y1296" s="10">
        <v>45112</v>
      </c>
      <c r="Z1296" s="1">
        <v>2023</v>
      </c>
      <c r="AA1296" s="2">
        <v>184211.1</v>
      </c>
      <c r="AB1296" s="2"/>
      <c r="AC1296" s="2">
        <v>184211.1</v>
      </c>
      <c r="AG1296" s="1" t="s">
        <v>56</v>
      </c>
      <c r="AI1296" s="2">
        <v>184211.1</v>
      </c>
    </row>
    <row r="1297" spans="1:38" ht="12.6" customHeight="1" x14ac:dyDescent="0.25">
      <c r="A1297" s="1" t="s">
        <v>57</v>
      </c>
      <c r="B1297" s="9" t="s">
        <v>39</v>
      </c>
      <c r="C1297" s="1" t="s">
        <v>40</v>
      </c>
      <c r="D1297" s="1" t="s">
        <v>41</v>
      </c>
      <c r="E1297" s="1" t="s">
        <v>200</v>
      </c>
      <c r="F1297" s="1" t="s">
        <v>215</v>
      </c>
      <c r="G1297" s="1" t="s">
        <v>3993</v>
      </c>
      <c r="H1297" s="1" t="s">
        <v>45</v>
      </c>
      <c r="I1297" s="1" t="s">
        <v>5219</v>
      </c>
      <c r="J1297" s="1">
        <v>2022</v>
      </c>
      <c r="K1297" s="1" t="s">
        <v>5220</v>
      </c>
      <c r="L1297" s="1" t="s">
        <v>5221</v>
      </c>
      <c r="M1297" s="1" t="s">
        <v>5222</v>
      </c>
      <c r="P1297" s="1" t="s">
        <v>5223</v>
      </c>
      <c r="Q1297" s="1" t="s">
        <v>842</v>
      </c>
      <c r="R1297" s="1" t="s">
        <v>1177</v>
      </c>
      <c r="S1297" s="16" t="s">
        <v>1178</v>
      </c>
      <c r="T1297" s="1" t="s">
        <v>1179</v>
      </c>
      <c r="V1297" s="1" t="s">
        <v>1178</v>
      </c>
      <c r="W1297" s="1" t="s">
        <v>5221</v>
      </c>
      <c r="X1297" s="1" t="s">
        <v>55</v>
      </c>
      <c r="Y1297" s="10">
        <v>45082</v>
      </c>
      <c r="Z1297" s="1">
        <v>2023</v>
      </c>
      <c r="AA1297" s="2">
        <v>70163479</v>
      </c>
      <c r="AB1297" s="2"/>
      <c r="AC1297" s="2">
        <v>15000000</v>
      </c>
      <c r="AD1297" s="1">
        <v>60</v>
      </c>
      <c r="AG1297" s="1" t="s">
        <v>432</v>
      </c>
      <c r="AH1297" s="1" t="s">
        <v>492</v>
      </c>
      <c r="AI1297" s="2">
        <v>0</v>
      </c>
    </row>
    <row r="1298" spans="1:38" ht="12.6" customHeight="1" thickBot="1" x14ac:dyDescent="0.25">
      <c r="A1298" s="1" t="s">
        <v>57</v>
      </c>
      <c r="B1298" s="9" t="s">
        <v>39</v>
      </c>
      <c r="C1298" s="1" t="s">
        <v>40</v>
      </c>
      <c r="D1298" s="1" t="s">
        <v>41</v>
      </c>
      <c r="E1298" s="1" t="s">
        <v>200</v>
      </c>
      <c r="F1298" s="1" t="s">
        <v>215</v>
      </c>
      <c r="G1298" s="1" t="s">
        <v>3993</v>
      </c>
      <c r="H1298" s="1" t="s">
        <v>45</v>
      </c>
      <c r="I1298" s="1" t="s">
        <v>5224</v>
      </c>
      <c r="J1298" s="1">
        <v>2022</v>
      </c>
      <c r="K1298" s="1" t="s">
        <v>5225</v>
      </c>
      <c r="L1298" s="1" t="s">
        <v>5226</v>
      </c>
      <c r="P1298" s="1" t="s">
        <v>4105</v>
      </c>
      <c r="Q1298" s="1" t="s">
        <v>1149</v>
      </c>
      <c r="R1298" s="1" t="s">
        <v>1150</v>
      </c>
      <c r="S1298" s="1" t="s">
        <v>1535</v>
      </c>
      <c r="T1298" s="1" t="s">
        <v>1536</v>
      </c>
      <c r="V1298" s="1" t="s">
        <v>1537</v>
      </c>
      <c r="W1298" s="1" t="s">
        <v>5225</v>
      </c>
      <c r="X1298" s="1" t="s">
        <v>55</v>
      </c>
      <c r="Y1298" s="10">
        <v>45082</v>
      </c>
      <c r="Z1298" s="1">
        <v>2023</v>
      </c>
      <c r="AA1298" s="2">
        <v>38861921.039999999</v>
      </c>
      <c r="AB1298" s="2"/>
      <c r="AC1298" s="2">
        <v>15000000</v>
      </c>
      <c r="AD1298" s="1">
        <v>238</v>
      </c>
      <c r="AG1298" s="1" t="s">
        <v>56</v>
      </c>
      <c r="AI1298" s="2">
        <v>15000000</v>
      </c>
      <c r="AL1298" s="48"/>
    </row>
    <row r="1299" spans="1:38" ht="12.6" customHeight="1" x14ac:dyDescent="0.25">
      <c r="A1299" s="1" t="s">
        <v>38</v>
      </c>
      <c r="B1299" s="9" t="s">
        <v>38</v>
      </c>
      <c r="C1299" s="1" t="s">
        <v>40</v>
      </c>
      <c r="D1299" s="1" t="s">
        <v>41</v>
      </c>
      <c r="E1299" s="1" t="s">
        <v>5227</v>
      </c>
      <c r="F1299" s="1" t="s">
        <v>230</v>
      </c>
      <c r="G1299" s="1" t="s">
        <v>231</v>
      </c>
      <c r="H1299" s="1" t="s">
        <v>45</v>
      </c>
      <c r="I1299" s="1" t="s">
        <v>5228</v>
      </c>
      <c r="J1299" s="1">
        <v>2022</v>
      </c>
      <c r="K1299" s="1" t="s">
        <v>5229</v>
      </c>
      <c r="L1299" s="8" t="s">
        <v>5230</v>
      </c>
      <c r="P1299" s="1" t="s">
        <v>5231</v>
      </c>
      <c r="Q1299" s="1" t="s">
        <v>1149</v>
      </c>
      <c r="R1299" s="1" t="s">
        <v>1150</v>
      </c>
      <c r="S1299" s="1" t="s">
        <v>3328</v>
      </c>
      <c r="T1299" s="1" t="s">
        <v>3329</v>
      </c>
      <c r="V1299" s="1" t="s">
        <v>1153</v>
      </c>
      <c r="W1299" s="1" t="s">
        <v>5232</v>
      </c>
      <c r="X1299" s="1" t="s">
        <v>240</v>
      </c>
      <c r="Y1299" s="10">
        <v>45254</v>
      </c>
      <c r="Z1299" s="1">
        <v>2023</v>
      </c>
      <c r="AA1299" s="49">
        <v>1905856.26</v>
      </c>
      <c r="AB1299" s="2"/>
      <c r="AC1299" s="4">
        <v>498890.94234710198</v>
      </c>
      <c r="AG1299" s="1" t="s">
        <v>56</v>
      </c>
      <c r="AI1299" s="4">
        <v>498890.94234710239</v>
      </c>
      <c r="AL1299" s="1" t="s">
        <v>5233</v>
      </c>
    </row>
    <row r="1300" spans="1:38" x14ac:dyDescent="0.2">
      <c r="AA1300" s="10"/>
      <c r="AB1300" s="10"/>
      <c r="AC1300" s="10"/>
    </row>
    <row r="1301" spans="1:38" x14ac:dyDescent="0.2">
      <c r="Z1301" s="10"/>
      <c r="AA1301" s="10"/>
      <c r="AB1301" s="10"/>
      <c r="AC1301" s="10"/>
    </row>
    <row r="1302" spans="1:38" x14ac:dyDescent="0.2">
      <c r="Z1302" s="10"/>
      <c r="AA1302" s="10"/>
      <c r="AB1302" s="10"/>
    </row>
    <row r="1303" spans="1:38" x14ac:dyDescent="0.2">
      <c r="Z1303" s="10"/>
      <c r="AA1303" s="10"/>
      <c r="AB1303" s="10"/>
    </row>
    <row r="1304" spans="1:38" x14ac:dyDescent="0.2">
      <c r="Z1304" s="10"/>
      <c r="AA1304" s="10"/>
      <c r="AB1304" s="10"/>
    </row>
    <row r="1305" spans="1:38" x14ac:dyDescent="0.2">
      <c r="Z1305" s="10"/>
      <c r="AA1305" s="10"/>
      <c r="AB1305" s="10"/>
    </row>
    <row r="1306" spans="1:38" x14ac:dyDescent="0.2">
      <c r="Z1306" s="10"/>
      <c r="AA1306" s="10"/>
      <c r="AB1306" s="10"/>
    </row>
    <row r="1307" spans="1:38" x14ac:dyDescent="0.2">
      <c r="Z1307" s="10"/>
      <c r="AA1307" s="10"/>
      <c r="AB1307" s="10"/>
    </row>
  </sheetData>
  <conditionalFormatting sqref="I1298">
    <cfRule type="duplicateValues" dxfId="43" priority="1"/>
  </conditionalFormatting>
  <conditionalFormatting sqref="I1316:I1048576 I1299:I1307 I1308:L1315 I1:I1297">
    <cfRule type="duplicateValues" dxfId="42" priority="2"/>
  </conditionalFormatting>
  <hyperlinks>
    <hyperlink ref="M689" r:id="rId1" display="https://www.xermade.org/comunidade-de-enerxias-renovables-xerando/" xr:uid="{17826D2C-7CE8-45AD-9DC8-7878708AA726}"/>
    <hyperlink ref="M186" r:id="rId2" xr:uid="{85B1A665-C6E5-49FF-B172-9320306D5A90}"/>
    <hyperlink ref="M314" r:id="rId3" xr:uid="{A459D5F8-2507-4DE6-B436-5B774E4896BF}"/>
  </hyperlinks>
  <pageMargins left="0.7" right="0.7" top="0.75" bottom="0.75" header="0.3" footer="0.3"/>
  <pageSetup paperSize="9" orientation="portrait"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9198-3D82-4BBE-96CF-5C4935730CE6}">
  <sheetPr>
    <tabColor rgb="FFFF0000"/>
  </sheetPr>
  <dimension ref="A1:BB1308"/>
  <sheetViews>
    <sheetView topLeftCell="I1" zoomScale="115" zoomScaleNormal="115" workbookViewId="0">
      <pane ySplit="1" topLeftCell="A1267" activePane="bottomLeft" state="frozen"/>
      <selection activeCell="N3748" sqref="N3748"/>
      <selection pane="bottomLeft" activeCell="AF1301" sqref="AF1301"/>
    </sheetView>
  </sheetViews>
  <sheetFormatPr baseColWidth="10" defaultColWidth="11.42578125" defaultRowHeight="12.75" x14ac:dyDescent="0.2"/>
  <cols>
    <col min="1" max="1" width="9.5703125" style="1" customWidth="1"/>
    <col min="2" max="2" width="9.5703125" style="9" customWidth="1"/>
    <col min="3" max="3" width="5.28515625" style="1" customWidth="1"/>
    <col min="4" max="4" width="12.42578125" style="1" customWidth="1"/>
    <col min="5" max="5" width="6.5703125" style="1" customWidth="1"/>
    <col min="6" max="6" width="12.140625" style="1" customWidth="1"/>
    <col min="7" max="7" width="9.140625" style="1" customWidth="1"/>
    <col min="8" max="8" width="23.140625" style="1" customWidth="1"/>
    <col min="9" max="9" width="21.7109375" style="1" customWidth="1"/>
    <col min="10" max="10" width="6.42578125" style="1" customWidth="1"/>
    <col min="11" max="11" width="20.7109375" style="1" customWidth="1"/>
    <col min="12" max="12" width="21" style="1" customWidth="1"/>
    <col min="13" max="13" width="20.7109375" style="1" customWidth="1"/>
    <col min="14" max="14" width="27.85546875" style="1" customWidth="1"/>
    <col min="15" max="15" width="13.140625" style="1" customWidth="1"/>
    <col min="16" max="16" width="23.7109375" style="1" customWidth="1"/>
    <col min="17" max="18" width="9.28515625" style="1" customWidth="1"/>
    <col min="19" max="19" width="24.28515625" style="1" customWidth="1"/>
    <col min="20" max="20" width="6.7109375" style="1" customWidth="1"/>
    <col min="21" max="22" width="9.28515625" style="1" customWidth="1"/>
    <col min="23" max="23" width="40.140625" style="1" customWidth="1"/>
    <col min="24" max="24" width="9.28515625" style="1" customWidth="1"/>
    <col min="25" max="25" width="11.7109375" style="10" customWidth="1"/>
    <col min="26" max="26" width="9.28515625" style="1" customWidth="1"/>
    <col min="27" max="27" width="18.5703125" style="1" customWidth="1"/>
    <col min="28" max="28" width="11.28515625" style="1" customWidth="1"/>
    <col min="29" max="29" width="17.85546875" style="1" customWidth="1"/>
    <col min="30" max="30" width="20.42578125" style="1" bestFit="1" customWidth="1"/>
    <col min="31" max="31" width="17.28515625" style="1" customWidth="1"/>
    <col min="32" max="32" width="10.7109375" style="1" customWidth="1"/>
    <col min="33" max="33" width="9.7109375" style="1" customWidth="1"/>
    <col min="34" max="34" width="21" style="1" customWidth="1"/>
    <col min="35" max="35" width="20.5703125" style="2" customWidth="1"/>
    <col min="36" max="36" width="17.28515625" style="1" customWidth="1"/>
    <col min="37" max="37" width="55.28515625" style="1" bestFit="1" customWidth="1"/>
    <col min="38" max="38" width="255.7109375" style="1" bestFit="1" customWidth="1"/>
    <col min="39" max="16384" width="11.42578125" style="1"/>
  </cols>
  <sheetData>
    <row r="1" spans="1:38" s="5" customFormat="1" ht="51.6" customHeight="1" x14ac:dyDescent="0.2">
      <c r="A1" s="5" t="s">
        <v>0</v>
      </c>
      <c r="B1" s="6" t="s">
        <v>1</v>
      </c>
      <c r="C1" s="5" t="s">
        <v>2</v>
      </c>
      <c r="D1" s="5" t="s">
        <v>3</v>
      </c>
      <c r="E1" s="5" t="s">
        <v>4</v>
      </c>
      <c r="F1" s="5" t="s">
        <v>5</v>
      </c>
      <c r="G1" s="5" t="s">
        <v>6</v>
      </c>
      <c r="H1" s="5" t="s">
        <v>7</v>
      </c>
      <c r="I1" s="5" t="s">
        <v>8</v>
      </c>
      <c r="J1" s="5" t="s">
        <v>9</v>
      </c>
      <c r="K1" s="50" t="s">
        <v>10</v>
      </c>
      <c r="L1" s="50" t="s">
        <v>11</v>
      </c>
      <c r="M1" s="50" t="s">
        <v>12</v>
      </c>
      <c r="N1" s="50" t="s">
        <v>13</v>
      </c>
      <c r="O1" s="50" t="s">
        <v>14</v>
      </c>
      <c r="P1" s="5" t="s">
        <v>15</v>
      </c>
      <c r="Q1" s="5" t="s">
        <v>16</v>
      </c>
      <c r="R1" s="5" t="s">
        <v>17</v>
      </c>
      <c r="S1" s="5" t="s">
        <v>18</v>
      </c>
      <c r="T1" s="5" t="s">
        <v>19</v>
      </c>
      <c r="U1" s="5" t="s">
        <v>20</v>
      </c>
      <c r="V1" s="5" t="s">
        <v>21</v>
      </c>
      <c r="W1" s="5" t="s">
        <v>22</v>
      </c>
      <c r="X1" s="5" t="s">
        <v>23</v>
      </c>
      <c r="Y1" s="7" t="s">
        <v>24</v>
      </c>
      <c r="Z1" s="5" t="s">
        <v>25</v>
      </c>
      <c r="AA1" s="5" t="s">
        <v>26</v>
      </c>
      <c r="AB1" s="5" t="s">
        <v>27</v>
      </c>
      <c r="AC1" s="5" t="s">
        <v>28</v>
      </c>
      <c r="AD1" s="5" t="s">
        <v>29</v>
      </c>
      <c r="AE1" s="5" t="s">
        <v>30</v>
      </c>
      <c r="AF1" s="5" t="s">
        <v>31</v>
      </c>
      <c r="AG1" s="5" t="s">
        <v>32</v>
      </c>
      <c r="AH1" s="5" t="s">
        <v>33</v>
      </c>
      <c r="AI1" s="5" t="s">
        <v>34</v>
      </c>
      <c r="AJ1" s="5" t="s">
        <v>35</v>
      </c>
      <c r="AK1" s="5" t="s">
        <v>36</v>
      </c>
      <c r="AL1" s="5" t="s">
        <v>37</v>
      </c>
    </row>
    <row r="2" spans="1:38" ht="14.45" customHeight="1" x14ac:dyDescent="0.2">
      <c r="A2" s="1" t="s">
        <v>38</v>
      </c>
      <c r="B2" s="9" t="s">
        <v>39</v>
      </c>
      <c r="C2" s="1" t="s">
        <v>40</v>
      </c>
      <c r="D2" s="1" t="s">
        <v>41</v>
      </c>
      <c r="E2" s="1" t="s">
        <v>42</v>
      </c>
      <c r="F2" s="1" t="s">
        <v>43</v>
      </c>
      <c r="G2" s="1" t="s">
        <v>44</v>
      </c>
      <c r="H2" s="1" t="s">
        <v>45</v>
      </c>
      <c r="I2" s="1" t="s">
        <v>46</v>
      </c>
      <c r="J2" s="1">
        <v>2022</v>
      </c>
      <c r="K2" s="1" t="s">
        <v>47</v>
      </c>
      <c r="L2" s="1" t="s">
        <v>48</v>
      </c>
      <c r="P2" s="1" t="s">
        <v>49</v>
      </c>
      <c r="Q2" s="1" t="s">
        <v>50</v>
      </c>
      <c r="R2" s="1" t="s">
        <v>51</v>
      </c>
      <c r="S2" s="1" t="s">
        <v>52</v>
      </c>
      <c r="T2" s="1" t="s">
        <v>53</v>
      </c>
      <c r="V2" s="1" t="s">
        <v>54</v>
      </c>
      <c r="W2" s="1" t="s">
        <v>47</v>
      </c>
      <c r="X2" s="1" t="s">
        <v>55</v>
      </c>
      <c r="Y2" s="10">
        <v>45222</v>
      </c>
      <c r="Z2" s="1">
        <v>2023</v>
      </c>
      <c r="AA2" s="2">
        <v>229478.24</v>
      </c>
      <c r="AB2" s="2"/>
      <c r="AC2" s="2">
        <v>183582.59</v>
      </c>
      <c r="AG2" s="1" t="s">
        <v>56</v>
      </c>
      <c r="AI2" s="2">
        <v>183582.59</v>
      </c>
    </row>
    <row r="3" spans="1:38" ht="14.45" customHeight="1" x14ac:dyDescent="0.2">
      <c r="A3" s="1" t="s">
        <v>57</v>
      </c>
      <c r="B3" s="9" t="s">
        <v>38</v>
      </c>
      <c r="C3" s="1" t="s">
        <v>58</v>
      </c>
      <c r="D3" s="1" t="s">
        <v>59</v>
      </c>
      <c r="E3" s="1" t="s">
        <v>42</v>
      </c>
      <c r="G3" s="1" t="s">
        <v>60</v>
      </c>
      <c r="H3" s="1" t="s">
        <v>61</v>
      </c>
      <c r="I3" s="1" t="s">
        <v>62</v>
      </c>
      <c r="J3" s="1">
        <v>2016</v>
      </c>
      <c r="K3" s="1" t="s">
        <v>63</v>
      </c>
      <c r="L3" s="1" t="s">
        <v>64</v>
      </c>
      <c r="M3" s="1" t="s">
        <v>65</v>
      </c>
      <c r="N3" s="1" t="s">
        <v>66</v>
      </c>
      <c r="P3" s="1" t="s">
        <v>67</v>
      </c>
      <c r="Q3" s="1" t="s">
        <v>50</v>
      </c>
      <c r="R3" s="1" t="s">
        <v>68</v>
      </c>
      <c r="S3" s="1" t="s">
        <v>69</v>
      </c>
      <c r="T3" s="1" t="s">
        <v>70</v>
      </c>
      <c r="U3" s="1">
        <v>1</v>
      </c>
      <c r="V3" s="1" t="s">
        <v>71</v>
      </c>
      <c r="W3" s="1" t="s">
        <v>63</v>
      </c>
      <c r="Y3" s="10">
        <v>44255</v>
      </c>
      <c r="Z3" s="1">
        <v>2021</v>
      </c>
      <c r="AA3" s="2">
        <v>3267135.94</v>
      </c>
      <c r="AB3" s="2"/>
      <c r="AC3" s="2">
        <v>300000</v>
      </c>
      <c r="AD3" s="1">
        <v>3</v>
      </c>
      <c r="AG3" s="1" t="s">
        <v>56</v>
      </c>
      <c r="AI3" s="2">
        <v>300000</v>
      </c>
    </row>
    <row r="4" spans="1:38" ht="14.45" customHeight="1" x14ac:dyDescent="0.2">
      <c r="A4" s="1" t="s">
        <v>57</v>
      </c>
      <c r="B4" s="9" t="s">
        <v>39</v>
      </c>
      <c r="C4" s="1" t="s">
        <v>58</v>
      </c>
      <c r="D4" s="1" t="s">
        <v>59</v>
      </c>
      <c r="E4" s="1" t="s">
        <v>42</v>
      </c>
      <c r="G4" s="1" t="s">
        <v>60</v>
      </c>
      <c r="H4" s="1" t="s">
        <v>61</v>
      </c>
      <c r="I4" s="1" t="s">
        <v>72</v>
      </c>
      <c r="J4" s="1">
        <v>2016</v>
      </c>
      <c r="K4" s="1" t="s">
        <v>73</v>
      </c>
      <c r="L4" s="1" t="s">
        <v>74</v>
      </c>
      <c r="M4" s="1" t="s">
        <v>75</v>
      </c>
      <c r="P4" s="1" t="s">
        <v>76</v>
      </c>
      <c r="Q4" s="1" t="s">
        <v>50</v>
      </c>
      <c r="R4" s="1" t="s">
        <v>77</v>
      </c>
      <c r="S4" s="1" t="s">
        <v>78</v>
      </c>
      <c r="T4" s="1" t="s">
        <v>79</v>
      </c>
      <c r="U4" s="1">
        <v>2</v>
      </c>
      <c r="V4" s="1" t="s">
        <v>80</v>
      </c>
      <c r="W4" s="1" t="s">
        <v>73</v>
      </c>
      <c r="Y4" s="10">
        <v>44923</v>
      </c>
      <c r="Z4" s="1">
        <v>2022</v>
      </c>
      <c r="AA4" s="2">
        <v>49899000</v>
      </c>
      <c r="AB4" s="2"/>
      <c r="AC4" s="2">
        <v>2494950</v>
      </c>
      <c r="AD4" s="1">
        <v>57</v>
      </c>
      <c r="AE4" s="1">
        <v>15</v>
      </c>
      <c r="AG4" s="1" t="s">
        <v>56</v>
      </c>
      <c r="AI4" s="2">
        <v>2494950</v>
      </c>
    </row>
    <row r="5" spans="1:38" ht="14.45" customHeight="1" x14ac:dyDescent="0.2">
      <c r="A5" s="1" t="s">
        <v>57</v>
      </c>
      <c r="B5" s="9" t="s">
        <v>39</v>
      </c>
      <c r="C5" s="1" t="s">
        <v>58</v>
      </c>
      <c r="D5" s="1" t="s">
        <v>59</v>
      </c>
      <c r="E5" s="1" t="s">
        <v>42</v>
      </c>
      <c r="G5" s="1" t="s">
        <v>60</v>
      </c>
      <c r="H5" s="1" t="s">
        <v>61</v>
      </c>
      <c r="I5" s="1" t="s">
        <v>81</v>
      </c>
      <c r="J5" s="1" t="s">
        <v>82</v>
      </c>
      <c r="K5" s="1" t="s">
        <v>83</v>
      </c>
      <c r="L5" s="1" t="s">
        <v>84</v>
      </c>
      <c r="P5" s="1" t="s">
        <v>85</v>
      </c>
      <c r="Q5" s="1" t="s">
        <v>50</v>
      </c>
      <c r="R5" s="1" t="s">
        <v>77</v>
      </c>
      <c r="S5" s="1" t="s">
        <v>78</v>
      </c>
      <c r="T5" s="1" t="s">
        <v>79</v>
      </c>
      <c r="U5" s="1">
        <v>2</v>
      </c>
      <c r="V5" s="1" t="s">
        <v>80</v>
      </c>
      <c r="W5" s="1" t="s">
        <v>86</v>
      </c>
      <c r="X5" s="1" t="s">
        <v>87</v>
      </c>
      <c r="Y5" s="10">
        <v>43825</v>
      </c>
      <c r="Z5" s="1">
        <v>2019</v>
      </c>
      <c r="AA5" s="2">
        <v>748997.89</v>
      </c>
      <c r="AB5" s="2"/>
      <c r="AC5" s="2">
        <v>42000</v>
      </c>
      <c r="AD5" s="1">
        <v>3</v>
      </c>
      <c r="AG5" s="1" t="s">
        <v>56</v>
      </c>
      <c r="AI5" s="2">
        <v>42000</v>
      </c>
    </row>
    <row r="6" spans="1:38" ht="14.45" customHeight="1" x14ac:dyDescent="0.2">
      <c r="A6" s="1" t="s">
        <v>57</v>
      </c>
      <c r="B6" s="9" t="s">
        <v>39</v>
      </c>
      <c r="C6" s="1" t="s">
        <v>58</v>
      </c>
      <c r="D6" s="1" t="s">
        <v>59</v>
      </c>
      <c r="E6" s="1" t="s">
        <v>42</v>
      </c>
      <c r="G6" s="1" t="s">
        <v>88</v>
      </c>
      <c r="H6" s="1" t="s">
        <v>61</v>
      </c>
      <c r="I6" s="1" t="s">
        <v>89</v>
      </c>
      <c r="J6" s="1" t="s">
        <v>82</v>
      </c>
      <c r="K6" s="1" t="s">
        <v>90</v>
      </c>
      <c r="L6" s="1" t="s">
        <v>90</v>
      </c>
      <c r="M6" s="1" t="s">
        <v>91</v>
      </c>
      <c r="P6" s="1" t="s">
        <v>92</v>
      </c>
      <c r="Q6" s="1" t="s">
        <v>50</v>
      </c>
      <c r="R6" s="1" t="s">
        <v>68</v>
      </c>
      <c r="S6" s="1" t="s">
        <v>93</v>
      </c>
      <c r="T6" s="1" t="s">
        <v>94</v>
      </c>
      <c r="U6" s="1">
        <v>2</v>
      </c>
      <c r="V6" s="1" t="s">
        <v>80</v>
      </c>
      <c r="W6" s="1" t="s">
        <v>90</v>
      </c>
      <c r="X6" s="1" t="s">
        <v>87</v>
      </c>
      <c r="Y6" s="10">
        <v>43825</v>
      </c>
      <c r="Z6" s="1">
        <v>2019</v>
      </c>
      <c r="AA6" s="2">
        <v>78574.37</v>
      </c>
      <c r="AB6" s="2"/>
      <c r="AC6" s="2">
        <v>11786.16</v>
      </c>
      <c r="AD6" s="1">
        <v>1</v>
      </c>
      <c r="AG6" s="1" t="s">
        <v>56</v>
      </c>
      <c r="AI6" s="2">
        <v>11786.16</v>
      </c>
    </row>
    <row r="7" spans="1:38" ht="14.45" customHeight="1" x14ac:dyDescent="0.2">
      <c r="A7" s="1" t="s">
        <v>57</v>
      </c>
      <c r="B7" s="9" t="s">
        <v>38</v>
      </c>
      <c r="C7" s="1" t="s">
        <v>58</v>
      </c>
      <c r="D7" s="1" t="s">
        <v>59</v>
      </c>
      <c r="E7" s="1" t="s">
        <v>42</v>
      </c>
      <c r="G7" s="1" t="s">
        <v>60</v>
      </c>
      <c r="H7" s="1" t="s">
        <v>61</v>
      </c>
      <c r="I7" s="1" t="s">
        <v>95</v>
      </c>
      <c r="J7" s="1">
        <v>2017</v>
      </c>
      <c r="K7" s="1" t="s">
        <v>96</v>
      </c>
      <c r="L7" s="1" t="s">
        <v>97</v>
      </c>
      <c r="M7" s="1" t="s">
        <v>98</v>
      </c>
      <c r="N7" s="1" t="s">
        <v>99</v>
      </c>
      <c r="P7" s="1" t="s">
        <v>100</v>
      </c>
      <c r="Q7" s="1" t="s">
        <v>101</v>
      </c>
      <c r="R7" s="1" t="s">
        <v>102</v>
      </c>
      <c r="S7" s="1" t="s">
        <v>103</v>
      </c>
      <c r="T7" s="1" t="s">
        <v>104</v>
      </c>
      <c r="U7" s="1">
        <v>1</v>
      </c>
      <c r="V7" s="1" t="s">
        <v>101</v>
      </c>
      <c r="W7" s="1" t="s">
        <v>96</v>
      </c>
      <c r="X7" s="1" t="s">
        <v>87</v>
      </c>
      <c r="Y7" s="10">
        <v>44923</v>
      </c>
      <c r="Z7" s="1">
        <v>2022</v>
      </c>
      <c r="AA7" s="2">
        <v>20598890</v>
      </c>
      <c r="AB7" s="2"/>
      <c r="AC7" s="2">
        <v>2625000</v>
      </c>
      <c r="AD7" s="1">
        <v>30</v>
      </c>
      <c r="AE7" s="1">
        <v>8</v>
      </c>
      <c r="AG7" s="1" t="s">
        <v>56</v>
      </c>
      <c r="AI7" s="2">
        <v>2625000</v>
      </c>
    </row>
    <row r="8" spans="1:38" ht="14.45" customHeight="1" x14ac:dyDescent="0.2">
      <c r="A8" s="1" t="s">
        <v>57</v>
      </c>
      <c r="B8" s="9" t="s">
        <v>39</v>
      </c>
      <c r="C8" s="1" t="s">
        <v>58</v>
      </c>
      <c r="D8" s="1" t="s">
        <v>59</v>
      </c>
      <c r="E8" s="1" t="s">
        <v>42</v>
      </c>
      <c r="G8" s="1" t="s">
        <v>105</v>
      </c>
      <c r="H8" s="1" t="s">
        <v>61</v>
      </c>
      <c r="I8" s="1" t="s">
        <v>106</v>
      </c>
      <c r="J8" s="1">
        <v>2023</v>
      </c>
      <c r="K8" s="1" t="s">
        <v>107</v>
      </c>
      <c r="L8" s="1" t="s">
        <v>108</v>
      </c>
      <c r="P8" s="1" t="s">
        <v>109</v>
      </c>
      <c r="Q8" s="1" t="s">
        <v>110</v>
      </c>
      <c r="R8" s="1" t="s">
        <v>111</v>
      </c>
      <c r="S8" s="1" t="s">
        <v>112</v>
      </c>
      <c r="T8" s="1" t="s">
        <v>113</v>
      </c>
      <c r="V8" s="1" t="s">
        <v>114</v>
      </c>
      <c r="W8" s="1" t="s">
        <v>108</v>
      </c>
      <c r="Y8" s="10">
        <v>45462</v>
      </c>
      <c r="Z8" s="1">
        <v>2024</v>
      </c>
      <c r="AA8" s="2">
        <v>6618250</v>
      </c>
      <c r="AB8" s="2"/>
      <c r="AC8" s="2">
        <f>1147930.14+611632.36</f>
        <v>1759562.5</v>
      </c>
      <c r="AD8" s="1">
        <v>10</v>
      </c>
      <c r="AE8" s="1">
        <v>3</v>
      </c>
      <c r="AG8" s="1" t="s">
        <v>56</v>
      </c>
      <c r="AI8" s="2">
        <v>1759562.5</v>
      </c>
      <c r="AL8" s="1" t="s">
        <v>115</v>
      </c>
    </row>
    <row r="9" spans="1:38" ht="14.45" customHeight="1" x14ac:dyDescent="0.2">
      <c r="A9" s="1" t="s">
        <v>57</v>
      </c>
      <c r="B9" s="9" t="s">
        <v>39</v>
      </c>
      <c r="C9" s="1" t="s">
        <v>58</v>
      </c>
      <c r="D9" s="1" t="s">
        <v>59</v>
      </c>
      <c r="E9" s="1" t="s">
        <v>42</v>
      </c>
      <c r="G9" s="1" t="s">
        <v>105</v>
      </c>
      <c r="H9" s="1" t="s">
        <v>61</v>
      </c>
      <c r="I9" s="1" t="s">
        <v>116</v>
      </c>
      <c r="J9" s="1">
        <v>2023</v>
      </c>
      <c r="K9" s="1" t="s">
        <v>117</v>
      </c>
      <c r="L9" s="1" t="s">
        <v>118</v>
      </c>
      <c r="P9" s="1" t="s">
        <v>119</v>
      </c>
      <c r="Q9" s="1" t="s">
        <v>110</v>
      </c>
      <c r="R9" s="1" t="s">
        <v>111</v>
      </c>
      <c r="S9" s="1" t="s">
        <v>120</v>
      </c>
      <c r="T9" s="1" t="s">
        <v>121</v>
      </c>
      <c r="V9" s="1" t="s">
        <v>114</v>
      </c>
      <c r="W9" s="1" t="s">
        <v>117</v>
      </c>
      <c r="Y9" s="10">
        <v>45462</v>
      </c>
      <c r="Z9" s="1">
        <v>2024</v>
      </c>
      <c r="AA9" s="2">
        <v>648129.39</v>
      </c>
      <c r="AB9" s="2"/>
      <c r="AC9" s="2">
        <v>213407.35</v>
      </c>
      <c r="AD9" s="1">
        <v>4.0999999999999996</v>
      </c>
      <c r="AE9" s="1">
        <v>2.25</v>
      </c>
      <c r="AG9" s="1" t="s">
        <v>56</v>
      </c>
      <c r="AI9" s="2">
        <v>213407.35</v>
      </c>
    </row>
    <row r="10" spans="1:38" ht="14.45" customHeight="1" x14ac:dyDescent="0.2">
      <c r="A10" s="1" t="s">
        <v>57</v>
      </c>
      <c r="B10" s="9" t="s">
        <v>39</v>
      </c>
      <c r="C10" s="1" t="s">
        <v>58</v>
      </c>
      <c r="D10" s="1" t="s">
        <v>59</v>
      </c>
      <c r="E10" s="1" t="s">
        <v>42</v>
      </c>
      <c r="G10" s="1" t="s">
        <v>122</v>
      </c>
      <c r="H10" s="1" t="s">
        <v>61</v>
      </c>
      <c r="I10" s="1" t="s">
        <v>123</v>
      </c>
      <c r="J10" s="1">
        <v>2023</v>
      </c>
      <c r="K10" s="1" t="s">
        <v>124</v>
      </c>
      <c r="L10" s="1" t="s">
        <v>124</v>
      </c>
      <c r="M10" s="1" t="s">
        <v>125</v>
      </c>
      <c r="P10" s="1" t="s">
        <v>126</v>
      </c>
      <c r="Q10" s="1" t="s">
        <v>50</v>
      </c>
      <c r="R10" s="1" t="s">
        <v>51</v>
      </c>
      <c r="S10" s="1" t="s">
        <v>52</v>
      </c>
      <c r="T10" s="1" t="s">
        <v>53</v>
      </c>
      <c r="V10" s="1" t="s">
        <v>54</v>
      </c>
      <c r="W10" s="1" t="s">
        <v>124</v>
      </c>
      <c r="Y10" s="10">
        <v>45478</v>
      </c>
      <c r="Z10" s="1">
        <v>2024</v>
      </c>
      <c r="AA10" s="2">
        <v>221000</v>
      </c>
      <c r="AB10" s="2"/>
      <c r="AC10" s="2">
        <v>55250</v>
      </c>
      <c r="AD10" s="1">
        <v>0</v>
      </c>
      <c r="AG10" s="1" t="s">
        <v>56</v>
      </c>
      <c r="AI10" s="2">
        <v>55250</v>
      </c>
    </row>
    <row r="11" spans="1:38" ht="14.45" customHeight="1" x14ac:dyDescent="0.2">
      <c r="A11" s="1" t="s">
        <v>57</v>
      </c>
      <c r="B11" s="9" t="s">
        <v>39</v>
      </c>
      <c r="C11" s="1" t="s">
        <v>58</v>
      </c>
      <c r="D11" s="1" t="s">
        <v>59</v>
      </c>
      <c r="E11" s="1" t="s">
        <v>42</v>
      </c>
      <c r="G11" s="1" t="s">
        <v>122</v>
      </c>
      <c r="H11" s="1" t="s">
        <v>61</v>
      </c>
      <c r="I11" s="1" t="s">
        <v>127</v>
      </c>
      <c r="J11" s="1">
        <v>2023</v>
      </c>
      <c r="K11" s="1" t="s">
        <v>128</v>
      </c>
      <c r="L11" s="1" t="s">
        <v>129</v>
      </c>
      <c r="P11" s="1" t="s">
        <v>130</v>
      </c>
      <c r="Q11" s="1" t="s">
        <v>110</v>
      </c>
      <c r="R11" s="1" t="s">
        <v>111</v>
      </c>
      <c r="S11" s="1" t="s">
        <v>112</v>
      </c>
      <c r="T11" s="1" t="s">
        <v>113</v>
      </c>
      <c r="V11" s="1" t="s">
        <v>114</v>
      </c>
      <c r="W11" s="1" t="s">
        <v>128</v>
      </c>
      <c r="Y11" s="10">
        <v>45478</v>
      </c>
      <c r="Z11" s="1">
        <v>2024</v>
      </c>
      <c r="AA11" s="2">
        <v>174686.68</v>
      </c>
      <c r="AB11" s="2"/>
      <c r="AC11" s="2">
        <v>43671.67</v>
      </c>
      <c r="AD11" s="1">
        <v>0</v>
      </c>
      <c r="AG11" s="1" t="s">
        <v>56</v>
      </c>
      <c r="AI11" s="2">
        <v>43671.67</v>
      </c>
    </row>
    <row r="12" spans="1:38" ht="14.45" customHeight="1" x14ac:dyDescent="0.2">
      <c r="A12" s="1" t="s">
        <v>57</v>
      </c>
      <c r="B12" s="9" t="s">
        <v>39</v>
      </c>
      <c r="C12" s="1" t="s">
        <v>58</v>
      </c>
      <c r="D12" s="1" t="s">
        <v>59</v>
      </c>
      <c r="E12" s="1" t="s">
        <v>42</v>
      </c>
      <c r="G12" s="1" t="s">
        <v>60</v>
      </c>
      <c r="H12" s="1" t="s">
        <v>61</v>
      </c>
      <c r="I12" s="1" t="s">
        <v>131</v>
      </c>
      <c r="J12" s="1">
        <v>2021</v>
      </c>
      <c r="K12" s="1" t="s">
        <v>132</v>
      </c>
      <c r="L12" s="1" t="s">
        <v>133</v>
      </c>
      <c r="M12" s="1" t="s">
        <v>134</v>
      </c>
      <c r="P12" s="1" t="s">
        <v>135</v>
      </c>
      <c r="Q12" s="1" t="s">
        <v>50</v>
      </c>
      <c r="R12" s="1" t="s">
        <v>68</v>
      </c>
      <c r="S12" s="1" t="s">
        <v>136</v>
      </c>
      <c r="T12" s="1" t="s">
        <v>137</v>
      </c>
      <c r="U12" s="1">
        <v>2</v>
      </c>
      <c r="V12" s="1" t="s">
        <v>80</v>
      </c>
      <c r="W12" s="1" t="s">
        <v>132</v>
      </c>
      <c r="X12" s="1" t="s">
        <v>138</v>
      </c>
      <c r="Y12" s="10">
        <v>44557</v>
      </c>
      <c r="Z12" s="1">
        <v>2021</v>
      </c>
      <c r="AA12" s="2">
        <v>4183830.98</v>
      </c>
      <c r="AB12" s="2"/>
      <c r="AC12" s="2">
        <v>625000</v>
      </c>
      <c r="AD12" s="1">
        <v>25</v>
      </c>
      <c r="AE12" s="1">
        <v>25</v>
      </c>
      <c r="AG12" s="1" t="s">
        <v>56</v>
      </c>
      <c r="AI12" s="2">
        <v>625000</v>
      </c>
    </row>
    <row r="13" spans="1:38" ht="14.45" customHeight="1" x14ac:dyDescent="0.2">
      <c r="A13" s="1" t="s">
        <v>57</v>
      </c>
      <c r="B13" s="9" t="s">
        <v>39</v>
      </c>
      <c r="C13" s="1" t="s">
        <v>58</v>
      </c>
      <c r="D13" s="1" t="s">
        <v>59</v>
      </c>
      <c r="E13" s="1" t="s">
        <v>42</v>
      </c>
      <c r="G13" s="1" t="s">
        <v>88</v>
      </c>
      <c r="H13" s="1" t="s">
        <v>61</v>
      </c>
      <c r="I13" s="1" t="s">
        <v>139</v>
      </c>
      <c r="J13" s="1">
        <v>2021</v>
      </c>
      <c r="K13" s="1" t="s">
        <v>140</v>
      </c>
      <c r="L13" s="1" t="s">
        <v>141</v>
      </c>
      <c r="P13" s="1" t="s">
        <v>142</v>
      </c>
      <c r="Q13" s="1" t="s">
        <v>50</v>
      </c>
      <c r="R13" s="1" t="s">
        <v>68</v>
      </c>
      <c r="S13" s="1" t="s">
        <v>143</v>
      </c>
      <c r="T13" s="1" t="s">
        <v>144</v>
      </c>
      <c r="U13" s="1">
        <v>2</v>
      </c>
      <c r="V13" s="1" t="s">
        <v>80</v>
      </c>
      <c r="W13" s="1" t="s">
        <v>140</v>
      </c>
      <c r="X13" s="1" t="s">
        <v>145</v>
      </c>
      <c r="Y13" s="10">
        <v>44557</v>
      </c>
      <c r="Z13" s="1">
        <v>2021</v>
      </c>
      <c r="AA13" s="2">
        <v>191082.08</v>
      </c>
      <c r="AB13" s="2"/>
      <c r="AC13" s="2">
        <v>50000</v>
      </c>
      <c r="AD13" s="1">
        <v>1</v>
      </c>
      <c r="AE13" s="1">
        <v>1</v>
      </c>
      <c r="AG13" s="1" t="s">
        <v>56</v>
      </c>
      <c r="AI13" s="2">
        <v>50000</v>
      </c>
    </row>
    <row r="14" spans="1:38" ht="14.45" customHeight="1" x14ac:dyDescent="0.2">
      <c r="A14" s="1" t="s">
        <v>57</v>
      </c>
      <c r="B14" s="9" t="s">
        <v>39</v>
      </c>
      <c r="C14" s="1" t="s">
        <v>58</v>
      </c>
      <c r="D14" s="1" t="s">
        <v>146</v>
      </c>
      <c r="E14" s="1" t="s">
        <v>42</v>
      </c>
      <c r="G14" s="1" t="s">
        <v>147</v>
      </c>
      <c r="H14" s="1" t="s">
        <v>148</v>
      </c>
      <c r="I14" s="1" t="s">
        <v>149</v>
      </c>
      <c r="J14" s="1">
        <v>2020</v>
      </c>
      <c r="K14" s="1" t="s">
        <v>150</v>
      </c>
      <c r="L14" s="1" t="s">
        <v>152</v>
      </c>
      <c r="P14" s="1" t="s">
        <v>151</v>
      </c>
      <c r="Q14" s="1" t="s">
        <v>50</v>
      </c>
      <c r="R14" s="1" t="s">
        <v>77</v>
      </c>
      <c r="S14" s="11" t="s">
        <v>78</v>
      </c>
      <c r="T14" s="1" t="s">
        <v>79</v>
      </c>
      <c r="U14" s="1">
        <v>2</v>
      </c>
      <c r="V14" s="1" t="s">
        <v>80</v>
      </c>
      <c r="W14" s="1" t="s">
        <v>152</v>
      </c>
      <c r="X14" s="1" t="s">
        <v>153</v>
      </c>
      <c r="Y14" s="10">
        <v>44127</v>
      </c>
      <c r="Z14" s="1">
        <v>2020</v>
      </c>
      <c r="AA14" s="2"/>
      <c r="AB14" s="2"/>
      <c r="AC14" s="2"/>
      <c r="AD14" s="1">
        <v>0</v>
      </c>
      <c r="AG14" s="1" t="s">
        <v>56</v>
      </c>
      <c r="AH14" s="1" t="s">
        <v>154</v>
      </c>
    </row>
    <row r="15" spans="1:38" ht="14.45" customHeight="1" x14ac:dyDescent="0.2">
      <c r="A15" s="1" t="s">
        <v>57</v>
      </c>
      <c r="B15" s="9" t="s">
        <v>39</v>
      </c>
      <c r="C15" s="1" t="s">
        <v>58</v>
      </c>
      <c r="D15" s="1" t="s">
        <v>146</v>
      </c>
      <c r="E15" s="1" t="s">
        <v>42</v>
      </c>
      <c r="G15" s="1" t="s">
        <v>155</v>
      </c>
      <c r="H15" s="1" t="s">
        <v>156</v>
      </c>
      <c r="I15" s="1" t="s">
        <v>157</v>
      </c>
      <c r="J15" s="1">
        <v>2022</v>
      </c>
      <c r="K15" s="1" t="s">
        <v>158</v>
      </c>
      <c r="L15" s="1" t="s">
        <v>159</v>
      </c>
      <c r="P15" s="1" t="s">
        <v>160</v>
      </c>
      <c r="Q15" s="1" t="s">
        <v>110</v>
      </c>
      <c r="R15" s="1" t="s">
        <v>161</v>
      </c>
      <c r="S15" s="1" t="s">
        <v>162</v>
      </c>
      <c r="T15" s="1" t="s">
        <v>163</v>
      </c>
      <c r="V15" s="1" t="s">
        <v>114</v>
      </c>
      <c r="W15" s="1" t="s">
        <v>164</v>
      </c>
      <c r="Y15" s="10">
        <v>45112</v>
      </c>
      <c r="Z15" s="1">
        <v>2023</v>
      </c>
      <c r="AA15" s="2">
        <v>379940</v>
      </c>
      <c r="AB15" s="2"/>
      <c r="AC15" s="2">
        <v>379940</v>
      </c>
      <c r="AG15" s="1" t="s">
        <v>56</v>
      </c>
      <c r="AI15" s="2">
        <v>379940</v>
      </c>
    </row>
    <row r="16" spans="1:38" ht="14.45" customHeight="1" x14ac:dyDescent="0.2">
      <c r="A16" s="1" t="s">
        <v>57</v>
      </c>
      <c r="B16" s="9" t="s">
        <v>39</v>
      </c>
      <c r="C16" s="1" t="s">
        <v>58</v>
      </c>
      <c r="D16" s="1" t="s">
        <v>59</v>
      </c>
      <c r="E16" s="1" t="s">
        <v>42</v>
      </c>
      <c r="F16" s="1" t="s">
        <v>165</v>
      </c>
      <c r="G16" s="1" t="s">
        <v>88</v>
      </c>
      <c r="H16" s="1" t="s">
        <v>166</v>
      </c>
      <c r="I16" s="1" t="s">
        <v>167</v>
      </c>
      <c r="J16" s="1">
        <v>2023</v>
      </c>
      <c r="K16" s="1" t="s">
        <v>168</v>
      </c>
      <c r="L16" s="1" t="s">
        <v>169</v>
      </c>
      <c r="M16" s="1" t="s">
        <v>170</v>
      </c>
      <c r="P16" s="1" t="s">
        <v>171</v>
      </c>
      <c r="Q16" s="1" t="s">
        <v>50</v>
      </c>
      <c r="R16" s="1" t="s">
        <v>68</v>
      </c>
      <c r="S16" s="1" t="s">
        <v>172</v>
      </c>
      <c r="T16" s="2" t="s">
        <v>173</v>
      </c>
      <c r="U16" s="1">
        <v>2</v>
      </c>
      <c r="V16" s="1" t="s">
        <v>80</v>
      </c>
      <c r="W16" s="1" t="s">
        <v>174</v>
      </c>
      <c r="Y16" s="10">
        <v>45802</v>
      </c>
      <c r="Z16" s="1">
        <v>2025</v>
      </c>
      <c r="AA16" s="12">
        <v>132004.29999999999</v>
      </c>
      <c r="AB16" s="2"/>
      <c r="AC16" s="12">
        <v>23100.75</v>
      </c>
      <c r="AD16" s="1">
        <v>1.5</v>
      </c>
      <c r="AE16" s="1">
        <v>0.5</v>
      </c>
      <c r="AG16" s="1" t="s">
        <v>56</v>
      </c>
      <c r="AI16" s="13">
        <v>23100.75</v>
      </c>
    </row>
    <row r="17" spans="1:38" ht="14.45" customHeight="1" x14ac:dyDescent="0.2">
      <c r="A17" s="1" t="s">
        <v>57</v>
      </c>
      <c r="B17" s="9" t="s">
        <v>39</v>
      </c>
      <c r="C17" s="1" t="s">
        <v>58</v>
      </c>
      <c r="D17" s="1" t="s">
        <v>146</v>
      </c>
      <c r="E17" s="1" t="s">
        <v>42</v>
      </c>
      <c r="G17" s="1" t="s">
        <v>155</v>
      </c>
      <c r="H17" s="1" t="s">
        <v>156</v>
      </c>
      <c r="I17" s="1" t="s">
        <v>175</v>
      </c>
      <c r="J17" s="1">
        <v>2022</v>
      </c>
      <c r="K17" s="1" t="s">
        <v>176</v>
      </c>
      <c r="L17" s="1" t="s">
        <v>177</v>
      </c>
      <c r="P17" s="1" t="s">
        <v>178</v>
      </c>
      <c r="Q17" s="1" t="s">
        <v>110</v>
      </c>
      <c r="R17" s="1" t="s">
        <v>111</v>
      </c>
      <c r="S17" s="1" t="s">
        <v>179</v>
      </c>
      <c r="T17" s="1" t="s">
        <v>180</v>
      </c>
      <c r="V17" s="1" t="s">
        <v>114</v>
      </c>
      <c r="W17" s="1" t="s">
        <v>181</v>
      </c>
      <c r="Y17" s="10">
        <v>45112</v>
      </c>
      <c r="Z17" s="1">
        <v>2023</v>
      </c>
      <c r="AA17" s="2">
        <v>250593.21</v>
      </c>
      <c r="AB17" s="2"/>
      <c r="AC17" s="2">
        <v>250593.21</v>
      </c>
      <c r="AG17" s="1" t="s">
        <v>56</v>
      </c>
      <c r="AI17" s="2">
        <v>250593.21</v>
      </c>
    </row>
    <row r="18" spans="1:38" ht="14.45" customHeight="1" x14ac:dyDescent="0.2">
      <c r="A18" s="1" t="s">
        <v>57</v>
      </c>
      <c r="B18" s="9" t="s">
        <v>38</v>
      </c>
      <c r="C18" s="1" t="s">
        <v>58</v>
      </c>
      <c r="D18" s="1" t="s">
        <v>146</v>
      </c>
      <c r="E18" s="1" t="s">
        <v>42</v>
      </c>
      <c r="G18" s="1" t="s">
        <v>147</v>
      </c>
      <c r="H18" s="1" t="s">
        <v>148</v>
      </c>
      <c r="I18" s="1" t="s">
        <v>149</v>
      </c>
      <c r="J18" s="1">
        <v>2020</v>
      </c>
      <c r="K18" s="1" t="s">
        <v>150</v>
      </c>
      <c r="L18" s="1" t="s">
        <v>182</v>
      </c>
      <c r="P18" s="1" t="s">
        <v>183</v>
      </c>
      <c r="Q18" s="1" t="s">
        <v>50</v>
      </c>
      <c r="R18" s="1" t="s">
        <v>77</v>
      </c>
      <c r="S18" s="1" t="s">
        <v>184</v>
      </c>
      <c r="T18" s="1" t="s">
        <v>185</v>
      </c>
      <c r="U18" s="1">
        <v>1</v>
      </c>
      <c r="V18" s="1" t="s">
        <v>186</v>
      </c>
      <c r="W18" s="1" t="s">
        <v>152</v>
      </c>
      <c r="X18" s="1" t="s">
        <v>153</v>
      </c>
      <c r="Y18" s="10">
        <v>44127</v>
      </c>
      <c r="Z18" s="1">
        <v>2020</v>
      </c>
      <c r="AA18" s="2">
        <v>84384.49</v>
      </c>
      <c r="AB18" s="2"/>
      <c r="AC18" s="2">
        <v>63288.367500000008</v>
      </c>
      <c r="AD18" s="1">
        <v>0</v>
      </c>
      <c r="AG18" s="1" t="s">
        <v>56</v>
      </c>
      <c r="AH18" s="1" t="s">
        <v>154</v>
      </c>
      <c r="AI18" s="2">
        <v>63288.367500000008</v>
      </c>
    </row>
    <row r="19" spans="1:38" ht="14.45" customHeight="1" x14ac:dyDescent="0.2">
      <c r="A19" s="1" t="s">
        <v>57</v>
      </c>
      <c r="B19" s="9" t="s">
        <v>38</v>
      </c>
      <c r="C19" s="1" t="s">
        <v>58</v>
      </c>
      <c r="D19" s="1" t="s">
        <v>146</v>
      </c>
      <c r="E19" s="1" t="s">
        <v>42</v>
      </c>
      <c r="G19" s="1" t="s">
        <v>147</v>
      </c>
      <c r="H19" s="1" t="s">
        <v>148</v>
      </c>
      <c r="I19" s="1" t="s">
        <v>149</v>
      </c>
      <c r="J19" s="1">
        <v>2020</v>
      </c>
      <c r="K19" s="1" t="s">
        <v>150</v>
      </c>
      <c r="L19" s="1" t="s">
        <v>187</v>
      </c>
      <c r="P19" s="1" t="s">
        <v>188</v>
      </c>
      <c r="Q19" s="1" t="s">
        <v>50</v>
      </c>
      <c r="R19" s="1" t="s">
        <v>68</v>
      </c>
      <c r="S19" s="1" t="s">
        <v>189</v>
      </c>
      <c r="T19" s="1" t="s">
        <v>190</v>
      </c>
      <c r="U19" s="1">
        <v>1</v>
      </c>
      <c r="V19" s="1" t="s">
        <v>71</v>
      </c>
      <c r="W19" s="1" t="s">
        <v>152</v>
      </c>
      <c r="X19" s="1" t="s">
        <v>153</v>
      </c>
      <c r="Y19" s="10">
        <v>44127</v>
      </c>
      <c r="Z19" s="1">
        <v>2020</v>
      </c>
      <c r="AA19" s="2">
        <v>94562.69</v>
      </c>
      <c r="AB19" s="2"/>
      <c r="AC19" s="2">
        <v>70922.017500000002</v>
      </c>
      <c r="AD19" s="1">
        <v>0</v>
      </c>
      <c r="AG19" s="1" t="s">
        <v>56</v>
      </c>
      <c r="AH19" s="1" t="s">
        <v>154</v>
      </c>
      <c r="AI19" s="2">
        <v>70922.017500000002</v>
      </c>
    </row>
    <row r="20" spans="1:38" ht="14.45" customHeight="1" x14ac:dyDescent="0.2">
      <c r="A20" s="1" t="s">
        <v>57</v>
      </c>
      <c r="B20" s="9" t="s">
        <v>38</v>
      </c>
      <c r="C20" s="1" t="s">
        <v>58</v>
      </c>
      <c r="D20" s="1" t="s">
        <v>146</v>
      </c>
      <c r="E20" s="1" t="s">
        <v>42</v>
      </c>
      <c r="G20" s="1" t="s">
        <v>147</v>
      </c>
      <c r="H20" s="1" t="s">
        <v>148</v>
      </c>
      <c r="I20" s="1" t="s">
        <v>149</v>
      </c>
      <c r="J20" s="1">
        <v>2020</v>
      </c>
      <c r="K20" s="1" t="s">
        <v>150</v>
      </c>
      <c r="L20" s="1" t="s">
        <v>191</v>
      </c>
      <c r="P20" s="1" t="s">
        <v>192</v>
      </c>
      <c r="Q20" s="1" t="s">
        <v>50</v>
      </c>
      <c r="R20" s="1" t="s">
        <v>68</v>
      </c>
      <c r="S20" s="1" t="s">
        <v>193</v>
      </c>
      <c r="T20" s="1" t="s">
        <v>194</v>
      </c>
      <c r="U20" s="1">
        <v>1</v>
      </c>
      <c r="V20" s="1" t="s">
        <v>195</v>
      </c>
      <c r="W20" s="1" t="s">
        <v>152</v>
      </c>
      <c r="X20" s="1" t="s">
        <v>153</v>
      </c>
      <c r="Y20" s="10">
        <v>44127</v>
      </c>
      <c r="Z20" s="1">
        <v>2020</v>
      </c>
      <c r="AA20" s="2">
        <v>132822.10999999999</v>
      </c>
      <c r="AB20" s="2"/>
      <c r="AC20" s="2">
        <v>99616.58249999999</v>
      </c>
      <c r="AD20" s="1">
        <v>0</v>
      </c>
      <c r="AG20" s="1" t="s">
        <v>56</v>
      </c>
      <c r="AH20" s="1" t="s">
        <v>154</v>
      </c>
      <c r="AI20" s="2">
        <v>99616.58249999999</v>
      </c>
    </row>
    <row r="21" spans="1:38" ht="14.45" customHeight="1" x14ac:dyDescent="0.2">
      <c r="A21" s="1" t="s">
        <v>57</v>
      </c>
      <c r="B21" s="9" t="s">
        <v>38</v>
      </c>
      <c r="C21" s="1" t="s">
        <v>58</v>
      </c>
      <c r="D21" s="1" t="s">
        <v>146</v>
      </c>
      <c r="E21" s="1" t="s">
        <v>42</v>
      </c>
      <c r="G21" s="1" t="s">
        <v>147</v>
      </c>
      <c r="H21" s="1" t="s">
        <v>148</v>
      </c>
      <c r="I21" s="1" t="s">
        <v>149</v>
      </c>
      <c r="J21" s="1">
        <v>2020</v>
      </c>
      <c r="K21" s="1" t="s">
        <v>150</v>
      </c>
      <c r="L21" s="1" t="s">
        <v>196</v>
      </c>
      <c r="M21" s="14"/>
      <c r="P21" s="1" t="s">
        <v>197</v>
      </c>
      <c r="Q21" s="1" t="s">
        <v>50</v>
      </c>
      <c r="R21" s="1" t="s">
        <v>77</v>
      </c>
      <c r="S21" s="1" t="s">
        <v>198</v>
      </c>
      <c r="T21" s="1" t="s">
        <v>199</v>
      </c>
      <c r="U21" s="1">
        <v>1</v>
      </c>
      <c r="V21" s="1" t="s">
        <v>186</v>
      </c>
      <c r="W21" s="1" t="s">
        <v>152</v>
      </c>
      <c r="X21" s="1" t="s">
        <v>153</v>
      </c>
      <c r="Y21" s="10">
        <v>44127</v>
      </c>
      <c r="Z21" s="1">
        <v>2020</v>
      </c>
      <c r="AA21" s="2">
        <v>67124.02</v>
      </c>
      <c r="AB21" s="2"/>
      <c r="AC21" s="2">
        <v>50343.014999999999</v>
      </c>
      <c r="AD21" s="1">
        <v>0</v>
      </c>
      <c r="AG21" s="1" t="s">
        <v>56</v>
      </c>
      <c r="AH21" s="1" t="s">
        <v>154</v>
      </c>
      <c r="AI21" s="2">
        <v>50343.014999999999</v>
      </c>
    </row>
    <row r="22" spans="1:38" ht="12.6" customHeight="1" x14ac:dyDescent="0.2">
      <c r="A22" s="1" t="s">
        <v>57</v>
      </c>
      <c r="B22" s="9" t="s">
        <v>39</v>
      </c>
      <c r="C22" s="1" t="s">
        <v>40</v>
      </c>
      <c r="D22" s="1" t="s">
        <v>41</v>
      </c>
      <c r="E22" s="1" t="s">
        <v>200</v>
      </c>
      <c r="F22" s="1" t="s">
        <v>201</v>
      </c>
      <c r="G22" s="1" t="s">
        <v>202</v>
      </c>
      <c r="H22" s="1" t="s">
        <v>45</v>
      </c>
      <c r="I22" s="1" t="s">
        <v>203</v>
      </c>
      <c r="J22" s="1">
        <v>2022</v>
      </c>
      <c r="K22" s="1" t="s">
        <v>204</v>
      </c>
      <c r="L22" s="1" t="s">
        <v>205</v>
      </c>
      <c r="M22" s="1" t="s">
        <v>206</v>
      </c>
      <c r="P22" s="1" t="s">
        <v>207</v>
      </c>
      <c r="Q22" s="1" t="s">
        <v>50</v>
      </c>
      <c r="R22" s="1" t="s">
        <v>77</v>
      </c>
      <c r="S22" s="1" t="s">
        <v>198</v>
      </c>
      <c r="T22" s="1" t="s">
        <v>199</v>
      </c>
      <c r="U22" s="1">
        <v>1</v>
      </c>
      <c r="V22" s="1" t="s">
        <v>186</v>
      </c>
      <c r="W22" s="1" t="s">
        <v>208</v>
      </c>
      <c r="Y22" s="10">
        <v>45112</v>
      </c>
      <c r="Z22" s="1">
        <v>2023</v>
      </c>
      <c r="AA22" s="2">
        <v>5663263.0300000003</v>
      </c>
      <c r="AB22" s="2"/>
      <c r="AC22" s="2">
        <v>1684820.71</v>
      </c>
      <c r="AD22" s="1">
        <v>25</v>
      </c>
      <c r="AF22" s="1">
        <v>15</v>
      </c>
      <c r="AG22" s="1" t="s">
        <v>56</v>
      </c>
      <c r="AI22" s="2">
        <v>1684820.71</v>
      </c>
    </row>
    <row r="23" spans="1:38" ht="14.45" customHeight="1" x14ac:dyDescent="0.2">
      <c r="A23" s="1" t="s">
        <v>57</v>
      </c>
      <c r="B23" s="9" t="s">
        <v>39</v>
      </c>
      <c r="C23" s="1" t="s">
        <v>40</v>
      </c>
      <c r="D23" s="1" t="s">
        <v>41</v>
      </c>
      <c r="E23" s="1" t="s">
        <v>200</v>
      </c>
      <c r="F23" s="1" t="s">
        <v>209</v>
      </c>
      <c r="G23" s="1" t="s">
        <v>210</v>
      </c>
      <c r="H23" s="1" t="s">
        <v>45</v>
      </c>
      <c r="I23" s="1" t="s">
        <v>211</v>
      </c>
      <c r="J23" s="1">
        <v>2022</v>
      </c>
      <c r="K23" s="1" t="s">
        <v>212</v>
      </c>
      <c r="L23" s="1" t="s">
        <v>213</v>
      </c>
      <c r="P23" s="1" t="s">
        <v>214</v>
      </c>
      <c r="Q23" s="1" t="s">
        <v>50</v>
      </c>
      <c r="R23" s="1" t="s">
        <v>51</v>
      </c>
      <c r="S23" s="1" t="s">
        <v>52</v>
      </c>
      <c r="T23" s="1" t="s">
        <v>53</v>
      </c>
      <c r="V23" s="1" t="s">
        <v>54</v>
      </c>
      <c r="Y23" s="10">
        <v>44840</v>
      </c>
      <c r="Z23" s="1">
        <v>2022</v>
      </c>
      <c r="AA23" s="2">
        <v>7239800</v>
      </c>
      <c r="AB23" s="2"/>
      <c r="AC23" s="2">
        <v>3707400</v>
      </c>
      <c r="AG23" s="1" t="s">
        <v>56</v>
      </c>
      <c r="AI23" s="2">
        <v>3707400</v>
      </c>
    </row>
    <row r="24" spans="1:38" ht="14.45" customHeight="1" x14ac:dyDescent="0.2">
      <c r="A24" s="1" t="s">
        <v>57</v>
      </c>
      <c r="B24" s="9" t="s">
        <v>39</v>
      </c>
      <c r="C24" s="1" t="s">
        <v>40</v>
      </c>
      <c r="D24" s="1" t="s">
        <v>41</v>
      </c>
      <c r="E24" s="1" t="s">
        <v>200</v>
      </c>
      <c r="F24" s="1" t="s">
        <v>215</v>
      </c>
      <c r="G24" s="1" t="s">
        <v>216</v>
      </c>
      <c r="H24" s="1" t="s">
        <v>45</v>
      </c>
      <c r="I24" s="1" t="s">
        <v>217</v>
      </c>
      <c r="J24" s="1">
        <v>2022</v>
      </c>
      <c r="K24" s="1" t="s">
        <v>218</v>
      </c>
      <c r="L24" s="1" t="s">
        <v>218</v>
      </c>
      <c r="M24" s="1" t="s">
        <v>219</v>
      </c>
      <c r="P24" s="1" t="s">
        <v>220</v>
      </c>
      <c r="Q24" s="1" t="s">
        <v>50</v>
      </c>
      <c r="R24" s="1" t="s">
        <v>68</v>
      </c>
      <c r="S24" s="1" t="s">
        <v>221</v>
      </c>
      <c r="T24" s="1" t="s">
        <v>222</v>
      </c>
      <c r="U24" s="1">
        <v>2</v>
      </c>
      <c r="V24" s="1" t="s">
        <v>80</v>
      </c>
      <c r="W24" s="1" t="s">
        <v>218</v>
      </c>
      <c r="X24" s="1" t="s">
        <v>55</v>
      </c>
      <c r="Y24" s="10">
        <v>45019</v>
      </c>
      <c r="Z24" s="1">
        <v>2023</v>
      </c>
      <c r="AA24" s="2">
        <v>14717362</v>
      </c>
      <c r="AB24" s="2"/>
      <c r="AC24" s="2">
        <v>7358681.0499999998</v>
      </c>
      <c r="AG24" s="1" t="s">
        <v>56</v>
      </c>
      <c r="AI24" s="2">
        <v>7358681.0499999998</v>
      </c>
    </row>
    <row r="25" spans="1:38" ht="12.6" customHeight="1" x14ac:dyDescent="0.2">
      <c r="A25" s="1" t="s">
        <v>57</v>
      </c>
      <c r="B25" s="9" t="s">
        <v>39</v>
      </c>
      <c r="C25" s="1" t="s">
        <v>40</v>
      </c>
      <c r="D25" s="1" t="s">
        <v>41</v>
      </c>
      <c r="E25" s="1" t="s">
        <v>42</v>
      </c>
      <c r="F25" s="1" t="s">
        <v>223</v>
      </c>
      <c r="G25" s="1" t="s">
        <v>224</v>
      </c>
      <c r="H25" s="1" t="s">
        <v>45</v>
      </c>
      <c r="I25" s="1" t="s">
        <v>225</v>
      </c>
      <c r="J25" s="1">
        <v>2023</v>
      </c>
      <c r="K25" s="1" t="s">
        <v>226</v>
      </c>
      <c r="L25" s="1" t="s">
        <v>227</v>
      </c>
      <c r="P25" s="1" t="s">
        <v>228</v>
      </c>
      <c r="Q25" s="1" t="s">
        <v>50</v>
      </c>
      <c r="R25" s="1" t="s">
        <v>68</v>
      </c>
      <c r="S25" s="1" t="s">
        <v>136</v>
      </c>
      <c r="T25" s="1" t="s">
        <v>137</v>
      </c>
      <c r="U25" s="1">
        <v>2</v>
      </c>
      <c r="V25" s="1" t="s">
        <v>80</v>
      </c>
      <c r="W25" s="1" t="s">
        <v>229</v>
      </c>
      <c r="X25" s="1" t="s">
        <v>55</v>
      </c>
      <c r="Y25" s="10">
        <v>45744</v>
      </c>
      <c r="Z25" s="1">
        <v>2025</v>
      </c>
      <c r="AA25" s="2">
        <v>1913036.31</v>
      </c>
      <c r="AB25" s="2"/>
      <c r="AC25" s="2">
        <v>944889.96</v>
      </c>
      <c r="AF25" s="2" t="s">
        <v>56</v>
      </c>
      <c r="AI25" s="2">
        <v>944889.96</v>
      </c>
    </row>
    <row r="26" spans="1:38" x14ac:dyDescent="0.2">
      <c r="A26" s="1" t="s">
        <v>57</v>
      </c>
      <c r="B26" s="9" t="s">
        <v>39</v>
      </c>
      <c r="C26" s="1" t="s">
        <v>40</v>
      </c>
      <c r="D26" s="1" t="s">
        <v>41</v>
      </c>
      <c r="E26" s="1" t="s">
        <v>200</v>
      </c>
      <c r="F26" s="1" t="s">
        <v>230</v>
      </c>
      <c r="G26" s="1" t="s">
        <v>231</v>
      </c>
      <c r="H26" s="1" t="s">
        <v>45</v>
      </c>
      <c r="I26" s="1" t="s">
        <v>232</v>
      </c>
      <c r="J26" s="1">
        <v>2022</v>
      </c>
      <c r="K26" s="1" t="s">
        <v>233</v>
      </c>
      <c r="L26" s="1" t="s">
        <v>234</v>
      </c>
      <c r="M26" s="1" t="s">
        <v>235</v>
      </c>
      <c r="P26" s="1" t="s">
        <v>236</v>
      </c>
      <c r="Q26" s="1" t="s">
        <v>50</v>
      </c>
      <c r="R26" s="1" t="s">
        <v>68</v>
      </c>
      <c r="S26" s="1" t="s">
        <v>237</v>
      </c>
      <c r="T26" s="1" t="s">
        <v>238</v>
      </c>
      <c r="U26" s="1">
        <v>2</v>
      </c>
      <c r="V26" s="1" t="s">
        <v>80</v>
      </c>
      <c r="W26" s="1" t="s">
        <v>239</v>
      </c>
      <c r="X26" s="1" t="s">
        <v>240</v>
      </c>
      <c r="Y26" s="10">
        <v>45254</v>
      </c>
      <c r="Z26" s="1">
        <v>2023</v>
      </c>
      <c r="AA26" s="2">
        <v>115000</v>
      </c>
      <c r="AB26" s="2"/>
      <c r="AC26" s="2">
        <v>40250</v>
      </c>
      <c r="AG26" s="1" t="s">
        <v>56</v>
      </c>
      <c r="AI26" s="2">
        <v>40250</v>
      </c>
    </row>
    <row r="27" spans="1:38" ht="14.45" customHeight="1" x14ac:dyDescent="0.2">
      <c r="A27" s="1" t="s">
        <v>38</v>
      </c>
      <c r="B27" s="9" t="s">
        <v>38</v>
      </c>
      <c r="C27" s="1" t="s">
        <v>40</v>
      </c>
      <c r="D27" s="1" t="s">
        <v>41</v>
      </c>
      <c r="E27" s="1" t="s">
        <v>42</v>
      </c>
      <c r="F27" s="1" t="s">
        <v>241</v>
      </c>
      <c r="G27" s="1" t="s">
        <v>242</v>
      </c>
      <c r="H27" s="1" t="s">
        <v>45</v>
      </c>
      <c r="I27" s="1" t="s">
        <v>243</v>
      </c>
      <c r="J27" s="1">
        <v>2024</v>
      </c>
      <c r="K27" s="1" t="s">
        <v>244</v>
      </c>
      <c r="L27" s="1" t="s">
        <v>245</v>
      </c>
      <c r="P27" s="1" t="s">
        <v>246</v>
      </c>
      <c r="Q27" s="1" t="s">
        <v>50</v>
      </c>
      <c r="R27" s="1" t="s">
        <v>51</v>
      </c>
      <c r="S27" s="1" t="s">
        <v>247</v>
      </c>
      <c r="T27" s="1" t="s">
        <v>248</v>
      </c>
      <c r="U27" s="1">
        <v>0</v>
      </c>
      <c r="V27" s="1" t="s">
        <v>54</v>
      </c>
      <c r="W27" s="1" t="s">
        <v>244</v>
      </c>
      <c r="Y27" s="10">
        <v>45869</v>
      </c>
      <c r="Z27" s="1">
        <v>2025</v>
      </c>
      <c r="AA27" s="1">
        <v>1783240</v>
      </c>
      <c r="AC27" s="1">
        <v>665750</v>
      </c>
      <c r="AI27" s="1"/>
    </row>
    <row r="28" spans="1:38" ht="14.45" customHeight="1" x14ac:dyDescent="0.2">
      <c r="A28" s="1" t="s">
        <v>57</v>
      </c>
      <c r="B28" s="9" t="s">
        <v>38</v>
      </c>
      <c r="C28" s="1" t="s">
        <v>40</v>
      </c>
      <c r="D28" s="1" t="s">
        <v>41</v>
      </c>
      <c r="E28" s="1" t="s">
        <v>42</v>
      </c>
      <c r="F28" s="1" t="s">
        <v>249</v>
      </c>
      <c r="G28" s="1" t="s">
        <v>250</v>
      </c>
      <c r="H28" s="1" t="s">
        <v>45</v>
      </c>
      <c r="I28" s="1" t="s">
        <v>251</v>
      </c>
      <c r="J28" s="1">
        <v>2024</v>
      </c>
      <c r="K28" s="1" t="s">
        <v>252</v>
      </c>
      <c r="L28" s="1" t="s">
        <v>253</v>
      </c>
      <c r="P28" s="1" t="s">
        <v>254</v>
      </c>
      <c r="Q28" s="1" t="s">
        <v>101</v>
      </c>
      <c r="R28" s="1" t="s">
        <v>102</v>
      </c>
      <c r="S28" s="1" t="s">
        <v>255</v>
      </c>
      <c r="T28" s="1" t="s">
        <v>256</v>
      </c>
      <c r="U28" s="1">
        <v>1</v>
      </c>
      <c r="V28" s="1" t="s">
        <v>101</v>
      </c>
      <c r="W28" s="1" t="s">
        <v>257</v>
      </c>
      <c r="X28" s="1" t="s">
        <v>258</v>
      </c>
      <c r="Y28" s="10">
        <v>45960</v>
      </c>
      <c r="Z28" s="1">
        <v>2025</v>
      </c>
      <c r="AA28" s="2">
        <v>98634</v>
      </c>
      <c r="AB28" s="2"/>
      <c r="AC28" s="2">
        <v>29299.8</v>
      </c>
      <c r="AG28" s="1" t="s">
        <v>56</v>
      </c>
      <c r="AI28" s="2">
        <v>29299.8</v>
      </c>
    </row>
    <row r="29" spans="1:38" ht="14.45" customHeight="1" x14ac:dyDescent="0.2">
      <c r="A29" s="1" t="s">
        <v>57</v>
      </c>
      <c r="B29" s="9" t="s">
        <v>38</v>
      </c>
      <c r="C29" s="1" t="s">
        <v>58</v>
      </c>
      <c r="D29" s="1" t="s">
        <v>59</v>
      </c>
      <c r="E29" s="1" t="s">
        <v>42</v>
      </c>
      <c r="G29" s="1" t="s">
        <v>60</v>
      </c>
      <c r="H29" s="1" t="s">
        <v>61</v>
      </c>
      <c r="I29" s="1" t="s">
        <v>259</v>
      </c>
      <c r="J29" s="1" t="s">
        <v>82</v>
      </c>
      <c r="K29" s="1" t="s">
        <v>260</v>
      </c>
      <c r="L29" s="1" t="s">
        <v>261</v>
      </c>
      <c r="M29" s="1" t="s">
        <v>262</v>
      </c>
      <c r="P29" s="1" t="s">
        <v>263</v>
      </c>
      <c r="Q29" s="1" t="s">
        <v>264</v>
      </c>
      <c r="R29" s="1" t="s">
        <v>265</v>
      </c>
      <c r="S29" s="1" t="s">
        <v>266</v>
      </c>
      <c r="T29" s="1" t="s">
        <v>267</v>
      </c>
      <c r="U29" s="1">
        <v>2</v>
      </c>
      <c r="V29" s="1" t="s">
        <v>268</v>
      </c>
      <c r="W29" s="1" t="s">
        <v>269</v>
      </c>
      <c r="X29" s="1" t="s">
        <v>153</v>
      </c>
      <c r="Y29" s="10">
        <v>43825</v>
      </c>
      <c r="Z29" s="1">
        <v>2019</v>
      </c>
      <c r="AA29" s="2">
        <v>1599536.02</v>
      </c>
      <c r="AB29" s="2"/>
      <c r="AC29" s="2">
        <v>108500</v>
      </c>
      <c r="AD29" s="1">
        <v>7</v>
      </c>
      <c r="AG29" s="1" t="s">
        <v>56</v>
      </c>
      <c r="AI29" s="2">
        <v>108500</v>
      </c>
      <c r="AL29" s="1" t="s">
        <v>270</v>
      </c>
    </row>
    <row r="30" spans="1:38" ht="14.45" customHeight="1" x14ac:dyDescent="0.2">
      <c r="A30" s="1" t="s">
        <v>57</v>
      </c>
      <c r="B30" s="9" t="s">
        <v>38</v>
      </c>
      <c r="C30" s="1" t="s">
        <v>58</v>
      </c>
      <c r="D30" s="1" t="s">
        <v>59</v>
      </c>
      <c r="E30" s="1" t="s">
        <v>42</v>
      </c>
      <c r="G30" s="1" t="s">
        <v>60</v>
      </c>
      <c r="H30" s="1" t="s">
        <v>61</v>
      </c>
      <c r="I30" s="1" t="s">
        <v>271</v>
      </c>
      <c r="J30" s="1" t="s">
        <v>82</v>
      </c>
      <c r="K30" s="1" t="s">
        <v>272</v>
      </c>
      <c r="L30" s="1" t="s">
        <v>273</v>
      </c>
      <c r="P30" s="1" t="s">
        <v>274</v>
      </c>
      <c r="Q30" s="1" t="s">
        <v>264</v>
      </c>
      <c r="R30" s="1" t="s">
        <v>265</v>
      </c>
      <c r="S30" s="1" t="s">
        <v>275</v>
      </c>
      <c r="T30" s="1" t="s">
        <v>276</v>
      </c>
      <c r="U30" s="1">
        <v>2</v>
      </c>
      <c r="V30" s="1" t="s">
        <v>80</v>
      </c>
      <c r="W30" s="1" t="s">
        <v>273</v>
      </c>
      <c r="X30" s="1" t="s">
        <v>87</v>
      </c>
      <c r="Y30" s="10">
        <v>43825</v>
      </c>
      <c r="Z30" s="1">
        <v>2019</v>
      </c>
      <c r="AA30" s="2">
        <v>1803728.85</v>
      </c>
      <c r="AB30" s="2"/>
      <c r="AC30" s="2">
        <v>87500</v>
      </c>
      <c r="AD30" s="1">
        <v>3</v>
      </c>
      <c r="AE30" s="1">
        <v>1</v>
      </c>
      <c r="AG30" s="1" t="s">
        <v>56</v>
      </c>
      <c r="AI30" s="2">
        <v>87208.33</v>
      </c>
      <c r="AL30" s="15" t="s">
        <v>277</v>
      </c>
    </row>
    <row r="31" spans="1:38" ht="14.45" customHeight="1" x14ac:dyDescent="0.2">
      <c r="A31" s="1" t="s">
        <v>57</v>
      </c>
      <c r="B31" s="9" t="s">
        <v>38</v>
      </c>
      <c r="C31" s="1" t="s">
        <v>58</v>
      </c>
      <c r="D31" s="1" t="s">
        <v>59</v>
      </c>
      <c r="E31" s="1" t="s">
        <v>42</v>
      </c>
      <c r="G31" s="1" t="s">
        <v>60</v>
      </c>
      <c r="H31" s="1" t="s">
        <v>61</v>
      </c>
      <c r="I31" s="1" t="s">
        <v>278</v>
      </c>
      <c r="J31" s="1" t="s">
        <v>82</v>
      </c>
      <c r="K31" s="1" t="s">
        <v>279</v>
      </c>
      <c r="L31" s="1" t="s">
        <v>280</v>
      </c>
      <c r="P31" s="1" t="s">
        <v>281</v>
      </c>
      <c r="Q31" s="1" t="s">
        <v>264</v>
      </c>
      <c r="R31" s="1" t="s">
        <v>265</v>
      </c>
      <c r="S31" s="1" t="s">
        <v>282</v>
      </c>
      <c r="T31" s="1" t="s">
        <v>283</v>
      </c>
      <c r="U31" s="1">
        <v>2</v>
      </c>
      <c r="V31" s="1" t="s">
        <v>80</v>
      </c>
      <c r="W31" s="1" t="s">
        <v>280</v>
      </c>
      <c r="X31" s="1" t="s">
        <v>87</v>
      </c>
      <c r="Y31" s="10">
        <v>43825</v>
      </c>
      <c r="Z31" s="1">
        <v>2019</v>
      </c>
      <c r="AA31" s="2">
        <v>1235647.1499999999</v>
      </c>
      <c r="AB31" s="2"/>
      <c r="AC31" s="2">
        <v>52500</v>
      </c>
      <c r="AD31" s="1">
        <v>3</v>
      </c>
      <c r="AE31" s="1">
        <v>2</v>
      </c>
      <c r="AG31" s="1" t="s">
        <v>56</v>
      </c>
      <c r="AI31" s="2">
        <v>52500</v>
      </c>
      <c r="AL31" s="1" t="s">
        <v>284</v>
      </c>
    </row>
    <row r="32" spans="1:38" ht="14.45" customHeight="1" x14ac:dyDescent="0.2">
      <c r="A32" s="1" t="s">
        <v>57</v>
      </c>
      <c r="B32" s="9" t="s">
        <v>38</v>
      </c>
      <c r="C32" s="1" t="s">
        <v>58</v>
      </c>
      <c r="D32" s="1" t="s">
        <v>59</v>
      </c>
      <c r="E32" s="1" t="s">
        <v>42</v>
      </c>
      <c r="G32" s="1" t="s">
        <v>60</v>
      </c>
      <c r="H32" s="1" t="s">
        <v>61</v>
      </c>
      <c r="I32" s="1" t="s">
        <v>285</v>
      </c>
      <c r="J32" s="1" t="s">
        <v>82</v>
      </c>
      <c r="K32" s="1" t="s">
        <v>286</v>
      </c>
      <c r="L32" s="1" t="s">
        <v>287</v>
      </c>
      <c r="M32" s="1" t="s">
        <v>288</v>
      </c>
      <c r="P32" s="1" t="s">
        <v>289</v>
      </c>
      <c r="Q32" s="1" t="s">
        <v>264</v>
      </c>
      <c r="R32" s="1" t="s">
        <v>265</v>
      </c>
      <c r="S32" s="1" t="s">
        <v>290</v>
      </c>
      <c r="T32" s="1" t="s">
        <v>291</v>
      </c>
      <c r="U32" s="1">
        <v>1</v>
      </c>
      <c r="V32" s="1" t="s">
        <v>268</v>
      </c>
      <c r="W32" s="1" t="s">
        <v>292</v>
      </c>
      <c r="X32" s="1" t="s">
        <v>87</v>
      </c>
      <c r="Y32" s="10">
        <v>44286</v>
      </c>
      <c r="Z32" s="1">
        <v>2021</v>
      </c>
      <c r="AA32" s="2">
        <v>2013926.09</v>
      </c>
      <c r="AB32" s="2"/>
      <c r="AC32" s="2">
        <v>166250</v>
      </c>
      <c r="AD32" s="1">
        <v>5</v>
      </c>
      <c r="AE32" s="1">
        <v>1</v>
      </c>
      <c r="AG32" s="1" t="s">
        <v>56</v>
      </c>
      <c r="AI32" s="2">
        <v>44406.16</v>
      </c>
      <c r="AL32" s="1" t="s">
        <v>293</v>
      </c>
    </row>
    <row r="33" spans="1:38" ht="14.45" customHeight="1" x14ac:dyDescent="0.2">
      <c r="A33" s="1" t="s">
        <v>57</v>
      </c>
      <c r="B33" s="9" t="s">
        <v>38</v>
      </c>
      <c r="C33" s="1" t="s">
        <v>58</v>
      </c>
      <c r="D33" s="1" t="s">
        <v>59</v>
      </c>
      <c r="E33" s="1" t="s">
        <v>42</v>
      </c>
      <c r="G33" s="1" t="s">
        <v>60</v>
      </c>
      <c r="H33" s="1" t="s">
        <v>61</v>
      </c>
      <c r="I33" s="1" t="s">
        <v>294</v>
      </c>
      <c r="J33" s="1" t="s">
        <v>82</v>
      </c>
      <c r="K33" s="1" t="s">
        <v>295</v>
      </c>
      <c r="L33" s="1" t="s">
        <v>296</v>
      </c>
      <c r="M33" s="1" t="s">
        <v>297</v>
      </c>
      <c r="P33" s="1" t="s">
        <v>298</v>
      </c>
      <c r="Q33" s="1" t="s">
        <v>264</v>
      </c>
      <c r="R33" s="1" t="s">
        <v>265</v>
      </c>
      <c r="S33" s="1" t="s">
        <v>299</v>
      </c>
      <c r="T33" s="1" t="s">
        <v>300</v>
      </c>
      <c r="U33" s="1">
        <v>2</v>
      </c>
      <c r="V33" s="1" t="s">
        <v>268</v>
      </c>
      <c r="W33" s="1" t="s">
        <v>295</v>
      </c>
      <c r="X33" s="1" t="s">
        <v>153</v>
      </c>
      <c r="Y33" s="10">
        <v>44127</v>
      </c>
      <c r="Z33" s="1">
        <v>2020</v>
      </c>
      <c r="AA33" s="2">
        <v>2476665</v>
      </c>
      <c r="AB33" s="2"/>
      <c r="AC33" s="2">
        <v>117250</v>
      </c>
      <c r="AD33" s="1">
        <v>8</v>
      </c>
      <c r="AG33" s="1" t="s">
        <v>56</v>
      </c>
      <c r="AI33" s="2">
        <v>117250</v>
      </c>
      <c r="AK33" s="1" t="s">
        <v>301</v>
      </c>
    </row>
    <row r="34" spans="1:38" ht="14.45" customHeight="1" x14ac:dyDescent="0.25">
      <c r="A34" s="1" t="s">
        <v>57</v>
      </c>
      <c r="B34" s="9" t="s">
        <v>38</v>
      </c>
      <c r="C34" s="1" t="s">
        <v>58</v>
      </c>
      <c r="D34" s="1" t="s">
        <v>59</v>
      </c>
      <c r="E34" s="1" t="s">
        <v>42</v>
      </c>
      <c r="G34" s="1" t="s">
        <v>88</v>
      </c>
      <c r="H34" s="1" t="s">
        <v>61</v>
      </c>
      <c r="I34" s="1" t="s">
        <v>302</v>
      </c>
      <c r="J34" s="1" t="s">
        <v>82</v>
      </c>
      <c r="K34" s="1" t="s">
        <v>303</v>
      </c>
      <c r="L34" s="1" t="s">
        <v>304</v>
      </c>
      <c r="P34" s="1" t="s">
        <v>305</v>
      </c>
      <c r="Q34" s="1" t="s">
        <v>264</v>
      </c>
      <c r="R34" s="1" t="s">
        <v>265</v>
      </c>
      <c r="S34" s="16" t="s">
        <v>306</v>
      </c>
      <c r="T34" s="1" t="s">
        <v>307</v>
      </c>
      <c r="U34" s="1">
        <v>1</v>
      </c>
      <c r="V34" s="1" t="s">
        <v>308</v>
      </c>
      <c r="W34" s="1" t="s">
        <v>303</v>
      </c>
      <c r="X34" s="1" t="s">
        <v>309</v>
      </c>
      <c r="Y34" s="10">
        <v>43825</v>
      </c>
      <c r="Z34" s="1">
        <v>2019</v>
      </c>
      <c r="AA34" s="2">
        <v>389718.09</v>
      </c>
      <c r="AB34" s="2"/>
      <c r="AC34" s="2">
        <v>115000</v>
      </c>
      <c r="AD34" s="1">
        <v>2</v>
      </c>
      <c r="AG34" s="1" t="s">
        <v>56</v>
      </c>
      <c r="AI34" s="2">
        <v>115000</v>
      </c>
      <c r="AL34" s="1" t="s">
        <v>310</v>
      </c>
    </row>
    <row r="35" spans="1:38" ht="14.45" customHeight="1" x14ac:dyDescent="0.2">
      <c r="A35" s="1" t="s">
        <v>57</v>
      </c>
      <c r="B35" s="9" t="s">
        <v>38</v>
      </c>
      <c r="C35" s="1" t="s">
        <v>58</v>
      </c>
      <c r="D35" s="1" t="s">
        <v>59</v>
      </c>
      <c r="E35" s="1" t="s">
        <v>42</v>
      </c>
      <c r="G35" s="1" t="s">
        <v>88</v>
      </c>
      <c r="H35" s="1" t="s">
        <v>61</v>
      </c>
      <c r="I35" s="1" t="s">
        <v>311</v>
      </c>
      <c r="J35" s="1" t="s">
        <v>82</v>
      </c>
      <c r="K35" s="1" t="s">
        <v>312</v>
      </c>
      <c r="L35" s="1" t="s">
        <v>313</v>
      </c>
      <c r="P35" s="1" t="s">
        <v>314</v>
      </c>
      <c r="Q35" s="1" t="s">
        <v>264</v>
      </c>
      <c r="R35" s="1" t="s">
        <v>265</v>
      </c>
      <c r="S35" s="1" t="s">
        <v>315</v>
      </c>
      <c r="T35" s="1" t="s">
        <v>316</v>
      </c>
      <c r="U35" s="1">
        <v>1</v>
      </c>
      <c r="V35" s="1" t="s">
        <v>268</v>
      </c>
      <c r="W35" s="1" t="s">
        <v>317</v>
      </c>
      <c r="X35" s="1" t="s">
        <v>138</v>
      </c>
      <c r="Y35" s="10">
        <v>43825</v>
      </c>
      <c r="Z35" s="1">
        <v>2019</v>
      </c>
      <c r="AA35" s="2">
        <v>72558.42</v>
      </c>
      <c r="AB35" s="2"/>
      <c r="AC35" s="2">
        <v>21767.53</v>
      </c>
      <c r="AD35" s="1">
        <v>1</v>
      </c>
      <c r="AG35" s="1" t="s">
        <v>56</v>
      </c>
      <c r="AI35" s="2">
        <v>21767.53</v>
      </c>
    </row>
    <row r="36" spans="1:38" ht="14.45" customHeight="1" x14ac:dyDescent="0.2">
      <c r="A36" s="1" t="s">
        <v>57</v>
      </c>
      <c r="B36" s="9" t="s">
        <v>38</v>
      </c>
      <c r="C36" s="1" t="s">
        <v>58</v>
      </c>
      <c r="D36" s="1" t="s">
        <v>59</v>
      </c>
      <c r="E36" s="1" t="s">
        <v>42</v>
      </c>
      <c r="G36" s="1" t="s">
        <v>88</v>
      </c>
      <c r="H36" s="1" t="s">
        <v>61</v>
      </c>
      <c r="I36" s="1" t="s">
        <v>318</v>
      </c>
      <c r="J36" s="1" t="s">
        <v>82</v>
      </c>
      <c r="K36" s="1" t="s">
        <v>319</v>
      </c>
      <c r="L36" s="1" t="s">
        <v>319</v>
      </c>
      <c r="P36" s="1" t="s">
        <v>320</v>
      </c>
      <c r="Q36" s="1" t="s">
        <v>264</v>
      </c>
      <c r="R36" s="1" t="s">
        <v>265</v>
      </c>
      <c r="S36" s="1" t="s">
        <v>275</v>
      </c>
      <c r="T36" s="1" t="s">
        <v>276</v>
      </c>
      <c r="U36" s="1">
        <v>1</v>
      </c>
      <c r="V36" s="1" t="s">
        <v>80</v>
      </c>
      <c r="W36" s="1" t="s">
        <v>319</v>
      </c>
      <c r="X36" s="1" t="s">
        <v>321</v>
      </c>
      <c r="Y36" s="10">
        <v>43825</v>
      </c>
      <c r="Z36" s="1">
        <v>2019</v>
      </c>
      <c r="AA36" s="2">
        <v>102901.25</v>
      </c>
      <c r="AB36" s="2"/>
      <c r="AC36" s="2">
        <v>20580.25</v>
      </c>
      <c r="AD36" s="1">
        <v>2</v>
      </c>
      <c r="AG36" s="1" t="s">
        <v>56</v>
      </c>
      <c r="AI36" s="2">
        <v>20580.25</v>
      </c>
    </row>
    <row r="37" spans="1:38" ht="14.45" customHeight="1" x14ac:dyDescent="0.2">
      <c r="A37" s="1" t="s">
        <v>57</v>
      </c>
      <c r="B37" s="9" t="s">
        <v>38</v>
      </c>
      <c r="C37" s="1" t="s">
        <v>58</v>
      </c>
      <c r="D37" s="1" t="s">
        <v>59</v>
      </c>
      <c r="E37" s="1" t="s">
        <v>42</v>
      </c>
      <c r="G37" s="1" t="s">
        <v>60</v>
      </c>
      <c r="H37" s="1" t="s">
        <v>61</v>
      </c>
      <c r="I37" s="1" t="s">
        <v>322</v>
      </c>
      <c r="J37" s="1">
        <v>2016</v>
      </c>
      <c r="K37" s="1" t="s">
        <v>323</v>
      </c>
      <c r="L37" s="1" t="s">
        <v>324</v>
      </c>
      <c r="P37" s="1" t="s">
        <v>325</v>
      </c>
      <c r="Q37" s="1" t="s">
        <v>101</v>
      </c>
      <c r="R37" s="1" t="s">
        <v>326</v>
      </c>
      <c r="S37" s="1" t="s">
        <v>327</v>
      </c>
      <c r="T37" s="1" t="s">
        <v>328</v>
      </c>
      <c r="U37" s="1">
        <v>2</v>
      </c>
      <c r="V37" s="1" t="s">
        <v>80</v>
      </c>
      <c r="W37" s="1" t="s">
        <v>329</v>
      </c>
      <c r="Y37" s="10">
        <v>44255</v>
      </c>
      <c r="Z37" s="1">
        <v>2021</v>
      </c>
      <c r="AA37" s="2">
        <v>2919619.42</v>
      </c>
      <c r="AB37" s="2"/>
      <c r="AC37" s="2">
        <v>437942.91</v>
      </c>
      <c r="AD37" s="1">
        <v>15</v>
      </c>
      <c r="AE37" s="1">
        <v>6</v>
      </c>
      <c r="AG37" s="1" t="s">
        <v>56</v>
      </c>
      <c r="AI37" s="2">
        <v>437942.91</v>
      </c>
    </row>
    <row r="38" spans="1:38" ht="14.45" customHeight="1" x14ac:dyDescent="0.2">
      <c r="A38" s="1" t="s">
        <v>57</v>
      </c>
      <c r="B38" s="9" t="s">
        <v>38</v>
      </c>
      <c r="C38" s="1" t="s">
        <v>58</v>
      </c>
      <c r="D38" s="1" t="s">
        <v>59</v>
      </c>
      <c r="E38" s="1" t="s">
        <v>42</v>
      </c>
      <c r="G38" s="1" t="s">
        <v>88</v>
      </c>
      <c r="H38" s="1" t="s">
        <v>61</v>
      </c>
      <c r="I38" s="1" t="s">
        <v>330</v>
      </c>
      <c r="J38" s="1" t="s">
        <v>82</v>
      </c>
      <c r="K38" s="1" t="s">
        <v>331</v>
      </c>
      <c r="L38" s="1" t="s">
        <v>332</v>
      </c>
      <c r="P38" s="1" t="s">
        <v>333</v>
      </c>
      <c r="Q38" s="1" t="s">
        <v>264</v>
      </c>
      <c r="R38" s="1" t="s">
        <v>265</v>
      </c>
      <c r="S38" s="1" t="s">
        <v>266</v>
      </c>
      <c r="T38" s="1" t="s">
        <v>267</v>
      </c>
      <c r="U38" s="1">
        <v>2</v>
      </c>
      <c r="V38" s="1" t="s">
        <v>268</v>
      </c>
      <c r="W38" s="1" t="s">
        <v>334</v>
      </c>
      <c r="X38" s="1" t="s">
        <v>138</v>
      </c>
      <c r="Y38" s="10">
        <v>43825</v>
      </c>
      <c r="Z38" s="1">
        <v>2019</v>
      </c>
      <c r="AA38" s="2">
        <v>74455</v>
      </c>
      <c r="AB38" s="2"/>
      <c r="AC38" s="2">
        <v>11168.25</v>
      </c>
      <c r="AD38" s="1">
        <v>1</v>
      </c>
      <c r="AG38" s="1" t="s">
        <v>56</v>
      </c>
      <c r="AI38" s="2">
        <v>11168.25</v>
      </c>
    </row>
    <row r="39" spans="1:38" ht="14.45" customHeight="1" x14ac:dyDescent="0.2">
      <c r="A39" s="1" t="s">
        <v>57</v>
      </c>
      <c r="B39" s="9" t="s">
        <v>38</v>
      </c>
      <c r="C39" s="1" t="s">
        <v>58</v>
      </c>
      <c r="D39" s="1" t="s">
        <v>59</v>
      </c>
      <c r="E39" s="1" t="s">
        <v>42</v>
      </c>
      <c r="G39" s="1" t="s">
        <v>60</v>
      </c>
      <c r="H39" s="1" t="s">
        <v>61</v>
      </c>
      <c r="I39" s="1" t="s">
        <v>335</v>
      </c>
      <c r="J39" s="1">
        <v>2016</v>
      </c>
      <c r="K39" s="1" t="s">
        <v>336</v>
      </c>
      <c r="L39" s="1" t="s">
        <v>337</v>
      </c>
      <c r="P39" s="1" t="s">
        <v>338</v>
      </c>
      <c r="Q39" s="1" t="s">
        <v>101</v>
      </c>
      <c r="R39" s="1" t="s">
        <v>339</v>
      </c>
      <c r="S39" s="1" t="s">
        <v>340</v>
      </c>
      <c r="T39" s="1" t="s">
        <v>341</v>
      </c>
      <c r="U39" s="1">
        <v>1</v>
      </c>
      <c r="V39" s="1" t="s">
        <v>80</v>
      </c>
      <c r="W39" s="1" t="s">
        <v>337</v>
      </c>
      <c r="Y39" s="10">
        <v>44255</v>
      </c>
      <c r="Z39" s="1">
        <v>2021</v>
      </c>
      <c r="AA39" s="2">
        <v>1184134</v>
      </c>
      <c r="AB39" s="2"/>
      <c r="AC39" s="2">
        <v>78831.81</v>
      </c>
      <c r="AD39" s="1">
        <v>5</v>
      </c>
      <c r="AE39" s="1">
        <v>4</v>
      </c>
      <c r="AG39" s="1" t="s">
        <v>56</v>
      </c>
      <c r="AI39" s="2">
        <v>78831.81</v>
      </c>
    </row>
    <row r="40" spans="1:38" ht="14.45" customHeight="1" x14ac:dyDescent="0.2">
      <c r="A40" s="1" t="s">
        <v>57</v>
      </c>
      <c r="B40" s="9" t="s">
        <v>38</v>
      </c>
      <c r="C40" s="1" t="s">
        <v>58</v>
      </c>
      <c r="D40" s="1" t="s">
        <v>59</v>
      </c>
      <c r="E40" s="1" t="s">
        <v>42</v>
      </c>
      <c r="G40" s="1" t="s">
        <v>60</v>
      </c>
      <c r="H40" s="1" t="s">
        <v>61</v>
      </c>
      <c r="I40" s="1" t="s">
        <v>342</v>
      </c>
      <c r="J40" s="1">
        <v>2016</v>
      </c>
      <c r="K40" s="1" t="s">
        <v>323</v>
      </c>
      <c r="L40" s="1" t="s">
        <v>343</v>
      </c>
      <c r="P40" s="1" t="s">
        <v>344</v>
      </c>
      <c r="Q40" s="1" t="s">
        <v>101</v>
      </c>
      <c r="R40" s="1" t="s">
        <v>326</v>
      </c>
      <c r="S40" s="1" t="s">
        <v>327</v>
      </c>
      <c r="T40" s="1" t="s">
        <v>328</v>
      </c>
      <c r="U40" s="1">
        <v>2</v>
      </c>
      <c r="V40" s="1" t="s">
        <v>80</v>
      </c>
      <c r="W40" s="1" t="s">
        <v>345</v>
      </c>
      <c r="Y40" s="10">
        <v>44255</v>
      </c>
      <c r="Z40" s="1">
        <v>2021</v>
      </c>
      <c r="AA40" s="2">
        <v>1272762.6000000001</v>
      </c>
      <c r="AB40" s="2"/>
      <c r="AC40" s="2">
        <v>190914.39</v>
      </c>
      <c r="AD40" s="1">
        <v>4</v>
      </c>
      <c r="AE40" s="1">
        <v>3</v>
      </c>
      <c r="AG40" s="1" t="s">
        <v>56</v>
      </c>
      <c r="AI40" s="2">
        <v>190914.39</v>
      </c>
    </row>
    <row r="41" spans="1:38" ht="14.45" customHeight="1" x14ac:dyDescent="0.2">
      <c r="A41" s="1" t="s">
        <v>57</v>
      </c>
      <c r="B41" s="9" t="s">
        <v>38</v>
      </c>
      <c r="C41" s="1" t="s">
        <v>58</v>
      </c>
      <c r="D41" s="1" t="s">
        <v>59</v>
      </c>
      <c r="E41" s="1" t="s">
        <v>42</v>
      </c>
      <c r="G41" s="1" t="s">
        <v>88</v>
      </c>
      <c r="H41" s="1" t="s">
        <v>61</v>
      </c>
      <c r="I41" s="1" t="s">
        <v>346</v>
      </c>
      <c r="J41" s="1" t="s">
        <v>82</v>
      </c>
      <c r="K41" s="1" t="s">
        <v>347</v>
      </c>
      <c r="L41" s="1" t="s">
        <v>348</v>
      </c>
      <c r="P41" s="1" t="s">
        <v>349</v>
      </c>
      <c r="Q41" s="1" t="s">
        <v>264</v>
      </c>
      <c r="R41" s="1" t="s">
        <v>265</v>
      </c>
      <c r="S41" s="1" t="s">
        <v>350</v>
      </c>
      <c r="T41" s="1" t="s">
        <v>351</v>
      </c>
      <c r="U41" s="1">
        <v>1</v>
      </c>
      <c r="V41" s="1" t="s">
        <v>80</v>
      </c>
      <c r="W41" s="1" t="s">
        <v>348</v>
      </c>
      <c r="X41" s="1" t="s">
        <v>138</v>
      </c>
      <c r="Y41" s="10">
        <v>43825</v>
      </c>
      <c r="Z41" s="1">
        <v>2019</v>
      </c>
      <c r="AA41" s="2">
        <v>68242.86</v>
      </c>
      <c r="AB41" s="2"/>
      <c r="AC41" s="2">
        <v>34121.43</v>
      </c>
      <c r="AD41" s="1">
        <v>2</v>
      </c>
      <c r="AE41" s="1">
        <v>1</v>
      </c>
      <c r="AG41" s="1" t="s">
        <v>56</v>
      </c>
      <c r="AI41" s="2">
        <v>34121.43</v>
      </c>
    </row>
    <row r="42" spans="1:38" ht="12.6" customHeight="1" x14ac:dyDescent="0.2">
      <c r="A42" s="1" t="s">
        <v>57</v>
      </c>
      <c r="B42" s="9" t="s">
        <v>38</v>
      </c>
      <c r="C42" s="1" t="s">
        <v>58</v>
      </c>
      <c r="D42" s="1" t="s">
        <v>59</v>
      </c>
      <c r="E42" s="1" t="s">
        <v>42</v>
      </c>
      <c r="G42" s="1" t="s">
        <v>88</v>
      </c>
      <c r="H42" s="1" t="s">
        <v>61</v>
      </c>
      <c r="I42" s="1" t="s">
        <v>352</v>
      </c>
      <c r="J42" s="1" t="s">
        <v>82</v>
      </c>
      <c r="K42" s="1" t="s">
        <v>353</v>
      </c>
      <c r="L42" s="1" t="s">
        <v>354</v>
      </c>
      <c r="P42" s="1" t="s">
        <v>355</v>
      </c>
      <c r="Q42" s="1" t="s">
        <v>264</v>
      </c>
      <c r="R42" s="1" t="s">
        <v>265</v>
      </c>
      <c r="S42" s="1" t="s">
        <v>350</v>
      </c>
      <c r="T42" s="1" t="s">
        <v>351</v>
      </c>
      <c r="U42" s="1">
        <v>1</v>
      </c>
      <c r="V42" s="1" t="s">
        <v>80</v>
      </c>
      <c r="W42" s="1" t="s">
        <v>354</v>
      </c>
      <c r="X42" s="1" t="s">
        <v>138</v>
      </c>
      <c r="Y42" s="10">
        <v>43825</v>
      </c>
      <c r="Z42" s="1">
        <v>2019</v>
      </c>
      <c r="AA42" s="2">
        <v>46519.17</v>
      </c>
      <c r="AB42" s="2"/>
      <c r="AC42" s="2">
        <v>17455.75</v>
      </c>
      <c r="AD42" s="1">
        <v>2.5</v>
      </c>
      <c r="AE42" s="1">
        <v>0.5</v>
      </c>
      <c r="AG42" s="1" t="s">
        <v>56</v>
      </c>
      <c r="AI42" s="2">
        <v>17455.75</v>
      </c>
      <c r="AL42" s="1" t="s">
        <v>356</v>
      </c>
    </row>
    <row r="43" spans="1:38" ht="12.6" customHeight="1" x14ac:dyDescent="0.25">
      <c r="A43" s="1" t="s">
        <v>57</v>
      </c>
      <c r="B43" s="9" t="s">
        <v>38</v>
      </c>
      <c r="C43" s="1" t="s">
        <v>58</v>
      </c>
      <c r="D43" s="1" t="s">
        <v>59</v>
      </c>
      <c r="E43" s="1" t="s">
        <v>42</v>
      </c>
      <c r="G43" s="1" t="s">
        <v>60</v>
      </c>
      <c r="H43" s="1" t="s">
        <v>61</v>
      </c>
      <c r="I43" s="1" t="s">
        <v>357</v>
      </c>
      <c r="J43" s="1">
        <v>2016</v>
      </c>
      <c r="K43" s="1" t="s">
        <v>358</v>
      </c>
      <c r="L43" s="1" t="s">
        <v>359</v>
      </c>
      <c r="P43" s="1" t="s">
        <v>360</v>
      </c>
      <c r="Q43" s="1" t="s">
        <v>101</v>
      </c>
      <c r="R43" s="1" t="s">
        <v>326</v>
      </c>
      <c r="S43" s="16" t="s">
        <v>361</v>
      </c>
      <c r="T43" s="1" t="s">
        <v>362</v>
      </c>
      <c r="U43" s="1">
        <v>2</v>
      </c>
      <c r="V43" s="1" t="s">
        <v>80</v>
      </c>
      <c r="W43" s="1" t="s">
        <v>359</v>
      </c>
      <c r="Y43" s="10">
        <v>44255</v>
      </c>
      <c r="Z43" s="1">
        <v>2021</v>
      </c>
      <c r="AA43" s="2">
        <v>3087034.6</v>
      </c>
      <c r="AB43" s="2"/>
      <c r="AC43" s="2">
        <v>308703.46000000002</v>
      </c>
      <c r="AD43" s="1">
        <v>10</v>
      </c>
      <c r="AE43" s="1">
        <v>7</v>
      </c>
      <c r="AG43" s="1" t="s">
        <v>56</v>
      </c>
      <c r="AI43" s="2">
        <v>308703.46000000002</v>
      </c>
    </row>
    <row r="44" spans="1:38" ht="14.45" customHeight="1" x14ac:dyDescent="0.2">
      <c r="A44" s="1" t="s">
        <v>57</v>
      </c>
      <c r="B44" s="9" t="s">
        <v>38</v>
      </c>
      <c r="C44" s="1" t="s">
        <v>58</v>
      </c>
      <c r="D44" s="1" t="s">
        <v>59</v>
      </c>
      <c r="E44" s="1" t="s">
        <v>42</v>
      </c>
      <c r="G44" s="1" t="s">
        <v>60</v>
      </c>
      <c r="H44" s="1" t="s">
        <v>61</v>
      </c>
      <c r="I44" s="1" t="s">
        <v>363</v>
      </c>
      <c r="J44" s="1">
        <v>2016</v>
      </c>
      <c r="K44" s="1" t="s">
        <v>336</v>
      </c>
      <c r="L44" s="1" t="s">
        <v>364</v>
      </c>
      <c r="P44" s="1" t="s">
        <v>365</v>
      </c>
      <c r="Q44" s="1" t="s">
        <v>101</v>
      </c>
      <c r="R44" s="1" t="s">
        <v>339</v>
      </c>
      <c r="S44" s="1" t="s">
        <v>340</v>
      </c>
      <c r="T44" s="1" t="s">
        <v>341</v>
      </c>
      <c r="U44" s="1">
        <v>1</v>
      </c>
      <c r="V44" s="1" t="s">
        <v>80</v>
      </c>
      <c r="W44" s="1" t="s">
        <v>364</v>
      </c>
      <c r="Y44" s="10">
        <v>44255</v>
      </c>
      <c r="Z44" s="1">
        <v>2021</v>
      </c>
      <c r="AA44" s="2">
        <v>715244.39</v>
      </c>
      <c r="AB44" s="2"/>
      <c r="AC44" s="2">
        <v>143048.88</v>
      </c>
      <c r="AD44" s="1">
        <v>3</v>
      </c>
      <c r="AG44" s="1" t="s">
        <v>56</v>
      </c>
      <c r="AI44" s="2">
        <v>143048.88</v>
      </c>
    </row>
    <row r="45" spans="1:38" ht="14.45" customHeight="1" x14ac:dyDescent="0.2">
      <c r="A45" s="1" t="s">
        <v>57</v>
      </c>
      <c r="B45" s="9" t="s">
        <v>38</v>
      </c>
      <c r="C45" s="1" t="s">
        <v>58</v>
      </c>
      <c r="D45" s="1" t="s">
        <v>59</v>
      </c>
      <c r="E45" s="1" t="s">
        <v>42</v>
      </c>
      <c r="G45" s="1" t="s">
        <v>60</v>
      </c>
      <c r="H45" s="1" t="s">
        <v>61</v>
      </c>
      <c r="I45" s="1" t="s">
        <v>366</v>
      </c>
      <c r="J45" s="1" t="s">
        <v>82</v>
      </c>
      <c r="K45" s="1" t="s">
        <v>367</v>
      </c>
      <c r="L45" s="1" t="s">
        <v>368</v>
      </c>
      <c r="M45" s="1" t="s">
        <v>369</v>
      </c>
      <c r="N45" s="1" t="s">
        <v>370</v>
      </c>
      <c r="P45" s="1" t="s">
        <v>371</v>
      </c>
      <c r="Q45" s="1" t="s">
        <v>101</v>
      </c>
      <c r="R45" s="1" t="s">
        <v>102</v>
      </c>
      <c r="S45" s="1" t="s">
        <v>372</v>
      </c>
      <c r="T45" s="1" t="s">
        <v>373</v>
      </c>
      <c r="U45" s="1">
        <v>1</v>
      </c>
      <c r="V45" s="1" t="s">
        <v>101</v>
      </c>
      <c r="W45" s="1" t="s">
        <v>367</v>
      </c>
      <c r="X45" s="1" t="s">
        <v>153</v>
      </c>
      <c r="Y45" s="10">
        <v>43825</v>
      </c>
      <c r="Z45" s="1">
        <v>2019</v>
      </c>
      <c r="AA45" s="2">
        <v>3429084</v>
      </c>
      <c r="AB45" s="2"/>
      <c r="AC45" s="2">
        <v>525000</v>
      </c>
      <c r="AD45" s="1">
        <v>15</v>
      </c>
      <c r="AG45" s="1" t="s">
        <v>56</v>
      </c>
      <c r="AI45" s="2">
        <v>525000</v>
      </c>
    </row>
    <row r="46" spans="1:38" ht="14.45" customHeight="1" x14ac:dyDescent="0.2">
      <c r="A46" s="1" t="s">
        <v>57</v>
      </c>
      <c r="B46" s="9" t="s">
        <v>38</v>
      </c>
      <c r="C46" s="1" t="s">
        <v>58</v>
      </c>
      <c r="D46" s="1" t="s">
        <v>59</v>
      </c>
      <c r="E46" s="1" t="s">
        <v>42</v>
      </c>
      <c r="G46" s="1" t="s">
        <v>88</v>
      </c>
      <c r="H46" s="1" t="s">
        <v>61</v>
      </c>
      <c r="I46" s="1" t="s">
        <v>374</v>
      </c>
      <c r="J46" s="1" t="s">
        <v>82</v>
      </c>
      <c r="K46" s="1" t="s">
        <v>375</v>
      </c>
      <c r="L46" s="1" t="s">
        <v>376</v>
      </c>
      <c r="M46" s="1" t="s">
        <v>377</v>
      </c>
      <c r="P46" s="1" t="s">
        <v>378</v>
      </c>
      <c r="Q46" s="1" t="s">
        <v>264</v>
      </c>
      <c r="R46" s="1" t="s">
        <v>265</v>
      </c>
      <c r="S46" s="1" t="s">
        <v>379</v>
      </c>
      <c r="T46" s="1" t="s">
        <v>380</v>
      </c>
      <c r="U46" s="1">
        <v>2</v>
      </c>
      <c r="V46" s="1" t="s">
        <v>268</v>
      </c>
      <c r="W46" s="1" t="s">
        <v>381</v>
      </c>
      <c r="X46" s="1" t="s">
        <v>153</v>
      </c>
      <c r="Y46" s="10">
        <v>43825</v>
      </c>
      <c r="Z46" s="1">
        <v>2019</v>
      </c>
      <c r="AA46" s="2">
        <v>96821.53</v>
      </c>
      <c r="AB46" s="2"/>
      <c r="AC46" s="2">
        <v>14523.23</v>
      </c>
      <c r="AD46" s="1">
        <v>0</v>
      </c>
      <c r="AG46" s="1" t="s">
        <v>56</v>
      </c>
      <c r="AI46" s="2">
        <v>14523.23</v>
      </c>
    </row>
    <row r="47" spans="1:38" ht="14.45" customHeight="1" x14ac:dyDescent="0.2">
      <c r="A47" s="1" t="s">
        <v>57</v>
      </c>
      <c r="B47" s="9" t="s">
        <v>38</v>
      </c>
      <c r="C47" s="1" t="s">
        <v>58</v>
      </c>
      <c r="D47" s="1" t="s">
        <v>59</v>
      </c>
      <c r="E47" s="1" t="s">
        <v>42</v>
      </c>
      <c r="G47" s="1" t="s">
        <v>60</v>
      </c>
      <c r="H47" s="1" t="s">
        <v>61</v>
      </c>
      <c r="I47" s="1" t="s">
        <v>382</v>
      </c>
      <c r="J47" s="1" t="s">
        <v>82</v>
      </c>
      <c r="K47" s="1" t="s">
        <v>383</v>
      </c>
      <c r="L47" s="1" t="s">
        <v>384</v>
      </c>
      <c r="N47" s="1" t="s">
        <v>385</v>
      </c>
      <c r="P47" s="1" t="s">
        <v>386</v>
      </c>
      <c r="Q47" s="1" t="s">
        <v>101</v>
      </c>
      <c r="R47" s="1" t="s">
        <v>102</v>
      </c>
      <c r="S47" s="1" t="s">
        <v>387</v>
      </c>
      <c r="T47" s="1" t="s">
        <v>388</v>
      </c>
      <c r="U47" s="1">
        <v>2</v>
      </c>
      <c r="V47" s="1" t="s">
        <v>101</v>
      </c>
      <c r="W47" s="1" t="s">
        <v>383</v>
      </c>
      <c r="X47" s="1" t="s">
        <v>87</v>
      </c>
      <c r="Y47" s="10">
        <v>43825</v>
      </c>
      <c r="Z47" s="1">
        <v>2019</v>
      </c>
      <c r="AA47" s="2">
        <v>2431647.54</v>
      </c>
      <c r="AB47" s="2"/>
      <c r="AC47" s="2">
        <v>47250</v>
      </c>
      <c r="AD47" s="1">
        <v>3</v>
      </c>
      <c r="AE47" s="1">
        <v>1</v>
      </c>
      <c r="AG47" s="1" t="s">
        <v>56</v>
      </c>
      <c r="AI47" s="2">
        <v>47250</v>
      </c>
    </row>
    <row r="48" spans="1:38" ht="14.45" customHeight="1" x14ac:dyDescent="0.2">
      <c r="A48" s="1" t="s">
        <v>57</v>
      </c>
      <c r="B48" s="9" t="s">
        <v>38</v>
      </c>
      <c r="C48" s="1" t="s">
        <v>58</v>
      </c>
      <c r="D48" s="1" t="s">
        <v>59</v>
      </c>
      <c r="E48" s="1" t="s">
        <v>42</v>
      </c>
      <c r="G48" s="1" t="s">
        <v>88</v>
      </c>
      <c r="H48" s="1" t="s">
        <v>61</v>
      </c>
      <c r="I48" s="1" t="s">
        <v>389</v>
      </c>
      <c r="J48" s="1" t="s">
        <v>82</v>
      </c>
      <c r="K48" s="1" t="s">
        <v>390</v>
      </c>
      <c r="L48" s="1" t="s">
        <v>391</v>
      </c>
      <c r="M48" s="1" t="s">
        <v>392</v>
      </c>
      <c r="P48" s="1" t="s">
        <v>393</v>
      </c>
      <c r="Q48" s="1" t="s">
        <v>264</v>
      </c>
      <c r="R48" s="1" t="s">
        <v>265</v>
      </c>
      <c r="S48" s="1" t="s">
        <v>266</v>
      </c>
      <c r="T48" s="1" t="s">
        <v>267</v>
      </c>
      <c r="U48" s="1">
        <v>2</v>
      </c>
      <c r="V48" s="1" t="s">
        <v>268</v>
      </c>
      <c r="W48" s="1" t="s">
        <v>394</v>
      </c>
      <c r="X48" s="1" t="s">
        <v>153</v>
      </c>
      <c r="Y48" s="10">
        <v>43825</v>
      </c>
      <c r="Z48" s="1">
        <v>2019</v>
      </c>
      <c r="AA48" s="2">
        <v>324230.53999999998</v>
      </c>
      <c r="AB48" s="2"/>
      <c r="AC48" s="2">
        <v>62634.58</v>
      </c>
      <c r="AD48" s="1">
        <v>2</v>
      </c>
      <c r="AG48" s="1" t="s">
        <v>56</v>
      </c>
      <c r="AI48" s="2">
        <v>62634.58</v>
      </c>
      <c r="AL48" s="1" t="s">
        <v>395</v>
      </c>
    </row>
    <row r="49" spans="1:38" ht="14.45" customHeight="1" x14ac:dyDescent="0.2">
      <c r="A49" s="1" t="s">
        <v>57</v>
      </c>
      <c r="B49" s="9" t="s">
        <v>38</v>
      </c>
      <c r="C49" s="1" t="s">
        <v>58</v>
      </c>
      <c r="D49" s="1" t="s">
        <v>59</v>
      </c>
      <c r="E49" s="1" t="s">
        <v>42</v>
      </c>
      <c r="G49" s="1" t="s">
        <v>60</v>
      </c>
      <c r="H49" s="1" t="s">
        <v>61</v>
      </c>
      <c r="I49" s="1" t="s">
        <v>396</v>
      </c>
      <c r="J49" s="1" t="s">
        <v>82</v>
      </c>
      <c r="K49" s="1" t="s">
        <v>397</v>
      </c>
      <c r="L49" s="1" t="s">
        <v>398</v>
      </c>
      <c r="P49" s="1" t="s">
        <v>365</v>
      </c>
      <c r="Q49" s="1" t="s">
        <v>101</v>
      </c>
      <c r="R49" s="1" t="s">
        <v>339</v>
      </c>
      <c r="S49" s="1" t="s">
        <v>340</v>
      </c>
      <c r="T49" s="1" t="s">
        <v>341</v>
      </c>
      <c r="U49" s="1">
        <v>1</v>
      </c>
      <c r="V49" s="1" t="s">
        <v>80</v>
      </c>
      <c r="W49" s="1" t="s">
        <v>399</v>
      </c>
      <c r="X49" s="1" t="s">
        <v>400</v>
      </c>
      <c r="Y49" s="10">
        <v>43825</v>
      </c>
      <c r="Z49" s="1">
        <v>2019</v>
      </c>
      <c r="AA49" s="2">
        <v>1282789.69</v>
      </c>
      <c r="AB49" s="2"/>
      <c r="AC49" s="2">
        <v>105000</v>
      </c>
      <c r="AD49" s="1">
        <v>4</v>
      </c>
      <c r="AG49" s="1" t="s">
        <v>56</v>
      </c>
      <c r="AI49" s="2">
        <v>105000</v>
      </c>
    </row>
    <row r="50" spans="1:38" ht="14.45" customHeight="1" x14ac:dyDescent="0.2">
      <c r="A50" s="1" t="s">
        <v>57</v>
      </c>
      <c r="B50" s="9" t="s">
        <v>39</v>
      </c>
      <c r="C50" s="1" t="s">
        <v>58</v>
      </c>
      <c r="D50" s="1" t="s">
        <v>59</v>
      </c>
      <c r="E50" s="1" t="s">
        <v>42</v>
      </c>
      <c r="G50" s="1" t="s">
        <v>60</v>
      </c>
      <c r="H50" s="1" t="s">
        <v>61</v>
      </c>
      <c r="I50" s="1" t="s">
        <v>401</v>
      </c>
      <c r="J50" s="1" t="s">
        <v>82</v>
      </c>
      <c r="K50" s="1" t="s">
        <v>402</v>
      </c>
      <c r="L50" s="1" t="s">
        <v>403</v>
      </c>
      <c r="M50" s="1" t="s">
        <v>404</v>
      </c>
      <c r="N50" s="1" t="s">
        <v>405</v>
      </c>
      <c r="P50" s="1" t="s">
        <v>406</v>
      </c>
      <c r="Q50" s="1" t="s">
        <v>50</v>
      </c>
      <c r="R50" s="1" t="s">
        <v>77</v>
      </c>
      <c r="S50" s="1" t="s">
        <v>407</v>
      </c>
      <c r="T50" s="1" t="s">
        <v>408</v>
      </c>
      <c r="U50" s="1">
        <v>1</v>
      </c>
      <c r="V50" s="1" t="s">
        <v>186</v>
      </c>
      <c r="W50" s="1" t="s">
        <v>402</v>
      </c>
      <c r="X50" s="1" t="s">
        <v>87</v>
      </c>
      <c r="Y50" s="10">
        <v>43825</v>
      </c>
      <c r="Z50" s="1">
        <v>2019</v>
      </c>
      <c r="AA50" s="2">
        <v>4590736.3899999997</v>
      </c>
      <c r="AB50" s="2"/>
      <c r="AC50" s="2">
        <v>525000</v>
      </c>
      <c r="AD50" s="1">
        <v>16</v>
      </c>
      <c r="AE50" s="1">
        <v>3</v>
      </c>
      <c r="AG50" s="1" t="s">
        <v>56</v>
      </c>
      <c r="AI50" s="2">
        <v>525000</v>
      </c>
      <c r="AL50" s="1" t="s">
        <v>409</v>
      </c>
    </row>
    <row r="51" spans="1:38" ht="14.45" customHeight="1" x14ac:dyDescent="0.2">
      <c r="A51" s="1" t="s">
        <v>57</v>
      </c>
      <c r="B51" s="9" t="s">
        <v>38</v>
      </c>
      <c r="C51" s="1" t="s">
        <v>58</v>
      </c>
      <c r="D51" s="1" t="s">
        <v>59</v>
      </c>
      <c r="E51" s="1" t="s">
        <v>42</v>
      </c>
      <c r="G51" s="1" t="s">
        <v>60</v>
      </c>
      <c r="H51" s="1" t="s">
        <v>61</v>
      </c>
      <c r="I51" s="1" t="s">
        <v>410</v>
      </c>
      <c r="J51" s="1" t="s">
        <v>82</v>
      </c>
      <c r="K51" s="1" t="s">
        <v>323</v>
      </c>
      <c r="L51" s="1" t="s">
        <v>343</v>
      </c>
      <c r="P51" s="1" t="s">
        <v>325</v>
      </c>
      <c r="Q51" s="1" t="s">
        <v>101</v>
      </c>
      <c r="R51" s="1" t="s">
        <v>326</v>
      </c>
      <c r="S51" s="1" t="s">
        <v>327</v>
      </c>
      <c r="T51" s="1" t="s">
        <v>328</v>
      </c>
      <c r="U51" s="1">
        <v>2</v>
      </c>
      <c r="V51" s="1" t="s">
        <v>80</v>
      </c>
      <c r="W51" s="1" t="s">
        <v>411</v>
      </c>
      <c r="X51" s="1" t="s">
        <v>400</v>
      </c>
      <c r="Y51" s="10">
        <v>43825</v>
      </c>
      <c r="Z51" s="1">
        <v>2019</v>
      </c>
      <c r="AA51" s="2">
        <v>2368823.7400000002</v>
      </c>
      <c r="AB51" s="2"/>
      <c r="AC51" s="2">
        <v>173250</v>
      </c>
      <c r="AD51" s="1">
        <v>9</v>
      </c>
      <c r="AE51" s="1">
        <v>8</v>
      </c>
      <c r="AG51" s="1" t="s">
        <v>56</v>
      </c>
      <c r="AI51" s="2">
        <v>173250</v>
      </c>
    </row>
    <row r="52" spans="1:38" ht="12.6" customHeight="1" x14ac:dyDescent="0.2">
      <c r="A52" s="1" t="s">
        <v>57</v>
      </c>
      <c r="B52" s="9" t="s">
        <v>38</v>
      </c>
      <c r="C52" s="1" t="s">
        <v>58</v>
      </c>
      <c r="D52" s="1" t="s">
        <v>59</v>
      </c>
      <c r="E52" s="1" t="s">
        <v>42</v>
      </c>
      <c r="G52" s="1" t="s">
        <v>88</v>
      </c>
      <c r="H52" s="1" t="s">
        <v>61</v>
      </c>
      <c r="I52" s="1" t="s">
        <v>412</v>
      </c>
      <c r="J52" s="1" t="s">
        <v>82</v>
      </c>
      <c r="K52" s="1" t="s">
        <v>413</v>
      </c>
      <c r="L52" s="1" t="s">
        <v>414</v>
      </c>
      <c r="M52" s="1" t="s">
        <v>415</v>
      </c>
      <c r="N52" s="1" t="s">
        <v>416</v>
      </c>
      <c r="P52" s="1" t="s">
        <v>417</v>
      </c>
      <c r="Q52" s="1" t="s">
        <v>50</v>
      </c>
      <c r="R52" s="1" t="s">
        <v>68</v>
      </c>
      <c r="S52" s="1" t="s">
        <v>69</v>
      </c>
      <c r="T52" s="1" t="s">
        <v>70</v>
      </c>
      <c r="U52" s="1">
        <v>1</v>
      </c>
      <c r="V52" s="1" t="s">
        <v>71</v>
      </c>
      <c r="W52" s="1" t="s">
        <v>413</v>
      </c>
      <c r="X52" s="1" t="s">
        <v>138</v>
      </c>
      <c r="Y52" s="10">
        <v>44127</v>
      </c>
      <c r="Z52" s="1">
        <v>2020</v>
      </c>
      <c r="AA52" s="2">
        <v>39355.1</v>
      </c>
      <c r="AB52" s="2"/>
      <c r="AC52" s="2">
        <v>11806.53</v>
      </c>
      <c r="AD52" s="1">
        <v>2</v>
      </c>
      <c r="AG52" s="1" t="s">
        <v>56</v>
      </c>
      <c r="AI52" s="2">
        <v>11806.53</v>
      </c>
      <c r="AK52" s="1" t="s">
        <v>418</v>
      </c>
    </row>
    <row r="53" spans="1:38" ht="14.45" customHeight="1" x14ac:dyDescent="0.2">
      <c r="A53" s="1" t="s">
        <v>57</v>
      </c>
      <c r="B53" s="9" t="s">
        <v>38</v>
      </c>
      <c r="C53" s="1" t="s">
        <v>58</v>
      </c>
      <c r="D53" s="1" t="s">
        <v>59</v>
      </c>
      <c r="E53" s="1" t="s">
        <v>42</v>
      </c>
      <c r="G53" s="1" t="s">
        <v>88</v>
      </c>
      <c r="H53" s="1" t="s">
        <v>61</v>
      </c>
      <c r="I53" s="1" t="s">
        <v>419</v>
      </c>
      <c r="J53" s="1" t="s">
        <v>82</v>
      </c>
      <c r="K53" s="1" t="s">
        <v>420</v>
      </c>
      <c r="L53" s="1" t="s">
        <v>421</v>
      </c>
      <c r="M53" s="1" t="s">
        <v>422</v>
      </c>
      <c r="N53" s="1" t="s">
        <v>423</v>
      </c>
      <c r="P53" s="1" t="s">
        <v>424</v>
      </c>
      <c r="Q53" s="1" t="s">
        <v>50</v>
      </c>
      <c r="R53" s="1" t="s">
        <v>68</v>
      </c>
      <c r="S53" s="1" t="s">
        <v>425</v>
      </c>
      <c r="T53" s="1" t="s">
        <v>426</v>
      </c>
      <c r="U53" s="1">
        <v>1</v>
      </c>
      <c r="V53" s="1" t="s">
        <v>195</v>
      </c>
      <c r="W53" s="1" t="s">
        <v>420</v>
      </c>
      <c r="X53" s="1" t="s">
        <v>321</v>
      </c>
      <c r="Y53" s="10">
        <v>43825</v>
      </c>
      <c r="Z53" s="1">
        <v>2019</v>
      </c>
      <c r="AA53" s="2">
        <v>151106.1</v>
      </c>
      <c r="AB53" s="2"/>
      <c r="AC53" s="2">
        <v>45331.83</v>
      </c>
      <c r="AD53" s="1">
        <v>1</v>
      </c>
      <c r="AG53" s="1" t="s">
        <v>56</v>
      </c>
      <c r="AI53" s="2">
        <v>45331.83</v>
      </c>
    </row>
    <row r="54" spans="1:38" ht="12.6" customHeight="1" x14ac:dyDescent="0.2">
      <c r="A54" s="1" t="s">
        <v>57</v>
      </c>
      <c r="B54" s="9" t="s">
        <v>39</v>
      </c>
      <c r="C54" s="1" t="s">
        <v>58</v>
      </c>
      <c r="D54" s="1" t="s">
        <v>59</v>
      </c>
      <c r="E54" s="1" t="s">
        <v>42</v>
      </c>
      <c r="G54" s="1" t="s">
        <v>60</v>
      </c>
      <c r="H54" s="1" t="s">
        <v>61</v>
      </c>
      <c r="I54" s="1" t="s">
        <v>427</v>
      </c>
      <c r="J54" s="1" t="s">
        <v>82</v>
      </c>
      <c r="K54" s="1" t="s">
        <v>428</v>
      </c>
      <c r="P54" s="1" t="s">
        <v>429</v>
      </c>
      <c r="Q54" s="1" t="s">
        <v>50</v>
      </c>
      <c r="R54" s="1" t="s">
        <v>68</v>
      </c>
      <c r="S54" s="1" t="s">
        <v>430</v>
      </c>
      <c r="T54" s="1" t="s">
        <v>431</v>
      </c>
      <c r="U54" s="1">
        <v>1</v>
      </c>
      <c r="V54" s="1" t="s">
        <v>71</v>
      </c>
      <c r="W54" s="1" t="s">
        <v>428</v>
      </c>
      <c r="X54" s="1" t="s">
        <v>153</v>
      </c>
      <c r="Y54" s="10">
        <v>44827</v>
      </c>
      <c r="Z54" s="1">
        <v>2022</v>
      </c>
      <c r="AA54" s="2">
        <v>582836.76</v>
      </c>
      <c r="AB54" s="2"/>
      <c r="AC54" s="2">
        <v>174851.03</v>
      </c>
      <c r="AD54" s="1">
        <v>9</v>
      </c>
      <c r="AE54" s="1">
        <v>2</v>
      </c>
      <c r="AG54" s="1" t="s">
        <v>432</v>
      </c>
      <c r="AH54" s="1" t="s">
        <v>433</v>
      </c>
      <c r="AI54" s="2">
        <v>0</v>
      </c>
    </row>
    <row r="55" spans="1:38" ht="14.45" customHeight="1" x14ac:dyDescent="0.2">
      <c r="A55" s="1" t="s">
        <v>57</v>
      </c>
      <c r="B55" s="9" t="s">
        <v>38</v>
      </c>
      <c r="C55" s="1" t="s">
        <v>58</v>
      </c>
      <c r="D55" s="1" t="s">
        <v>59</v>
      </c>
      <c r="E55" s="1" t="s">
        <v>42</v>
      </c>
      <c r="G55" s="1" t="s">
        <v>88</v>
      </c>
      <c r="H55" s="1" t="s">
        <v>61</v>
      </c>
      <c r="I55" s="1" t="s">
        <v>434</v>
      </c>
      <c r="J55" s="1" t="s">
        <v>82</v>
      </c>
      <c r="K55" s="1" t="s">
        <v>435</v>
      </c>
      <c r="L55" s="1" t="s">
        <v>436</v>
      </c>
      <c r="M55" s="1" t="s">
        <v>437</v>
      </c>
      <c r="P55" s="1" t="s">
        <v>438</v>
      </c>
      <c r="Q55" s="1" t="s">
        <v>264</v>
      </c>
      <c r="R55" s="1" t="s">
        <v>265</v>
      </c>
      <c r="S55" s="1" t="s">
        <v>299</v>
      </c>
      <c r="T55" s="1" t="s">
        <v>300</v>
      </c>
      <c r="U55" s="1">
        <v>2</v>
      </c>
      <c r="V55" s="1" t="s">
        <v>268</v>
      </c>
      <c r="W55" s="1" t="s">
        <v>439</v>
      </c>
      <c r="X55" s="1" t="s">
        <v>153</v>
      </c>
      <c r="Y55" s="10">
        <v>44127</v>
      </c>
      <c r="Z55" s="1">
        <v>2020</v>
      </c>
      <c r="AA55" s="2">
        <v>147122.23999999999</v>
      </c>
      <c r="AB55" s="2"/>
      <c r="AC55" s="2">
        <v>22068.34</v>
      </c>
      <c r="AD55" s="1">
        <v>0</v>
      </c>
      <c r="AG55" s="1" t="s">
        <v>56</v>
      </c>
      <c r="AI55" s="2">
        <v>22068.34</v>
      </c>
      <c r="AK55" s="1" t="s">
        <v>440</v>
      </c>
    </row>
    <row r="56" spans="1:38" ht="14.45" customHeight="1" x14ac:dyDescent="0.2">
      <c r="A56" s="1" t="s">
        <v>57</v>
      </c>
      <c r="B56" s="9" t="s">
        <v>38</v>
      </c>
      <c r="C56" s="1" t="s">
        <v>58</v>
      </c>
      <c r="D56" s="1" t="s">
        <v>59</v>
      </c>
      <c r="E56" s="1" t="s">
        <v>42</v>
      </c>
      <c r="G56" s="1" t="s">
        <v>88</v>
      </c>
      <c r="H56" s="1" t="s">
        <v>61</v>
      </c>
      <c r="I56" s="1" t="s">
        <v>441</v>
      </c>
      <c r="J56" s="1" t="s">
        <v>82</v>
      </c>
      <c r="K56" s="1" t="s">
        <v>442</v>
      </c>
      <c r="L56" s="1" t="s">
        <v>443</v>
      </c>
      <c r="P56" s="1" t="s">
        <v>444</v>
      </c>
      <c r="Q56" s="1" t="s">
        <v>264</v>
      </c>
      <c r="R56" s="1" t="s">
        <v>265</v>
      </c>
      <c r="S56" s="1" t="s">
        <v>350</v>
      </c>
      <c r="T56" s="1" t="s">
        <v>351</v>
      </c>
      <c r="U56" s="1">
        <v>1</v>
      </c>
      <c r="V56" s="1" t="s">
        <v>80</v>
      </c>
      <c r="W56" s="1" t="s">
        <v>445</v>
      </c>
      <c r="X56" s="1" t="s">
        <v>138</v>
      </c>
      <c r="Y56" s="10">
        <v>43825</v>
      </c>
      <c r="Z56" s="1">
        <v>2019</v>
      </c>
      <c r="AA56" s="2">
        <v>207968.27</v>
      </c>
      <c r="AB56" s="2"/>
      <c r="AC56" s="2">
        <v>83390.48</v>
      </c>
      <c r="AD56" s="1">
        <v>3</v>
      </c>
      <c r="AE56" s="1">
        <v>2</v>
      </c>
      <c r="AG56" s="1" t="s">
        <v>56</v>
      </c>
      <c r="AI56" s="2">
        <v>83390.48</v>
      </c>
    </row>
    <row r="57" spans="1:38" x14ac:dyDescent="0.2">
      <c r="A57" s="1" t="s">
        <v>57</v>
      </c>
      <c r="B57" s="9" t="s">
        <v>38</v>
      </c>
      <c r="C57" s="1" t="s">
        <v>58</v>
      </c>
      <c r="D57" s="1" t="s">
        <v>59</v>
      </c>
      <c r="E57" s="1" t="s">
        <v>42</v>
      </c>
      <c r="G57" s="1" t="s">
        <v>88</v>
      </c>
      <c r="H57" s="1" t="s">
        <v>61</v>
      </c>
      <c r="I57" s="1" t="s">
        <v>446</v>
      </c>
      <c r="J57" s="1" t="s">
        <v>82</v>
      </c>
      <c r="K57" s="1" t="s">
        <v>447</v>
      </c>
      <c r="L57" s="1" t="s">
        <v>448</v>
      </c>
      <c r="P57" s="1" t="s">
        <v>449</v>
      </c>
      <c r="Q57" s="1" t="s">
        <v>264</v>
      </c>
      <c r="R57" s="1" t="s">
        <v>265</v>
      </c>
      <c r="S57" s="1" t="s">
        <v>450</v>
      </c>
      <c r="T57" s="1" t="s">
        <v>451</v>
      </c>
      <c r="U57" s="1">
        <v>2</v>
      </c>
      <c r="V57" s="1" t="s">
        <v>80</v>
      </c>
      <c r="W57" s="1" t="s">
        <v>448</v>
      </c>
      <c r="X57" s="1" t="s">
        <v>87</v>
      </c>
      <c r="Y57" s="10">
        <v>43825</v>
      </c>
      <c r="Z57" s="1">
        <v>2019</v>
      </c>
      <c r="AA57" s="2">
        <v>172967.38</v>
      </c>
      <c r="AB57" s="2"/>
      <c r="AC57" s="2">
        <v>25945.11</v>
      </c>
      <c r="AD57" s="1">
        <v>1</v>
      </c>
      <c r="AG57" s="1" t="s">
        <v>56</v>
      </c>
      <c r="AI57" s="2">
        <v>25945.11</v>
      </c>
    </row>
    <row r="58" spans="1:38" ht="14.45" customHeight="1" x14ac:dyDescent="0.2">
      <c r="A58" s="1" t="s">
        <v>57</v>
      </c>
      <c r="B58" s="9" t="s">
        <v>38</v>
      </c>
      <c r="C58" s="1" t="s">
        <v>58</v>
      </c>
      <c r="D58" s="1" t="s">
        <v>59</v>
      </c>
      <c r="E58" s="1" t="s">
        <v>42</v>
      </c>
      <c r="G58" s="1" t="s">
        <v>88</v>
      </c>
      <c r="H58" s="1" t="s">
        <v>61</v>
      </c>
      <c r="I58" s="1" t="s">
        <v>452</v>
      </c>
      <c r="J58" s="1" t="s">
        <v>82</v>
      </c>
      <c r="K58" s="1" t="s">
        <v>453</v>
      </c>
      <c r="L58" s="1" t="s">
        <v>454</v>
      </c>
      <c r="M58" s="1" t="s">
        <v>455</v>
      </c>
      <c r="P58" s="1" t="s">
        <v>456</v>
      </c>
      <c r="Q58" s="1" t="s">
        <v>264</v>
      </c>
      <c r="R58" s="1" t="s">
        <v>265</v>
      </c>
      <c r="S58" s="1" t="s">
        <v>266</v>
      </c>
      <c r="T58" s="1" t="s">
        <v>267</v>
      </c>
      <c r="U58" s="1">
        <v>2</v>
      </c>
      <c r="V58" s="1" t="s">
        <v>268</v>
      </c>
      <c r="W58" s="1" t="s">
        <v>457</v>
      </c>
      <c r="X58" s="1" t="s">
        <v>138</v>
      </c>
      <c r="Y58" s="10">
        <v>43825</v>
      </c>
      <c r="Z58" s="1">
        <v>2019</v>
      </c>
      <c r="AA58" s="2">
        <v>50044.51</v>
      </c>
      <c r="AB58" s="2"/>
      <c r="AC58" s="2">
        <v>14506.68</v>
      </c>
      <c r="AD58" s="1">
        <v>1</v>
      </c>
      <c r="AE58" s="1">
        <v>1</v>
      </c>
      <c r="AG58" s="1" t="s">
        <v>56</v>
      </c>
      <c r="AI58" s="2">
        <v>14506.68</v>
      </c>
    </row>
    <row r="59" spans="1:38" ht="14.45" customHeight="1" x14ac:dyDescent="0.2">
      <c r="A59" s="1" t="s">
        <v>57</v>
      </c>
      <c r="B59" s="9" t="s">
        <v>38</v>
      </c>
      <c r="C59" s="1" t="s">
        <v>58</v>
      </c>
      <c r="D59" s="1" t="s">
        <v>59</v>
      </c>
      <c r="E59" s="1" t="s">
        <v>42</v>
      </c>
      <c r="G59" s="1" t="s">
        <v>88</v>
      </c>
      <c r="H59" s="1" t="s">
        <v>61</v>
      </c>
      <c r="I59" s="1" t="s">
        <v>458</v>
      </c>
      <c r="J59" s="1" t="s">
        <v>82</v>
      </c>
      <c r="K59" s="1" t="s">
        <v>459</v>
      </c>
      <c r="L59" s="1" t="s">
        <v>460</v>
      </c>
      <c r="P59" s="1" t="s">
        <v>461</v>
      </c>
      <c r="Q59" s="1" t="s">
        <v>264</v>
      </c>
      <c r="R59" s="1" t="s">
        <v>265</v>
      </c>
      <c r="S59" s="1" t="s">
        <v>266</v>
      </c>
      <c r="T59" s="1" t="s">
        <v>267</v>
      </c>
      <c r="U59" s="1">
        <v>2</v>
      </c>
      <c r="V59" s="1" t="s">
        <v>268</v>
      </c>
      <c r="W59" s="1" t="s">
        <v>462</v>
      </c>
      <c r="X59" s="1" t="s">
        <v>145</v>
      </c>
      <c r="Y59" s="10">
        <v>43825</v>
      </c>
      <c r="Z59" s="1">
        <v>2019</v>
      </c>
      <c r="AA59" s="2">
        <v>290393.37</v>
      </c>
      <c r="AB59" s="2"/>
      <c r="AC59" s="2">
        <v>39000</v>
      </c>
      <c r="AD59" s="1">
        <v>1</v>
      </c>
      <c r="AG59" s="1" t="s">
        <v>56</v>
      </c>
      <c r="AI59" s="2">
        <v>39000</v>
      </c>
    </row>
    <row r="60" spans="1:38" ht="14.45" customHeight="1" x14ac:dyDescent="0.2">
      <c r="A60" s="1" t="s">
        <v>57</v>
      </c>
      <c r="B60" s="9" t="s">
        <v>38</v>
      </c>
      <c r="C60" s="1" t="s">
        <v>58</v>
      </c>
      <c r="D60" s="1" t="s">
        <v>59</v>
      </c>
      <c r="E60" s="1" t="s">
        <v>42</v>
      </c>
      <c r="G60" s="1" t="s">
        <v>88</v>
      </c>
      <c r="H60" s="1" t="s">
        <v>61</v>
      </c>
      <c r="I60" s="1" t="s">
        <v>463</v>
      </c>
      <c r="J60" s="1" t="s">
        <v>82</v>
      </c>
      <c r="K60" s="1" t="s">
        <v>464</v>
      </c>
      <c r="L60" s="1" t="s">
        <v>465</v>
      </c>
      <c r="P60" s="1" t="s">
        <v>466</v>
      </c>
      <c r="Q60" s="1" t="s">
        <v>264</v>
      </c>
      <c r="R60" s="1" t="s">
        <v>265</v>
      </c>
      <c r="S60" s="1" t="s">
        <v>350</v>
      </c>
      <c r="T60" s="1" t="s">
        <v>351</v>
      </c>
      <c r="U60" s="1">
        <v>1</v>
      </c>
      <c r="V60" s="1" t="s">
        <v>80</v>
      </c>
      <c r="W60" s="1" t="s">
        <v>465</v>
      </c>
      <c r="X60" s="1" t="s">
        <v>153</v>
      </c>
      <c r="Y60" s="10">
        <v>43825</v>
      </c>
      <c r="Z60" s="1">
        <v>2019</v>
      </c>
      <c r="AA60" s="2">
        <v>166235.79999999999</v>
      </c>
      <c r="AB60" s="2"/>
      <c r="AC60" s="2">
        <v>49870.74</v>
      </c>
      <c r="AD60" s="1">
        <v>2</v>
      </c>
      <c r="AG60" s="1" t="s">
        <v>56</v>
      </c>
      <c r="AI60" s="2">
        <v>49870.74</v>
      </c>
    </row>
    <row r="61" spans="1:38" ht="14.45" customHeight="1" x14ac:dyDescent="0.2">
      <c r="A61" s="1" t="s">
        <v>57</v>
      </c>
      <c r="B61" s="9" t="s">
        <v>38</v>
      </c>
      <c r="C61" s="1" t="s">
        <v>58</v>
      </c>
      <c r="D61" s="1" t="s">
        <v>59</v>
      </c>
      <c r="E61" s="1" t="s">
        <v>42</v>
      </c>
      <c r="G61" s="1" t="s">
        <v>60</v>
      </c>
      <c r="H61" s="1" t="s">
        <v>61</v>
      </c>
      <c r="I61" s="1" t="s">
        <v>467</v>
      </c>
      <c r="J61" s="1" t="s">
        <v>82</v>
      </c>
      <c r="K61" s="1" t="s">
        <v>468</v>
      </c>
      <c r="L61" s="1" t="s">
        <v>469</v>
      </c>
      <c r="P61" s="1" t="s">
        <v>470</v>
      </c>
      <c r="Q61" s="1" t="s">
        <v>101</v>
      </c>
      <c r="R61" s="1" t="s">
        <v>326</v>
      </c>
      <c r="S61" s="1" t="s">
        <v>327</v>
      </c>
      <c r="T61" s="1" t="s">
        <v>328</v>
      </c>
      <c r="U61" s="1">
        <v>2</v>
      </c>
      <c r="V61" s="1" t="s">
        <v>80</v>
      </c>
      <c r="W61" s="1" t="s">
        <v>471</v>
      </c>
      <c r="X61" s="1" t="s">
        <v>87</v>
      </c>
      <c r="Y61" s="10">
        <v>43825</v>
      </c>
      <c r="Z61" s="1">
        <v>2019</v>
      </c>
      <c r="AA61" s="2">
        <v>4274406.2699999996</v>
      </c>
      <c r="AB61" s="2"/>
      <c r="AC61" s="2">
        <v>262500</v>
      </c>
      <c r="AD61" s="1">
        <v>15</v>
      </c>
      <c r="AE61" s="1">
        <v>7</v>
      </c>
      <c r="AG61" s="1" t="s">
        <v>56</v>
      </c>
      <c r="AI61" s="2">
        <v>262500</v>
      </c>
      <c r="AL61" s="1" t="s">
        <v>472</v>
      </c>
    </row>
    <row r="62" spans="1:38" ht="14.45" customHeight="1" x14ac:dyDescent="0.2">
      <c r="A62" s="1" t="s">
        <v>57</v>
      </c>
      <c r="B62" s="9" t="s">
        <v>38</v>
      </c>
      <c r="C62" s="1" t="s">
        <v>58</v>
      </c>
      <c r="D62" s="1" t="s">
        <v>59</v>
      </c>
      <c r="E62" s="1" t="s">
        <v>42</v>
      </c>
      <c r="G62" s="1" t="s">
        <v>60</v>
      </c>
      <c r="H62" s="1" t="s">
        <v>61</v>
      </c>
      <c r="I62" s="1" t="s">
        <v>473</v>
      </c>
      <c r="J62" s="1" t="s">
        <v>82</v>
      </c>
      <c r="K62" s="1" t="s">
        <v>474</v>
      </c>
      <c r="L62" s="1" t="s">
        <v>475</v>
      </c>
      <c r="P62" s="1" t="s">
        <v>476</v>
      </c>
      <c r="Q62" s="1" t="s">
        <v>101</v>
      </c>
      <c r="R62" s="1" t="s">
        <v>326</v>
      </c>
      <c r="S62" s="1" t="s">
        <v>327</v>
      </c>
      <c r="T62" s="1" t="s">
        <v>328</v>
      </c>
      <c r="U62" s="1">
        <v>2</v>
      </c>
      <c r="V62" s="1" t="s">
        <v>80</v>
      </c>
      <c r="W62" s="1" t="s">
        <v>475</v>
      </c>
      <c r="X62" s="1" t="s">
        <v>87</v>
      </c>
      <c r="Y62" s="10">
        <v>43825</v>
      </c>
      <c r="Z62" s="1">
        <v>2019</v>
      </c>
      <c r="AA62" s="2">
        <v>2877016.6</v>
      </c>
      <c r="AB62" s="2"/>
      <c r="AC62" s="2">
        <v>192500</v>
      </c>
      <c r="AD62" s="1">
        <v>10</v>
      </c>
      <c r="AE62" s="1">
        <v>8.5</v>
      </c>
      <c r="AG62" s="1" t="s">
        <v>56</v>
      </c>
      <c r="AI62" s="2">
        <v>187518.04</v>
      </c>
      <c r="AL62" s="15" t="s">
        <v>477</v>
      </c>
    </row>
    <row r="63" spans="1:38" ht="14.45" customHeight="1" x14ac:dyDescent="0.2">
      <c r="A63" s="1" t="s">
        <v>57</v>
      </c>
      <c r="B63" s="9" t="s">
        <v>38</v>
      </c>
      <c r="C63" s="1" t="s">
        <v>58</v>
      </c>
      <c r="D63" s="1" t="s">
        <v>59</v>
      </c>
      <c r="E63" s="1" t="s">
        <v>42</v>
      </c>
      <c r="G63" s="1" t="s">
        <v>88</v>
      </c>
      <c r="H63" s="1" t="s">
        <v>61</v>
      </c>
      <c r="I63" s="1" t="s">
        <v>478</v>
      </c>
      <c r="J63" s="1" t="s">
        <v>82</v>
      </c>
      <c r="K63" s="1" t="s">
        <v>479</v>
      </c>
      <c r="L63" s="1" t="s">
        <v>480</v>
      </c>
      <c r="P63" s="1" t="s">
        <v>481</v>
      </c>
      <c r="Q63" s="1" t="s">
        <v>264</v>
      </c>
      <c r="R63" s="1" t="s">
        <v>265</v>
      </c>
      <c r="S63" s="1" t="s">
        <v>266</v>
      </c>
      <c r="T63" s="1" t="s">
        <v>267</v>
      </c>
      <c r="U63" s="1">
        <v>2</v>
      </c>
      <c r="V63" s="1" t="s">
        <v>268</v>
      </c>
      <c r="W63" s="1" t="s">
        <v>482</v>
      </c>
      <c r="X63" s="1" t="s">
        <v>87</v>
      </c>
      <c r="Y63" s="10">
        <v>43825</v>
      </c>
      <c r="Z63" s="1">
        <v>2019</v>
      </c>
      <c r="AA63" s="2">
        <v>193838.7</v>
      </c>
      <c r="AB63" s="2"/>
      <c r="AC63" s="2">
        <v>50075.81</v>
      </c>
      <c r="AD63" s="1">
        <v>3</v>
      </c>
      <c r="AG63" s="1" t="s">
        <v>56</v>
      </c>
      <c r="AI63" s="2">
        <v>50075.81</v>
      </c>
      <c r="AL63" s="1" t="s">
        <v>483</v>
      </c>
    </row>
    <row r="64" spans="1:38" ht="14.45" customHeight="1" x14ac:dyDescent="0.2">
      <c r="A64" s="1" t="s">
        <v>57</v>
      </c>
      <c r="B64" s="9" t="s">
        <v>38</v>
      </c>
      <c r="C64" s="1" t="s">
        <v>58</v>
      </c>
      <c r="D64" s="1" t="s">
        <v>59</v>
      </c>
      <c r="E64" s="1" t="s">
        <v>42</v>
      </c>
      <c r="G64" s="1" t="s">
        <v>88</v>
      </c>
      <c r="H64" s="1" t="s">
        <v>61</v>
      </c>
      <c r="I64" s="1" t="s">
        <v>484</v>
      </c>
      <c r="J64" s="1" t="s">
        <v>82</v>
      </c>
      <c r="K64" s="1" t="s">
        <v>485</v>
      </c>
      <c r="L64" s="1" t="s">
        <v>486</v>
      </c>
      <c r="P64" s="1" t="s">
        <v>487</v>
      </c>
      <c r="Q64" s="1" t="s">
        <v>264</v>
      </c>
      <c r="R64" s="1" t="s">
        <v>265</v>
      </c>
      <c r="S64" s="1" t="s">
        <v>266</v>
      </c>
      <c r="T64" s="1" t="s">
        <v>267</v>
      </c>
      <c r="U64" s="1">
        <v>2</v>
      </c>
      <c r="V64" s="1" t="s">
        <v>268</v>
      </c>
      <c r="W64" s="1" t="s">
        <v>488</v>
      </c>
      <c r="X64" s="1" t="s">
        <v>87</v>
      </c>
      <c r="Y64" s="10">
        <v>43825</v>
      </c>
      <c r="Z64" s="1">
        <v>2019</v>
      </c>
      <c r="AA64" s="2">
        <v>272191.99</v>
      </c>
      <c r="AB64" s="2"/>
      <c r="AC64" s="2">
        <v>40828.800000000003</v>
      </c>
      <c r="AD64" s="1">
        <v>0</v>
      </c>
      <c r="AG64" s="1" t="s">
        <v>56</v>
      </c>
      <c r="AI64" s="2">
        <v>40828.800000000003</v>
      </c>
    </row>
    <row r="65" spans="1:38" ht="14.45" customHeight="1" x14ac:dyDescent="0.2">
      <c r="A65" s="1" t="s">
        <v>57</v>
      </c>
      <c r="B65" s="9" t="s">
        <v>39</v>
      </c>
      <c r="C65" s="1" t="s">
        <v>58</v>
      </c>
      <c r="D65" s="1" t="s">
        <v>59</v>
      </c>
      <c r="E65" s="1" t="s">
        <v>42</v>
      </c>
      <c r="G65" s="1" t="s">
        <v>60</v>
      </c>
      <c r="H65" s="1" t="s">
        <v>61</v>
      </c>
      <c r="I65" s="1" t="s">
        <v>489</v>
      </c>
      <c r="J65" s="1" t="s">
        <v>82</v>
      </c>
      <c r="K65" s="1" t="s">
        <v>490</v>
      </c>
      <c r="P65" s="1" t="s">
        <v>491</v>
      </c>
      <c r="Q65" s="1" t="s">
        <v>50</v>
      </c>
      <c r="R65" s="1" t="s">
        <v>77</v>
      </c>
      <c r="S65" s="1" t="s">
        <v>198</v>
      </c>
      <c r="T65" s="1" t="s">
        <v>199</v>
      </c>
      <c r="U65" s="1">
        <v>1</v>
      </c>
      <c r="V65" s="1" t="s">
        <v>186</v>
      </c>
      <c r="W65" s="1" t="s">
        <v>490</v>
      </c>
      <c r="X65" s="1" t="s">
        <v>87</v>
      </c>
      <c r="Y65" s="10">
        <v>44348</v>
      </c>
      <c r="Z65" s="1">
        <v>2021</v>
      </c>
      <c r="AA65" s="2">
        <v>14354057.119999999</v>
      </c>
      <c r="AB65" s="2"/>
      <c r="AC65" s="2">
        <v>1120000</v>
      </c>
      <c r="AD65" s="1">
        <v>36</v>
      </c>
      <c r="AE65" s="1">
        <v>2</v>
      </c>
      <c r="AG65" s="1" t="s">
        <v>432</v>
      </c>
      <c r="AH65" s="1" t="s">
        <v>492</v>
      </c>
      <c r="AI65" s="2">
        <v>0</v>
      </c>
    </row>
    <row r="66" spans="1:38" ht="14.45" customHeight="1" x14ac:dyDescent="0.2">
      <c r="A66" s="1" t="s">
        <v>57</v>
      </c>
      <c r="B66" s="9" t="s">
        <v>38</v>
      </c>
      <c r="C66" s="1" t="s">
        <v>58</v>
      </c>
      <c r="D66" s="1" t="s">
        <v>59</v>
      </c>
      <c r="E66" s="1" t="s">
        <v>42</v>
      </c>
      <c r="G66" s="1" t="s">
        <v>88</v>
      </c>
      <c r="H66" s="1" t="s">
        <v>61</v>
      </c>
      <c r="I66" s="1" t="s">
        <v>493</v>
      </c>
      <c r="J66" s="1" t="s">
        <v>82</v>
      </c>
      <c r="K66" s="1" t="s">
        <v>494</v>
      </c>
      <c r="L66" s="1" t="s">
        <v>495</v>
      </c>
      <c r="P66" s="1" t="s">
        <v>496</v>
      </c>
      <c r="Q66" s="1" t="s">
        <v>264</v>
      </c>
      <c r="R66" s="1" t="s">
        <v>265</v>
      </c>
      <c r="S66" s="1" t="s">
        <v>350</v>
      </c>
      <c r="T66" s="1" t="s">
        <v>351</v>
      </c>
      <c r="U66" s="1">
        <v>1</v>
      </c>
      <c r="V66" s="1" t="s">
        <v>80</v>
      </c>
      <c r="W66" s="1" t="s">
        <v>497</v>
      </c>
      <c r="X66" s="1" t="s">
        <v>309</v>
      </c>
      <c r="Y66" s="10">
        <v>43825</v>
      </c>
      <c r="Z66" s="1">
        <v>2019</v>
      </c>
      <c r="AA66" s="2">
        <v>32878</v>
      </c>
      <c r="AB66" s="2"/>
      <c r="AC66" s="2">
        <v>9863.4</v>
      </c>
      <c r="AD66" s="1">
        <v>0</v>
      </c>
      <c r="AG66" s="1" t="s">
        <v>56</v>
      </c>
      <c r="AI66" s="2">
        <v>9863.4</v>
      </c>
    </row>
    <row r="67" spans="1:38" ht="12.6" customHeight="1" x14ac:dyDescent="0.2">
      <c r="A67" s="1" t="s">
        <v>57</v>
      </c>
      <c r="B67" s="9" t="s">
        <v>38</v>
      </c>
      <c r="C67" s="1" t="s">
        <v>58</v>
      </c>
      <c r="D67" s="1" t="s">
        <v>59</v>
      </c>
      <c r="E67" s="1" t="s">
        <v>42</v>
      </c>
      <c r="G67" s="1" t="s">
        <v>88</v>
      </c>
      <c r="H67" s="1" t="s">
        <v>61</v>
      </c>
      <c r="I67" s="1" t="s">
        <v>498</v>
      </c>
      <c r="J67" s="1" t="s">
        <v>82</v>
      </c>
      <c r="K67" s="1" t="s">
        <v>499</v>
      </c>
      <c r="L67" s="1" t="s">
        <v>500</v>
      </c>
      <c r="P67" s="1" t="s">
        <v>501</v>
      </c>
      <c r="Q67" s="1" t="s">
        <v>264</v>
      </c>
      <c r="R67" s="1" t="s">
        <v>265</v>
      </c>
      <c r="S67" s="1" t="s">
        <v>379</v>
      </c>
      <c r="T67" s="1" t="s">
        <v>380</v>
      </c>
      <c r="U67" s="1">
        <v>2</v>
      </c>
      <c r="V67" s="1" t="s">
        <v>268</v>
      </c>
      <c r="W67" s="1" t="s">
        <v>502</v>
      </c>
      <c r="X67" s="1" t="s">
        <v>87</v>
      </c>
      <c r="Y67" s="10">
        <v>43825</v>
      </c>
      <c r="Z67" s="1">
        <v>2019</v>
      </c>
      <c r="AA67" s="2">
        <v>125370.49</v>
      </c>
      <c r="AB67" s="2"/>
      <c r="AC67" s="2">
        <v>12537.05</v>
      </c>
      <c r="AD67" s="1">
        <v>1</v>
      </c>
      <c r="AG67" s="1" t="s">
        <v>56</v>
      </c>
      <c r="AI67" s="2">
        <v>12537.05</v>
      </c>
      <c r="AL67" s="1" t="s">
        <v>503</v>
      </c>
    </row>
    <row r="68" spans="1:38" ht="14.45" customHeight="1" x14ac:dyDescent="0.2">
      <c r="A68" s="1" t="s">
        <v>57</v>
      </c>
      <c r="B68" s="9" t="s">
        <v>38</v>
      </c>
      <c r="C68" s="1" t="s">
        <v>58</v>
      </c>
      <c r="D68" s="1" t="s">
        <v>59</v>
      </c>
      <c r="E68" s="1" t="s">
        <v>42</v>
      </c>
      <c r="G68" s="1" t="s">
        <v>60</v>
      </c>
      <c r="H68" s="1" t="s">
        <v>61</v>
      </c>
      <c r="I68" s="1" t="s">
        <v>504</v>
      </c>
      <c r="J68" s="1" t="s">
        <v>82</v>
      </c>
      <c r="K68" s="1" t="s">
        <v>505</v>
      </c>
      <c r="L68" s="1" t="s">
        <v>506</v>
      </c>
      <c r="P68" s="1" t="s">
        <v>507</v>
      </c>
      <c r="Q68" s="1" t="s">
        <v>101</v>
      </c>
      <c r="R68" s="1" t="s">
        <v>102</v>
      </c>
      <c r="S68" s="1" t="s">
        <v>508</v>
      </c>
      <c r="T68" s="1" t="s">
        <v>509</v>
      </c>
      <c r="U68" s="1">
        <v>2</v>
      </c>
      <c r="V68" s="1" t="s">
        <v>80</v>
      </c>
      <c r="W68" s="1" t="s">
        <v>506</v>
      </c>
      <c r="X68" s="1" t="s">
        <v>145</v>
      </c>
      <c r="Y68" s="10">
        <v>43825</v>
      </c>
      <c r="Z68" s="1">
        <v>2019</v>
      </c>
      <c r="AA68" s="2">
        <v>4084960.18</v>
      </c>
      <c r="AB68" s="2"/>
      <c r="AC68" s="2">
        <v>105000</v>
      </c>
      <c r="AD68" s="1">
        <v>6</v>
      </c>
      <c r="AE68" s="1">
        <v>2</v>
      </c>
      <c r="AG68" s="1" t="s">
        <v>56</v>
      </c>
      <c r="AI68" s="2">
        <v>105000</v>
      </c>
      <c r="AL68" s="1" t="s">
        <v>510</v>
      </c>
    </row>
    <row r="69" spans="1:38" ht="14.45" customHeight="1" x14ac:dyDescent="0.2">
      <c r="A69" s="1" t="s">
        <v>57</v>
      </c>
      <c r="B69" s="9" t="s">
        <v>38</v>
      </c>
      <c r="C69" s="1" t="s">
        <v>58</v>
      </c>
      <c r="D69" s="1" t="s">
        <v>59</v>
      </c>
      <c r="E69" s="1" t="s">
        <v>42</v>
      </c>
      <c r="G69" s="1" t="s">
        <v>60</v>
      </c>
      <c r="H69" s="1" t="s">
        <v>61</v>
      </c>
      <c r="I69" s="1" t="s">
        <v>511</v>
      </c>
      <c r="J69" s="1" t="s">
        <v>82</v>
      </c>
      <c r="K69" s="1" t="s">
        <v>512</v>
      </c>
      <c r="L69" s="1" t="s">
        <v>513</v>
      </c>
      <c r="P69" s="1" t="s">
        <v>514</v>
      </c>
      <c r="Q69" s="1" t="s">
        <v>101</v>
      </c>
      <c r="R69" s="1" t="s">
        <v>339</v>
      </c>
      <c r="S69" s="1" t="s">
        <v>515</v>
      </c>
      <c r="T69" s="1" t="s">
        <v>516</v>
      </c>
      <c r="U69" s="1">
        <v>2</v>
      </c>
      <c r="V69" s="1" t="s">
        <v>80</v>
      </c>
      <c r="W69" s="1" t="s">
        <v>513</v>
      </c>
      <c r="X69" s="1" t="s">
        <v>87</v>
      </c>
      <c r="Y69" s="10">
        <v>44127</v>
      </c>
      <c r="Z69" s="1">
        <v>2020</v>
      </c>
      <c r="AA69" s="2">
        <v>4507775.8</v>
      </c>
      <c r="AB69" s="2"/>
      <c r="AC69" s="2">
        <v>119000</v>
      </c>
      <c r="AD69" s="1">
        <v>7</v>
      </c>
      <c r="AE69" s="1">
        <v>3</v>
      </c>
      <c r="AG69" s="1" t="s">
        <v>56</v>
      </c>
      <c r="AI69" s="2">
        <v>119000</v>
      </c>
      <c r="AK69" s="1" t="s">
        <v>301</v>
      </c>
      <c r="AL69" s="1" t="s">
        <v>517</v>
      </c>
    </row>
    <row r="70" spans="1:38" ht="14.45" customHeight="1" x14ac:dyDescent="0.2">
      <c r="A70" s="1" t="s">
        <v>57</v>
      </c>
      <c r="B70" s="9" t="s">
        <v>38</v>
      </c>
      <c r="C70" s="1" t="s">
        <v>58</v>
      </c>
      <c r="D70" s="1" t="s">
        <v>59</v>
      </c>
      <c r="E70" s="1" t="s">
        <v>42</v>
      </c>
      <c r="G70" s="1" t="s">
        <v>88</v>
      </c>
      <c r="H70" s="1" t="s">
        <v>61</v>
      </c>
      <c r="I70" s="1" t="s">
        <v>518</v>
      </c>
      <c r="J70" s="1" t="s">
        <v>82</v>
      </c>
      <c r="K70" s="1" t="s">
        <v>519</v>
      </c>
      <c r="L70" s="1" t="s">
        <v>520</v>
      </c>
      <c r="N70" s="1" t="s">
        <v>521</v>
      </c>
      <c r="P70" s="1" t="s">
        <v>522</v>
      </c>
      <c r="Q70" s="1" t="s">
        <v>101</v>
      </c>
      <c r="R70" s="1" t="s">
        <v>102</v>
      </c>
      <c r="S70" s="1" t="s">
        <v>523</v>
      </c>
      <c r="T70" s="1" t="s">
        <v>524</v>
      </c>
      <c r="U70" s="1">
        <v>1</v>
      </c>
      <c r="V70" s="1" t="s">
        <v>101</v>
      </c>
      <c r="W70" s="1" t="s">
        <v>519</v>
      </c>
      <c r="X70" s="1" t="s">
        <v>153</v>
      </c>
      <c r="Y70" s="10">
        <v>43825</v>
      </c>
      <c r="Z70" s="1">
        <v>2019</v>
      </c>
      <c r="AA70" s="2">
        <v>453970</v>
      </c>
      <c r="AB70" s="2"/>
      <c r="AC70" s="2">
        <v>68095.5</v>
      </c>
      <c r="AD70" s="1">
        <v>2</v>
      </c>
      <c r="AG70" s="1" t="s">
        <v>56</v>
      </c>
      <c r="AI70" s="2">
        <v>68095.5</v>
      </c>
      <c r="AK70" s="1" t="s">
        <v>301</v>
      </c>
    </row>
    <row r="71" spans="1:38" ht="14.45" customHeight="1" x14ac:dyDescent="0.2">
      <c r="A71" s="1" t="s">
        <v>57</v>
      </c>
      <c r="B71" s="9" t="s">
        <v>38</v>
      </c>
      <c r="C71" s="1" t="s">
        <v>58</v>
      </c>
      <c r="D71" s="1" t="s">
        <v>59</v>
      </c>
      <c r="E71" s="1" t="s">
        <v>42</v>
      </c>
      <c r="G71" s="1" t="s">
        <v>88</v>
      </c>
      <c r="H71" s="1" t="s">
        <v>61</v>
      </c>
      <c r="I71" s="1" t="s">
        <v>525</v>
      </c>
      <c r="J71" s="1" t="s">
        <v>82</v>
      </c>
      <c r="K71" s="1" t="s">
        <v>526</v>
      </c>
      <c r="L71" s="1" t="s">
        <v>527</v>
      </c>
      <c r="P71" s="1" t="s">
        <v>528</v>
      </c>
      <c r="Q71" s="1" t="s">
        <v>101</v>
      </c>
      <c r="R71" s="1" t="s">
        <v>339</v>
      </c>
      <c r="S71" s="1" t="s">
        <v>515</v>
      </c>
      <c r="T71" s="1" t="s">
        <v>516</v>
      </c>
      <c r="U71" s="1">
        <v>2</v>
      </c>
      <c r="V71" s="1" t="s">
        <v>80</v>
      </c>
      <c r="W71" s="1" t="s">
        <v>527</v>
      </c>
      <c r="X71" s="1" t="s">
        <v>87</v>
      </c>
      <c r="Y71" s="10">
        <v>44127</v>
      </c>
      <c r="Z71" s="1">
        <v>2020</v>
      </c>
      <c r="AA71" s="2">
        <v>332492.43</v>
      </c>
      <c r="AB71" s="2"/>
      <c r="AC71" s="2">
        <v>70873.86</v>
      </c>
      <c r="AD71" s="1">
        <v>3</v>
      </c>
      <c r="AE71" s="1">
        <v>2</v>
      </c>
      <c r="AG71" s="1" t="s">
        <v>56</v>
      </c>
      <c r="AI71" s="2">
        <v>70873.86</v>
      </c>
      <c r="AK71" s="1" t="s">
        <v>301</v>
      </c>
    </row>
    <row r="72" spans="1:38" ht="14.45" customHeight="1" x14ac:dyDescent="0.2">
      <c r="A72" s="1" t="s">
        <v>57</v>
      </c>
      <c r="B72" s="9" t="s">
        <v>38</v>
      </c>
      <c r="C72" s="1" t="s">
        <v>58</v>
      </c>
      <c r="D72" s="1" t="s">
        <v>59</v>
      </c>
      <c r="E72" s="1" t="s">
        <v>42</v>
      </c>
      <c r="G72" s="1" t="s">
        <v>88</v>
      </c>
      <c r="H72" s="1" t="s">
        <v>61</v>
      </c>
      <c r="I72" s="1" t="s">
        <v>529</v>
      </c>
      <c r="J72" s="1" t="s">
        <v>82</v>
      </c>
      <c r="K72" s="1" t="s">
        <v>530</v>
      </c>
      <c r="L72" s="1" t="s">
        <v>531</v>
      </c>
      <c r="P72" s="1" t="s">
        <v>532</v>
      </c>
      <c r="Q72" s="1" t="s">
        <v>264</v>
      </c>
      <c r="R72" s="1" t="s">
        <v>265</v>
      </c>
      <c r="S72" s="1" t="s">
        <v>533</v>
      </c>
      <c r="T72" s="1" t="s">
        <v>534</v>
      </c>
      <c r="U72" s="1">
        <v>1</v>
      </c>
      <c r="V72" s="1" t="s">
        <v>535</v>
      </c>
      <c r="W72" s="1" t="s">
        <v>536</v>
      </c>
      <c r="X72" s="1" t="s">
        <v>87</v>
      </c>
      <c r="Y72" s="10">
        <v>43825</v>
      </c>
      <c r="Z72" s="1">
        <v>2019</v>
      </c>
      <c r="AA72" s="2">
        <v>92833.81</v>
      </c>
      <c r="AB72" s="2"/>
      <c r="AC72" s="2">
        <v>34850.14</v>
      </c>
      <c r="AD72" s="1">
        <v>1</v>
      </c>
      <c r="AG72" s="1" t="s">
        <v>56</v>
      </c>
      <c r="AI72" s="2">
        <v>34850.14</v>
      </c>
      <c r="AL72" s="1" t="s">
        <v>537</v>
      </c>
    </row>
    <row r="73" spans="1:38" ht="14.45" customHeight="1" x14ac:dyDescent="0.2">
      <c r="A73" s="1" t="s">
        <v>57</v>
      </c>
      <c r="B73" s="9" t="s">
        <v>38</v>
      </c>
      <c r="C73" s="1" t="s">
        <v>58</v>
      </c>
      <c r="D73" s="1" t="s">
        <v>59</v>
      </c>
      <c r="E73" s="1" t="s">
        <v>42</v>
      </c>
      <c r="G73" s="1" t="s">
        <v>88</v>
      </c>
      <c r="H73" s="1" t="s">
        <v>61</v>
      </c>
      <c r="I73" s="1" t="s">
        <v>538</v>
      </c>
      <c r="J73" s="1" t="s">
        <v>82</v>
      </c>
      <c r="K73" s="1" t="s">
        <v>539</v>
      </c>
      <c r="L73" s="1" t="s">
        <v>540</v>
      </c>
      <c r="P73" s="1" t="s">
        <v>541</v>
      </c>
      <c r="Q73" s="1" t="s">
        <v>264</v>
      </c>
      <c r="R73" s="1" t="s">
        <v>265</v>
      </c>
      <c r="S73" s="1" t="s">
        <v>542</v>
      </c>
      <c r="T73" s="1" t="s">
        <v>543</v>
      </c>
      <c r="U73" s="1">
        <v>1</v>
      </c>
      <c r="V73" s="1" t="s">
        <v>268</v>
      </c>
      <c r="W73" s="1" t="s">
        <v>544</v>
      </c>
      <c r="X73" s="1" t="s">
        <v>87</v>
      </c>
      <c r="Y73" s="10">
        <v>43825</v>
      </c>
      <c r="Z73" s="1">
        <v>2019</v>
      </c>
      <c r="AA73" s="2">
        <v>136000</v>
      </c>
      <c r="AB73" s="2"/>
      <c r="AC73" s="2">
        <v>54800</v>
      </c>
      <c r="AD73" s="1">
        <v>2</v>
      </c>
      <c r="AG73" s="1" t="s">
        <v>56</v>
      </c>
      <c r="AI73" s="2">
        <v>34652.94</v>
      </c>
    </row>
    <row r="74" spans="1:38" ht="14.45" customHeight="1" x14ac:dyDescent="0.2">
      <c r="A74" s="1" t="s">
        <v>57</v>
      </c>
      <c r="B74" s="9" t="s">
        <v>38</v>
      </c>
      <c r="C74" s="1" t="s">
        <v>58</v>
      </c>
      <c r="D74" s="1" t="s">
        <v>59</v>
      </c>
      <c r="E74" s="1" t="s">
        <v>42</v>
      </c>
      <c r="G74" s="1" t="s">
        <v>88</v>
      </c>
      <c r="H74" s="1" t="s">
        <v>61</v>
      </c>
      <c r="I74" s="1" t="s">
        <v>545</v>
      </c>
      <c r="J74" s="1" t="s">
        <v>82</v>
      </c>
      <c r="K74" s="1" t="s">
        <v>546</v>
      </c>
      <c r="L74" s="1" t="s">
        <v>547</v>
      </c>
      <c r="P74" s="1" t="s">
        <v>548</v>
      </c>
      <c r="Q74" s="1" t="s">
        <v>101</v>
      </c>
      <c r="R74" s="1" t="s">
        <v>339</v>
      </c>
      <c r="S74" s="1" t="s">
        <v>340</v>
      </c>
      <c r="T74" s="1" t="s">
        <v>341</v>
      </c>
      <c r="U74" s="1">
        <v>1</v>
      </c>
      <c r="V74" s="1" t="s">
        <v>80</v>
      </c>
      <c r="W74" s="1" t="s">
        <v>547</v>
      </c>
      <c r="X74" s="1" t="s">
        <v>309</v>
      </c>
      <c r="Y74" s="10">
        <v>43825</v>
      </c>
      <c r="Z74" s="1">
        <v>2019</v>
      </c>
      <c r="AA74" s="2">
        <v>178397.06</v>
      </c>
      <c r="AB74" s="2"/>
      <c r="AC74" s="2">
        <v>60519.12</v>
      </c>
      <c r="AD74" s="1">
        <v>1</v>
      </c>
      <c r="AE74" s="1">
        <v>1</v>
      </c>
      <c r="AG74" s="1" t="s">
        <v>56</v>
      </c>
      <c r="AI74" s="2">
        <v>60519.12</v>
      </c>
    </row>
    <row r="75" spans="1:38" ht="14.45" customHeight="1" x14ac:dyDescent="0.2">
      <c r="A75" s="1" t="s">
        <v>57</v>
      </c>
      <c r="B75" s="9" t="s">
        <v>38</v>
      </c>
      <c r="C75" s="1" t="s">
        <v>58</v>
      </c>
      <c r="D75" s="1" t="s">
        <v>59</v>
      </c>
      <c r="E75" s="1" t="s">
        <v>42</v>
      </c>
      <c r="G75" s="1" t="s">
        <v>88</v>
      </c>
      <c r="H75" s="1" t="s">
        <v>61</v>
      </c>
      <c r="I75" s="1" t="s">
        <v>549</v>
      </c>
      <c r="J75" s="1" t="s">
        <v>82</v>
      </c>
      <c r="K75" s="1" t="s">
        <v>550</v>
      </c>
      <c r="L75" s="1" t="s">
        <v>367</v>
      </c>
      <c r="P75" s="1" t="s">
        <v>551</v>
      </c>
      <c r="Q75" s="1" t="s">
        <v>101</v>
      </c>
      <c r="R75" s="1" t="s">
        <v>339</v>
      </c>
      <c r="S75" s="1" t="s">
        <v>340</v>
      </c>
      <c r="T75" s="1" t="s">
        <v>341</v>
      </c>
      <c r="U75" s="1">
        <v>1</v>
      </c>
      <c r="V75" s="1" t="s">
        <v>80</v>
      </c>
      <c r="W75" s="1" t="s">
        <v>367</v>
      </c>
      <c r="X75" s="1" t="s">
        <v>87</v>
      </c>
      <c r="Y75" s="10">
        <v>43825</v>
      </c>
      <c r="Z75" s="1">
        <v>2019</v>
      </c>
      <c r="AA75" s="2">
        <v>424565.99</v>
      </c>
      <c r="AB75" s="2"/>
      <c r="AC75" s="2">
        <v>127369.8</v>
      </c>
      <c r="AD75" s="1">
        <v>3</v>
      </c>
      <c r="AG75" s="1" t="s">
        <v>56</v>
      </c>
      <c r="AI75" s="2">
        <v>127369.8</v>
      </c>
    </row>
    <row r="76" spans="1:38" ht="14.45" customHeight="1" x14ac:dyDescent="0.2">
      <c r="A76" s="1" t="s">
        <v>57</v>
      </c>
      <c r="B76" s="9" t="s">
        <v>38</v>
      </c>
      <c r="C76" s="1" t="s">
        <v>58</v>
      </c>
      <c r="D76" s="1" t="s">
        <v>59</v>
      </c>
      <c r="E76" s="1" t="s">
        <v>42</v>
      </c>
      <c r="G76" s="1" t="s">
        <v>88</v>
      </c>
      <c r="H76" s="1" t="s">
        <v>61</v>
      </c>
      <c r="I76" s="1" t="s">
        <v>552</v>
      </c>
      <c r="J76" s="1" t="s">
        <v>82</v>
      </c>
      <c r="K76" s="1" t="s">
        <v>553</v>
      </c>
      <c r="L76" s="1" t="s">
        <v>554</v>
      </c>
      <c r="N76" s="1" t="s">
        <v>555</v>
      </c>
      <c r="P76" s="1" t="s">
        <v>556</v>
      </c>
      <c r="Q76" s="1" t="s">
        <v>101</v>
      </c>
      <c r="R76" s="1" t="s">
        <v>102</v>
      </c>
      <c r="S76" s="1" t="s">
        <v>523</v>
      </c>
      <c r="T76" s="1" t="s">
        <v>524</v>
      </c>
      <c r="U76" s="1">
        <v>1</v>
      </c>
      <c r="V76" s="1" t="s">
        <v>101</v>
      </c>
      <c r="W76" s="1" t="s">
        <v>557</v>
      </c>
      <c r="X76" s="1" t="s">
        <v>153</v>
      </c>
      <c r="Y76" s="10">
        <v>43825</v>
      </c>
      <c r="Z76" s="1">
        <v>2019</v>
      </c>
      <c r="AA76" s="2">
        <v>499221</v>
      </c>
      <c r="AB76" s="2"/>
      <c r="AC76" s="2">
        <v>74883.149999999994</v>
      </c>
      <c r="AD76" s="1">
        <v>2</v>
      </c>
      <c r="AG76" s="1" t="s">
        <v>56</v>
      </c>
      <c r="AI76" s="2">
        <v>74883.149999999994</v>
      </c>
      <c r="AK76" s="1" t="s">
        <v>418</v>
      </c>
    </row>
    <row r="77" spans="1:38" ht="14.45" customHeight="1" x14ac:dyDescent="0.2">
      <c r="A77" s="1" t="s">
        <v>57</v>
      </c>
      <c r="B77" s="9" t="s">
        <v>38</v>
      </c>
      <c r="C77" s="1" t="s">
        <v>58</v>
      </c>
      <c r="D77" s="1" t="s">
        <v>59</v>
      </c>
      <c r="E77" s="1" t="s">
        <v>42</v>
      </c>
      <c r="G77" s="1" t="s">
        <v>88</v>
      </c>
      <c r="H77" s="1" t="s">
        <v>61</v>
      </c>
      <c r="I77" s="1" t="s">
        <v>558</v>
      </c>
      <c r="J77" s="1" t="s">
        <v>82</v>
      </c>
      <c r="K77" s="1" t="s">
        <v>559</v>
      </c>
      <c r="L77" s="1" t="s">
        <v>560</v>
      </c>
      <c r="P77" s="1" t="s">
        <v>561</v>
      </c>
      <c r="Q77" s="1" t="s">
        <v>101</v>
      </c>
      <c r="R77" s="1" t="s">
        <v>102</v>
      </c>
      <c r="S77" s="1" t="s">
        <v>562</v>
      </c>
      <c r="T77" s="1" t="s">
        <v>563</v>
      </c>
      <c r="U77" s="1">
        <v>1</v>
      </c>
      <c r="V77" s="1" t="s">
        <v>101</v>
      </c>
      <c r="W77" s="1" t="s">
        <v>564</v>
      </c>
      <c r="X77" s="1" t="s">
        <v>87</v>
      </c>
      <c r="Y77" s="10">
        <v>44127</v>
      </c>
      <c r="Z77" s="1">
        <v>2020</v>
      </c>
      <c r="AA77" s="2">
        <v>350537.32</v>
      </c>
      <c r="AB77" s="2"/>
      <c r="AC77" s="2">
        <v>108634.33</v>
      </c>
      <c r="AD77" s="1">
        <v>3</v>
      </c>
      <c r="AE77" s="1">
        <v>3</v>
      </c>
      <c r="AG77" s="1" t="s">
        <v>56</v>
      </c>
      <c r="AI77" s="2">
        <v>108634.33</v>
      </c>
      <c r="AL77" s="1" t="s">
        <v>565</v>
      </c>
    </row>
    <row r="78" spans="1:38" ht="14.45" customHeight="1" x14ac:dyDescent="0.2">
      <c r="A78" s="1" t="s">
        <v>57</v>
      </c>
      <c r="B78" s="9" t="s">
        <v>38</v>
      </c>
      <c r="C78" s="1" t="s">
        <v>58</v>
      </c>
      <c r="D78" s="1" t="s">
        <v>59</v>
      </c>
      <c r="E78" s="1" t="s">
        <v>42</v>
      </c>
      <c r="G78" s="1" t="s">
        <v>88</v>
      </c>
      <c r="H78" s="1" t="s">
        <v>61</v>
      </c>
      <c r="I78" s="1" t="s">
        <v>566</v>
      </c>
      <c r="J78" s="1" t="s">
        <v>82</v>
      </c>
      <c r="K78" s="1" t="s">
        <v>567</v>
      </c>
      <c r="L78" s="1" t="s">
        <v>568</v>
      </c>
      <c r="M78" s="1" t="s">
        <v>569</v>
      </c>
      <c r="P78" s="1" t="s">
        <v>570</v>
      </c>
      <c r="Q78" s="1" t="s">
        <v>101</v>
      </c>
      <c r="R78" s="1" t="s">
        <v>326</v>
      </c>
      <c r="S78" s="1" t="s">
        <v>327</v>
      </c>
      <c r="T78" s="1" t="s">
        <v>328</v>
      </c>
      <c r="U78" s="1">
        <v>2</v>
      </c>
      <c r="V78" s="1" t="s">
        <v>80</v>
      </c>
      <c r="W78" s="1" t="s">
        <v>567</v>
      </c>
      <c r="X78" s="1" t="s">
        <v>571</v>
      </c>
      <c r="Y78" s="10">
        <v>43825</v>
      </c>
      <c r="Z78" s="1">
        <v>2019</v>
      </c>
      <c r="AA78" s="2">
        <v>499788.64</v>
      </c>
      <c r="AB78" s="2"/>
      <c r="AC78" s="2">
        <v>78000</v>
      </c>
      <c r="AD78" s="1">
        <v>2</v>
      </c>
      <c r="AE78" s="1">
        <v>1</v>
      </c>
      <c r="AG78" s="1" t="s">
        <v>56</v>
      </c>
      <c r="AI78" s="2">
        <v>78000</v>
      </c>
    </row>
    <row r="79" spans="1:38" ht="14.45" customHeight="1" x14ac:dyDescent="0.2">
      <c r="A79" s="1" t="s">
        <v>57</v>
      </c>
      <c r="B79" s="9" t="s">
        <v>38</v>
      </c>
      <c r="C79" s="1" t="s">
        <v>58</v>
      </c>
      <c r="D79" s="1" t="s">
        <v>59</v>
      </c>
      <c r="E79" s="1" t="s">
        <v>42</v>
      </c>
      <c r="G79" s="1" t="s">
        <v>88</v>
      </c>
      <c r="H79" s="1" t="s">
        <v>61</v>
      </c>
      <c r="I79" s="1" t="s">
        <v>572</v>
      </c>
      <c r="J79" s="1" t="s">
        <v>82</v>
      </c>
      <c r="K79" s="1" t="s">
        <v>573</v>
      </c>
      <c r="L79" s="1" t="s">
        <v>574</v>
      </c>
      <c r="P79" s="1" t="s">
        <v>575</v>
      </c>
      <c r="Q79" s="1" t="s">
        <v>264</v>
      </c>
      <c r="R79" s="1" t="s">
        <v>265</v>
      </c>
      <c r="S79" s="1" t="s">
        <v>266</v>
      </c>
      <c r="T79" s="1" t="s">
        <v>267</v>
      </c>
      <c r="U79" s="1">
        <v>2</v>
      </c>
      <c r="V79" s="1" t="s">
        <v>268</v>
      </c>
      <c r="W79" s="1" t="s">
        <v>576</v>
      </c>
      <c r="X79" s="1" t="s">
        <v>309</v>
      </c>
      <c r="Y79" s="10">
        <v>43825</v>
      </c>
      <c r="Z79" s="1">
        <v>2019</v>
      </c>
      <c r="AA79" s="2">
        <v>492926</v>
      </c>
      <c r="AB79" s="2"/>
      <c r="AC79" s="2">
        <v>49292.6</v>
      </c>
      <c r="AD79" s="1">
        <v>0</v>
      </c>
      <c r="AG79" s="1" t="s">
        <v>56</v>
      </c>
      <c r="AI79" s="2">
        <v>49292.6</v>
      </c>
    </row>
    <row r="80" spans="1:38" ht="14.45" customHeight="1" x14ac:dyDescent="0.2">
      <c r="A80" s="1" t="s">
        <v>57</v>
      </c>
      <c r="B80" s="9" t="s">
        <v>38</v>
      </c>
      <c r="C80" s="1" t="s">
        <v>58</v>
      </c>
      <c r="D80" s="1" t="s">
        <v>59</v>
      </c>
      <c r="E80" s="1" t="s">
        <v>42</v>
      </c>
      <c r="G80" s="1" t="s">
        <v>88</v>
      </c>
      <c r="H80" s="1" t="s">
        <v>61</v>
      </c>
      <c r="I80" s="1" t="s">
        <v>577</v>
      </c>
      <c r="J80" s="1" t="s">
        <v>82</v>
      </c>
      <c r="K80" s="1" t="s">
        <v>578</v>
      </c>
      <c r="L80" s="1" t="s">
        <v>579</v>
      </c>
      <c r="M80" s="1" t="s">
        <v>580</v>
      </c>
      <c r="P80" s="1" t="s">
        <v>581</v>
      </c>
      <c r="Q80" s="1" t="s">
        <v>264</v>
      </c>
      <c r="R80" s="1" t="s">
        <v>265</v>
      </c>
      <c r="S80" s="1" t="s">
        <v>533</v>
      </c>
      <c r="T80" s="1" t="s">
        <v>534</v>
      </c>
      <c r="U80" s="1">
        <v>1</v>
      </c>
      <c r="V80" s="1" t="s">
        <v>535</v>
      </c>
      <c r="W80" s="1" t="s">
        <v>582</v>
      </c>
      <c r="X80" s="1" t="s">
        <v>138</v>
      </c>
      <c r="Y80" s="10">
        <v>43825</v>
      </c>
      <c r="Z80" s="1">
        <v>2019</v>
      </c>
      <c r="AA80" s="2">
        <v>41478.17</v>
      </c>
      <c r="AB80" s="2"/>
      <c r="AC80" s="2">
        <v>20739.09</v>
      </c>
      <c r="AD80" s="1">
        <v>3</v>
      </c>
      <c r="AE80" s="1">
        <v>0.73</v>
      </c>
      <c r="AG80" s="1" t="s">
        <v>56</v>
      </c>
      <c r="AI80" s="2">
        <v>11036.84</v>
      </c>
      <c r="AL80" s="17" t="s">
        <v>583</v>
      </c>
    </row>
    <row r="81" spans="1:38" ht="14.45" customHeight="1" x14ac:dyDescent="0.2">
      <c r="A81" s="1" t="s">
        <v>57</v>
      </c>
      <c r="B81" s="9" t="s">
        <v>38</v>
      </c>
      <c r="C81" s="1" t="s">
        <v>58</v>
      </c>
      <c r="D81" s="1" t="s">
        <v>59</v>
      </c>
      <c r="E81" s="1" t="s">
        <v>42</v>
      </c>
      <c r="G81" s="1" t="s">
        <v>88</v>
      </c>
      <c r="H81" s="1" t="s">
        <v>61</v>
      </c>
      <c r="I81" s="1" t="s">
        <v>584</v>
      </c>
      <c r="J81" s="1" t="s">
        <v>82</v>
      </c>
      <c r="K81" s="1" t="s">
        <v>585</v>
      </c>
      <c r="L81" s="1" t="s">
        <v>586</v>
      </c>
      <c r="M81" s="1" t="s">
        <v>587</v>
      </c>
      <c r="P81" s="1" t="s">
        <v>588</v>
      </c>
      <c r="Q81" s="1" t="s">
        <v>264</v>
      </c>
      <c r="R81" s="1" t="s">
        <v>265</v>
      </c>
      <c r="S81" s="1" t="s">
        <v>266</v>
      </c>
      <c r="T81" s="1" t="s">
        <v>267</v>
      </c>
      <c r="U81" s="1">
        <v>2</v>
      </c>
      <c r="V81" s="1" t="s">
        <v>268</v>
      </c>
      <c r="W81" s="1" t="s">
        <v>589</v>
      </c>
      <c r="X81" s="1" t="s">
        <v>309</v>
      </c>
      <c r="Y81" s="10">
        <v>43825</v>
      </c>
      <c r="Z81" s="1">
        <v>2019</v>
      </c>
      <c r="AA81" s="2">
        <v>364619.37</v>
      </c>
      <c r="AB81" s="2"/>
      <c r="AC81" s="2">
        <v>96692.91</v>
      </c>
      <c r="AD81" s="1">
        <v>6</v>
      </c>
      <c r="AE81" s="1">
        <v>3</v>
      </c>
      <c r="AG81" s="1" t="s">
        <v>56</v>
      </c>
      <c r="AI81" s="2">
        <v>96692.91</v>
      </c>
    </row>
    <row r="82" spans="1:38" ht="14.45" customHeight="1" x14ac:dyDescent="0.2">
      <c r="A82" s="1" t="s">
        <v>57</v>
      </c>
      <c r="B82" s="9" t="s">
        <v>38</v>
      </c>
      <c r="C82" s="1" t="s">
        <v>58</v>
      </c>
      <c r="D82" s="1" t="s">
        <v>59</v>
      </c>
      <c r="E82" s="1" t="s">
        <v>42</v>
      </c>
      <c r="G82" s="1" t="s">
        <v>88</v>
      </c>
      <c r="H82" s="1" t="s">
        <v>61</v>
      </c>
      <c r="I82" s="1" t="s">
        <v>590</v>
      </c>
      <c r="J82" s="1" t="s">
        <v>82</v>
      </c>
      <c r="K82" s="1" t="s">
        <v>591</v>
      </c>
      <c r="L82" s="1" t="s">
        <v>592</v>
      </c>
      <c r="P82" s="1" t="s">
        <v>593</v>
      </c>
      <c r="Q82" s="1" t="s">
        <v>264</v>
      </c>
      <c r="R82" s="1" t="s">
        <v>265</v>
      </c>
      <c r="S82" s="1" t="s">
        <v>450</v>
      </c>
      <c r="T82" s="1" t="s">
        <v>451</v>
      </c>
      <c r="U82" s="1">
        <v>2</v>
      </c>
      <c r="V82" s="1" t="s">
        <v>80</v>
      </c>
      <c r="W82" s="1" t="s">
        <v>592</v>
      </c>
      <c r="X82" s="1" t="s">
        <v>87</v>
      </c>
      <c r="Y82" s="10">
        <v>43825</v>
      </c>
      <c r="Z82" s="1">
        <v>2019</v>
      </c>
      <c r="AA82" s="2">
        <v>337404</v>
      </c>
      <c r="AB82" s="2"/>
      <c r="AC82" s="2">
        <v>33740.400000000001</v>
      </c>
      <c r="AD82" s="1">
        <v>0</v>
      </c>
      <c r="AG82" s="1" t="s">
        <v>56</v>
      </c>
      <c r="AI82" s="2">
        <v>33740.400000000001</v>
      </c>
    </row>
    <row r="83" spans="1:38" ht="14.45" customHeight="1" x14ac:dyDescent="0.2">
      <c r="A83" s="1" t="s">
        <v>57</v>
      </c>
      <c r="B83" s="9" t="s">
        <v>38</v>
      </c>
      <c r="C83" s="1" t="s">
        <v>58</v>
      </c>
      <c r="D83" s="1" t="s">
        <v>59</v>
      </c>
      <c r="E83" s="1" t="s">
        <v>42</v>
      </c>
      <c r="G83" s="1" t="s">
        <v>88</v>
      </c>
      <c r="H83" s="1" t="s">
        <v>61</v>
      </c>
      <c r="I83" s="1" t="s">
        <v>594</v>
      </c>
      <c r="J83" s="1" t="s">
        <v>82</v>
      </c>
      <c r="K83" s="1" t="s">
        <v>595</v>
      </c>
      <c r="L83" s="1" t="s">
        <v>596</v>
      </c>
      <c r="P83" s="1" t="s">
        <v>597</v>
      </c>
      <c r="Q83" s="1" t="s">
        <v>264</v>
      </c>
      <c r="R83" s="1" t="s">
        <v>265</v>
      </c>
      <c r="S83" s="1" t="s">
        <v>299</v>
      </c>
      <c r="T83" s="1" t="s">
        <v>300</v>
      </c>
      <c r="U83" s="1">
        <v>2</v>
      </c>
      <c r="V83" s="1" t="s">
        <v>268</v>
      </c>
      <c r="W83" s="1" t="s">
        <v>598</v>
      </c>
      <c r="X83" s="1" t="s">
        <v>599</v>
      </c>
      <c r="Y83" s="10">
        <v>44127</v>
      </c>
      <c r="Z83" s="1">
        <v>2020</v>
      </c>
      <c r="AA83" s="2">
        <v>60000</v>
      </c>
      <c r="AB83" s="2"/>
      <c r="AC83" s="2">
        <v>9000</v>
      </c>
      <c r="AD83" s="1">
        <v>0</v>
      </c>
      <c r="AG83" s="1" t="s">
        <v>56</v>
      </c>
      <c r="AI83" s="2">
        <v>8250</v>
      </c>
      <c r="AK83" s="1" t="s">
        <v>600</v>
      </c>
    </row>
    <row r="84" spans="1:38" ht="14.45" customHeight="1" x14ac:dyDescent="0.2">
      <c r="A84" s="1" t="s">
        <v>57</v>
      </c>
      <c r="B84" s="9" t="s">
        <v>38</v>
      </c>
      <c r="C84" s="1" t="s">
        <v>58</v>
      </c>
      <c r="D84" s="1" t="s">
        <v>59</v>
      </c>
      <c r="E84" s="1" t="s">
        <v>42</v>
      </c>
      <c r="G84" s="1" t="s">
        <v>60</v>
      </c>
      <c r="H84" s="1" t="s">
        <v>61</v>
      </c>
      <c r="I84" s="1" t="s">
        <v>601</v>
      </c>
      <c r="J84" s="1">
        <v>2021</v>
      </c>
      <c r="K84" s="1" t="s">
        <v>602</v>
      </c>
      <c r="L84" s="1" t="s">
        <v>603</v>
      </c>
      <c r="P84" s="1" t="s">
        <v>604</v>
      </c>
      <c r="Q84" s="1" t="s">
        <v>110</v>
      </c>
      <c r="R84" s="1" t="s">
        <v>605</v>
      </c>
      <c r="S84" s="1" t="s">
        <v>606</v>
      </c>
      <c r="T84" s="1" t="s">
        <v>607</v>
      </c>
      <c r="U84" s="1">
        <v>1</v>
      </c>
      <c r="V84" s="1" t="s">
        <v>80</v>
      </c>
      <c r="W84" s="1" t="s">
        <v>608</v>
      </c>
      <c r="X84" s="1" t="s">
        <v>609</v>
      </c>
      <c r="Y84" s="10">
        <v>44557</v>
      </c>
      <c r="Z84" s="1">
        <v>2021</v>
      </c>
      <c r="AA84" s="2">
        <v>4821773.76</v>
      </c>
      <c r="AB84" s="2"/>
      <c r="AC84" s="2">
        <v>950000</v>
      </c>
      <c r="AD84" s="1">
        <v>20</v>
      </c>
      <c r="AE84" s="1">
        <v>4</v>
      </c>
      <c r="AG84" s="1" t="s">
        <v>56</v>
      </c>
      <c r="AI84" s="2">
        <v>950000</v>
      </c>
    </row>
    <row r="85" spans="1:38" ht="14.45" customHeight="1" x14ac:dyDescent="0.2">
      <c r="A85" s="1" t="s">
        <v>57</v>
      </c>
      <c r="B85" s="9" t="s">
        <v>38</v>
      </c>
      <c r="C85" s="1" t="s">
        <v>58</v>
      </c>
      <c r="D85" s="1" t="s">
        <v>59</v>
      </c>
      <c r="E85" s="1" t="s">
        <v>42</v>
      </c>
      <c r="G85" s="1" t="s">
        <v>88</v>
      </c>
      <c r="H85" s="1" t="s">
        <v>61</v>
      </c>
      <c r="I85" s="1" t="s">
        <v>610</v>
      </c>
      <c r="J85" s="1" t="s">
        <v>82</v>
      </c>
      <c r="K85" s="1" t="s">
        <v>611</v>
      </c>
      <c r="L85" s="1" t="s">
        <v>612</v>
      </c>
      <c r="M85" s="1" t="s">
        <v>613</v>
      </c>
      <c r="P85" s="1" t="s">
        <v>614</v>
      </c>
      <c r="Q85" s="1" t="s">
        <v>264</v>
      </c>
      <c r="R85" s="1" t="s">
        <v>265</v>
      </c>
      <c r="S85" s="1" t="s">
        <v>533</v>
      </c>
      <c r="T85" s="1" t="s">
        <v>534</v>
      </c>
      <c r="U85" s="1">
        <v>1</v>
      </c>
      <c r="V85" s="1" t="s">
        <v>535</v>
      </c>
      <c r="W85" s="1" t="s">
        <v>615</v>
      </c>
      <c r="X85" s="1" t="s">
        <v>87</v>
      </c>
      <c r="Y85" s="10">
        <v>43825</v>
      </c>
      <c r="Z85" s="1">
        <v>2019</v>
      </c>
      <c r="AA85" s="2">
        <v>300750</v>
      </c>
      <c r="AB85" s="2"/>
      <c r="AC85" s="2">
        <v>90225</v>
      </c>
      <c r="AD85" s="1">
        <v>3</v>
      </c>
      <c r="AG85" s="1" t="s">
        <v>56</v>
      </c>
      <c r="AI85" s="2">
        <v>90225</v>
      </c>
    </row>
    <row r="86" spans="1:38" ht="14.45" customHeight="1" x14ac:dyDescent="0.2">
      <c r="A86" s="1" t="s">
        <v>57</v>
      </c>
      <c r="B86" s="9" t="s">
        <v>38</v>
      </c>
      <c r="C86" s="1" t="s">
        <v>58</v>
      </c>
      <c r="D86" s="1" t="s">
        <v>59</v>
      </c>
      <c r="E86" s="1" t="s">
        <v>42</v>
      </c>
      <c r="G86" s="1" t="s">
        <v>88</v>
      </c>
      <c r="H86" s="1" t="s">
        <v>61</v>
      </c>
      <c r="I86" s="1" t="s">
        <v>616</v>
      </c>
      <c r="J86" s="1" t="s">
        <v>82</v>
      </c>
      <c r="K86" s="1" t="s">
        <v>617</v>
      </c>
      <c r="L86" s="1" t="s">
        <v>618</v>
      </c>
      <c r="M86" s="1" t="s">
        <v>619</v>
      </c>
      <c r="P86" s="1" t="s">
        <v>620</v>
      </c>
      <c r="Q86" s="1" t="s">
        <v>264</v>
      </c>
      <c r="R86" s="1" t="s">
        <v>265</v>
      </c>
      <c r="S86" s="1" t="s">
        <v>533</v>
      </c>
      <c r="T86" s="1" t="s">
        <v>534</v>
      </c>
      <c r="U86" s="1">
        <v>1</v>
      </c>
      <c r="V86" s="1" t="s">
        <v>535</v>
      </c>
      <c r="W86" s="1" t="s">
        <v>621</v>
      </c>
      <c r="X86" s="1" t="s">
        <v>309</v>
      </c>
      <c r="Y86" s="10">
        <v>43825</v>
      </c>
      <c r="Z86" s="1">
        <v>2019</v>
      </c>
      <c r="AA86" s="2">
        <v>88200</v>
      </c>
      <c r="AB86" s="2"/>
      <c r="AC86" s="2">
        <v>24640</v>
      </c>
      <c r="AD86" s="1">
        <v>1</v>
      </c>
      <c r="AE86" s="1">
        <v>1</v>
      </c>
      <c r="AG86" s="1" t="s">
        <v>56</v>
      </c>
      <c r="AI86" s="2">
        <v>24640</v>
      </c>
    </row>
    <row r="87" spans="1:38" ht="14.45" customHeight="1" x14ac:dyDescent="0.2">
      <c r="A87" s="1" t="s">
        <v>57</v>
      </c>
      <c r="B87" s="9" t="s">
        <v>39</v>
      </c>
      <c r="C87" s="1" t="s">
        <v>58</v>
      </c>
      <c r="D87" s="1" t="s">
        <v>59</v>
      </c>
      <c r="E87" s="1" t="s">
        <v>42</v>
      </c>
      <c r="G87" s="1" t="s">
        <v>60</v>
      </c>
      <c r="H87" s="1" t="s">
        <v>61</v>
      </c>
      <c r="I87" s="1" t="s">
        <v>622</v>
      </c>
      <c r="J87" s="1" t="s">
        <v>82</v>
      </c>
      <c r="K87" s="1" t="s">
        <v>623</v>
      </c>
      <c r="P87" s="1" t="s">
        <v>624</v>
      </c>
      <c r="Q87" s="1" t="s">
        <v>50</v>
      </c>
      <c r="R87" s="1" t="s">
        <v>68</v>
      </c>
      <c r="S87" s="1" t="s">
        <v>69</v>
      </c>
      <c r="T87" s="1" t="s">
        <v>70</v>
      </c>
      <c r="U87" s="1">
        <v>1</v>
      </c>
      <c r="V87" s="1" t="s">
        <v>71</v>
      </c>
      <c r="W87" s="1" t="s">
        <v>623</v>
      </c>
      <c r="X87" s="1" t="s">
        <v>87</v>
      </c>
      <c r="Y87" s="10">
        <v>44315</v>
      </c>
      <c r="Z87" s="1">
        <v>2021</v>
      </c>
      <c r="AA87" s="2">
        <v>2550990</v>
      </c>
      <c r="AB87" s="2"/>
      <c r="AC87" s="2">
        <v>630000</v>
      </c>
      <c r="AD87" s="1">
        <v>18</v>
      </c>
      <c r="AE87" s="1">
        <v>10</v>
      </c>
      <c r="AG87" s="1" t="s">
        <v>432</v>
      </c>
      <c r="AH87" s="1" t="s">
        <v>492</v>
      </c>
      <c r="AI87" s="2">
        <v>0</v>
      </c>
      <c r="AK87" s="1" t="s">
        <v>301</v>
      </c>
    </row>
    <row r="88" spans="1:38" ht="12.6" customHeight="1" x14ac:dyDescent="0.2">
      <c r="A88" s="1" t="s">
        <v>57</v>
      </c>
      <c r="B88" s="9" t="s">
        <v>38</v>
      </c>
      <c r="C88" s="1" t="s">
        <v>58</v>
      </c>
      <c r="D88" s="1" t="s">
        <v>59</v>
      </c>
      <c r="E88" s="1" t="s">
        <v>42</v>
      </c>
      <c r="G88" s="1" t="s">
        <v>88</v>
      </c>
      <c r="H88" s="1" t="s">
        <v>61</v>
      </c>
      <c r="I88" s="1" t="s">
        <v>625</v>
      </c>
      <c r="J88" s="1" t="s">
        <v>82</v>
      </c>
      <c r="K88" s="1" t="s">
        <v>626</v>
      </c>
      <c r="L88" s="1" t="s">
        <v>627</v>
      </c>
      <c r="P88" s="1" t="s">
        <v>628</v>
      </c>
      <c r="Q88" s="1" t="s">
        <v>264</v>
      </c>
      <c r="R88" s="1" t="s">
        <v>265</v>
      </c>
      <c r="S88" s="1" t="s">
        <v>275</v>
      </c>
      <c r="T88" s="1" t="s">
        <v>276</v>
      </c>
      <c r="U88" s="1">
        <v>1</v>
      </c>
      <c r="V88" s="1" t="s">
        <v>80</v>
      </c>
      <c r="W88" s="1" t="s">
        <v>627</v>
      </c>
      <c r="X88" s="1" t="s">
        <v>87</v>
      </c>
      <c r="Y88" s="10">
        <v>43825</v>
      </c>
      <c r="Z88" s="1">
        <v>2019</v>
      </c>
      <c r="AA88" s="2">
        <v>159832.07999999999</v>
      </c>
      <c r="AB88" s="2"/>
      <c r="AC88" s="2">
        <v>47949.62</v>
      </c>
      <c r="AD88" s="1">
        <v>1</v>
      </c>
      <c r="AG88" s="1" t="s">
        <v>56</v>
      </c>
      <c r="AI88" s="2">
        <v>47949.62</v>
      </c>
    </row>
    <row r="89" spans="1:38" ht="14.45" customHeight="1" x14ac:dyDescent="0.2">
      <c r="A89" s="1" t="s">
        <v>57</v>
      </c>
      <c r="B89" s="9" t="s">
        <v>38</v>
      </c>
      <c r="C89" s="1" t="s">
        <v>58</v>
      </c>
      <c r="D89" s="1" t="s">
        <v>59</v>
      </c>
      <c r="E89" s="1" t="s">
        <v>42</v>
      </c>
      <c r="G89" s="1" t="s">
        <v>88</v>
      </c>
      <c r="H89" s="1" t="s">
        <v>61</v>
      </c>
      <c r="I89" s="1" t="s">
        <v>629</v>
      </c>
      <c r="J89" s="1" t="s">
        <v>82</v>
      </c>
      <c r="K89" s="1" t="s">
        <v>343</v>
      </c>
      <c r="L89" s="1" t="s">
        <v>630</v>
      </c>
      <c r="P89" s="1" t="s">
        <v>338</v>
      </c>
      <c r="Q89" s="1" t="s">
        <v>101</v>
      </c>
      <c r="R89" s="1" t="s">
        <v>339</v>
      </c>
      <c r="S89" s="1" t="s">
        <v>340</v>
      </c>
      <c r="T89" s="1" t="s">
        <v>341</v>
      </c>
      <c r="U89" s="1">
        <v>1</v>
      </c>
      <c r="V89" s="1" t="s">
        <v>80</v>
      </c>
      <c r="W89" s="1" t="s">
        <v>631</v>
      </c>
      <c r="X89" s="1" t="s">
        <v>400</v>
      </c>
      <c r="Y89" s="10">
        <v>43825</v>
      </c>
      <c r="Z89" s="1">
        <v>2019</v>
      </c>
      <c r="AA89" s="2">
        <v>462826.93</v>
      </c>
      <c r="AB89" s="2"/>
      <c r="AC89" s="2">
        <v>78831.81</v>
      </c>
      <c r="AD89" s="1">
        <v>2</v>
      </c>
      <c r="AE89" s="1">
        <v>2</v>
      </c>
      <c r="AG89" s="1" t="s">
        <v>56</v>
      </c>
      <c r="AI89" s="2">
        <v>78831.81</v>
      </c>
    </row>
    <row r="90" spans="1:38" ht="14.45" customHeight="1" x14ac:dyDescent="0.2">
      <c r="A90" s="1" t="s">
        <v>57</v>
      </c>
      <c r="B90" s="9" t="s">
        <v>38</v>
      </c>
      <c r="C90" s="1" t="s">
        <v>58</v>
      </c>
      <c r="D90" s="1" t="s">
        <v>59</v>
      </c>
      <c r="E90" s="1" t="s">
        <v>42</v>
      </c>
      <c r="G90" s="1" t="s">
        <v>88</v>
      </c>
      <c r="H90" s="1" t="s">
        <v>61</v>
      </c>
      <c r="I90" s="1" t="s">
        <v>632</v>
      </c>
      <c r="J90" s="1" t="s">
        <v>82</v>
      </c>
      <c r="K90" s="1" t="s">
        <v>633</v>
      </c>
      <c r="L90" s="1" t="s">
        <v>634</v>
      </c>
      <c r="N90" s="1" t="s">
        <v>635</v>
      </c>
      <c r="P90" s="1" t="s">
        <v>636</v>
      </c>
      <c r="Q90" s="1" t="s">
        <v>101</v>
      </c>
      <c r="R90" s="1" t="s">
        <v>102</v>
      </c>
      <c r="S90" s="1" t="s">
        <v>637</v>
      </c>
      <c r="T90" s="1" t="s">
        <v>638</v>
      </c>
      <c r="U90" s="1">
        <v>1</v>
      </c>
      <c r="V90" s="1" t="s">
        <v>101</v>
      </c>
      <c r="W90" s="1" t="s">
        <v>639</v>
      </c>
      <c r="X90" s="1" t="s">
        <v>87</v>
      </c>
      <c r="Y90" s="10">
        <v>44127</v>
      </c>
      <c r="Z90" s="1">
        <v>2020</v>
      </c>
      <c r="AA90" s="2">
        <v>189940.89</v>
      </c>
      <c r="AB90" s="2"/>
      <c r="AC90" s="2">
        <v>65000</v>
      </c>
      <c r="AD90" s="1">
        <v>1</v>
      </c>
      <c r="AG90" s="1" t="s">
        <v>56</v>
      </c>
      <c r="AI90" s="2">
        <v>65000</v>
      </c>
      <c r="AK90" s="1" t="s">
        <v>301</v>
      </c>
    </row>
    <row r="91" spans="1:38" ht="14.45" customHeight="1" x14ac:dyDescent="0.2">
      <c r="A91" s="1" t="s">
        <v>57</v>
      </c>
      <c r="B91" s="9" t="s">
        <v>38</v>
      </c>
      <c r="C91" s="1" t="s">
        <v>58</v>
      </c>
      <c r="D91" s="1" t="s">
        <v>59</v>
      </c>
      <c r="E91" s="1" t="s">
        <v>42</v>
      </c>
      <c r="G91" s="1" t="s">
        <v>88</v>
      </c>
      <c r="H91" s="1" t="s">
        <v>61</v>
      </c>
      <c r="I91" s="1" t="s">
        <v>640</v>
      </c>
      <c r="J91" s="1" t="s">
        <v>82</v>
      </c>
      <c r="K91" s="1" t="s">
        <v>641</v>
      </c>
      <c r="L91" s="1" t="s">
        <v>641</v>
      </c>
      <c r="P91" s="1" t="s">
        <v>642</v>
      </c>
      <c r="Q91" s="1" t="s">
        <v>264</v>
      </c>
      <c r="R91" s="1" t="s">
        <v>265</v>
      </c>
      <c r="S91" s="1" t="s">
        <v>275</v>
      </c>
      <c r="T91" s="1" t="s">
        <v>276</v>
      </c>
      <c r="U91" s="1">
        <v>2</v>
      </c>
      <c r="V91" s="1" t="s">
        <v>80</v>
      </c>
      <c r="W91" s="1" t="s">
        <v>641</v>
      </c>
      <c r="X91" s="1" t="s">
        <v>321</v>
      </c>
      <c r="Y91" s="10">
        <v>43825</v>
      </c>
      <c r="Z91" s="1">
        <v>2019</v>
      </c>
      <c r="AA91" s="2">
        <v>38865.53</v>
      </c>
      <c r="AB91" s="2"/>
      <c r="AC91" s="2">
        <v>12829.83</v>
      </c>
      <c r="AD91" s="1">
        <v>1</v>
      </c>
      <c r="AE91" s="1">
        <v>1</v>
      </c>
      <c r="AG91" s="1" t="s">
        <v>56</v>
      </c>
      <c r="AI91" s="2">
        <v>12829.83</v>
      </c>
    </row>
    <row r="92" spans="1:38" ht="14.45" customHeight="1" x14ac:dyDescent="0.2">
      <c r="A92" s="1" t="s">
        <v>57</v>
      </c>
      <c r="B92" s="9" t="s">
        <v>38</v>
      </c>
      <c r="C92" s="1" t="s">
        <v>58</v>
      </c>
      <c r="D92" s="1" t="s">
        <v>59</v>
      </c>
      <c r="E92" s="1" t="s">
        <v>42</v>
      </c>
      <c r="G92" s="1" t="s">
        <v>88</v>
      </c>
      <c r="H92" s="1" t="s">
        <v>61</v>
      </c>
      <c r="I92" s="1" t="s">
        <v>643</v>
      </c>
      <c r="J92" s="1" t="s">
        <v>82</v>
      </c>
      <c r="K92" s="1" t="s">
        <v>323</v>
      </c>
      <c r="L92" s="1" t="s">
        <v>343</v>
      </c>
      <c r="P92" s="1" t="s">
        <v>644</v>
      </c>
      <c r="Q92" s="1" t="s">
        <v>101</v>
      </c>
      <c r="R92" s="1" t="s">
        <v>326</v>
      </c>
      <c r="S92" s="1" t="s">
        <v>327</v>
      </c>
      <c r="T92" s="1" t="s">
        <v>328</v>
      </c>
      <c r="U92" s="1">
        <v>2</v>
      </c>
      <c r="V92" s="1" t="s">
        <v>80</v>
      </c>
      <c r="W92" s="1" t="s">
        <v>631</v>
      </c>
      <c r="X92" s="1" t="s">
        <v>400</v>
      </c>
      <c r="Y92" s="10">
        <v>43825</v>
      </c>
      <c r="Z92" s="1">
        <v>2019</v>
      </c>
      <c r="AA92" s="2">
        <v>499966.8</v>
      </c>
      <c r="AB92" s="2"/>
      <c r="AC92" s="2">
        <v>78000</v>
      </c>
      <c r="AD92" s="1">
        <v>2</v>
      </c>
      <c r="AE92" s="1">
        <v>1</v>
      </c>
      <c r="AG92" s="1" t="s">
        <v>56</v>
      </c>
      <c r="AI92" s="2">
        <v>28617.09</v>
      </c>
    </row>
    <row r="93" spans="1:38" ht="14.45" customHeight="1" x14ac:dyDescent="0.2">
      <c r="A93" s="1" t="s">
        <v>57</v>
      </c>
      <c r="B93" s="9" t="s">
        <v>38</v>
      </c>
      <c r="C93" s="1" t="s">
        <v>58</v>
      </c>
      <c r="D93" s="1" t="s">
        <v>59</v>
      </c>
      <c r="E93" s="1" t="s">
        <v>42</v>
      </c>
      <c r="G93" s="1" t="s">
        <v>88</v>
      </c>
      <c r="H93" s="1" t="s">
        <v>61</v>
      </c>
      <c r="I93" s="1" t="s">
        <v>645</v>
      </c>
      <c r="J93" s="1" t="s">
        <v>82</v>
      </c>
      <c r="K93" s="1" t="s">
        <v>646</v>
      </c>
      <c r="L93" s="1" t="s">
        <v>647</v>
      </c>
      <c r="M93" s="1" t="s">
        <v>648</v>
      </c>
      <c r="P93" s="1" t="s">
        <v>649</v>
      </c>
      <c r="Q93" s="1" t="s">
        <v>264</v>
      </c>
      <c r="R93" s="1" t="s">
        <v>265</v>
      </c>
      <c r="S93" s="1" t="s">
        <v>379</v>
      </c>
      <c r="T93" s="1" t="s">
        <v>380</v>
      </c>
      <c r="U93" s="1">
        <v>2</v>
      </c>
      <c r="V93" s="1" t="s">
        <v>268</v>
      </c>
      <c r="W93" s="1" t="s">
        <v>650</v>
      </c>
      <c r="X93" s="1" t="s">
        <v>87</v>
      </c>
      <c r="Y93" s="10">
        <v>43825</v>
      </c>
      <c r="Z93" s="1">
        <v>2019</v>
      </c>
      <c r="AA93" s="2">
        <v>168588.5</v>
      </c>
      <c r="AB93" s="2"/>
      <c r="AC93" s="2">
        <v>25288.28</v>
      </c>
      <c r="AD93" s="1">
        <v>0</v>
      </c>
      <c r="AG93" s="1" t="s">
        <v>56</v>
      </c>
      <c r="AI93" s="2">
        <v>25288.28</v>
      </c>
    </row>
    <row r="94" spans="1:38" ht="14.45" customHeight="1" x14ac:dyDescent="0.2">
      <c r="A94" s="1" t="s">
        <v>57</v>
      </c>
      <c r="B94" s="9" t="s">
        <v>38</v>
      </c>
      <c r="C94" s="1" t="s">
        <v>58</v>
      </c>
      <c r="D94" s="1" t="s">
        <v>59</v>
      </c>
      <c r="E94" s="1" t="s">
        <v>42</v>
      </c>
      <c r="G94" s="1" t="s">
        <v>88</v>
      </c>
      <c r="H94" s="1" t="s">
        <v>61</v>
      </c>
      <c r="I94" s="1" t="s">
        <v>651</v>
      </c>
      <c r="J94" s="1" t="s">
        <v>82</v>
      </c>
      <c r="K94" s="1" t="s">
        <v>652</v>
      </c>
      <c r="L94" s="1" t="s">
        <v>653</v>
      </c>
      <c r="M94" s="1" t="s">
        <v>654</v>
      </c>
      <c r="P94" s="1" t="s">
        <v>655</v>
      </c>
      <c r="Q94" s="1" t="s">
        <v>264</v>
      </c>
      <c r="R94" s="1" t="s">
        <v>265</v>
      </c>
      <c r="S94" s="1" t="s">
        <v>656</v>
      </c>
      <c r="T94" s="1" t="s">
        <v>657</v>
      </c>
      <c r="U94" s="1">
        <v>2</v>
      </c>
      <c r="V94" s="1" t="s">
        <v>268</v>
      </c>
      <c r="W94" s="1" t="s">
        <v>652</v>
      </c>
      <c r="X94" s="1" t="s">
        <v>321</v>
      </c>
      <c r="Y94" s="10">
        <v>43825</v>
      </c>
      <c r="Z94" s="1">
        <v>2019</v>
      </c>
      <c r="AA94" s="2">
        <v>43800</v>
      </c>
      <c r="AB94" s="2"/>
      <c r="AC94" s="2">
        <v>13570</v>
      </c>
      <c r="AD94" s="1">
        <v>1</v>
      </c>
      <c r="AE94" s="1">
        <v>1</v>
      </c>
      <c r="AG94" s="1" t="s">
        <v>56</v>
      </c>
      <c r="AI94" s="2">
        <v>13570</v>
      </c>
    </row>
    <row r="95" spans="1:38" ht="14.45" customHeight="1" x14ac:dyDescent="0.2">
      <c r="A95" s="1" t="s">
        <v>57</v>
      </c>
      <c r="B95" s="9" t="s">
        <v>38</v>
      </c>
      <c r="C95" s="1" t="s">
        <v>58</v>
      </c>
      <c r="D95" s="1" t="s">
        <v>59</v>
      </c>
      <c r="E95" s="1" t="s">
        <v>42</v>
      </c>
      <c r="G95" s="1" t="s">
        <v>88</v>
      </c>
      <c r="H95" s="1" t="s">
        <v>61</v>
      </c>
      <c r="I95" s="1" t="s">
        <v>658</v>
      </c>
      <c r="J95" s="1" t="s">
        <v>82</v>
      </c>
      <c r="K95" s="1" t="s">
        <v>659</v>
      </c>
      <c r="L95" s="1" t="s">
        <v>660</v>
      </c>
      <c r="P95" s="1" t="s">
        <v>661</v>
      </c>
      <c r="Q95" s="1" t="s">
        <v>264</v>
      </c>
      <c r="R95" s="1" t="s">
        <v>265</v>
      </c>
      <c r="S95" s="1" t="s">
        <v>275</v>
      </c>
      <c r="T95" s="1" t="s">
        <v>276</v>
      </c>
      <c r="U95" s="1">
        <v>2</v>
      </c>
      <c r="V95" s="1" t="s">
        <v>80</v>
      </c>
      <c r="W95" s="1" t="s">
        <v>660</v>
      </c>
      <c r="X95" s="1" t="s">
        <v>87</v>
      </c>
      <c r="Y95" s="10">
        <v>43825</v>
      </c>
      <c r="Z95" s="1">
        <v>2019</v>
      </c>
      <c r="AA95" s="2">
        <v>108773.63</v>
      </c>
      <c r="AB95" s="2"/>
      <c r="AC95" s="2">
        <v>30316.04</v>
      </c>
      <c r="AD95" s="1">
        <v>2</v>
      </c>
      <c r="AE95" s="1">
        <v>1.86</v>
      </c>
      <c r="AG95" s="1" t="s">
        <v>56</v>
      </c>
      <c r="AI95" s="2">
        <v>15167.58</v>
      </c>
    </row>
    <row r="96" spans="1:38" ht="14.45" customHeight="1" x14ac:dyDescent="0.2">
      <c r="A96" s="1" t="s">
        <v>57</v>
      </c>
      <c r="B96" s="9" t="s">
        <v>38</v>
      </c>
      <c r="C96" s="1" t="s">
        <v>58</v>
      </c>
      <c r="D96" s="1" t="s">
        <v>59</v>
      </c>
      <c r="E96" s="1" t="s">
        <v>42</v>
      </c>
      <c r="G96" s="1" t="s">
        <v>60</v>
      </c>
      <c r="H96" s="1" t="s">
        <v>61</v>
      </c>
      <c r="I96" s="1" t="s">
        <v>662</v>
      </c>
      <c r="J96" s="1" t="s">
        <v>82</v>
      </c>
      <c r="K96" s="1" t="s">
        <v>663</v>
      </c>
      <c r="L96" s="1" t="s">
        <v>664</v>
      </c>
      <c r="P96" s="1" t="s">
        <v>665</v>
      </c>
      <c r="Q96" s="1" t="s">
        <v>110</v>
      </c>
      <c r="R96" s="1" t="s">
        <v>605</v>
      </c>
      <c r="S96" s="1" t="s">
        <v>606</v>
      </c>
      <c r="T96" s="1" t="s">
        <v>607</v>
      </c>
      <c r="U96" s="1">
        <v>1</v>
      </c>
      <c r="V96" s="1" t="s">
        <v>80</v>
      </c>
      <c r="W96" s="1" t="s">
        <v>666</v>
      </c>
      <c r="X96" s="1" t="s">
        <v>153</v>
      </c>
      <c r="Y96" s="10">
        <v>43825</v>
      </c>
      <c r="Z96" s="1">
        <v>2019</v>
      </c>
      <c r="AA96" s="2">
        <v>4470500</v>
      </c>
      <c r="AB96" s="2"/>
      <c r="AC96" s="2">
        <v>1260000</v>
      </c>
      <c r="AD96" s="1">
        <v>38</v>
      </c>
      <c r="AE96" s="1">
        <v>10</v>
      </c>
      <c r="AG96" s="1" t="s">
        <v>56</v>
      </c>
      <c r="AI96" s="2">
        <v>1260000</v>
      </c>
      <c r="AL96" s="1" t="s">
        <v>667</v>
      </c>
    </row>
    <row r="97" spans="1:38" ht="12.6" customHeight="1" x14ac:dyDescent="0.2">
      <c r="A97" s="1" t="s">
        <v>57</v>
      </c>
      <c r="B97" s="9" t="s">
        <v>38</v>
      </c>
      <c r="C97" s="1" t="s">
        <v>58</v>
      </c>
      <c r="D97" s="1" t="s">
        <v>59</v>
      </c>
      <c r="E97" s="1" t="s">
        <v>42</v>
      </c>
      <c r="G97" s="1" t="s">
        <v>88</v>
      </c>
      <c r="H97" s="1" t="s">
        <v>61</v>
      </c>
      <c r="I97" s="1" t="s">
        <v>668</v>
      </c>
      <c r="J97" s="1" t="s">
        <v>82</v>
      </c>
      <c r="K97" s="1" t="s">
        <v>669</v>
      </c>
      <c r="L97" s="1" t="s">
        <v>670</v>
      </c>
      <c r="M97" s="1" t="s">
        <v>671</v>
      </c>
      <c r="P97" s="1" t="s">
        <v>672</v>
      </c>
      <c r="Q97" s="1" t="s">
        <v>264</v>
      </c>
      <c r="R97" s="1" t="s">
        <v>265</v>
      </c>
      <c r="S97" s="1" t="s">
        <v>673</v>
      </c>
      <c r="T97" s="1" t="s">
        <v>674</v>
      </c>
      <c r="U97" s="1">
        <v>2</v>
      </c>
      <c r="V97" s="1" t="s">
        <v>268</v>
      </c>
      <c r="W97" s="1" t="s">
        <v>675</v>
      </c>
      <c r="X97" s="1" t="s">
        <v>138</v>
      </c>
      <c r="Y97" s="10">
        <v>43825</v>
      </c>
      <c r="Z97" s="1">
        <v>2019</v>
      </c>
      <c r="AA97" s="2">
        <v>499998.15</v>
      </c>
      <c r="AB97" s="2"/>
      <c r="AC97" s="2">
        <v>100000</v>
      </c>
      <c r="AD97" s="1">
        <v>12</v>
      </c>
      <c r="AE97" s="1">
        <v>11</v>
      </c>
      <c r="AG97" s="1" t="s">
        <v>56</v>
      </c>
      <c r="AI97" s="2">
        <v>100000</v>
      </c>
    </row>
    <row r="98" spans="1:38" ht="14.45" customHeight="1" x14ac:dyDescent="0.2">
      <c r="A98" s="1" t="s">
        <v>57</v>
      </c>
      <c r="B98" s="9" t="s">
        <v>38</v>
      </c>
      <c r="C98" s="1" t="s">
        <v>58</v>
      </c>
      <c r="D98" s="1" t="s">
        <v>59</v>
      </c>
      <c r="E98" s="1" t="s">
        <v>42</v>
      </c>
      <c r="G98" s="1" t="s">
        <v>88</v>
      </c>
      <c r="H98" s="1" t="s">
        <v>61</v>
      </c>
      <c r="I98" s="1" t="s">
        <v>676</v>
      </c>
      <c r="J98" s="1" t="s">
        <v>82</v>
      </c>
      <c r="K98" s="1" t="s">
        <v>677</v>
      </c>
      <c r="L98" s="1" t="s">
        <v>678</v>
      </c>
      <c r="P98" s="1" t="s">
        <v>679</v>
      </c>
      <c r="Q98" s="1" t="s">
        <v>101</v>
      </c>
      <c r="R98" s="1" t="s">
        <v>326</v>
      </c>
      <c r="S98" s="1" t="s">
        <v>327</v>
      </c>
      <c r="T98" s="1" t="s">
        <v>328</v>
      </c>
      <c r="U98" s="1">
        <v>2</v>
      </c>
      <c r="V98" s="1" t="s">
        <v>80</v>
      </c>
      <c r="W98" s="1" t="s">
        <v>677</v>
      </c>
      <c r="X98" s="1" t="s">
        <v>153</v>
      </c>
      <c r="Y98" s="10">
        <v>43825</v>
      </c>
      <c r="Z98" s="1">
        <v>2019</v>
      </c>
      <c r="AA98" s="2">
        <v>345875.05</v>
      </c>
      <c r="AB98" s="2"/>
      <c r="AC98" s="2">
        <v>65881.259999999995</v>
      </c>
      <c r="AD98" s="1">
        <v>3</v>
      </c>
      <c r="AG98" s="1" t="s">
        <v>56</v>
      </c>
      <c r="AI98" s="2">
        <v>65881.259999999995</v>
      </c>
      <c r="AL98" s="1" t="s">
        <v>680</v>
      </c>
    </row>
    <row r="99" spans="1:38" ht="14.45" customHeight="1" x14ac:dyDescent="0.2">
      <c r="A99" s="1" t="s">
        <v>57</v>
      </c>
      <c r="B99" s="9" t="s">
        <v>38</v>
      </c>
      <c r="C99" s="1" t="s">
        <v>58</v>
      </c>
      <c r="D99" s="1" t="s">
        <v>59</v>
      </c>
      <c r="E99" s="1" t="s">
        <v>42</v>
      </c>
      <c r="G99" s="1" t="s">
        <v>60</v>
      </c>
      <c r="H99" s="1" t="s">
        <v>61</v>
      </c>
      <c r="I99" s="1" t="s">
        <v>681</v>
      </c>
      <c r="J99" s="1">
        <v>2021</v>
      </c>
      <c r="K99" s="1" t="s">
        <v>682</v>
      </c>
      <c r="L99" s="1" t="s">
        <v>683</v>
      </c>
      <c r="P99" s="1" t="s">
        <v>684</v>
      </c>
      <c r="Q99" s="1" t="s">
        <v>264</v>
      </c>
      <c r="R99" s="1" t="s">
        <v>265</v>
      </c>
      <c r="S99" s="1" t="s">
        <v>266</v>
      </c>
      <c r="T99" s="1" t="s">
        <v>267</v>
      </c>
      <c r="U99" s="1">
        <v>2</v>
      </c>
      <c r="V99" s="1" t="s">
        <v>268</v>
      </c>
      <c r="W99" s="1" t="s">
        <v>685</v>
      </c>
      <c r="X99" s="1" t="s">
        <v>609</v>
      </c>
      <c r="Y99" s="10">
        <v>44557</v>
      </c>
      <c r="Z99" s="1">
        <v>2021</v>
      </c>
      <c r="AA99" s="2">
        <v>2941898.43</v>
      </c>
      <c r="AB99" s="2"/>
      <c r="AC99" s="2">
        <v>45000</v>
      </c>
      <c r="AD99" s="1">
        <v>3</v>
      </c>
      <c r="AG99" s="1" t="s">
        <v>56</v>
      </c>
      <c r="AI99" s="2">
        <v>45000</v>
      </c>
    </row>
    <row r="100" spans="1:38" ht="12.6" customHeight="1" x14ac:dyDescent="0.2">
      <c r="A100" s="1" t="s">
        <v>57</v>
      </c>
      <c r="B100" s="9" t="s">
        <v>38</v>
      </c>
      <c r="C100" s="1" t="s">
        <v>58</v>
      </c>
      <c r="D100" s="1" t="s">
        <v>59</v>
      </c>
      <c r="E100" s="1" t="s">
        <v>42</v>
      </c>
      <c r="G100" s="1" t="s">
        <v>88</v>
      </c>
      <c r="H100" s="1" t="s">
        <v>61</v>
      </c>
      <c r="I100" s="1" t="s">
        <v>686</v>
      </c>
      <c r="J100" s="1" t="s">
        <v>82</v>
      </c>
      <c r="K100" s="1" t="s">
        <v>687</v>
      </c>
      <c r="L100" s="1" t="s">
        <v>688</v>
      </c>
      <c r="M100" s="1" t="s">
        <v>689</v>
      </c>
      <c r="N100" s="1" t="s">
        <v>690</v>
      </c>
      <c r="P100" s="1" t="s">
        <v>691</v>
      </c>
      <c r="Q100" s="1" t="s">
        <v>50</v>
      </c>
      <c r="R100" s="1" t="s">
        <v>68</v>
      </c>
      <c r="S100" s="1" t="s">
        <v>692</v>
      </c>
      <c r="T100" s="1" t="s">
        <v>693</v>
      </c>
      <c r="U100" s="1">
        <v>2</v>
      </c>
      <c r="V100" s="1" t="s">
        <v>71</v>
      </c>
      <c r="W100" s="1" t="s">
        <v>687</v>
      </c>
      <c r="X100" s="1" t="s">
        <v>309</v>
      </c>
      <c r="Y100" s="10">
        <v>43825</v>
      </c>
      <c r="Z100" s="1">
        <v>2019</v>
      </c>
      <c r="AA100" s="2">
        <v>51392.2</v>
      </c>
      <c r="AB100" s="2"/>
      <c r="AC100" s="2">
        <v>7708.83</v>
      </c>
      <c r="AD100" s="1">
        <v>1</v>
      </c>
      <c r="AG100" s="1" t="s">
        <v>56</v>
      </c>
      <c r="AI100" s="2">
        <v>7708.83</v>
      </c>
      <c r="AL100" s="1" t="s">
        <v>694</v>
      </c>
    </row>
    <row r="101" spans="1:38" ht="14.45" customHeight="1" x14ac:dyDescent="0.2">
      <c r="A101" s="1" t="s">
        <v>57</v>
      </c>
      <c r="B101" s="9" t="s">
        <v>38</v>
      </c>
      <c r="C101" s="1" t="s">
        <v>58</v>
      </c>
      <c r="D101" s="1" t="s">
        <v>59</v>
      </c>
      <c r="E101" s="1" t="s">
        <v>42</v>
      </c>
      <c r="G101" s="1" t="s">
        <v>88</v>
      </c>
      <c r="H101" s="1" t="s">
        <v>61</v>
      </c>
      <c r="I101" s="1" t="s">
        <v>695</v>
      </c>
      <c r="J101" s="1" t="s">
        <v>82</v>
      </c>
      <c r="K101" s="1" t="s">
        <v>343</v>
      </c>
      <c r="L101" s="1" t="s">
        <v>343</v>
      </c>
      <c r="P101" s="1" t="s">
        <v>696</v>
      </c>
      <c r="Q101" s="1" t="s">
        <v>101</v>
      </c>
      <c r="R101" s="1" t="s">
        <v>326</v>
      </c>
      <c r="S101" s="1" t="s">
        <v>327</v>
      </c>
      <c r="T101" s="1" t="s">
        <v>328</v>
      </c>
      <c r="U101" s="1">
        <v>2</v>
      </c>
      <c r="V101" s="1" t="s">
        <v>80</v>
      </c>
      <c r="W101" s="1" t="s">
        <v>697</v>
      </c>
      <c r="X101" s="1" t="s">
        <v>400</v>
      </c>
      <c r="Y101" s="10">
        <v>43825</v>
      </c>
      <c r="Z101" s="1">
        <v>2019</v>
      </c>
      <c r="AA101" s="2">
        <v>499691.02</v>
      </c>
      <c r="AB101" s="2"/>
      <c r="AC101" s="2">
        <v>63969.1</v>
      </c>
      <c r="AD101" s="1">
        <v>2</v>
      </c>
      <c r="AE101" s="1">
        <v>1</v>
      </c>
      <c r="AG101" s="1" t="s">
        <v>56</v>
      </c>
      <c r="AI101" s="2">
        <v>63969.1</v>
      </c>
    </row>
    <row r="102" spans="1:38" ht="14.45" customHeight="1" x14ac:dyDescent="0.2">
      <c r="A102" s="1" t="s">
        <v>57</v>
      </c>
      <c r="B102" s="9" t="s">
        <v>38</v>
      </c>
      <c r="C102" s="1" t="s">
        <v>58</v>
      </c>
      <c r="D102" s="1" t="s">
        <v>59</v>
      </c>
      <c r="E102" s="1" t="s">
        <v>42</v>
      </c>
      <c r="G102" s="1" t="s">
        <v>60</v>
      </c>
      <c r="H102" s="1" t="s">
        <v>61</v>
      </c>
      <c r="I102" s="1" t="s">
        <v>698</v>
      </c>
      <c r="J102" s="1">
        <v>2021</v>
      </c>
      <c r="K102" s="1" t="s">
        <v>699</v>
      </c>
      <c r="L102" s="1" t="s">
        <v>700</v>
      </c>
      <c r="P102" s="1" t="s">
        <v>701</v>
      </c>
      <c r="Q102" s="1" t="s">
        <v>110</v>
      </c>
      <c r="R102" s="1" t="s">
        <v>605</v>
      </c>
      <c r="S102" s="1" t="s">
        <v>606</v>
      </c>
      <c r="T102" s="1" t="s">
        <v>607</v>
      </c>
      <c r="U102" s="1">
        <v>1</v>
      </c>
      <c r="V102" s="1" t="s">
        <v>80</v>
      </c>
      <c r="W102" s="1" t="s">
        <v>702</v>
      </c>
      <c r="X102" s="1" t="s">
        <v>153</v>
      </c>
      <c r="Y102" s="10">
        <v>44557</v>
      </c>
      <c r="Z102" s="1">
        <v>2021</v>
      </c>
      <c r="AA102" s="2">
        <v>1482420</v>
      </c>
      <c r="AB102" s="2"/>
      <c r="AC102" s="2">
        <v>667089</v>
      </c>
      <c r="AD102" s="1">
        <v>20</v>
      </c>
      <c r="AE102" s="1">
        <v>1</v>
      </c>
      <c r="AG102" s="1" t="s">
        <v>56</v>
      </c>
      <c r="AI102" s="2">
        <v>667089</v>
      </c>
    </row>
    <row r="103" spans="1:38" ht="14.45" customHeight="1" x14ac:dyDescent="0.2">
      <c r="A103" s="1" t="s">
        <v>57</v>
      </c>
      <c r="B103" s="9" t="s">
        <v>38</v>
      </c>
      <c r="C103" s="1" t="s">
        <v>58</v>
      </c>
      <c r="D103" s="1" t="s">
        <v>59</v>
      </c>
      <c r="E103" s="1" t="s">
        <v>42</v>
      </c>
      <c r="G103" s="1" t="s">
        <v>60</v>
      </c>
      <c r="H103" s="1" t="s">
        <v>61</v>
      </c>
      <c r="I103" s="1" t="s">
        <v>703</v>
      </c>
      <c r="J103" s="1">
        <v>2021</v>
      </c>
      <c r="K103" s="1" t="s">
        <v>704</v>
      </c>
      <c r="L103" s="1" t="s">
        <v>705</v>
      </c>
      <c r="P103" s="1" t="s">
        <v>644</v>
      </c>
      <c r="Q103" s="1" t="s">
        <v>101</v>
      </c>
      <c r="R103" s="1" t="s">
        <v>326</v>
      </c>
      <c r="S103" s="1" t="s">
        <v>327</v>
      </c>
      <c r="T103" s="1" t="s">
        <v>328</v>
      </c>
      <c r="U103" s="1">
        <v>2</v>
      </c>
      <c r="V103" s="1" t="s">
        <v>80</v>
      </c>
      <c r="W103" s="1" t="s">
        <v>705</v>
      </c>
      <c r="X103" s="1" t="s">
        <v>571</v>
      </c>
      <c r="Y103" s="10">
        <v>44557</v>
      </c>
      <c r="Z103" s="1">
        <v>2021</v>
      </c>
      <c r="AA103" s="2">
        <v>2221225.66</v>
      </c>
      <c r="AB103" s="2"/>
      <c r="AC103" s="2">
        <v>115000</v>
      </c>
      <c r="AD103" s="1">
        <v>5</v>
      </c>
      <c r="AE103" s="1">
        <v>4</v>
      </c>
      <c r="AG103" s="1" t="s">
        <v>56</v>
      </c>
      <c r="AI103" s="2">
        <v>115000</v>
      </c>
    </row>
    <row r="104" spans="1:38" ht="14.45" customHeight="1" x14ac:dyDescent="0.2">
      <c r="A104" s="1" t="s">
        <v>57</v>
      </c>
      <c r="B104" s="9" t="s">
        <v>38</v>
      </c>
      <c r="C104" s="1" t="s">
        <v>58</v>
      </c>
      <c r="D104" s="1" t="s">
        <v>59</v>
      </c>
      <c r="E104" s="1" t="s">
        <v>42</v>
      </c>
      <c r="G104" s="1" t="s">
        <v>60</v>
      </c>
      <c r="H104" s="1" t="s">
        <v>61</v>
      </c>
      <c r="I104" s="1" t="s">
        <v>706</v>
      </c>
      <c r="J104" s="1">
        <v>2021</v>
      </c>
      <c r="K104" s="1" t="s">
        <v>707</v>
      </c>
      <c r="L104" s="1" t="s">
        <v>708</v>
      </c>
      <c r="M104" s="1" t="s">
        <v>709</v>
      </c>
      <c r="P104" s="1" t="s">
        <v>710</v>
      </c>
      <c r="Q104" s="1" t="s">
        <v>264</v>
      </c>
      <c r="R104" s="1" t="s">
        <v>265</v>
      </c>
      <c r="S104" s="1" t="s">
        <v>299</v>
      </c>
      <c r="T104" s="1" t="s">
        <v>300</v>
      </c>
      <c r="U104" s="1">
        <v>2</v>
      </c>
      <c r="V104" s="1" t="s">
        <v>268</v>
      </c>
      <c r="W104" s="1" t="s">
        <v>711</v>
      </c>
      <c r="X104" s="1" t="s">
        <v>321</v>
      </c>
      <c r="Y104" s="10">
        <v>44557</v>
      </c>
      <c r="Z104" s="1">
        <v>2021</v>
      </c>
      <c r="AA104" s="2">
        <v>645210.09</v>
      </c>
      <c r="AB104" s="2"/>
      <c r="AC104" s="2">
        <v>96781.513500000015</v>
      </c>
      <c r="AD104" s="1">
        <v>4</v>
      </c>
      <c r="AE104" s="1">
        <v>4</v>
      </c>
      <c r="AG104" s="1" t="s">
        <v>56</v>
      </c>
      <c r="AI104" s="2">
        <v>96781.513500000015</v>
      </c>
    </row>
    <row r="105" spans="1:38" ht="14.45" customHeight="1" x14ac:dyDescent="0.2">
      <c r="A105" s="1" t="s">
        <v>57</v>
      </c>
      <c r="B105" s="9" t="s">
        <v>38</v>
      </c>
      <c r="C105" s="1" t="s">
        <v>58</v>
      </c>
      <c r="D105" s="1" t="s">
        <v>59</v>
      </c>
      <c r="E105" s="1" t="s">
        <v>42</v>
      </c>
      <c r="G105" s="1" t="s">
        <v>60</v>
      </c>
      <c r="H105" s="1" t="s">
        <v>61</v>
      </c>
      <c r="I105" s="1" t="s">
        <v>712</v>
      </c>
      <c r="J105" s="1">
        <v>2021</v>
      </c>
      <c r="K105" s="1" t="s">
        <v>713</v>
      </c>
      <c r="L105" s="1" t="s">
        <v>714</v>
      </c>
      <c r="M105" s="1" t="s">
        <v>715</v>
      </c>
      <c r="P105" s="1" t="s">
        <v>716</v>
      </c>
      <c r="Q105" s="1" t="s">
        <v>264</v>
      </c>
      <c r="R105" s="1" t="s">
        <v>265</v>
      </c>
      <c r="S105" s="1" t="s">
        <v>717</v>
      </c>
      <c r="T105" s="1" t="s">
        <v>718</v>
      </c>
      <c r="U105" s="1">
        <v>1</v>
      </c>
      <c r="V105" s="1" t="s">
        <v>535</v>
      </c>
      <c r="W105" s="1" t="s">
        <v>719</v>
      </c>
      <c r="X105" s="1" t="s">
        <v>87</v>
      </c>
      <c r="Y105" s="10">
        <v>44557</v>
      </c>
      <c r="Z105" s="1">
        <v>2021</v>
      </c>
      <c r="AA105" s="2">
        <v>1277000</v>
      </c>
      <c r="AB105" s="2"/>
      <c r="AC105" s="2">
        <v>120000</v>
      </c>
      <c r="AD105" s="1">
        <v>4</v>
      </c>
      <c r="AG105" s="1" t="s">
        <v>56</v>
      </c>
      <c r="AI105" s="2">
        <v>120000</v>
      </c>
    </row>
    <row r="106" spans="1:38" ht="14.45" customHeight="1" x14ac:dyDescent="0.2">
      <c r="A106" s="1" t="s">
        <v>57</v>
      </c>
      <c r="B106" s="9" t="s">
        <v>38</v>
      </c>
      <c r="C106" s="1" t="s">
        <v>58</v>
      </c>
      <c r="D106" s="1" t="s">
        <v>59</v>
      </c>
      <c r="E106" s="1" t="s">
        <v>42</v>
      </c>
      <c r="G106" s="1" t="s">
        <v>60</v>
      </c>
      <c r="H106" s="1" t="s">
        <v>61</v>
      </c>
      <c r="I106" s="1" t="s">
        <v>720</v>
      </c>
      <c r="J106" s="1">
        <v>2021</v>
      </c>
      <c r="K106" s="1" t="s">
        <v>721</v>
      </c>
      <c r="L106" s="1" t="s">
        <v>721</v>
      </c>
      <c r="P106" s="1" t="s">
        <v>722</v>
      </c>
      <c r="Q106" s="1" t="s">
        <v>264</v>
      </c>
      <c r="R106" s="1" t="s">
        <v>265</v>
      </c>
      <c r="S106" s="1" t="s">
        <v>275</v>
      </c>
      <c r="T106" s="1" t="s">
        <v>276</v>
      </c>
      <c r="U106" s="1">
        <v>2</v>
      </c>
      <c r="V106" s="1" t="s">
        <v>80</v>
      </c>
      <c r="W106" s="1" t="s">
        <v>721</v>
      </c>
      <c r="X106" s="1" t="s">
        <v>145</v>
      </c>
      <c r="Y106" s="10">
        <v>44557</v>
      </c>
      <c r="Z106" s="1">
        <v>2021</v>
      </c>
      <c r="AA106" s="2">
        <v>3528444.35</v>
      </c>
      <c r="AB106" s="2"/>
      <c r="AC106" s="2">
        <v>375000</v>
      </c>
      <c r="AD106" s="1">
        <v>15</v>
      </c>
      <c r="AE106" s="1">
        <v>9</v>
      </c>
      <c r="AG106" s="1" t="s">
        <v>56</v>
      </c>
      <c r="AI106" s="2">
        <v>375000</v>
      </c>
    </row>
    <row r="107" spans="1:38" ht="14.45" customHeight="1" x14ac:dyDescent="0.2">
      <c r="A107" s="1" t="s">
        <v>57</v>
      </c>
      <c r="B107" s="9" t="s">
        <v>38</v>
      </c>
      <c r="C107" s="1" t="s">
        <v>58</v>
      </c>
      <c r="D107" s="1" t="s">
        <v>59</v>
      </c>
      <c r="E107" s="1" t="s">
        <v>42</v>
      </c>
      <c r="G107" s="1" t="s">
        <v>60</v>
      </c>
      <c r="H107" s="1" t="s">
        <v>61</v>
      </c>
      <c r="I107" s="1" t="s">
        <v>723</v>
      </c>
      <c r="J107" s="1">
        <v>2021</v>
      </c>
      <c r="K107" s="1" t="s">
        <v>724</v>
      </c>
      <c r="L107" s="1" t="s">
        <v>725</v>
      </c>
      <c r="M107" s="1" t="s">
        <v>726</v>
      </c>
      <c r="P107" s="1" t="s">
        <v>727</v>
      </c>
      <c r="Q107" s="1" t="s">
        <v>264</v>
      </c>
      <c r="R107" s="1" t="s">
        <v>265</v>
      </c>
      <c r="S107" s="1" t="s">
        <v>533</v>
      </c>
      <c r="T107" s="1" t="s">
        <v>534</v>
      </c>
      <c r="U107" s="1">
        <v>1</v>
      </c>
      <c r="V107" s="1" t="s">
        <v>535</v>
      </c>
      <c r="W107" s="1" t="s">
        <v>728</v>
      </c>
      <c r="X107" s="1" t="s">
        <v>138</v>
      </c>
      <c r="Y107" s="10">
        <v>44557</v>
      </c>
      <c r="Z107" s="1">
        <v>2021</v>
      </c>
      <c r="AA107" s="2">
        <v>3733443.53</v>
      </c>
      <c r="AB107" s="2"/>
      <c r="AC107" s="2">
        <v>1120033.0590000001</v>
      </c>
      <c r="AD107" s="1">
        <v>36.9</v>
      </c>
      <c r="AE107" s="1">
        <v>30</v>
      </c>
      <c r="AG107" s="1" t="s">
        <v>56</v>
      </c>
      <c r="AI107" s="2">
        <v>1120033.0590000001</v>
      </c>
    </row>
    <row r="108" spans="1:38" ht="14.45" customHeight="1" x14ac:dyDescent="0.2">
      <c r="A108" s="1" t="s">
        <v>57</v>
      </c>
      <c r="B108" s="9" t="s">
        <v>38</v>
      </c>
      <c r="C108" s="1" t="s">
        <v>58</v>
      </c>
      <c r="D108" s="1" t="s">
        <v>59</v>
      </c>
      <c r="E108" s="1" t="s">
        <v>42</v>
      </c>
      <c r="G108" s="1" t="s">
        <v>88</v>
      </c>
      <c r="H108" s="1" t="s">
        <v>61</v>
      </c>
      <c r="I108" s="1" t="s">
        <v>729</v>
      </c>
      <c r="J108" s="1" t="s">
        <v>82</v>
      </c>
      <c r="K108" s="1" t="s">
        <v>730</v>
      </c>
      <c r="L108" s="1" t="s">
        <v>731</v>
      </c>
      <c r="N108" s="1" t="s">
        <v>732</v>
      </c>
      <c r="P108" s="1" t="s">
        <v>733</v>
      </c>
      <c r="Q108" s="1" t="s">
        <v>264</v>
      </c>
      <c r="R108" s="1" t="s">
        <v>265</v>
      </c>
      <c r="S108" s="1" t="s">
        <v>266</v>
      </c>
      <c r="T108" s="1" t="s">
        <v>267</v>
      </c>
      <c r="U108" s="1">
        <v>2</v>
      </c>
      <c r="V108" s="1" t="s">
        <v>268</v>
      </c>
      <c r="W108" s="1" t="s">
        <v>734</v>
      </c>
      <c r="X108" s="1" t="s">
        <v>145</v>
      </c>
      <c r="Y108" s="10">
        <v>43825</v>
      </c>
      <c r="Z108" s="1">
        <v>2019</v>
      </c>
      <c r="AA108" s="2">
        <v>122959.33</v>
      </c>
      <c r="AB108" s="2"/>
      <c r="AC108" s="2">
        <v>18443.900000000001</v>
      </c>
      <c r="AD108" s="1">
        <v>0</v>
      </c>
      <c r="AG108" s="1" t="s">
        <v>56</v>
      </c>
      <c r="AI108" s="2">
        <v>18443.900000000001</v>
      </c>
    </row>
    <row r="109" spans="1:38" ht="12.6" customHeight="1" x14ac:dyDescent="0.2">
      <c r="A109" s="1" t="s">
        <v>57</v>
      </c>
      <c r="B109" s="9" t="s">
        <v>38</v>
      </c>
      <c r="C109" s="1" t="s">
        <v>58</v>
      </c>
      <c r="D109" s="1" t="s">
        <v>59</v>
      </c>
      <c r="E109" s="1" t="s">
        <v>42</v>
      </c>
      <c r="G109" s="1" t="s">
        <v>60</v>
      </c>
      <c r="H109" s="1" t="s">
        <v>61</v>
      </c>
      <c r="I109" s="1" t="s">
        <v>735</v>
      </c>
      <c r="J109" s="1">
        <v>2021</v>
      </c>
      <c r="K109" s="1" t="s">
        <v>736</v>
      </c>
      <c r="L109" s="1" t="s">
        <v>737</v>
      </c>
      <c r="M109" s="1" t="s">
        <v>738</v>
      </c>
      <c r="P109" s="1" t="s">
        <v>739</v>
      </c>
      <c r="Q109" s="1" t="s">
        <v>264</v>
      </c>
      <c r="R109" s="1" t="s">
        <v>265</v>
      </c>
      <c r="S109" s="1" t="s">
        <v>740</v>
      </c>
      <c r="T109" s="1" t="s">
        <v>741</v>
      </c>
      <c r="U109" s="1">
        <v>1</v>
      </c>
      <c r="V109" s="1" t="s">
        <v>535</v>
      </c>
      <c r="W109" s="1" t="s">
        <v>742</v>
      </c>
      <c r="X109" s="1" t="s">
        <v>145</v>
      </c>
      <c r="Y109" s="10">
        <v>44557</v>
      </c>
      <c r="Z109" s="1">
        <v>2021</v>
      </c>
      <c r="AA109" s="2">
        <v>382464.46</v>
      </c>
      <c r="AB109" s="2"/>
      <c r="AC109" s="2">
        <v>114739.33800000002</v>
      </c>
      <c r="AD109" s="1">
        <v>3</v>
      </c>
      <c r="AE109" s="1">
        <v>3</v>
      </c>
      <c r="AG109" s="1" t="s">
        <v>56</v>
      </c>
      <c r="AI109" s="2">
        <v>114739.33800000002</v>
      </c>
    </row>
    <row r="110" spans="1:38" ht="14.45" customHeight="1" x14ac:dyDescent="0.2">
      <c r="A110" s="1" t="s">
        <v>57</v>
      </c>
      <c r="B110" s="9" t="s">
        <v>38</v>
      </c>
      <c r="C110" s="1" t="s">
        <v>58</v>
      </c>
      <c r="D110" s="1" t="s">
        <v>59</v>
      </c>
      <c r="E110" s="1" t="s">
        <v>42</v>
      </c>
      <c r="G110" s="1" t="s">
        <v>60</v>
      </c>
      <c r="H110" s="1" t="s">
        <v>61</v>
      </c>
      <c r="I110" s="1" t="s">
        <v>743</v>
      </c>
      <c r="J110" s="1">
        <v>2021</v>
      </c>
      <c r="K110" s="1" t="s">
        <v>744</v>
      </c>
      <c r="L110" s="1" t="s">
        <v>745</v>
      </c>
      <c r="M110" s="1" t="s">
        <v>746</v>
      </c>
      <c r="P110" s="1" t="s">
        <v>747</v>
      </c>
      <c r="Q110" s="1" t="s">
        <v>264</v>
      </c>
      <c r="R110" s="1" t="s">
        <v>265</v>
      </c>
      <c r="S110" s="1" t="s">
        <v>533</v>
      </c>
      <c r="T110" s="1" t="s">
        <v>534</v>
      </c>
      <c r="U110" s="1">
        <v>1</v>
      </c>
      <c r="V110" s="1" t="s">
        <v>535</v>
      </c>
      <c r="W110" s="1" t="s">
        <v>748</v>
      </c>
      <c r="X110" s="1" t="s">
        <v>609</v>
      </c>
      <c r="Y110" s="10">
        <v>44557</v>
      </c>
      <c r="Z110" s="1">
        <v>2021</v>
      </c>
      <c r="AA110" s="2">
        <v>541464</v>
      </c>
      <c r="AB110" s="2"/>
      <c r="AC110" s="2">
        <v>162439.20000000001</v>
      </c>
      <c r="AD110" s="1">
        <v>10</v>
      </c>
      <c r="AG110" s="1" t="s">
        <v>56</v>
      </c>
      <c r="AI110" s="2">
        <v>162439.20000000001</v>
      </c>
    </row>
    <row r="111" spans="1:38" ht="14.45" customHeight="1" x14ac:dyDescent="0.2">
      <c r="A111" s="1" t="s">
        <v>57</v>
      </c>
      <c r="B111" s="9" t="s">
        <v>38</v>
      </c>
      <c r="C111" s="1" t="s">
        <v>58</v>
      </c>
      <c r="D111" s="1" t="s">
        <v>59</v>
      </c>
      <c r="E111" s="1" t="s">
        <v>42</v>
      </c>
      <c r="G111" s="1" t="s">
        <v>88</v>
      </c>
      <c r="H111" s="1" t="s">
        <v>61</v>
      </c>
      <c r="I111" s="1" t="s">
        <v>749</v>
      </c>
      <c r="J111" s="1">
        <v>2021</v>
      </c>
      <c r="K111" s="1" t="s">
        <v>750</v>
      </c>
      <c r="L111" s="1" t="s">
        <v>751</v>
      </c>
      <c r="M111" s="1" t="s">
        <v>752</v>
      </c>
      <c r="P111" s="1" t="s">
        <v>753</v>
      </c>
      <c r="Q111" s="1" t="s">
        <v>264</v>
      </c>
      <c r="R111" s="1" t="s">
        <v>265</v>
      </c>
      <c r="S111" s="1" t="s">
        <v>266</v>
      </c>
      <c r="T111" s="1" t="s">
        <v>267</v>
      </c>
      <c r="U111" s="1">
        <v>2</v>
      </c>
      <c r="V111" s="1" t="s">
        <v>268</v>
      </c>
      <c r="W111" s="1" t="s">
        <v>754</v>
      </c>
      <c r="X111" s="1" t="s">
        <v>138</v>
      </c>
      <c r="Y111" s="10">
        <v>44557</v>
      </c>
      <c r="Z111" s="1">
        <v>2021</v>
      </c>
      <c r="AA111" s="2">
        <v>74408.03</v>
      </c>
      <c r="AB111" s="2"/>
      <c r="AC111" s="2">
        <v>11161.2</v>
      </c>
      <c r="AD111" s="1">
        <v>1</v>
      </c>
      <c r="AG111" s="1" t="s">
        <v>56</v>
      </c>
      <c r="AI111" s="2">
        <v>11161.2</v>
      </c>
    </row>
    <row r="112" spans="1:38" ht="12.6" customHeight="1" x14ac:dyDescent="0.2">
      <c r="A112" s="1" t="s">
        <v>57</v>
      </c>
      <c r="B112" s="9" t="s">
        <v>38</v>
      </c>
      <c r="C112" s="1" t="s">
        <v>58</v>
      </c>
      <c r="D112" s="1" t="s">
        <v>59</v>
      </c>
      <c r="E112" s="1" t="s">
        <v>42</v>
      </c>
      <c r="G112" s="1" t="s">
        <v>88</v>
      </c>
      <c r="H112" s="1" t="s">
        <v>61</v>
      </c>
      <c r="I112" s="1" t="s">
        <v>755</v>
      </c>
      <c r="J112" s="1">
        <v>2021</v>
      </c>
      <c r="K112" s="1" t="s">
        <v>756</v>
      </c>
      <c r="L112" s="1" t="s">
        <v>757</v>
      </c>
      <c r="M112" s="1" t="s">
        <v>648</v>
      </c>
      <c r="P112" s="1" t="s">
        <v>649</v>
      </c>
      <c r="Q112" s="1" t="s">
        <v>264</v>
      </c>
      <c r="R112" s="1" t="s">
        <v>265</v>
      </c>
      <c r="S112" s="1" t="s">
        <v>379</v>
      </c>
      <c r="T112" s="1" t="s">
        <v>380</v>
      </c>
      <c r="U112" s="1">
        <v>2</v>
      </c>
      <c r="V112" s="1" t="s">
        <v>268</v>
      </c>
      <c r="W112" s="1" t="s">
        <v>758</v>
      </c>
      <c r="X112" s="1" t="s">
        <v>321</v>
      </c>
      <c r="Y112" s="10">
        <v>44557</v>
      </c>
      <c r="Z112" s="1">
        <v>2021</v>
      </c>
      <c r="AA112" s="2">
        <v>498296.71</v>
      </c>
      <c r="AB112" s="2"/>
      <c r="AC112" s="2">
        <v>45000</v>
      </c>
      <c r="AD112" s="1">
        <v>0</v>
      </c>
      <c r="AG112" s="1" t="s">
        <v>56</v>
      </c>
      <c r="AI112" s="2">
        <v>45000</v>
      </c>
    </row>
    <row r="113" spans="1:38" ht="14.45" customHeight="1" x14ac:dyDescent="0.2">
      <c r="A113" s="1" t="s">
        <v>57</v>
      </c>
      <c r="B113" s="9" t="s">
        <v>39</v>
      </c>
      <c r="C113" s="1" t="s">
        <v>58</v>
      </c>
      <c r="D113" s="1" t="s">
        <v>59</v>
      </c>
      <c r="E113" s="1" t="s">
        <v>42</v>
      </c>
      <c r="G113" s="1" t="s">
        <v>60</v>
      </c>
      <c r="H113" s="1" t="s">
        <v>61</v>
      </c>
      <c r="I113" s="1" t="s">
        <v>759</v>
      </c>
      <c r="J113" s="1" t="s">
        <v>82</v>
      </c>
      <c r="K113" s="1" t="s">
        <v>760</v>
      </c>
      <c r="P113" s="1" t="s">
        <v>761</v>
      </c>
      <c r="Q113" s="1" t="s">
        <v>50</v>
      </c>
      <c r="R113" s="1" t="s">
        <v>68</v>
      </c>
      <c r="S113" s="1" t="s">
        <v>762</v>
      </c>
      <c r="T113" s="1" t="s">
        <v>763</v>
      </c>
      <c r="U113" s="1">
        <v>2</v>
      </c>
      <c r="V113" s="1" t="s">
        <v>80</v>
      </c>
      <c r="W113" s="1" t="s">
        <v>760</v>
      </c>
      <c r="X113" s="1" t="s">
        <v>87</v>
      </c>
      <c r="Y113" s="10">
        <v>44827</v>
      </c>
      <c r="Z113" s="1">
        <v>2022</v>
      </c>
      <c r="AA113" s="2">
        <v>253732.74</v>
      </c>
      <c r="AB113" s="2"/>
      <c r="AC113" s="2">
        <v>38059.910000000003</v>
      </c>
      <c r="AD113" s="1">
        <v>4</v>
      </c>
      <c r="AG113" s="1" t="s">
        <v>432</v>
      </c>
      <c r="AH113" s="1" t="s">
        <v>433</v>
      </c>
      <c r="AI113" s="2">
        <v>0</v>
      </c>
      <c r="AK113" s="1" t="s">
        <v>440</v>
      </c>
      <c r="AL113" s="1" t="s">
        <v>764</v>
      </c>
    </row>
    <row r="114" spans="1:38" ht="14.45" customHeight="1" x14ac:dyDescent="0.2">
      <c r="A114" s="1" t="s">
        <v>57</v>
      </c>
      <c r="B114" s="9" t="s">
        <v>38</v>
      </c>
      <c r="C114" s="1" t="s">
        <v>58</v>
      </c>
      <c r="D114" s="1" t="s">
        <v>59</v>
      </c>
      <c r="E114" s="1" t="s">
        <v>42</v>
      </c>
      <c r="G114" s="1" t="s">
        <v>88</v>
      </c>
      <c r="H114" s="1" t="s">
        <v>61</v>
      </c>
      <c r="I114" s="1" t="s">
        <v>765</v>
      </c>
      <c r="J114" s="1">
        <v>2021</v>
      </c>
      <c r="K114" s="1" t="s">
        <v>766</v>
      </c>
      <c r="L114" s="1" t="s">
        <v>767</v>
      </c>
      <c r="P114" s="1" t="s">
        <v>768</v>
      </c>
      <c r="Q114" s="1" t="s">
        <v>264</v>
      </c>
      <c r="R114" s="1" t="s">
        <v>265</v>
      </c>
      <c r="S114" s="1" t="s">
        <v>533</v>
      </c>
      <c r="T114" s="1" t="s">
        <v>534</v>
      </c>
      <c r="U114" s="1">
        <v>1</v>
      </c>
      <c r="V114" s="1" t="s">
        <v>535</v>
      </c>
      <c r="W114" s="1" t="s">
        <v>769</v>
      </c>
      <c r="X114" s="1" t="s">
        <v>571</v>
      </c>
      <c r="Y114" s="10">
        <v>44557</v>
      </c>
      <c r="Z114" s="1">
        <v>2021</v>
      </c>
      <c r="AA114" s="2">
        <v>100295.83</v>
      </c>
      <c r="AB114" s="2"/>
      <c r="AC114" s="2">
        <v>30000</v>
      </c>
      <c r="AD114" s="1">
        <v>0</v>
      </c>
      <c r="AG114" s="1" t="s">
        <v>56</v>
      </c>
      <c r="AI114" s="2">
        <v>30000</v>
      </c>
    </row>
    <row r="115" spans="1:38" ht="14.45" customHeight="1" x14ac:dyDescent="0.2">
      <c r="A115" s="1" t="s">
        <v>57</v>
      </c>
      <c r="B115" s="9" t="s">
        <v>38</v>
      </c>
      <c r="C115" s="1" t="s">
        <v>58</v>
      </c>
      <c r="D115" s="1" t="s">
        <v>59</v>
      </c>
      <c r="E115" s="1" t="s">
        <v>42</v>
      </c>
      <c r="G115" s="1" t="s">
        <v>88</v>
      </c>
      <c r="H115" s="1" t="s">
        <v>61</v>
      </c>
      <c r="I115" s="1" t="s">
        <v>770</v>
      </c>
      <c r="J115" s="1">
        <v>2021</v>
      </c>
      <c r="K115" s="1" t="s">
        <v>771</v>
      </c>
      <c r="L115" s="1" t="s">
        <v>772</v>
      </c>
      <c r="P115" s="1" t="s">
        <v>773</v>
      </c>
      <c r="Q115" s="1" t="s">
        <v>264</v>
      </c>
      <c r="R115" s="1" t="s">
        <v>265</v>
      </c>
      <c r="S115" s="1" t="s">
        <v>350</v>
      </c>
      <c r="T115" s="1" t="s">
        <v>351</v>
      </c>
      <c r="U115" s="1">
        <v>1</v>
      </c>
      <c r="V115" s="1" t="s">
        <v>80</v>
      </c>
      <c r="W115" s="1" t="s">
        <v>772</v>
      </c>
      <c r="X115" s="1" t="s">
        <v>609</v>
      </c>
      <c r="Y115" s="10">
        <v>44557</v>
      </c>
      <c r="Z115" s="1">
        <v>2021</v>
      </c>
      <c r="AA115" s="2">
        <v>172445.3</v>
      </c>
      <c r="AB115" s="2"/>
      <c r="AC115" s="2">
        <v>51733.59</v>
      </c>
      <c r="AD115" s="1">
        <v>0</v>
      </c>
      <c r="AG115" s="1" t="s">
        <v>56</v>
      </c>
      <c r="AI115" s="2">
        <v>51733.59</v>
      </c>
    </row>
    <row r="116" spans="1:38" ht="14.45" customHeight="1" x14ac:dyDescent="0.2">
      <c r="A116" s="1" t="s">
        <v>57</v>
      </c>
      <c r="B116" s="9" t="s">
        <v>38</v>
      </c>
      <c r="C116" s="1" t="s">
        <v>58</v>
      </c>
      <c r="D116" s="1" t="s">
        <v>59</v>
      </c>
      <c r="E116" s="1" t="s">
        <v>42</v>
      </c>
      <c r="G116" s="1" t="s">
        <v>88</v>
      </c>
      <c r="H116" s="1" t="s">
        <v>61</v>
      </c>
      <c r="I116" s="1" t="s">
        <v>774</v>
      </c>
      <c r="J116" s="1">
        <v>2021</v>
      </c>
      <c r="K116" s="1" t="s">
        <v>775</v>
      </c>
      <c r="L116" s="1" t="s">
        <v>776</v>
      </c>
      <c r="P116" s="1" t="s">
        <v>777</v>
      </c>
      <c r="Q116" s="1" t="s">
        <v>264</v>
      </c>
      <c r="R116" s="1" t="s">
        <v>265</v>
      </c>
      <c r="S116" s="1" t="s">
        <v>778</v>
      </c>
      <c r="T116" s="1" t="s">
        <v>779</v>
      </c>
      <c r="U116" s="1">
        <v>2</v>
      </c>
      <c r="V116" s="1" t="s">
        <v>80</v>
      </c>
      <c r="W116" s="1" t="s">
        <v>776</v>
      </c>
      <c r="X116" s="1" t="s">
        <v>321</v>
      </c>
      <c r="Y116" s="10">
        <v>44557</v>
      </c>
      <c r="Z116" s="1">
        <v>2021</v>
      </c>
      <c r="AA116" s="2">
        <v>140935.26</v>
      </c>
      <c r="AB116" s="2"/>
      <c r="AC116" s="2">
        <v>21140.29</v>
      </c>
      <c r="AD116" s="1">
        <v>1.03</v>
      </c>
      <c r="AE116" s="1">
        <v>0.7</v>
      </c>
      <c r="AG116" s="1" t="s">
        <v>56</v>
      </c>
      <c r="AI116" s="2">
        <v>21140.29</v>
      </c>
    </row>
    <row r="117" spans="1:38" ht="14.45" customHeight="1" x14ac:dyDescent="0.2">
      <c r="A117" s="1" t="s">
        <v>57</v>
      </c>
      <c r="B117" s="9" t="s">
        <v>38</v>
      </c>
      <c r="C117" s="1" t="s">
        <v>58</v>
      </c>
      <c r="D117" s="1" t="s">
        <v>59</v>
      </c>
      <c r="E117" s="1" t="s">
        <v>42</v>
      </c>
      <c r="G117" s="1" t="s">
        <v>88</v>
      </c>
      <c r="H117" s="1" t="s">
        <v>61</v>
      </c>
      <c r="I117" s="1" t="s">
        <v>780</v>
      </c>
      <c r="J117" s="1">
        <v>2021</v>
      </c>
      <c r="K117" s="1" t="s">
        <v>781</v>
      </c>
      <c r="L117" s="1" t="s">
        <v>782</v>
      </c>
      <c r="P117" s="1" t="s">
        <v>783</v>
      </c>
      <c r="Q117" s="1" t="s">
        <v>264</v>
      </c>
      <c r="R117" s="1" t="s">
        <v>265</v>
      </c>
      <c r="S117" s="1" t="s">
        <v>784</v>
      </c>
      <c r="T117" s="1" t="s">
        <v>785</v>
      </c>
      <c r="U117" s="1">
        <v>2</v>
      </c>
      <c r="V117" s="1" t="s">
        <v>80</v>
      </c>
      <c r="W117" s="1" t="s">
        <v>782</v>
      </c>
      <c r="X117" s="1" t="s">
        <v>138</v>
      </c>
      <c r="Y117" s="10">
        <v>44557</v>
      </c>
      <c r="Z117" s="1">
        <v>2021</v>
      </c>
      <c r="AA117" s="2">
        <v>37598.239999999998</v>
      </c>
      <c r="AB117" s="2"/>
      <c r="AC117" s="2">
        <v>5639.74</v>
      </c>
      <c r="AD117" s="1">
        <v>1</v>
      </c>
      <c r="AG117" s="1" t="s">
        <v>56</v>
      </c>
      <c r="AI117" s="2">
        <v>5639.74</v>
      </c>
    </row>
    <row r="118" spans="1:38" ht="14.45" customHeight="1" x14ac:dyDescent="0.2">
      <c r="A118" s="1" t="s">
        <v>57</v>
      </c>
      <c r="B118" s="9" t="s">
        <v>38</v>
      </c>
      <c r="C118" s="1" t="s">
        <v>58</v>
      </c>
      <c r="D118" s="1" t="s">
        <v>59</v>
      </c>
      <c r="E118" s="1" t="s">
        <v>42</v>
      </c>
      <c r="G118" s="1" t="s">
        <v>60</v>
      </c>
      <c r="H118" s="1" t="s">
        <v>61</v>
      </c>
      <c r="I118" s="1" t="s">
        <v>786</v>
      </c>
      <c r="J118" s="1">
        <v>2021</v>
      </c>
      <c r="K118" s="1" t="s">
        <v>787</v>
      </c>
      <c r="L118" s="1" t="s">
        <v>788</v>
      </c>
      <c r="N118" s="1" t="s">
        <v>789</v>
      </c>
      <c r="P118" s="1" t="s">
        <v>790</v>
      </c>
      <c r="Q118" s="1" t="s">
        <v>101</v>
      </c>
      <c r="R118" s="1" t="s">
        <v>102</v>
      </c>
      <c r="S118" s="1" t="s">
        <v>387</v>
      </c>
      <c r="T118" s="1" t="s">
        <v>388</v>
      </c>
      <c r="U118" s="1">
        <v>2</v>
      </c>
      <c r="V118" s="1" t="s">
        <v>101</v>
      </c>
      <c r="W118" s="1" t="s">
        <v>791</v>
      </c>
      <c r="X118" s="1" t="s">
        <v>609</v>
      </c>
      <c r="Y118" s="10">
        <v>44557</v>
      </c>
      <c r="Z118" s="1">
        <v>2021</v>
      </c>
      <c r="AA118" s="2">
        <v>2611705</v>
      </c>
      <c r="AB118" s="2"/>
      <c r="AC118" s="2">
        <v>315000</v>
      </c>
      <c r="AD118" s="1">
        <v>13</v>
      </c>
      <c r="AE118" s="1">
        <v>2</v>
      </c>
      <c r="AG118" s="1" t="s">
        <v>56</v>
      </c>
      <c r="AI118" s="2">
        <v>315000</v>
      </c>
    </row>
    <row r="119" spans="1:38" ht="14.45" customHeight="1" x14ac:dyDescent="0.2">
      <c r="A119" s="1" t="s">
        <v>57</v>
      </c>
      <c r="B119" s="9" t="s">
        <v>38</v>
      </c>
      <c r="C119" s="1" t="s">
        <v>58</v>
      </c>
      <c r="D119" s="1" t="s">
        <v>59</v>
      </c>
      <c r="E119" s="1" t="s">
        <v>42</v>
      </c>
      <c r="G119" s="1" t="s">
        <v>60</v>
      </c>
      <c r="H119" s="1" t="s">
        <v>61</v>
      </c>
      <c r="I119" s="1" t="s">
        <v>792</v>
      </c>
      <c r="J119" s="1">
        <v>2021</v>
      </c>
      <c r="K119" s="1" t="s">
        <v>793</v>
      </c>
      <c r="L119" s="1" t="s">
        <v>794</v>
      </c>
      <c r="M119" s="1" t="s">
        <v>795</v>
      </c>
      <c r="N119" s="1" t="s">
        <v>796</v>
      </c>
      <c r="P119" s="1" t="s">
        <v>797</v>
      </c>
      <c r="Q119" s="1" t="s">
        <v>101</v>
      </c>
      <c r="R119" s="1" t="s">
        <v>102</v>
      </c>
      <c r="S119" s="1" t="s">
        <v>523</v>
      </c>
      <c r="T119" s="1" t="s">
        <v>524</v>
      </c>
      <c r="U119" s="1">
        <v>1</v>
      </c>
      <c r="V119" s="1" t="s">
        <v>101</v>
      </c>
      <c r="W119" s="1" t="s">
        <v>798</v>
      </c>
      <c r="X119" s="1" t="s">
        <v>609</v>
      </c>
      <c r="Y119" s="10">
        <v>44557</v>
      </c>
      <c r="Z119" s="1">
        <v>2021</v>
      </c>
      <c r="AA119" s="2">
        <v>2184676.44</v>
      </c>
      <c r="AB119" s="2"/>
      <c r="AC119" s="2">
        <v>110000</v>
      </c>
      <c r="AD119" s="1">
        <v>3</v>
      </c>
      <c r="AE119" s="1">
        <v>1</v>
      </c>
      <c r="AG119" s="1" t="s">
        <v>56</v>
      </c>
      <c r="AI119" s="2">
        <v>110000</v>
      </c>
    </row>
    <row r="120" spans="1:38" ht="14.45" customHeight="1" x14ac:dyDescent="0.2">
      <c r="A120" s="1" t="s">
        <v>57</v>
      </c>
      <c r="B120" s="9" t="s">
        <v>38</v>
      </c>
      <c r="C120" s="1" t="s">
        <v>58</v>
      </c>
      <c r="D120" s="1" t="s">
        <v>59</v>
      </c>
      <c r="E120" s="1" t="s">
        <v>42</v>
      </c>
      <c r="G120" s="1" t="s">
        <v>88</v>
      </c>
      <c r="H120" s="1" t="s">
        <v>61</v>
      </c>
      <c r="I120" s="1" t="s">
        <v>799</v>
      </c>
      <c r="J120" s="1">
        <v>2021</v>
      </c>
      <c r="K120" s="1" t="s">
        <v>800</v>
      </c>
      <c r="L120" s="1" t="s">
        <v>801</v>
      </c>
      <c r="P120" s="1" t="s">
        <v>802</v>
      </c>
      <c r="Q120" s="1" t="s">
        <v>264</v>
      </c>
      <c r="R120" s="1" t="s">
        <v>265</v>
      </c>
      <c r="S120" s="1" t="s">
        <v>275</v>
      </c>
      <c r="T120" s="1" t="s">
        <v>276</v>
      </c>
      <c r="U120" s="1">
        <v>2</v>
      </c>
      <c r="V120" s="1" t="s">
        <v>80</v>
      </c>
      <c r="W120" s="1" t="s">
        <v>801</v>
      </c>
      <c r="X120" s="1" t="s">
        <v>138</v>
      </c>
      <c r="Y120" s="10">
        <v>44557</v>
      </c>
      <c r="Z120" s="1">
        <v>2021</v>
      </c>
      <c r="AA120" s="2">
        <v>59900</v>
      </c>
      <c r="AB120" s="2"/>
      <c r="AC120" s="2">
        <v>8985</v>
      </c>
      <c r="AD120" s="1">
        <v>1</v>
      </c>
      <c r="AE120" s="1">
        <v>1</v>
      </c>
      <c r="AG120" s="1" t="s">
        <v>56</v>
      </c>
      <c r="AI120" s="2">
        <v>8985</v>
      </c>
    </row>
    <row r="121" spans="1:38" ht="14.45" customHeight="1" x14ac:dyDescent="0.2">
      <c r="A121" s="1" t="s">
        <v>57</v>
      </c>
      <c r="B121" s="9" t="s">
        <v>38</v>
      </c>
      <c r="C121" s="1" t="s">
        <v>58</v>
      </c>
      <c r="D121" s="1" t="s">
        <v>59</v>
      </c>
      <c r="E121" s="1" t="s">
        <v>42</v>
      </c>
      <c r="G121" s="1" t="s">
        <v>88</v>
      </c>
      <c r="H121" s="1" t="s">
        <v>61</v>
      </c>
      <c r="I121" s="1" t="s">
        <v>803</v>
      </c>
      <c r="J121" s="1">
        <v>2021</v>
      </c>
      <c r="K121" s="1" t="s">
        <v>804</v>
      </c>
      <c r="L121" s="1" t="s">
        <v>805</v>
      </c>
      <c r="M121" s="1" t="s">
        <v>806</v>
      </c>
      <c r="P121" s="1" t="s">
        <v>807</v>
      </c>
      <c r="Q121" s="1" t="s">
        <v>264</v>
      </c>
      <c r="R121" s="1" t="s">
        <v>265</v>
      </c>
      <c r="S121" s="1" t="s">
        <v>266</v>
      </c>
      <c r="T121" s="1" t="s">
        <v>267</v>
      </c>
      <c r="U121" s="1">
        <v>2</v>
      </c>
      <c r="V121" s="1" t="s">
        <v>268</v>
      </c>
      <c r="W121" s="1" t="s">
        <v>804</v>
      </c>
      <c r="X121" s="1" t="s">
        <v>138</v>
      </c>
      <c r="Y121" s="10">
        <v>44557</v>
      </c>
      <c r="Z121" s="1">
        <v>2021</v>
      </c>
      <c r="AA121" s="2">
        <v>38353.54</v>
      </c>
      <c r="AB121" s="2"/>
      <c r="AC121" s="2">
        <v>5753.03</v>
      </c>
      <c r="AD121" s="1">
        <v>0</v>
      </c>
      <c r="AG121" s="1" t="s">
        <v>56</v>
      </c>
      <c r="AI121" s="2">
        <v>5753.03</v>
      </c>
    </row>
    <row r="122" spans="1:38" ht="14.45" customHeight="1" x14ac:dyDescent="0.25">
      <c r="A122" s="1" t="s">
        <v>57</v>
      </c>
      <c r="B122" s="9" t="s">
        <v>38</v>
      </c>
      <c r="C122" s="1" t="s">
        <v>58</v>
      </c>
      <c r="D122" s="1" t="s">
        <v>59</v>
      </c>
      <c r="E122" s="1" t="s">
        <v>42</v>
      </c>
      <c r="G122" s="1" t="s">
        <v>60</v>
      </c>
      <c r="H122" s="1" t="s">
        <v>61</v>
      </c>
      <c r="I122" s="1" t="s">
        <v>808</v>
      </c>
      <c r="J122" s="1">
        <v>2021</v>
      </c>
      <c r="K122" s="1" t="s">
        <v>809</v>
      </c>
      <c r="L122" s="1" t="s">
        <v>810</v>
      </c>
      <c r="M122" s="1" t="s">
        <v>811</v>
      </c>
      <c r="N122" s="1" t="s">
        <v>812</v>
      </c>
      <c r="P122" s="1" t="s">
        <v>813</v>
      </c>
      <c r="Q122" s="1" t="s">
        <v>50</v>
      </c>
      <c r="R122" s="1" t="s">
        <v>68</v>
      </c>
      <c r="S122" s="16" t="s">
        <v>814</v>
      </c>
      <c r="T122" s="1" t="s">
        <v>815</v>
      </c>
      <c r="U122" s="1">
        <v>2</v>
      </c>
      <c r="V122" s="1" t="s">
        <v>71</v>
      </c>
      <c r="W122" s="1" t="s">
        <v>816</v>
      </c>
      <c r="X122" s="1" t="s">
        <v>138</v>
      </c>
      <c r="Y122" s="10">
        <v>44557</v>
      </c>
      <c r="Z122" s="1">
        <v>2021</v>
      </c>
      <c r="AA122" s="2">
        <v>4303486.62</v>
      </c>
      <c r="AB122" s="2"/>
      <c r="AC122" s="2">
        <v>645522.99300000013</v>
      </c>
      <c r="AD122" s="1">
        <v>30</v>
      </c>
      <c r="AE122" s="1">
        <v>30</v>
      </c>
      <c r="AG122" s="1" t="s">
        <v>56</v>
      </c>
      <c r="AI122" s="2">
        <v>227985</v>
      </c>
    </row>
    <row r="123" spans="1:38" ht="14.45" customHeight="1" x14ac:dyDescent="0.2">
      <c r="A123" s="1" t="s">
        <v>57</v>
      </c>
      <c r="B123" s="9" t="s">
        <v>38</v>
      </c>
      <c r="C123" s="1" t="s">
        <v>58</v>
      </c>
      <c r="D123" s="1" t="s">
        <v>59</v>
      </c>
      <c r="E123" s="1" t="s">
        <v>42</v>
      </c>
      <c r="G123" s="1" t="s">
        <v>88</v>
      </c>
      <c r="H123" s="1" t="s">
        <v>61</v>
      </c>
      <c r="I123" s="1" t="s">
        <v>817</v>
      </c>
      <c r="J123" s="1">
        <v>2021</v>
      </c>
      <c r="K123" s="1" t="s">
        <v>818</v>
      </c>
      <c r="L123" s="1" t="s">
        <v>819</v>
      </c>
      <c r="P123" s="1" t="s">
        <v>820</v>
      </c>
      <c r="Q123" s="1" t="s">
        <v>264</v>
      </c>
      <c r="R123" s="1" t="s">
        <v>265</v>
      </c>
      <c r="S123" s="1" t="s">
        <v>266</v>
      </c>
      <c r="T123" s="1" t="s">
        <v>267</v>
      </c>
      <c r="U123" s="1">
        <v>2</v>
      </c>
      <c r="V123" s="1" t="s">
        <v>268</v>
      </c>
      <c r="W123" s="1" t="s">
        <v>818</v>
      </c>
      <c r="X123" s="1" t="s">
        <v>138</v>
      </c>
      <c r="Y123" s="10">
        <v>44557</v>
      </c>
      <c r="Z123" s="1">
        <v>2021</v>
      </c>
      <c r="AA123" s="2">
        <v>66562</v>
      </c>
      <c r="AB123" s="2"/>
      <c r="AC123" s="2">
        <v>9984.2999999999993</v>
      </c>
      <c r="AD123" s="1">
        <v>1</v>
      </c>
      <c r="AG123" s="1" t="s">
        <v>56</v>
      </c>
      <c r="AI123" s="2">
        <v>9984.2999999999993</v>
      </c>
      <c r="AL123" s="18" t="s">
        <v>821</v>
      </c>
    </row>
    <row r="124" spans="1:38" ht="14.45" customHeight="1" x14ac:dyDescent="0.2">
      <c r="A124" s="1" t="s">
        <v>57</v>
      </c>
      <c r="B124" s="9" t="s">
        <v>38</v>
      </c>
      <c r="C124" s="1" t="s">
        <v>58</v>
      </c>
      <c r="D124" s="1" t="s">
        <v>59</v>
      </c>
      <c r="E124" s="1" t="s">
        <v>42</v>
      </c>
      <c r="G124" s="1" t="s">
        <v>88</v>
      </c>
      <c r="H124" s="1" t="s">
        <v>61</v>
      </c>
      <c r="I124" s="1" t="s">
        <v>822</v>
      </c>
      <c r="J124" s="1">
        <v>2021</v>
      </c>
      <c r="K124" s="1" t="s">
        <v>823</v>
      </c>
      <c r="L124" s="1" t="s">
        <v>824</v>
      </c>
      <c r="P124" s="1" t="s">
        <v>825</v>
      </c>
      <c r="Q124" s="1" t="s">
        <v>264</v>
      </c>
      <c r="R124" s="1" t="s">
        <v>265</v>
      </c>
      <c r="S124" s="1" t="s">
        <v>350</v>
      </c>
      <c r="T124" s="1" t="s">
        <v>351</v>
      </c>
      <c r="U124" s="1">
        <v>1</v>
      </c>
      <c r="V124" s="1" t="s">
        <v>80</v>
      </c>
      <c r="W124" s="1" t="s">
        <v>824</v>
      </c>
      <c r="X124" s="1" t="s">
        <v>609</v>
      </c>
      <c r="Y124" s="10">
        <v>44557</v>
      </c>
      <c r="Z124" s="1">
        <v>2021</v>
      </c>
      <c r="AA124" s="2">
        <v>128384</v>
      </c>
      <c r="AB124" s="2"/>
      <c r="AC124" s="2">
        <v>38515.199999999997</v>
      </c>
      <c r="AD124" s="1">
        <v>2</v>
      </c>
      <c r="AG124" s="1" t="s">
        <v>56</v>
      </c>
      <c r="AI124" s="2">
        <v>38515.199999999997</v>
      </c>
      <c r="AL124" s="17" t="s">
        <v>826</v>
      </c>
    </row>
    <row r="125" spans="1:38" ht="14.45" customHeight="1" x14ac:dyDescent="0.2">
      <c r="A125" s="1" t="s">
        <v>57</v>
      </c>
      <c r="B125" s="9" t="s">
        <v>38</v>
      </c>
      <c r="C125" s="1" t="s">
        <v>58</v>
      </c>
      <c r="D125" s="1" t="s">
        <v>59</v>
      </c>
      <c r="E125" s="1" t="s">
        <v>42</v>
      </c>
      <c r="G125" s="1" t="s">
        <v>60</v>
      </c>
      <c r="H125" s="1" t="s">
        <v>61</v>
      </c>
      <c r="I125" s="1" t="s">
        <v>827</v>
      </c>
      <c r="J125" s="1">
        <v>2021</v>
      </c>
      <c r="K125" s="1" t="s">
        <v>828</v>
      </c>
      <c r="L125" s="1" t="s">
        <v>829</v>
      </c>
      <c r="M125" s="1" t="s">
        <v>369</v>
      </c>
      <c r="N125" s="1" t="s">
        <v>830</v>
      </c>
      <c r="P125" s="1" t="s">
        <v>371</v>
      </c>
      <c r="Q125" s="1" t="s">
        <v>101</v>
      </c>
      <c r="R125" s="1" t="s">
        <v>102</v>
      </c>
      <c r="S125" s="1" t="s">
        <v>372</v>
      </c>
      <c r="T125" s="1" t="s">
        <v>373</v>
      </c>
      <c r="U125" s="1">
        <v>1</v>
      </c>
      <c r="V125" s="1" t="s">
        <v>101</v>
      </c>
      <c r="W125" s="1" t="s">
        <v>831</v>
      </c>
      <c r="X125" s="1" t="s">
        <v>609</v>
      </c>
      <c r="Y125" s="10">
        <v>44557</v>
      </c>
      <c r="Z125" s="1">
        <v>2021</v>
      </c>
      <c r="AA125" s="2">
        <v>1648874.67</v>
      </c>
      <c r="AB125" s="2"/>
      <c r="AC125" s="2">
        <v>150000</v>
      </c>
      <c r="AD125" s="1">
        <v>3</v>
      </c>
      <c r="AG125" s="1" t="s">
        <v>56</v>
      </c>
      <c r="AI125" s="2">
        <v>150000</v>
      </c>
    </row>
    <row r="126" spans="1:38" ht="14.45" customHeight="1" x14ac:dyDescent="0.2">
      <c r="A126" s="1" t="s">
        <v>57</v>
      </c>
      <c r="B126" s="9" t="s">
        <v>38</v>
      </c>
      <c r="C126" s="1" t="s">
        <v>58</v>
      </c>
      <c r="D126" s="1" t="s">
        <v>59</v>
      </c>
      <c r="E126" s="1" t="s">
        <v>42</v>
      </c>
      <c r="G126" s="1" t="s">
        <v>88</v>
      </c>
      <c r="H126" s="1" t="s">
        <v>61</v>
      </c>
      <c r="I126" s="1" t="s">
        <v>832</v>
      </c>
      <c r="J126" s="1">
        <v>2021</v>
      </c>
      <c r="K126" s="1" t="s">
        <v>833</v>
      </c>
      <c r="L126" s="1" t="s">
        <v>834</v>
      </c>
      <c r="P126" s="1" t="s">
        <v>835</v>
      </c>
      <c r="Q126" s="1" t="s">
        <v>264</v>
      </c>
      <c r="R126" s="1" t="s">
        <v>265</v>
      </c>
      <c r="S126" s="1" t="s">
        <v>533</v>
      </c>
      <c r="T126" s="1" t="s">
        <v>534</v>
      </c>
      <c r="U126" s="1">
        <v>1</v>
      </c>
      <c r="V126" s="1" t="s">
        <v>535</v>
      </c>
      <c r="W126" s="1" t="s">
        <v>836</v>
      </c>
      <c r="X126" s="1" t="s">
        <v>609</v>
      </c>
      <c r="Y126" s="10">
        <v>44557</v>
      </c>
      <c r="Z126" s="1">
        <v>2021</v>
      </c>
      <c r="AA126" s="2">
        <v>287619.31</v>
      </c>
      <c r="AB126" s="2"/>
      <c r="AC126" s="2">
        <v>86285.79</v>
      </c>
      <c r="AD126" s="1">
        <v>4</v>
      </c>
      <c r="AG126" s="1" t="s">
        <v>56</v>
      </c>
      <c r="AI126" s="2">
        <v>86285.79</v>
      </c>
    </row>
    <row r="127" spans="1:38" ht="14.45" customHeight="1" x14ac:dyDescent="0.2">
      <c r="A127" s="1" t="s">
        <v>57</v>
      </c>
      <c r="B127" s="9" t="s">
        <v>38</v>
      </c>
      <c r="C127" s="1" t="s">
        <v>58</v>
      </c>
      <c r="D127" s="1" t="s">
        <v>59</v>
      </c>
      <c r="E127" s="1" t="s">
        <v>42</v>
      </c>
      <c r="G127" s="1" t="s">
        <v>105</v>
      </c>
      <c r="H127" s="1" t="s">
        <v>61</v>
      </c>
      <c r="I127" s="1" t="s">
        <v>837</v>
      </c>
      <c r="J127" s="1">
        <v>2023</v>
      </c>
      <c r="K127" s="1" t="s">
        <v>838</v>
      </c>
      <c r="L127" s="1" t="s">
        <v>839</v>
      </c>
      <c r="M127" s="1" t="s">
        <v>840</v>
      </c>
      <c r="P127" s="1" t="s">
        <v>841</v>
      </c>
      <c r="Q127" s="1" t="s">
        <v>842</v>
      </c>
      <c r="R127" s="1" t="s">
        <v>843</v>
      </c>
      <c r="S127" s="1" t="s">
        <v>844</v>
      </c>
      <c r="T127" s="1" t="s">
        <v>845</v>
      </c>
      <c r="V127" s="1" t="s">
        <v>846</v>
      </c>
      <c r="W127" s="1" t="s">
        <v>838</v>
      </c>
      <c r="Y127" s="10">
        <v>45462</v>
      </c>
      <c r="Z127" s="1">
        <v>2024</v>
      </c>
      <c r="AA127" s="2">
        <v>444469.98</v>
      </c>
      <c r="AB127" s="2"/>
      <c r="AC127" s="2">
        <v>177787.99</v>
      </c>
      <c r="AD127" s="1">
        <v>11</v>
      </c>
      <c r="AE127" s="1">
        <v>3</v>
      </c>
      <c r="AG127" s="1" t="s">
        <v>56</v>
      </c>
      <c r="AI127" s="2">
        <v>177787.99</v>
      </c>
    </row>
    <row r="128" spans="1:38" ht="14.45" customHeight="1" x14ac:dyDescent="0.2">
      <c r="A128" s="1" t="s">
        <v>57</v>
      </c>
      <c r="B128" s="9" t="s">
        <v>38</v>
      </c>
      <c r="C128" s="1" t="s">
        <v>58</v>
      </c>
      <c r="D128" s="1" t="s">
        <v>59</v>
      </c>
      <c r="E128" s="1" t="s">
        <v>42</v>
      </c>
      <c r="G128" s="1" t="s">
        <v>88</v>
      </c>
      <c r="H128" s="1" t="s">
        <v>61</v>
      </c>
      <c r="I128" s="1" t="s">
        <v>847</v>
      </c>
      <c r="J128" s="1">
        <v>2021</v>
      </c>
      <c r="K128" s="1" t="s">
        <v>848</v>
      </c>
      <c r="L128" s="1" t="s">
        <v>849</v>
      </c>
      <c r="P128" s="1" t="s">
        <v>850</v>
      </c>
      <c r="Q128" s="1" t="s">
        <v>264</v>
      </c>
      <c r="R128" s="1" t="s">
        <v>265</v>
      </c>
      <c r="S128" s="1" t="s">
        <v>450</v>
      </c>
      <c r="T128" s="1" t="s">
        <v>451</v>
      </c>
      <c r="U128" s="1">
        <v>2</v>
      </c>
      <c r="V128" s="1" t="s">
        <v>80</v>
      </c>
      <c r="W128" s="1" t="s">
        <v>849</v>
      </c>
      <c r="X128" s="1" t="s">
        <v>609</v>
      </c>
      <c r="Y128" s="10">
        <v>44557</v>
      </c>
      <c r="Z128" s="1">
        <v>2021</v>
      </c>
      <c r="AA128" s="2">
        <v>64910</v>
      </c>
      <c r="AB128" s="2"/>
      <c r="AC128" s="2">
        <v>9736.5</v>
      </c>
      <c r="AD128" s="1">
        <v>1</v>
      </c>
      <c r="AG128" s="1" t="s">
        <v>56</v>
      </c>
      <c r="AI128" s="2">
        <v>9736.5</v>
      </c>
    </row>
    <row r="129" spans="1:38" ht="14.45" customHeight="1" x14ac:dyDescent="0.2">
      <c r="A129" s="1" t="s">
        <v>57</v>
      </c>
      <c r="B129" s="9" t="s">
        <v>38</v>
      </c>
      <c r="C129" s="1" t="s">
        <v>58</v>
      </c>
      <c r="D129" s="1" t="s">
        <v>59</v>
      </c>
      <c r="E129" s="1" t="s">
        <v>42</v>
      </c>
      <c r="G129" s="1" t="s">
        <v>88</v>
      </c>
      <c r="H129" s="1" t="s">
        <v>61</v>
      </c>
      <c r="I129" s="1" t="s">
        <v>851</v>
      </c>
      <c r="J129" s="1">
        <v>2021</v>
      </c>
      <c r="K129" s="1" t="s">
        <v>852</v>
      </c>
      <c r="L129" s="1" t="s">
        <v>853</v>
      </c>
      <c r="P129" s="1" t="s">
        <v>854</v>
      </c>
      <c r="Q129" s="1" t="s">
        <v>264</v>
      </c>
      <c r="R129" s="1" t="s">
        <v>265</v>
      </c>
      <c r="S129" s="1" t="s">
        <v>855</v>
      </c>
      <c r="T129" s="1" t="s">
        <v>856</v>
      </c>
      <c r="U129" s="1">
        <v>2</v>
      </c>
      <c r="V129" s="1" t="s">
        <v>308</v>
      </c>
      <c r="W129" s="1" t="s">
        <v>857</v>
      </c>
      <c r="X129" s="1" t="s">
        <v>145</v>
      </c>
      <c r="Y129" s="10">
        <v>44557</v>
      </c>
      <c r="Z129" s="1">
        <v>2021</v>
      </c>
      <c r="AA129" s="2">
        <v>109025.46</v>
      </c>
      <c r="AB129" s="2"/>
      <c r="AC129" s="2">
        <v>16353.82</v>
      </c>
      <c r="AD129" s="1">
        <v>1.5</v>
      </c>
      <c r="AE129" s="1">
        <v>0.5</v>
      </c>
      <c r="AG129" s="1" t="s">
        <v>56</v>
      </c>
      <c r="AI129" s="2">
        <v>16353.82</v>
      </c>
    </row>
    <row r="130" spans="1:38" ht="14.45" customHeight="1" x14ac:dyDescent="0.2">
      <c r="A130" s="1" t="s">
        <v>57</v>
      </c>
      <c r="B130" s="9" t="s">
        <v>38</v>
      </c>
      <c r="C130" s="1" t="s">
        <v>58</v>
      </c>
      <c r="D130" s="1" t="s">
        <v>59</v>
      </c>
      <c r="E130" s="1" t="s">
        <v>42</v>
      </c>
      <c r="G130" s="1" t="s">
        <v>88</v>
      </c>
      <c r="H130" s="1" t="s">
        <v>61</v>
      </c>
      <c r="I130" s="1" t="s">
        <v>858</v>
      </c>
      <c r="J130" s="1">
        <v>2021</v>
      </c>
      <c r="K130" s="1" t="s">
        <v>859</v>
      </c>
      <c r="L130" s="1" t="s">
        <v>860</v>
      </c>
      <c r="P130" s="1" t="s">
        <v>861</v>
      </c>
      <c r="Q130" s="1" t="s">
        <v>264</v>
      </c>
      <c r="R130" s="1" t="s">
        <v>265</v>
      </c>
      <c r="S130" s="1" t="s">
        <v>740</v>
      </c>
      <c r="T130" s="1" t="s">
        <v>741</v>
      </c>
      <c r="U130" s="1">
        <v>1</v>
      </c>
      <c r="V130" s="1" t="s">
        <v>535</v>
      </c>
      <c r="W130" s="1" t="s">
        <v>862</v>
      </c>
      <c r="X130" s="1" t="s">
        <v>138</v>
      </c>
      <c r="Y130" s="10">
        <v>44557</v>
      </c>
      <c r="Z130" s="1">
        <v>2021</v>
      </c>
      <c r="AA130" s="2">
        <v>229756.62</v>
      </c>
      <c r="AB130" s="2"/>
      <c r="AC130" s="2">
        <v>50000</v>
      </c>
      <c r="AD130" s="1">
        <v>1</v>
      </c>
      <c r="AE130" s="1">
        <v>1</v>
      </c>
      <c r="AG130" s="1" t="s">
        <v>56</v>
      </c>
      <c r="AI130" s="2">
        <v>50000</v>
      </c>
    </row>
    <row r="131" spans="1:38" ht="14.45" customHeight="1" x14ac:dyDescent="0.2">
      <c r="A131" s="1" t="s">
        <v>57</v>
      </c>
      <c r="B131" s="9" t="s">
        <v>38</v>
      </c>
      <c r="C131" s="1" t="s">
        <v>58</v>
      </c>
      <c r="D131" s="1" t="s">
        <v>59</v>
      </c>
      <c r="E131" s="1" t="s">
        <v>42</v>
      </c>
      <c r="G131" s="1" t="s">
        <v>60</v>
      </c>
      <c r="H131" s="1" t="s">
        <v>61</v>
      </c>
      <c r="I131" s="1" t="s">
        <v>863</v>
      </c>
      <c r="J131" s="1">
        <v>2021</v>
      </c>
      <c r="K131" s="1" t="s">
        <v>864</v>
      </c>
      <c r="L131" s="1" t="s">
        <v>865</v>
      </c>
      <c r="N131" s="1" t="s">
        <v>866</v>
      </c>
      <c r="P131" s="1" t="s">
        <v>867</v>
      </c>
      <c r="Q131" s="1" t="s">
        <v>101</v>
      </c>
      <c r="R131" s="1" t="s">
        <v>102</v>
      </c>
      <c r="S131" s="1" t="s">
        <v>103</v>
      </c>
      <c r="T131" s="1" t="s">
        <v>104</v>
      </c>
      <c r="U131" s="1">
        <v>1</v>
      </c>
      <c r="V131" s="1" t="s">
        <v>101</v>
      </c>
      <c r="W131" s="1" t="s">
        <v>868</v>
      </c>
      <c r="X131" s="1" t="s">
        <v>609</v>
      </c>
      <c r="Y131" s="10">
        <v>44557</v>
      </c>
      <c r="Z131" s="1">
        <v>2021</v>
      </c>
      <c r="AA131" s="2">
        <v>4821130</v>
      </c>
      <c r="AB131" s="2"/>
      <c r="AC131" s="2">
        <v>700000</v>
      </c>
      <c r="AD131" s="1">
        <v>14</v>
      </c>
      <c r="AE131" s="1">
        <v>5</v>
      </c>
      <c r="AG131" s="1" t="s">
        <v>56</v>
      </c>
      <c r="AI131" s="2">
        <v>700000</v>
      </c>
    </row>
    <row r="132" spans="1:38" ht="14.45" customHeight="1" x14ac:dyDescent="0.2">
      <c r="A132" s="1" t="s">
        <v>57</v>
      </c>
      <c r="B132" s="9" t="s">
        <v>38</v>
      </c>
      <c r="C132" s="1" t="s">
        <v>58</v>
      </c>
      <c r="D132" s="1" t="s">
        <v>59</v>
      </c>
      <c r="E132" s="1" t="s">
        <v>42</v>
      </c>
      <c r="G132" s="1" t="s">
        <v>88</v>
      </c>
      <c r="H132" s="1" t="s">
        <v>61</v>
      </c>
      <c r="I132" s="1" t="s">
        <v>869</v>
      </c>
      <c r="J132" s="1">
        <v>2021</v>
      </c>
      <c r="K132" s="1" t="s">
        <v>870</v>
      </c>
      <c r="L132" s="1" t="s">
        <v>871</v>
      </c>
      <c r="M132" s="1" t="s">
        <v>872</v>
      </c>
      <c r="P132" s="1" t="s">
        <v>873</v>
      </c>
      <c r="Q132" s="1" t="s">
        <v>264</v>
      </c>
      <c r="R132" s="1" t="s">
        <v>265</v>
      </c>
      <c r="S132" s="1" t="s">
        <v>740</v>
      </c>
      <c r="T132" s="1" t="s">
        <v>741</v>
      </c>
      <c r="U132" s="1">
        <v>1</v>
      </c>
      <c r="V132" s="1" t="s">
        <v>535</v>
      </c>
      <c r="W132" s="1" t="s">
        <v>874</v>
      </c>
      <c r="X132" s="1" t="s">
        <v>145</v>
      </c>
      <c r="Y132" s="10">
        <v>44557</v>
      </c>
      <c r="Z132" s="1">
        <v>2021</v>
      </c>
      <c r="AA132" s="2">
        <v>237264.08</v>
      </c>
      <c r="AB132" s="2"/>
      <c r="AC132" s="2">
        <v>71179.22</v>
      </c>
      <c r="AD132" s="1">
        <v>1.5</v>
      </c>
      <c r="AE132" s="1">
        <v>1.5</v>
      </c>
      <c r="AG132" s="1" t="s">
        <v>56</v>
      </c>
      <c r="AI132" s="2">
        <v>71179.22</v>
      </c>
    </row>
    <row r="133" spans="1:38" ht="14.45" customHeight="1" x14ac:dyDescent="0.2">
      <c r="A133" s="1" t="s">
        <v>57</v>
      </c>
      <c r="B133" s="9" t="s">
        <v>38</v>
      </c>
      <c r="C133" s="1" t="s">
        <v>58</v>
      </c>
      <c r="D133" s="1" t="s">
        <v>59</v>
      </c>
      <c r="E133" s="1" t="s">
        <v>42</v>
      </c>
      <c r="G133" s="1" t="s">
        <v>88</v>
      </c>
      <c r="H133" s="1" t="s">
        <v>61</v>
      </c>
      <c r="I133" s="1" t="s">
        <v>875</v>
      </c>
      <c r="J133" s="1">
        <v>2021</v>
      </c>
      <c r="K133" s="1" t="s">
        <v>876</v>
      </c>
      <c r="L133" s="1" t="s">
        <v>877</v>
      </c>
      <c r="P133" s="1" t="s">
        <v>878</v>
      </c>
      <c r="Q133" s="1" t="s">
        <v>264</v>
      </c>
      <c r="R133" s="1" t="s">
        <v>265</v>
      </c>
      <c r="S133" s="1" t="s">
        <v>784</v>
      </c>
      <c r="T133" s="1" t="s">
        <v>785</v>
      </c>
      <c r="U133" s="1">
        <v>2</v>
      </c>
      <c r="V133" s="1" t="s">
        <v>80</v>
      </c>
      <c r="W133" s="1" t="s">
        <v>877</v>
      </c>
      <c r="X133" s="1" t="s">
        <v>138</v>
      </c>
      <c r="Y133" s="10">
        <v>44557</v>
      </c>
      <c r="Z133" s="1">
        <v>2021</v>
      </c>
      <c r="AA133" s="2">
        <v>489875</v>
      </c>
      <c r="AB133" s="2"/>
      <c r="AC133" s="2">
        <v>73481.25</v>
      </c>
      <c r="AD133" s="1">
        <v>4</v>
      </c>
      <c r="AE133" s="1">
        <v>3</v>
      </c>
      <c r="AG133" s="1" t="s">
        <v>56</v>
      </c>
      <c r="AI133" s="2">
        <v>73481.25</v>
      </c>
    </row>
    <row r="134" spans="1:38" ht="14.45" customHeight="1" x14ac:dyDescent="0.2">
      <c r="A134" s="1" t="s">
        <v>57</v>
      </c>
      <c r="B134" s="9" t="s">
        <v>38</v>
      </c>
      <c r="C134" s="1" t="s">
        <v>58</v>
      </c>
      <c r="D134" s="1" t="s">
        <v>59</v>
      </c>
      <c r="E134" s="1" t="s">
        <v>42</v>
      </c>
      <c r="G134" s="1" t="s">
        <v>105</v>
      </c>
      <c r="H134" s="1" t="s">
        <v>61</v>
      </c>
      <c r="I134" s="1" t="s">
        <v>879</v>
      </c>
      <c r="J134" s="1">
        <v>2023</v>
      </c>
      <c r="K134" s="1" t="s">
        <v>880</v>
      </c>
      <c r="L134" s="1" t="s">
        <v>881</v>
      </c>
      <c r="M134" s="1" t="s">
        <v>882</v>
      </c>
      <c r="P134" s="1" t="s">
        <v>883</v>
      </c>
      <c r="Q134" s="1" t="s">
        <v>842</v>
      </c>
      <c r="R134" s="1" t="s">
        <v>884</v>
      </c>
      <c r="S134" s="1" t="s">
        <v>885</v>
      </c>
      <c r="T134" s="1" t="s">
        <v>886</v>
      </c>
      <c r="V134" s="1" t="s">
        <v>887</v>
      </c>
      <c r="W134" s="1" t="s">
        <v>880</v>
      </c>
      <c r="Y134" s="10">
        <v>45462</v>
      </c>
      <c r="Z134" s="1">
        <v>2024</v>
      </c>
      <c r="AA134" s="2">
        <v>3611000</v>
      </c>
      <c r="AB134" s="2"/>
      <c r="AC134" s="2">
        <v>1022200</v>
      </c>
      <c r="AD134" s="1">
        <v>20</v>
      </c>
      <c r="AG134" s="1" t="s">
        <v>56</v>
      </c>
      <c r="AI134" s="2">
        <v>1022200</v>
      </c>
    </row>
    <row r="135" spans="1:38" ht="14.45" customHeight="1" x14ac:dyDescent="0.2">
      <c r="A135" s="1" t="s">
        <v>57</v>
      </c>
      <c r="B135" s="9" t="s">
        <v>38</v>
      </c>
      <c r="C135" s="1" t="s">
        <v>58</v>
      </c>
      <c r="D135" s="1" t="s">
        <v>59</v>
      </c>
      <c r="E135" s="1" t="s">
        <v>42</v>
      </c>
      <c r="G135" s="1" t="s">
        <v>88</v>
      </c>
      <c r="H135" s="1" t="s">
        <v>61</v>
      </c>
      <c r="I135" s="1" t="s">
        <v>888</v>
      </c>
      <c r="J135" s="1">
        <v>2021</v>
      </c>
      <c r="K135" s="1" t="s">
        <v>889</v>
      </c>
      <c r="L135" s="1" t="s">
        <v>890</v>
      </c>
      <c r="M135" s="1" t="s">
        <v>891</v>
      </c>
      <c r="P135" s="1" t="s">
        <v>892</v>
      </c>
      <c r="Q135" s="1" t="s">
        <v>264</v>
      </c>
      <c r="R135" s="1" t="s">
        <v>265</v>
      </c>
      <c r="S135" s="1" t="s">
        <v>542</v>
      </c>
      <c r="T135" s="1" t="s">
        <v>543</v>
      </c>
      <c r="U135" s="1">
        <v>1</v>
      </c>
      <c r="V135" s="1" t="s">
        <v>268</v>
      </c>
      <c r="W135" s="1" t="s">
        <v>893</v>
      </c>
      <c r="X135" s="1" t="s">
        <v>609</v>
      </c>
      <c r="Y135" s="10">
        <v>44557</v>
      </c>
      <c r="Z135" s="1">
        <v>2021</v>
      </c>
      <c r="AA135" s="2">
        <v>81269</v>
      </c>
      <c r="AB135" s="2"/>
      <c r="AC135" s="2">
        <v>24380.7</v>
      </c>
      <c r="AD135" s="1">
        <v>2</v>
      </c>
      <c r="AG135" s="1" t="s">
        <v>56</v>
      </c>
      <c r="AI135" s="2">
        <v>24380.7</v>
      </c>
      <c r="AL135" s="18" t="s">
        <v>826</v>
      </c>
    </row>
    <row r="136" spans="1:38" ht="14.45" customHeight="1" x14ac:dyDescent="0.2">
      <c r="A136" s="1" t="s">
        <v>57</v>
      </c>
      <c r="B136" s="9" t="s">
        <v>38</v>
      </c>
      <c r="C136" s="1" t="s">
        <v>58</v>
      </c>
      <c r="D136" s="1" t="s">
        <v>59</v>
      </c>
      <c r="E136" s="1" t="s">
        <v>42</v>
      </c>
      <c r="G136" s="1" t="s">
        <v>88</v>
      </c>
      <c r="H136" s="1" t="s">
        <v>61</v>
      </c>
      <c r="I136" s="1" t="s">
        <v>894</v>
      </c>
      <c r="J136" s="1">
        <v>2021</v>
      </c>
      <c r="K136" s="1" t="s">
        <v>895</v>
      </c>
      <c r="L136" s="1" t="s">
        <v>895</v>
      </c>
      <c r="P136" s="1" t="s">
        <v>896</v>
      </c>
      <c r="Q136" s="1" t="s">
        <v>264</v>
      </c>
      <c r="R136" s="1" t="s">
        <v>265</v>
      </c>
      <c r="S136" s="1" t="s">
        <v>784</v>
      </c>
      <c r="T136" s="1" t="s">
        <v>785</v>
      </c>
      <c r="U136" s="1">
        <v>2</v>
      </c>
      <c r="V136" s="1" t="s">
        <v>80</v>
      </c>
      <c r="W136" s="1" t="s">
        <v>895</v>
      </c>
      <c r="X136" s="1" t="s">
        <v>138</v>
      </c>
      <c r="Y136" s="10">
        <v>44557</v>
      </c>
      <c r="Z136" s="1">
        <v>2021</v>
      </c>
      <c r="AA136" s="2">
        <v>97637.49</v>
      </c>
      <c r="AB136" s="2"/>
      <c r="AC136" s="2">
        <v>14645.62</v>
      </c>
      <c r="AD136" s="1">
        <v>1</v>
      </c>
      <c r="AE136" s="1">
        <v>1</v>
      </c>
      <c r="AG136" s="1" t="s">
        <v>56</v>
      </c>
      <c r="AI136" s="2">
        <v>14645.62</v>
      </c>
    </row>
    <row r="137" spans="1:38" ht="14.45" customHeight="1" x14ac:dyDescent="0.2">
      <c r="A137" s="1" t="s">
        <v>57</v>
      </c>
      <c r="B137" s="9" t="s">
        <v>38</v>
      </c>
      <c r="C137" s="1" t="s">
        <v>58</v>
      </c>
      <c r="D137" s="1" t="s">
        <v>59</v>
      </c>
      <c r="E137" s="1" t="s">
        <v>42</v>
      </c>
      <c r="G137" s="1" t="s">
        <v>88</v>
      </c>
      <c r="H137" s="1" t="s">
        <v>61</v>
      </c>
      <c r="I137" s="1" t="s">
        <v>897</v>
      </c>
      <c r="J137" s="1">
        <v>2021</v>
      </c>
      <c r="K137" s="1" t="s">
        <v>898</v>
      </c>
      <c r="L137" s="1" t="s">
        <v>899</v>
      </c>
      <c r="P137" s="1" t="s">
        <v>900</v>
      </c>
      <c r="Q137" s="1" t="s">
        <v>264</v>
      </c>
      <c r="R137" s="1" t="s">
        <v>265</v>
      </c>
      <c r="S137" s="1" t="s">
        <v>350</v>
      </c>
      <c r="T137" s="1" t="s">
        <v>351</v>
      </c>
      <c r="U137" s="1">
        <v>1</v>
      </c>
      <c r="V137" s="1" t="s">
        <v>80</v>
      </c>
      <c r="W137" s="1" t="s">
        <v>899</v>
      </c>
      <c r="X137" s="1" t="s">
        <v>145</v>
      </c>
      <c r="Y137" s="10">
        <v>44557</v>
      </c>
      <c r="Z137" s="1">
        <v>2021</v>
      </c>
      <c r="AA137" s="2">
        <v>483334</v>
      </c>
      <c r="AB137" s="2"/>
      <c r="AC137" s="2">
        <v>145000.20000000001</v>
      </c>
      <c r="AD137" s="1">
        <v>6</v>
      </c>
      <c r="AE137" s="1">
        <v>6</v>
      </c>
      <c r="AG137" s="1" t="s">
        <v>56</v>
      </c>
      <c r="AI137" s="2">
        <v>145000.20000000001</v>
      </c>
    </row>
    <row r="138" spans="1:38" ht="14.45" customHeight="1" x14ac:dyDescent="0.2">
      <c r="A138" s="1" t="s">
        <v>57</v>
      </c>
      <c r="B138" s="9" t="s">
        <v>38</v>
      </c>
      <c r="C138" s="1" t="s">
        <v>58</v>
      </c>
      <c r="D138" s="1" t="s">
        <v>59</v>
      </c>
      <c r="E138" s="1" t="s">
        <v>42</v>
      </c>
      <c r="G138" s="1" t="s">
        <v>88</v>
      </c>
      <c r="H138" s="1" t="s">
        <v>61</v>
      </c>
      <c r="I138" s="1" t="s">
        <v>901</v>
      </c>
      <c r="J138" s="1">
        <v>2021</v>
      </c>
      <c r="K138" s="1" t="s">
        <v>902</v>
      </c>
      <c r="L138" s="1" t="s">
        <v>903</v>
      </c>
      <c r="P138" s="1" t="s">
        <v>456</v>
      </c>
      <c r="Q138" s="1" t="s">
        <v>264</v>
      </c>
      <c r="R138" s="1" t="s">
        <v>265</v>
      </c>
      <c r="S138" s="1" t="s">
        <v>266</v>
      </c>
      <c r="T138" s="1" t="s">
        <v>267</v>
      </c>
      <c r="U138" s="1">
        <v>2</v>
      </c>
      <c r="V138" s="1" t="s">
        <v>268</v>
      </c>
      <c r="W138" s="1" t="s">
        <v>904</v>
      </c>
      <c r="X138" s="1" t="s">
        <v>138</v>
      </c>
      <c r="Y138" s="10">
        <v>44557</v>
      </c>
      <c r="Z138" s="1">
        <v>2021</v>
      </c>
      <c r="AA138" s="2">
        <v>445718.84</v>
      </c>
      <c r="AB138" s="2"/>
      <c r="AC138" s="2">
        <v>66857.83</v>
      </c>
      <c r="AD138" s="1">
        <v>3</v>
      </c>
      <c r="AE138" s="1">
        <v>3</v>
      </c>
      <c r="AG138" s="1" t="s">
        <v>56</v>
      </c>
      <c r="AI138" s="2">
        <v>66857.83</v>
      </c>
    </row>
    <row r="139" spans="1:38" ht="14.45" customHeight="1" x14ac:dyDescent="0.2">
      <c r="A139" s="1" t="s">
        <v>57</v>
      </c>
      <c r="B139" s="9" t="s">
        <v>38</v>
      </c>
      <c r="C139" s="1" t="s">
        <v>58</v>
      </c>
      <c r="D139" s="1" t="s">
        <v>59</v>
      </c>
      <c r="E139" s="1" t="s">
        <v>42</v>
      </c>
      <c r="G139" s="1" t="s">
        <v>88</v>
      </c>
      <c r="H139" s="1" t="s">
        <v>61</v>
      </c>
      <c r="I139" s="1" t="s">
        <v>905</v>
      </c>
      <c r="J139" s="1">
        <v>2021</v>
      </c>
      <c r="K139" s="1" t="s">
        <v>906</v>
      </c>
      <c r="L139" s="1" t="s">
        <v>907</v>
      </c>
      <c r="M139" s="1" t="s">
        <v>908</v>
      </c>
      <c r="P139" s="1" t="s">
        <v>909</v>
      </c>
      <c r="Q139" s="1" t="s">
        <v>264</v>
      </c>
      <c r="R139" s="1" t="s">
        <v>265</v>
      </c>
      <c r="S139" s="1" t="s">
        <v>266</v>
      </c>
      <c r="T139" s="1" t="s">
        <v>267</v>
      </c>
      <c r="U139" s="1">
        <v>2</v>
      </c>
      <c r="V139" s="1" t="s">
        <v>268</v>
      </c>
      <c r="W139" s="1" t="s">
        <v>910</v>
      </c>
      <c r="X139" s="1" t="s">
        <v>609</v>
      </c>
      <c r="Y139" s="10">
        <v>44557</v>
      </c>
      <c r="Z139" s="1">
        <v>2021</v>
      </c>
      <c r="AA139" s="2">
        <v>322663.69</v>
      </c>
      <c r="AB139" s="2"/>
      <c r="AC139" s="2">
        <v>32266.37</v>
      </c>
      <c r="AD139" s="1">
        <v>2</v>
      </c>
      <c r="AG139" s="1" t="s">
        <v>56</v>
      </c>
      <c r="AI139" s="2">
        <v>32266.37</v>
      </c>
    </row>
    <row r="140" spans="1:38" ht="14.45" customHeight="1" x14ac:dyDescent="0.2">
      <c r="A140" s="1" t="s">
        <v>57</v>
      </c>
      <c r="B140" s="9" t="s">
        <v>38</v>
      </c>
      <c r="C140" s="1" t="s">
        <v>58</v>
      </c>
      <c r="D140" s="1" t="s">
        <v>59</v>
      </c>
      <c r="E140" s="1" t="s">
        <v>42</v>
      </c>
      <c r="G140" s="1" t="s">
        <v>88</v>
      </c>
      <c r="H140" s="1" t="s">
        <v>61</v>
      </c>
      <c r="I140" s="1" t="s">
        <v>911</v>
      </c>
      <c r="J140" s="1">
        <v>2021</v>
      </c>
      <c r="K140" s="1" t="s">
        <v>912</v>
      </c>
      <c r="L140" s="1" t="s">
        <v>913</v>
      </c>
      <c r="M140" s="1" t="s">
        <v>914</v>
      </c>
      <c r="P140" s="1" t="s">
        <v>915</v>
      </c>
      <c r="Q140" s="1" t="s">
        <v>264</v>
      </c>
      <c r="R140" s="1" t="s">
        <v>265</v>
      </c>
      <c r="S140" s="1" t="s">
        <v>266</v>
      </c>
      <c r="T140" s="1" t="s">
        <v>267</v>
      </c>
      <c r="U140" s="1">
        <v>2</v>
      </c>
      <c r="V140" s="1" t="s">
        <v>268</v>
      </c>
      <c r="W140" s="1" t="s">
        <v>916</v>
      </c>
      <c r="X140" s="1" t="s">
        <v>917</v>
      </c>
      <c r="Y140" s="10">
        <v>44557</v>
      </c>
      <c r="Z140" s="1">
        <v>2021</v>
      </c>
      <c r="AA140" s="2">
        <v>86692.1</v>
      </c>
      <c r="AB140" s="2"/>
      <c r="AC140" s="2">
        <v>13003.82</v>
      </c>
      <c r="AD140" s="1">
        <v>1</v>
      </c>
      <c r="AE140" s="1">
        <v>1</v>
      </c>
      <c r="AG140" s="1" t="s">
        <v>56</v>
      </c>
      <c r="AI140" s="2">
        <v>13003.82</v>
      </c>
    </row>
    <row r="141" spans="1:38" ht="14.45" customHeight="1" x14ac:dyDescent="0.2">
      <c r="A141" s="1" t="s">
        <v>57</v>
      </c>
      <c r="B141" s="9" t="s">
        <v>38</v>
      </c>
      <c r="C141" s="1" t="s">
        <v>58</v>
      </c>
      <c r="D141" s="1" t="s">
        <v>59</v>
      </c>
      <c r="E141" s="1" t="s">
        <v>42</v>
      </c>
      <c r="G141" s="1" t="s">
        <v>88</v>
      </c>
      <c r="H141" s="1" t="s">
        <v>61</v>
      </c>
      <c r="I141" s="1" t="s">
        <v>918</v>
      </c>
      <c r="J141" s="1">
        <v>2021</v>
      </c>
      <c r="K141" s="1" t="s">
        <v>919</v>
      </c>
      <c r="L141" s="1" t="s">
        <v>920</v>
      </c>
      <c r="M141" s="1" t="s">
        <v>921</v>
      </c>
      <c r="P141" s="1" t="s">
        <v>922</v>
      </c>
      <c r="Q141" s="1" t="s">
        <v>264</v>
      </c>
      <c r="R141" s="1" t="s">
        <v>265</v>
      </c>
      <c r="S141" s="1" t="s">
        <v>923</v>
      </c>
      <c r="T141" s="1" t="s">
        <v>924</v>
      </c>
      <c r="U141" s="1">
        <v>1</v>
      </c>
      <c r="V141" s="1" t="s">
        <v>268</v>
      </c>
      <c r="W141" s="1" t="s">
        <v>925</v>
      </c>
      <c r="X141" s="1" t="s">
        <v>400</v>
      </c>
      <c r="Y141" s="10">
        <v>44557</v>
      </c>
      <c r="Z141" s="1">
        <v>2021</v>
      </c>
      <c r="AA141" s="2">
        <v>56797.49</v>
      </c>
      <c r="AB141" s="2"/>
      <c r="AC141" s="2">
        <v>17039.25</v>
      </c>
      <c r="AD141" s="1">
        <v>0</v>
      </c>
      <c r="AG141" s="1" t="s">
        <v>56</v>
      </c>
      <c r="AI141" s="2">
        <v>17039.25</v>
      </c>
    </row>
    <row r="142" spans="1:38" ht="14.45" customHeight="1" x14ac:dyDescent="0.2">
      <c r="A142" s="1" t="s">
        <v>57</v>
      </c>
      <c r="B142" s="9" t="s">
        <v>38</v>
      </c>
      <c r="C142" s="1" t="s">
        <v>58</v>
      </c>
      <c r="D142" s="1" t="s">
        <v>59</v>
      </c>
      <c r="E142" s="1" t="s">
        <v>42</v>
      </c>
      <c r="G142" s="1" t="s">
        <v>88</v>
      </c>
      <c r="H142" s="1" t="s">
        <v>61</v>
      </c>
      <c r="I142" s="1" t="s">
        <v>926</v>
      </c>
      <c r="J142" s="1">
        <v>2021</v>
      </c>
      <c r="K142" s="1" t="s">
        <v>927</v>
      </c>
      <c r="L142" s="1" t="s">
        <v>928</v>
      </c>
      <c r="P142" s="1" t="s">
        <v>929</v>
      </c>
      <c r="Q142" s="1" t="s">
        <v>264</v>
      </c>
      <c r="R142" s="1" t="s">
        <v>265</v>
      </c>
      <c r="S142" s="1" t="s">
        <v>275</v>
      </c>
      <c r="T142" s="1" t="s">
        <v>276</v>
      </c>
      <c r="U142" s="1">
        <v>2</v>
      </c>
      <c r="V142" s="1" t="s">
        <v>80</v>
      </c>
      <c r="W142" s="1" t="s">
        <v>928</v>
      </c>
      <c r="X142" s="1" t="s">
        <v>138</v>
      </c>
      <c r="Y142" s="10">
        <v>44557</v>
      </c>
      <c r="Z142" s="1">
        <v>2021</v>
      </c>
      <c r="AA142" s="2">
        <v>172472.12</v>
      </c>
      <c r="AB142" s="2"/>
      <c r="AC142" s="2">
        <v>25870.82</v>
      </c>
      <c r="AD142" s="1">
        <v>2</v>
      </c>
      <c r="AE142" s="1">
        <v>2</v>
      </c>
      <c r="AG142" s="1" t="s">
        <v>56</v>
      </c>
      <c r="AI142" s="2">
        <v>25870.82</v>
      </c>
    </row>
    <row r="143" spans="1:38" ht="14.45" customHeight="1" x14ac:dyDescent="0.2">
      <c r="A143" s="1" t="s">
        <v>57</v>
      </c>
      <c r="B143" s="9" t="s">
        <v>38</v>
      </c>
      <c r="C143" s="1" t="s">
        <v>58</v>
      </c>
      <c r="D143" s="1" t="s">
        <v>59</v>
      </c>
      <c r="E143" s="1" t="s">
        <v>42</v>
      </c>
      <c r="G143" s="1" t="s">
        <v>88</v>
      </c>
      <c r="H143" s="1" t="s">
        <v>61</v>
      </c>
      <c r="I143" s="1" t="s">
        <v>930</v>
      </c>
      <c r="J143" s="1">
        <v>2021</v>
      </c>
      <c r="K143" s="1" t="s">
        <v>931</v>
      </c>
      <c r="L143" s="1" t="s">
        <v>932</v>
      </c>
      <c r="M143" s="1" t="s">
        <v>933</v>
      </c>
      <c r="P143" s="1" t="s">
        <v>934</v>
      </c>
      <c r="Q143" s="1" t="s">
        <v>264</v>
      </c>
      <c r="R143" s="1" t="s">
        <v>265</v>
      </c>
      <c r="S143" s="1" t="s">
        <v>935</v>
      </c>
      <c r="T143" s="1" t="s">
        <v>936</v>
      </c>
      <c r="U143" s="1">
        <v>1</v>
      </c>
      <c r="V143" s="1" t="s">
        <v>308</v>
      </c>
      <c r="W143" s="1" t="s">
        <v>937</v>
      </c>
      <c r="X143" s="1" t="s">
        <v>609</v>
      </c>
      <c r="Y143" s="10">
        <v>44557</v>
      </c>
      <c r="Z143" s="1">
        <v>2021</v>
      </c>
      <c r="AA143" s="2">
        <v>263741.38</v>
      </c>
      <c r="AB143" s="2"/>
      <c r="AC143" s="2">
        <v>60000</v>
      </c>
      <c r="AD143" s="1">
        <v>0</v>
      </c>
      <c r="AG143" s="1" t="s">
        <v>56</v>
      </c>
      <c r="AI143" s="2">
        <v>60000</v>
      </c>
    </row>
    <row r="144" spans="1:38" ht="14.45" customHeight="1" x14ac:dyDescent="0.2">
      <c r="A144" s="1" t="s">
        <v>57</v>
      </c>
      <c r="B144" s="9" t="s">
        <v>38</v>
      </c>
      <c r="C144" s="1" t="s">
        <v>58</v>
      </c>
      <c r="D144" s="1" t="s">
        <v>59</v>
      </c>
      <c r="E144" s="1" t="s">
        <v>42</v>
      </c>
      <c r="G144" s="1" t="s">
        <v>88</v>
      </c>
      <c r="H144" s="1" t="s">
        <v>61</v>
      </c>
      <c r="I144" s="1" t="s">
        <v>938</v>
      </c>
      <c r="J144" s="1">
        <v>2021</v>
      </c>
      <c r="K144" s="1" t="s">
        <v>939</v>
      </c>
      <c r="L144" s="1" t="s">
        <v>940</v>
      </c>
      <c r="P144" s="1" t="s">
        <v>941</v>
      </c>
      <c r="Q144" s="1" t="s">
        <v>264</v>
      </c>
      <c r="R144" s="1" t="s">
        <v>265</v>
      </c>
      <c r="S144" s="1" t="s">
        <v>275</v>
      </c>
      <c r="T144" s="1" t="s">
        <v>276</v>
      </c>
      <c r="U144" s="1">
        <v>2</v>
      </c>
      <c r="V144" s="1" t="s">
        <v>80</v>
      </c>
      <c r="W144" s="1" t="s">
        <v>940</v>
      </c>
      <c r="X144" s="1" t="s">
        <v>138</v>
      </c>
      <c r="Y144" s="10">
        <v>44557</v>
      </c>
      <c r="Z144" s="1">
        <v>2021</v>
      </c>
      <c r="AA144" s="2">
        <v>203765.89</v>
      </c>
      <c r="AB144" s="2"/>
      <c r="AC144" s="2">
        <v>15000</v>
      </c>
      <c r="AD144" s="1">
        <v>0</v>
      </c>
      <c r="AG144" s="1" t="s">
        <v>56</v>
      </c>
      <c r="AI144" s="2">
        <v>15000</v>
      </c>
    </row>
    <row r="145" spans="1:38" ht="14.45" customHeight="1" x14ac:dyDescent="0.2">
      <c r="A145" s="1" t="s">
        <v>57</v>
      </c>
      <c r="B145" s="9" t="s">
        <v>38</v>
      </c>
      <c r="C145" s="1" t="s">
        <v>58</v>
      </c>
      <c r="D145" s="1" t="s">
        <v>59</v>
      </c>
      <c r="E145" s="1" t="s">
        <v>42</v>
      </c>
      <c r="G145" s="1" t="s">
        <v>88</v>
      </c>
      <c r="H145" s="1" t="s">
        <v>61</v>
      </c>
      <c r="I145" s="1" t="s">
        <v>942</v>
      </c>
      <c r="J145" s="1">
        <v>2021</v>
      </c>
      <c r="K145" s="1" t="s">
        <v>943</v>
      </c>
      <c r="L145" s="1" t="s">
        <v>944</v>
      </c>
      <c r="P145" s="1" t="s">
        <v>945</v>
      </c>
      <c r="Q145" s="1" t="s">
        <v>264</v>
      </c>
      <c r="R145" s="1" t="s">
        <v>265</v>
      </c>
      <c r="S145" s="1" t="s">
        <v>275</v>
      </c>
      <c r="T145" s="1" t="s">
        <v>276</v>
      </c>
      <c r="U145" s="1">
        <v>2</v>
      </c>
      <c r="V145" s="1" t="s">
        <v>80</v>
      </c>
      <c r="W145" s="1" t="s">
        <v>944</v>
      </c>
      <c r="X145" s="1" t="s">
        <v>138</v>
      </c>
      <c r="Y145" s="10">
        <v>44557</v>
      </c>
      <c r="Z145" s="1">
        <v>2021</v>
      </c>
      <c r="AA145" s="2">
        <v>101405.86</v>
      </c>
      <c r="AB145" s="2"/>
      <c r="AC145" s="2">
        <v>15000</v>
      </c>
      <c r="AD145" s="1">
        <v>1</v>
      </c>
      <c r="AG145" s="1" t="s">
        <v>56</v>
      </c>
      <c r="AI145" s="2">
        <v>15000</v>
      </c>
    </row>
    <row r="146" spans="1:38" ht="14.45" customHeight="1" x14ac:dyDescent="0.2">
      <c r="A146" s="1" t="s">
        <v>57</v>
      </c>
      <c r="B146" s="9" t="s">
        <v>38</v>
      </c>
      <c r="C146" s="1" t="s">
        <v>58</v>
      </c>
      <c r="D146" s="1" t="s">
        <v>59</v>
      </c>
      <c r="E146" s="1" t="s">
        <v>42</v>
      </c>
      <c r="G146" s="1" t="s">
        <v>88</v>
      </c>
      <c r="H146" s="1" t="s">
        <v>61</v>
      </c>
      <c r="I146" s="1" t="s">
        <v>946</v>
      </c>
      <c r="J146" s="1">
        <v>2021</v>
      </c>
      <c r="K146" s="1" t="s">
        <v>947</v>
      </c>
      <c r="L146" s="1" t="s">
        <v>948</v>
      </c>
      <c r="P146" s="1" t="s">
        <v>949</v>
      </c>
      <c r="Q146" s="1" t="s">
        <v>264</v>
      </c>
      <c r="R146" s="1" t="s">
        <v>265</v>
      </c>
      <c r="S146" s="1" t="s">
        <v>717</v>
      </c>
      <c r="T146" s="1" t="s">
        <v>718</v>
      </c>
      <c r="U146" s="1">
        <v>1</v>
      </c>
      <c r="V146" s="1" t="s">
        <v>535</v>
      </c>
      <c r="W146" s="1" t="s">
        <v>950</v>
      </c>
      <c r="X146" s="1" t="s">
        <v>138</v>
      </c>
      <c r="Y146" s="10">
        <v>44557</v>
      </c>
      <c r="Z146" s="1">
        <v>2021</v>
      </c>
      <c r="AA146" s="2">
        <v>207204.9</v>
      </c>
      <c r="AB146" s="2"/>
      <c r="AC146" s="2">
        <v>41440.980000000003</v>
      </c>
      <c r="AD146" s="1">
        <v>0</v>
      </c>
      <c r="AG146" s="1" t="s">
        <v>56</v>
      </c>
      <c r="AI146" s="2">
        <v>41440.980000000003</v>
      </c>
    </row>
    <row r="147" spans="1:38" ht="14.45" customHeight="1" x14ac:dyDescent="0.2">
      <c r="A147" s="1" t="s">
        <v>57</v>
      </c>
      <c r="B147" s="9" t="s">
        <v>38</v>
      </c>
      <c r="C147" s="1" t="s">
        <v>58</v>
      </c>
      <c r="D147" s="1" t="s">
        <v>59</v>
      </c>
      <c r="E147" s="1" t="s">
        <v>42</v>
      </c>
      <c r="G147" s="1" t="s">
        <v>88</v>
      </c>
      <c r="H147" s="1" t="s">
        <v>61</v>
      </c>
      <c r="I147" s="1" t="s">
        <v>951</v>
      </c>
      <c r="J147" s="1">
        <v>2021</v>
      </c>
      <c r="K147" s="1" t="s">
        <v>952</v>
      </c>
      <c r="L147" s="1" t="s">
        <v>953</v>
      </c>
      <c r="P147" s="1" t="s">
        <v>954</v>
      </c>
      <c r="Q147" s="1" t="s">
        <v>264</v>
      </c>
      <c r="R147" s="1" t="s">
        <v>265</v>
      </c>
      <c r="S147" s="1" t="s">
        <v>275</v>
      </c>
      <c r="T147" s="1" t="s">
        <v>276</v>
      </c>
      <c r="U147" s="1">
        <v>2</v>
      </c>
      <c r="V147" s="1" t="s">
        <v>80</v>
      </c>
      <c r="W147" s="1" t="s">
        <v>953</v>
      </c>
      <c r="X147" s="1" t="s">
        <v>138</v>
      </c>
      <c r="Y147" s="10">
        <v>44557</v>
      </c>
      <c r="Z147" s="1">
        <v>2021</v>
      </c>
      <c r="AA147" s="2">
        <v>305234.38</v>
      </c>
      <c r="AB147" s="2"/>
      <c r="AC147" s="2">
        <v>30523.439999999999</v>
      </c>
      <c r="AD147" s="1">
        <v>0</v>
      </c>
      <c r="AG147" s="1" t="s">
        <v>56</v>
      </c>
      <c r="AI147" s="2">
        <v>30523.439999999999</v>
      </c>
    </row>
    <row r="148" spans="1:38" ht="14.45" customHeight="1" x14ac:dyDescent="0.2">
      <c r="A148" s="1" t="s">
        <v>57</v>
      </c>
      <c r="B148" s="9" t="s">
        <v>38</v>
      </c>
      <c r="C148" s="1" t="s">
        <v>58</v>
      </c>
      <c r="D148" s="1" t="s">
        <v>59</v>
      </c>
      <c r="E148" s="1" t="s">
        <v>42</v>
      </c>
      <c r="G148" s="1" t="s">
        <v>88</v>
      </c>
      <c r="H148" s="1" t="s">
        <v>61</v>
      </c>
      <c r="I148" s="1" t="s">
        <v>955</v>
      </c>
      <c r="J148" s="1">
        <v>2021</v>
      </c>
      <c r="K148" s="1" t="s">
        <v>956</v>
      </c>
      <c r="L148" s="1" t="s">
        <v>956</v>
      </c>
      <c r="P148" s="1" t="s">
        <v>957</v>
      </c>
      <c r="Q148" s="1" t="s">
        <v>264</v>
      </c>
      <c r="R148" s="1" t="s">
        <v>265</v>
      </c>
      <c r="S148" s="1" t="s">
        <v>350</v>
      </c>
      <c r="T148" s="1" t="s">
        <v>351</v>
      </c>
      <c r="U148" s="1">
        <v>1</v>
      </c>
      <c r="V148" s="1" t="s">
        <v>80</v>
      </c>
      <c r="W148" s="1" t="s">
        <v>956</v>
      </c>
      <c r="X148" s="1" t="s">
        <v>138</v>
      </c>
      <c r="Y148" s="10">
        <v>44557</v>
      </c>
      <c r="Z148" s="1">
        <v>2021</v>
      </c>
      <c r="AA148" s="2">
        <v>84173.04</v>
      </c>
      <c r="AB148" s="2"/>
      <c r="AC148" s="2">
        <v>25251.91</v>
      </c>
      <c r="AD148" s="1">
        <v>2.5</v>
      </c>
      <c r="AE148" s="1">
        <v>1</v>
      </c>
      <c r="AG148" s="1" t="s">
        <v>56</v>
      </c>
      <c r="AI148" s="2">
        <v>25251.91</v>
      </c>
    </row>
    <row r="149" spans="1:38" ht="14.45" customHeight="1" x14ac:dyDescent="0.2">
      <c r="A149" s="1" t="s">
        <v>57</v>
      </c>
      <c r="B149" s="9" t="s">
        <v>38</v>
      </c>
      <c r="C149" s="1" t="s">
        <v>58</v>
      </c>
      <c r="D149" s="1" t="s">
        <v>59</v>
      </c>
      <c r="E149" s="1" t="s">
        <v>42</v>
      </c>
      <c r="G149" s="1" t="s">
        <v>88</v>
      </c>
      <c r="H149" s="1" t="s">
        <v>61</v>
      </c>
      <c r="I149" s="1" t="s">
        <v>958</v>
      </c>
      <c r="J149" s="1">
        <v>2021</v>
      </c>
      <c r="K149" s="1" t="s">
        <v>959</v>
      </c>
      <c r="L149" s="1" t="s">
        <v>960</v>
      </c>
      <c r="M149" s="1" t="s">
        <v>961</v>
      </c>
      <c r="P149" s="1" t="s">
        <v>962</v>
      </c>
      <c r="Q149" s="1" t="s">
        <v>264</v>
      </c>
      <c r="R149" s="1" t="s">
        <v>265</v>
      </c>
      <c r="S149" s="1" t="s">
        <v>266</v>
      </c>
      <c r="T149" s="1" t="s">
        <v>267</v>
      </c>
      <c r="U149" s="1">
        <v>2</v>
      </c>
      <c r="V149" s="1" t="s">
        <v>268</v>
      </c>
      <c r="W149" s="1" t="s">
        <v>963</v>
      </c>
      <c r="X149" s="1" t="s">
        <v>138</v>
      </c>
      <c r="Y149" s="10">
        <v>44557</v>
      </c>
      <c r="Z149" s="1">
        <v>2021</v>
      </c>
      <c r="AA149" s="2">
        <v>187019.46</v>
      </c>
      <c r="AB149" s="2"/>
      <c r="AC149" s="2">
        <v>25000</v>
      </c>
      <c r="AD149" s="1">
        <v>1</v>
      </c>
      <c r="AE149" s="1">
        <v>1</v>
      </c>
      <c r="AG149" s="1" t="s">
        <v>56</v>
      </c>
      <c r="AI149" s="2">
        <v>25000</v>
      </c>
    </row>
    <row r="150" spans="1:38" ht="14.45" customHeight="1" x14ac:dyDescent="0.2">
      <c r="A150" s="1" t="s">
        <v>57</v>
      </c>
      <c r="B150" s="9" t="s">
        <v>38</v>
      </c>
      <c r="C150" s="1" t="s">
        <v>58</v>
      </c>
      <c r="D150" s="1" t="s">
        <v>59</v>
      </c>
      <c r="E150" s="1" t="s">
        <v>42</v>
      </c>
      <c r="G150" s="1" t="s">
        <v>88</v>
      </c>
      <c r="H150" s="1" t="s">
        <v>61</v>
      </c>
      <c r="I150" s="1" t="s">
        <v>964</v>
      </c>
      <c r="J150" s="1">
        <v>2021</v>
      </c>
      <c r="K150" s="1" t="s">
        <v>965</v>
      </c>
      <c r="L150" s="1" t="s">
        <v>966</v>
      </c>
      <c r="P150" s="1" t="s">
        <v>967</v>
      </c>
      <c r="Q150" s="1" t="s">
        <v>264</v>
      </c>
      <c r="R150" s="1" t="s">
        <v>265</v>
      </c>
      <c r="S150" s="1" t="s">
        <v>350</v>
      </c>
      <c r="T150" s="1" t="s">
        <v>351</v>
      </c>
      <c r="U150" s="1">
        <v>1</v>
      </c>
      <c r="V150" s="1" t="s">
        <v>80</v>
      </c>
      <c r="W150" s="1" t="s">
        <v>966</v>
      </c>
      <c r="X150" s="1" t="s">
        <v>400</v>
      </c>
      <c r="Y150" s="10">
        <v>44557</v>
      </c>
      <c r="Z150" s="1">
        <v>2021</v>
      </c>
      <c r="AA150" s="2">
        <v>307340.23</v>
      </c>
      <c r="AB150" s="2"/>
      <c r="AC150" s="2">
        <v>60000</v>
      </c>
      <c r="AD150" s="1">
        <v>0</v>
      </c>
      <c r="AG150" s="1" t="s">
        <v>56</v>
      </c>
      <c r="AI150" s="2">
        <v>60000</v>
      </c>
    </row>
    <row r="151" spans="1:38" ht="14.45" customHeight="1" x14ac:dyDescent="0.2">
      <c r="A151" s="1" t="s">
        <v>57</v>
      </c>
      <c r="B151" s="9" t="s">
        <v>38</v>
      </c>
      <c r="C151" s="1" t="s">
        <v>58</v>
      </c>
      <c r="D151" s="1" t="s">
        <v>59</v>
      </c>
      <c r="E151" s="1" t="s">
        <v>42</v>
      </c>
      <c r="G151" s="1" t="s">
        <v>88</v>
      </c>
      <c r="H151" s="1" t="s">
        <v>61</v>
      </c>
      <c r="I151" s="1" t="s">
        <v>968</v>
      </c>
      <c r="J151" s="1">
        <v>2021</v>
      </c>
      <c r="K151" s="1" t="s">
        <v>969</v>
      </c>
      <c r="L151" s="1" t="s">
        <v>970</v>
      </c>
      <c r="P151" s="1" t="s">
        <v>971</v>
      </c>
      <c r="Q151" s="1" t="s">
        <v>264</v>
      </c>
      <c r="R151" s="1" t="s">
        <v>265</v>
      </c>
      <c r="S151" s="1" t="s">
        <v>784</v>
      </c>
      <c r="T151" s="1" t="s">
        <v>785</v>
      </c>
      <c r="U151" s="1">
        <v>2</v>
      </c>
      <c r="V151" s="1" t="s">
        <v>80</v>
      </c>
      <c r="W151" s="1" t="s">
        <v>970</v>
      </c>
      <c r="X151" s="1" t="s">
        <v>145</v>
      </c>
      <c r="Y151" s="10">
        <v>44557</v>
      </c>
      <c r="Z151" s="1">
        <v>2021</v>
      </c>
      <c r="AA151" s="2">
        <v>127494.62</v>
      </c>
      <c r="AB151" s="2"/>
      <c r="AC151" s="2">
        <v>15000</v>
      </c>
      <c r="AD151" s="1">
        <v>0</v>
      </c>
      <c r="AG151" s="1" t="s">
        <v>56</v>
      </c>
      <c r="AI151" s="2">
        <v>15000</v>
      </c>
    </row>
    <row r="152" spans="1:38" ht="14.45" customHeight="1" x14ac:dyDescent="0.2">
      <c r="A152" s="1" t="s">
        <v>57</v>
      </c>
      <c r="B152" s="9" t="s">
        <v>38</v>
      </c>
      <c r="C152" s="1" t="s">
        <v>58</v>
      </c>
      <c r="D152" s="1" t="s">
        <v>59</v>
      </c>
      <c r="E152" s="1" t="s">
        <v>42</v>
      </c>
      <c r="G152" s="1" t="s">
        <v>88</v>
      </c>
      <c r="H152" s="1" t="s">
        <v>61</v>
      </c>
      <c r="I152" s="1" t="s">
        <v>972</v>
      </c>
      <c r="J152" s="1">
        <v>2021</v>
      </c>
      <c r="K152" s="1" t="s">
        <v>973</v>
      </c>
      <c r="L152" s="1" t="s">
        <v>974</v>
      </c>
      <c r="P152" s="1" t="s">
        <v>975</v>
      </c>
      <c r="Q152" s="1" t="s">
        <v>264</v>
      </c>
      <c r="R152" s="1" t="s">
        <v>265</v>
      </c>
      <c r="S152" s="1" t="s">
        <v>717</v>
      </c>
      <c r="T152" s="1" t="s">
        <v>718</v>
      </c>
      <c r="U152" s="1">
        <v>1</v>
      </c>
      <c r="V152" s="1" t="s">
        <v>535</v>
      </c>
      <c r="W152" s="1" t="s">
        <v>976</v>
      </c>
      <c r="X152" s="1" t="s">
        <v>87</v>
      </c>
      <c r="Y152" s="10">
        <v>44557</v>
      </c>
      <c r="Z152" s="1">
        <v>2021</v>
      </c>
      <c r="AA152" s="2">
        <v>191036</v>
      </c>
      <c r="AB152" s="2"/>
      <c r="AC152" s="2">
        <v>50000</v>
      </c>
      <c r="AD152" s="1">
        <v>1</v>
      </c>
      <c r="AE152" s="1">
        <v>1</v>
      </c>
      <c r="AG152" s="1" t="s">
        <v>56</v>
      </c>
      <c r="AI152" s="2">
        <v>50000</v>
      </c>
    </row>
    <row r="153" spans="1:38" ht="14.45" customHeight="1" x14ac:dyDescent="0.2">
      <c r="A153" s="1" t="s">
        <v>57</v>
      </c>
      <c r="B153" s="9" t="s">
        <v>38</v>
      </c>
      <c r="C153" s="1" t="s">
        <v>58</v>
      </c>
      <c r="D153" s="1" t="s">
        <v>59</v>
      </c>
      <c r="E153" s="1" t="s">
        <v>42</v>
      </c>
      <c r="G153" s="1" t="s">
        <v>88</v>
      </c>
      <c r="H153" s="1" t="s">
        <v>61</v>
      </c>
      <c r="I153" s="1" t="s">
        <v>977</v>
      </c>
      <c r="J153" s="1">
        <v>2021</v>
      </c>
      <c r="K153" s="1" t="s">
        <v>978</v>
      </c>
      <c r="L153" s="1" t="s">
        <v>979</v>
      </c>
      <c r="P153" s="1" t="s">
        <v>980</v>
      </c>
      <c r="Q153" s="1" t="s">
        <v>264</v>
      </c>
      <c r="R153" s="1" t="s">
        <v>265</v>
      </c>
      <c r="S153" s="1" t="s">
        <v>266</v>
      </c>
      <c r="T153" s="1" t="s">
        <v>267</v>
      </c>
      <c r="U153" s="1">
        <v>2</v>
      </c>
      <c r="V153" s="1" t="s">
        <v>268</v>
      </c>
      <c r="W153" s="1" t="s">
        <v>981</v>
      </c>
      <c r="X153" s="1" t="s">
        <v>609</v>
      </c>
      <c r="Y153" s="10">
        <v>44557</v>
      </c>
      <c r="Z153" s="1">
        <v>2021</v>
      </c>
      <c r="AA153" s="2">
        <v>100500</v>
      </c>
      <c r="AB153" s="2"/>
      <c r="AC153" s="2">
        <v>15000</v>
      </c>
      <c r="AD153" s="1">
        <v>0</v>
      </c>
      <c r="AG153" s="1" t="s">
        <v>56</v>
      </c>
      <c r="AI153" s="2">
        <v>15000</v>
      </c>
    </row>
    <row r="154" spans="1:38" ht="14.45" customHeight="1" x14ac:dyDescent="0.25">
      <c r="A154" s="1" t="s">
        <v>57</v>
      </c>
      <c r="B154" s="9" t="s">
        <v>38</v>
      </c>
      <c r="C154" s="1" t="s">
        <v>58</v>
      </c>
      <c r="D154" s="1" t="s">
        <v>59</v>
      </c>
      <c r="E154" s="1" t="s">
        <v>42</v>
      </c>
      <c r="G154" s="1" t="s">
        <v>60</v>
      </c>
      <c r="H154" s="1" t="s">
        <v>61</v>
      </c>
      <c r="I154" s="1" t="s">
        <v>982</v>
      </c>
      <c r="J154" s="1">
        <v>2021</v>
      </c>
      <c r="K154" s="1" t="s">
        <v>983</v>
      </c>
      <c r="L154" s="1" t="s">
        <v>984</v>
      </c>
      <c r="P154" s="1" t="s">
        <v>985</v>
      </c>
      <c r="Q154" s="1" t="s">
        <v>101</v>
      </c>
      <c r="R154" s="1" t="s">
        <v>326</v>
      </c>
      <c r="S154" s="16" t="s">
        <v>361</v>
      </c>
      <c r="T154" s="1" t="s">
        <v>362</v>
      </c>
      <c r="U154" s="1">
        <v>2</v>
      </c>
      <c r="V154" s="1" t="s">
        <v>80</v>
      </c>
      <c r="W154" s="1" t="s">
        <v>984</v>
      </c>
      <c r="X154" s="1" t="s">
        <v>87</v>
      </c>
      <c r="Y154" s="10">
        <v>44557</v>
      </c>
      <c r="Z154" s="1">
        <v>2021</v>
      </c>
      <c r="AA154" s="2">
        <v>1984396.32</v>
      </c>
      <c r="AB154" s="2"/>
      <c r="AC154" s="2">
        <v>90000</v>
      </c>
      <c r="AD154" s="1">
        <v>4</v>
      </c>
      <c r="AE154" s="1">
        <v>3</v>
      </c>
      <c r="AG154" s="1" t="s">
        <v>56</v>
      </c>
      <c r="AI154" s="2">
        <v>90000</v>
      </c>
    </row>
    <row r="155" spans="1:38" ht="14.45" customHeight="1" x14ac:dyDescent="0.25">
      <c r="A155" s="1" t="s">
        <v>57</v>
      </c>
      <c r="B155" s="9" t="s">
        <v>38</v>
      </c>
      <c r="C155" s="1" t="s">
        <v>58</v>
      </c>
      <c r="D155" s="1" t="s">
        <v>59</v>
      </c>
      <c r="E155" s="1" t="s">
        <v>42</v>
      </c>
      <c r="G155" s="1" t="s">
        <v>60</v>
      </c>
      <c r="H155" s="1" t="s">
        <v>61</v>
      </c>
      <c r="I155" s="1" t="s">
        <v>986</v>
      </c>
      <c r="J155" s="1">
        <v>2021</v>
      </c>
      <c r="K155" s="1" t="s">
        <v>987</v>
      </c>
      <c r="L155" s="1" t="s">
        <v>988</v>
      </c>
      <c r="P155" s="1" t="s">
        <v>989</v>
      </c>
      <c r="Q155" s="1" t="s">
        <v>101</v>
      </c>
      <c r="R155" s="1" t="s">
        <v>326</v>
      </c>
      <c r="S155" s="16" t="s">
        <v>361</v>
      </c>
      <c r="T155" s="1" t="s">
        <v>362</v>
      </c>
      <c r="U155" s="1">
        <v>2</v>
      </c>
      <c r="V155" s="1" t="s">
        <v>80</v>
      </c>
      <c r="W155" s="1" t="s">
        <v>988</v>
      </c>
      <c r="X155" s="1" t="s">
        <v>571</v>
      </c>
      <c r="Y155" s="10">
        <v>44557</v>
      </c>
      <c r="Z155" s="1">
        <v>2021</v>
      </c>
      <c r="AA155" s="2">
        <v>6991147.0700000003</v>
      </c>
      <c r="AB155" s="2"/>
      <c r="AC155" s="2">
        <v>225000</v>
      </c>
      <c r="AD155" s="1">
        <v>11</v>
      </c>
      <c r="AE155" s="1">
        <v>1</v>
      </c>
      <c r="AG155" s="1" t="s">
        <v>56</v>
      </c>
      <c r="AI155" s="2">
        <v>87521.22</v>
      </c>
      <c r="AL155" s="18" t="s">
        <v>990</v>
      </c>
    </row>
    <row r="156" spans="1:38" ht="14.45" customHeight="1" x14ac:dyDescent="0.2">
      <c r="A156" s="1" t="s">
        <v>57</v>
      </c>
      <c r="B156" s="9" t="s">
        <v>39</v>
      </c>
      <c r="C156" s="1" t="s">
        <v>58</v>
      </c>
      <c r="D156" s="1" t="s">
        <v>59</v>
      </c>
      <c r="E156" s="1" t="s">
        <v>42</v>
      </c>
      <c r="G156" s="1" t="s">
        <v>60</v>
      </c>
      <c r="H156" s="1" t="s">
        <v>61</v>
      </c>
      <c r="I156" s="1" t="s">
        <v>991</v>
      </c>
      <c r="J156" s="1">
        <v>2021</v>
      </c>
      <c r="K156" s="1" t="s">
        <v>992</v>
      </c>
      <c r="L156" s="1" t="s">
        <v>993</v>
      </c>
      <c r="M156" s="1" t="s">
        <v>994</v>
      </c>
      <c r="N156" s="1" t="s">
        <v>995</v>
      </c>
      <c r="P156" s="1" t="s">
        <v>996</v>
      </c>
      <c r="Q156" s="1" t="s">
        <v>50</v>
      </c>
      <c r="R156" s="1" t="s">
        <v>77</v>
      </c>
      <c r="S156" s="1" t="s">
        <v>198</v>
      </c>
      <c r="T156" s="1" t="s">
        <v>199</v>
      </c>
      <c r="U156" s="1">
        <v>1</v>
      </c>
      <c r="V156" s="1" t="s">
        <v>186</v>
      </c>
      <c r="W156" s="1" t="s">
        <v>997</v>
      </c>
      <c r="X156" s="1" t="s">
        <v>609</v>
      </c>
      <c r="Y156" s="10">
        <v>44557</v>
      </c>
      <c r="Z156" s="1">
        <v>2021</v>
      </c>
      <c r="AA156" s="2">
        <v>27972268.079999998</v>
      </c>
      <c r="AB156" s="2"/>
      <c r="AC156" s="2">
        <v>2400000</v>
      </c>
      <c r="AD156" s="1">
        <v>44</v>
      </c>
      <c r="AE156" s="1">
        <v>7</v>
      </c>
      <c r="AG156" s="1" t="s">
        <v>56</v>
      </c>
      <c r="AI156" s="2">
        <v>2400000</v>
      </c>
    </row>
    <row r="157" spans="1:38" ht="14.45" customHeight="1" x14ac:dyDescent="0.2">
      <c r="A157" s="1" t="s">
        <v>57</v>
      </c>
      <c r="B157" s="9" t="s">
        <v>38</v>
      </c>
      <c r="C157" s="1" t="s">
        <v>58</v>
      </c>
      <c r="D157" s="1" t="s">
        <v>59</v>
      </c>
      <c r="E157" s="1" t="s">
        <v>42</v>
      </c>
      <c r="G157" s="1" t="s">
        <v>88</v>
      </c>
      <c r="H157" s="1" t="s">
        <v>61</v>
      </c>
      <c r="I157" s="1" t="s">
        <v>998</v>
      </c>
      <c r="J157" s="1">
        <v>2021</v>
      </c>
      <c r="K157" s="1" t="s">
        <v>999</v>
      </c>
      <c r="L157" s="1" t="s">
        <v>1000</v>
      </c>
      <c r="P157" s="1" t="s">
        <v>570</v>
      </c>
      <c r="Q157" s="1" t="s">
        <v>101</v>
      </c>
      <c r="R157" s="1" t="s">
        <v>326</v>
      </c>
      <c r="S157" s="1" t="s">
        <v>327</v>
      </c>
      <c r="T157" s="1" t="s">
        <v>328</v>
      </c>
      <c r="U157" s="1">
        <v>2</v>
      </c>
      <c r="V157" s="1" t="s">
        <v>80</v>
      </c>
      <c r="W157" s="1" t="s">
        <v>1000</v>
      </c>
      <c r="X157" s="1" t="s">
        <v>571</v>
      </c>
      <c r="Y157" s="10">
        <v>44557</v>
      </c>
      <c r="Z157" s="1">
        <v>2021</v>
      </c>
      <c r="AA157" s="2">
        <v>499800</v>
      </c>
      <c r="AB157" s="2"/>
      <c r="AC157" s="2">
        <v>49980</v>
      </c>
      <c r="AD157" s="1">
        <v>2</v>
      </c>
      <c r="AE157" s="1">
        <v>2</v>
      </c>
      <c r="AG157" s="1" t="s">
        <v>56</v>
      </c>
      <c r="AI157" s="2">
        <v>49980</v>
      </c>
    </row>
    <row r="158" spans="1:38" ht="14.45" customHeight="1" x14ac:dyDescent="0.2">
      <c r="A158" s="1" t="s">
        <v>57</v>
      </c>
      <c r="B158" s="9" t="s">
        <v>38</v>
      </c>
      <c r="C158" s="1" t="s">
        <v>58</v>
      </c>
      <c r="D158" s="1" t="s">
        <v>59</v>
      </c>
      <c r="E158" s="1" t="s">
        <v>42</v>
      </c>
      <c r="G158" s="1" t="s">
        <v>88</v>
      </c>
      <c r="H158" s="1" t="s">
        <v>61</v>
      </c>
      <c r="I158" s="1" t="s">
        <v>1001</v>
      </c>
      <c r="J158" s="1">
        <v>2021</v>
      </c>
      <c r="K158" s="1" t="s">
        <v>1002</v>
      </c>
      <c r="L158" s="1" t="s">
        <v>1003</v>
      </c>
      <c r="N158" s="1" t="s">
        <v>1004</v>
      </c>
      <c r="P158" s="1" t="s">
        <v>1005</v>
      </c>
      <c r="Q158" s="1" t="s">
        <v>101</v>
      </c>
      <c r="R158" s="1" t="s">
        <v>102</v>
      </c>
      <c r="S158" s="1" t="s">
        <v>562</v>
      </c>
      <c r="T158" s="1" t="s">
        <v>563</v>
      </c>
      <c r="U158" s="1">
        <v>1</v>
      </c>
      <c r="V158" s="1" t="s">
        <v>101</v>
      </c>
      <c r="W158" s="1" t="s">
        <v>1006</v>
      </c>
      <c r="X158" s="1" t="s">
        <v>145</v>
      </c>
      <c r="Y158" s="10">
        <v>44557</v>
      </c>
      <c r="Z158" s="1">
        <v>2021</v>
      </c>
      <c r="AA158" s="2">
        <v>173893.43</v>
      </c>
      <c r="AB158" s="2"/>
      <c r="AC158" s="2">
        <v>40000</v>
      </c>
      <c r="AD158" s="1">
        <v>1</v>
      </c>
      <c r="AG158" s="1" t="s">
        <v>56</v>
      </c>
      <c r="AI158" s="2">
        <v>40000</v>
      </c>
    </row>
    <row r="159" spans="1:38" ht="14.45" customHeight="1" x14ac:dyDescent="0.2">
      <c r="A159" s="1" t="s">
        <v>57</v>
      </c>
      <c r="B159" s="9" t="s">
        <v>38</v>
      </c>
      <c r="C159" s="1" t="s">
        <v>58</v>
      </c>
      <c r="D159" s="1" t="s">
        <v>59</v>
      </c>
      <c r="E159" s="1" t="s">
        <v>42</v>
      </c>
      <c r="G159" s="1" t="s">
        <v>122</v>
      </c>
      <c r="H159" s="1" t="s">
        <v>61</v>
      </c>
      <c r="I159" s="1" t="s">
        <v>1007</v>
      </c>
      <c r="J159" s="1">
        <v>2023</v>
      </c>
      <c r="K159" s="1" t="s">
        <v>1008</v>
      </c>
      <c r="L159" s="1" t="s">
        <v>1009</v>
      </c>
      <c r="P159" s="1" t="s">
        <v>1010</v>
      </c>
      <c r="Q159" s="1" t="s">
        <v>842</v>
      </c>
      <c r="R159" s="1" t="s">
        <v>884</v>
      </c>
      <c r="S159" s="1" t="s">
        <v>1011</v>
      </c>
      <c r="T159" s="1" t="s">
        <v>1012</v>
      </c>
      <c r="V159" s="1" t="s">
        <v>887</v>
      </c>
      <c r="W159" s="1" t="s">
        <v>1008</v>
      </c>
      <c r="Y159" s="10">
        <v>45478</v>
      </c>
      <c r="Z159" s="1">
        <v>2024</v>
      </c>
      <c r="AA159" s="2">
        <v>103899.35</v>
      </c>
      <c r="AB159" s="2"/>
      <c r="AC159" s="2">
        <v>51949.67</v>
      </c>
      <c r="AD159" s="1">
        <v>1</v>
      </c>
      <c r="AG159" s="1" t="s">
        <v>56</v>
      </c>
      <c r="AI159" s="2">
        <v>51949.67</v>
      </c>
    </row>
    <row r="160" spans="1:38" ht="14.45" customHeight="1" x14ac:dyDescent="0.2">
      <c r="A160" s="1" t="s">
        <v>57</v>
      </c>
      <c r="B160" s="9" t="s">
        <v>38</v>
      </c>
      <c r="C160" s="1" t="s">
        <v>58</v>
      </c>
      <c r="D160" s="1" t="s">
        <v>59</v>
      </c>
      <c r="E160" s="1" t="s">
        <v>42</v>
      </c>
      <c r="G160" s="1" t="s">
        <v>122</v>
      </c>
      <c r="H160" s="1" t="s">
        <v>61</v>
      </c>
      <c r="I160" s="1" t="s">
        <v>1013</v>
      </c>
      <c r="J160" s="1">
        <v>2023</v>
      </c>
      <c r="K160" s="1" t="s">
        <v>1014</v>
      </c>
      <c r="L160" s="1" t="s">
        <v>1015</v>
      </c>
      <c r="P160" s="1" t="s">
        <v>1016</v>
      </c>
      <c r="Q160" s="1" t="s">
        <v>842</v>
      </c>
      <c r="R160" s="1" t="s">
        <v>884</v>
      </c>
      <c r="S160" s="1" t="s">
        <v>1017</v>
      </c>
      <c r="T160" s="1" t="s">
        <v>1018</v>
      </c>
      <c r="V160" s="1" t="s">
        <v>887</v>
      </c>
      <c r="W160" s="1" t="s">
        <v>1014</v>
      </c>
      <c r="Y160" s="10">
        <v>45478</v>
      </c>
      <c r="Z160" s="1">
        <v>2024</v>
      </c>
      <c r="AA160" s="2">
        <v>113241.28</v>
      </c>
      <c r="AB160" s="2"/>
      <c r="AC160" s="2">
        <v>19447.27</v>
      </c>
      <c r="AD160" s="1">
        <v>0</v>
      </c>
      <c r="AG160" s="1" t="s">
        <v>56</v>
      </c>
      <c r="AI160" s="2">
        <v>19447.27</v>
      </c>
    </row>
    <row r="161" spans="1:35" ht="14.45" customHeight="1" x14ac:dyDescent="0.2">
      <c r="A161" s="1" t="s">
        <v>57</v>
      </c>
      <c r="B161" s="9" t="s">
        <v>38</v>
      </c>
      <c r="C161" s="1" t="s">
        <v>58</v>
      </c>
      <c r="D161" s="1" t="s">
        <v>59</v>
      </c>
      <c r="E161" s="1" t="s">
        <v>42</v>
      </c>
      <c r="G161" s="1" t="s">
        <v>122</v>
      </c>
      <c r="H161" s="1" t="s">
        <v>61</v>
      </c>
      <c r="I161" s="1" t="s">
        <v>1019</v>
      </c>
      <c r="J161" s="1">
        <v>2023</v>
      </c>
      <c r="K161" s="1" t="s">
        <v>1020</v>
      </c>
      <c r="L161" s="1" t="s">
        <v>1021</v>
      </c>
      <c r="P161" s="1" t="s">
        <v>1022</v>
      </c>
      <c r="Q161" s="1" t="s">
        <v>842</v>
      </c>
      <c r="R161" s="1" t="s">
        <v>884</v>
      </c>
      <c r="S161" s="1" t="s">
        <v>885</v>
      </c>
      <c r="T161" s="1" t="s">
        <v>886</v>
      </c>
      <c r="V161" s="1" t="s">
        <v>887</v>
      </c>
      <c r="W161" s="1" t="s">
        <v>1020</v>
      </c>
      <c r="Y161" s="10">
        <v>45478</v>
      </c>
      <c r="Z161" s="1">
        <v>2024</v>
      </c>
      <c r="AA161" s="2">
        <v>40800</v>
      </c>
      <c r="AB161" s="2"/>
      <c r="AC161" s="2">
        <v>20400</v>
      </c>
      <c r="AD161" s="1">
        <v>2</v>
      </c>
      <c r="AE161" s="1">
        <v>1</v>
      </c>
      <c r="AG161" s="1" t="s">
        <v>56</v>
      </c>
      <c r="AI161" s="2">
        <v>20400</v>
      </c>
    </row>
    <row r="162" spans="1:35" ht="14.45" customHeight="1" x14ac:dyDescent="0.2">
      <c r="A162" s="1" t="s">
        <v>57</v>
      </c>
      <c r="B162" s="9" t="s">
        <v>38</v>
      </c>
      <c r="C162" s="1" t="s">
        <v>58</v>
      </c>
      <c r="D162" s="1" t="s">
        <v>59</v>
      </c>
      <c r="E162" s="1" t="s">
        <v>42</v>
      </c>
      <c r="G162" s="1" t="s">
        <v>88</v>
      </c>
      <c r="H162" s="1" t="s">
        <v>61</v>
      </c>
      <c r="I162" s="1" t="s">
        <v>1023</v>
      </c>
      <c r="J162" s="1">
        <v>2021</v>
      </c>
      <c r="K162" s="1" t="s">
        <v>1024</v>
      </c>
      <c r="L162" s="1" t="s">
        <v>1025</v>
      </c>
      <c r="P162" s="1" t="s">
        <v>338</v>
      </c>
      <c r="Q162" s="1" t="s">
        <v>101</v>
      </c>
      <c r="R162" s="1" t="s">
        <v>339</v>
      </c>
      <c r="S162" s="1" t="s">
        <v>340</v>
      </c>
      <c r="T162" s="1" t="s">
        <v>341</v>
      </c>
      <c r="U162" s="1">
        <v>1</v>
      </c>
      <c r="V162" s="1" t="s">
        <v>80</v>
      </c>
      <c r="W162" s="1" t="s">
        <v>1025</v>
      </c>
      <c r="X162" s="1" t="s">
        <v>571</v>
      </c>
      <c r="Y162" s="10">
        <v>44557</v>
      </c>
      <c r="Z162" s="1">
        <v>2021</v>
      </c>
      <c r="AA162" s="2">
        <v>499647.61</v>
      </c>
      <c r="AB162" s="2"/>
      <c r="AC162" s="2">
        <v>50000</v>
      </c>
      <c r="AD162" s="1">
        <v>1</v>
      </c>
      <c r="AE162" s="1">
        <v>1</v>
      </c>
      <c r="AG162" s="1" t="s">
        <v>56</v>
      </c>
      <c r="AI162" s="2">
        <v>50000</v>
      </c>
    </row>
    <row r="163" spans="1:35" ht="14.45" customHeight="1" x14ac:dyDescent="0.2">
      <c r="A163" s="1" t="s">
        <v>57</v>
      </c>
      <c r="B163" s="9" t="s">
        <v>38</v>
      </c>
      <c r="C163" s="1" t="s">
        <v>58</v>
      </c>
      <c r="D163" s="1" t="s">
        <v>59</v>
      </c>
      <c r="E163" s="1" t="s">
        <v>42</v>
      </c>
      <c r="G163" s="1" t="s">
        <v>105</v>
      </c>
      <c r="H163" s="1" t="s">
        <v>61</v>
      </c>
      <c r="I163" s="1" t="s">
        <v>1026</v>
      </c>
      <c r="J163" s="1">
        <v>2023</v>
      </c>
      <c r="K163" s="1" t="s">
        <v>1027</v>
      </c>
      <c r="L163" s="1" t="s">
        <v>1028</v>
      </c>
      <c r="M163" s="1" t="s">
        <v>1029</v>
      </c>
      <c r="P163" s="1" t="s">
        <v>1030</v>
      </c>
      <c r="Q163" s="1" t="s">
        <v>264</v>
      </c>
      <c r="R163" s="1" t="s">
        <v>265</v>
      </c>
      <c r="S163" s="1" t="s">
        <v>533</v>
      </c>
      <c r="T163" s="1" t="s">
        <v>534</v>
      </c>
      <c r="U163" s="1">
        <v>1</v>
      </c>
      <c r="V163" s="1" t="s">
        <v>535</v>
      </c>
      <c r="W163" s="1" t="s">
        <v>1031</v>
      </c>
      <c r="Y163" s="10">
        <v>45462</v>
      </c>
      <c r="Z163" s="1">
        <v>2024</v>
      </c>
      <c r="AA163" s="2">
        <v>8229409.9900000002</v>
      </c>
      <c r="AB163" s="2"/>
      <c r="AC163" s="2">
        <v>1234411.5</v>
      </c>
      <c r="AD163" s="1">
        <v>60</v>
      </c>
      <c r="AE163" s="1">
        <v>35</v>
      </c>
      <c r="AG163" s="1" t="s">
        <v>56</v>
      </c>
      <c r="AI163" s="2">
        <v>1234411.5</v>
      </c>
    </row>
    <row r="164" spans="1:35" ht="14.45" customHeight="1" x14ac:dyDescent="0.2">
      <c r="A164" s="1" t="s">
        <v>57</v>
      </c>
      <c r="B164" s="9" t="s">
        <v>38</v>
      </c>
      <c r="C164" s="1" t="s">
        <v>58</v>
      </c>
      <c r="D164" s="1" t="s">
        <v>59</v>
      </c>
      <c r="E164" s="1" t="s">
        <v>42</v>
      </c>
      <c r="G164" s="1" t="s">
        <v>88</v>
      </c>
      <c r="H164" s="1" t="s">
        <v>61</v>
      </c>
      <c r="I164" s="1" t="s">
        <v>1032</v>
      </c>
      <c r="J164" s="1">
        <v>2021</v>
      </c>
      <c r="K164" s="1" t="s">
        <v>1033</v>
      </c>
      <c r="L164" s="1" t="s">
        <v>1034</v>
      </c>
      <c r="P164" s="1" t="s">
        <v>1035</v>
      </c>
      <c r="Q164" s="1" t="s">
        <v>101</v>
      </c>
      <c r="R164" s="1" t="s">
        <v>326</v>
      </c>
      <c r="S164" s="1" t="s">
        <v>327</v>
      </c>
      <c r="T164" s="1" t="s">
        <v>328</v>
      </c>
      <c r="U164" s="1">
        <v>2</v>
      </c>
      <c r="V164" s="1" t="s">
        <v>80</v>
      </c>
      <c r="W164" s="1" t="s">
        <v>1034</v>
      </c>
      <c r="X164" s="1" t="s">
        <v>609</v>
      </c>
      <c r="Y164" s="10">
        <v>44557</v>
      </c>
      <c r="Z164" s="1">
        <v>2021</v>
      </c>
      <c r="AA164" s="2">
        <v>366500</v>
      </c>
      <c r="AB164" s="2"/>
      <c r="AC164" s="2">
        <v>30000</v>
      </c>
      <c r="AD164" s="1">
        <v>2</v>
      </c>
      <c r="AG164" s="1" t="s">
        <v>56</v>
      </c>
      <c r="AI164" s="2">
        <v>30000</v>
      </c>
    </row>
    <row r="165" spans="1:35" ht="14.45" customHeight="1" x14ac:dyDescent="0.2">
      <c r="A165" s="1" t="s">
        <v>57</v>
      </c>
      <c r="B165" s="9" t="s">
        <v>38</v>
      </c>
      <c r="C165" s="1" t="s">
        <v>58</v>
      </c>
      <c r="D165" s="1" t="s">
        <v>59</v>
      </c>
      <c r="E165" s="1" t="s">
        <v>42</v>
      </c>
      <c r="G165" s="1" t="s">
        <v>105</v>
      </c>
      <c r="H165" s="1" t="s">
        <v>61</v>
      </c>
      <c r="I165" s="1" t="s">
        <v>1036</v>
      </c>
      <c r="J165" s="1">
        <v>2023</v>
      </c>
      <c r="K165" s="1" t="s">
        <v>1037</v>
      </c>
      <c r="L165" s="1" t="s">
        <v>1038</v>
      </c>
      <c r="M165" s="1" t="s">
        <v>1039</v>
      </c>
      <c r="P165" s="1" t="s">
        <v>1040</v>
      </c>
      <c r="Q165" s="1" t="s">
        <v>264</v>
      </c>
      <c r="R165" s="1" t="s">
        <v>265</v>
      </c>
      <c r="S165" s="1" t="s">
        <v>533</v>
      </c>
      <c r="T165" s="1" t="s">
        <v>534</v>
      </c>
      <c r="U165" s="1">
        <v>1</v>
      </c>
      <c r="V165" s="1" t="s">
        <v>535</v>
      </c>
      <c r="W165" s="1" t="s">
        <v>1041</v>
      </c>
      <c r="Y165" s="10">
        <v>45462</v>
      </c>
      <c r="Z165" s="1">
        <v>2024</v>
      </c>
      <c r="AA165" s="2">
        <v>2257531.29</v>
      </c>
      <c r="AB165" s="2"/>
      <c r="AC165" s="2">
        <v>455067.98</v>
      </c>
      <c r="AD165" s="1">
        <v>5</v>
      </c>
      <c r="AG165" s="1" t="s">
        <v>56</v>
      </c>
      <c r="AI165" s="2">
        <v>455067.98</v>
      </c>
    </row>
    <row r="166" spans="1:35" ht="14.45" customHeight="1" x14ac:dyDescent="0.2">
      <c r="A166" s="1" t="s">
        <v>57</v>
      </c>
      <c r="B166" s="9" t="s">
        <v>38</v>
      </c>
      <c r="C166" s="1" t="s">
        <v>58</v>
      </c>
      <c r="D166" s="1" t="s">
        <v>59</v>
      </c>
      <c r="E166" s="1" t="s">
        <v>42</v>
      </c>
      <c r="G166" s="1" t="s">
        <v>105</v>
      </c>
      <c r="H166" s="1" t="s">
        <v>61</v>
      </c>
      <c r="I166" s="1" t="s">
        <v>1042</v>
      </c>
      <c r="J166" s="1">
        <v>2023</v>
      </c>
      <c r="K166" s="1" t="s">
        <v>1043</v>
      </c>
      <c r="L166" s="1" t="s">
        <v>1044</v>
      </c>
      <c r="P166" s="1" t="s">
        <v>1045</v>
      </c>
      <c r="Q166" s="1" t="s">
        <v>264</v>
      </c>
      <c r="R166" s="1" t="s">
        <v>265</v>
      </c>
      <c r="S166" s="1" t="s">
        <v>1046</v>
      </c>
      <c r="T166" s="1" t="s">
        <v>1047</v>
      </c>
      <c r="U166" s="1">
        <v>1</v>
      </c>
      <c r="V166" s="1" t="s">
        <v>535</v>
      </c>
      <c r="W166" s="1" t="s">
        <v>1048</v>
      </c>
      <c r="Y166" s="10">
        <v>45462</v>
      </c>
      <c r="Z166" s="1">
        <v>2024</v>
      </c>
      <c r="AA166" s="2">
        <v>3540682.35</v>
      </c>
      <c r="AB166" s="2"/>
      <c r="AC166" s="2">
        <v>739619.41</v>
      </c>
      <c r="AD166" s="1">
        <v>8</v>
      </c>
      <c r="AG166" s="1" t="s">
        <v>56</v>
      </c>
      <c r="AI166" s="2">
        <v>739619.41</v>
      </c>
    </row>
    <row r="167" spans="1:35" ht="14.45" customHeight="1" x14ac:dyDescent="0.2">
      <c r="A167" s="1" t="s">
        <v>57</v>
      </c>
      <c r="B167" s="9" t="s">
        <v>38</v>
      </c>
      <c r="C167" s="1" t="s">
        <v>58</v>
      </c>
      <c r="D167" s="1" t="s">
        <v>59</v>
      </c>
      <c r="E167" s="1" t="s">
        <v>42</v>
      </c>
      <c r="G167" s="1" t="s">
        <v>88</v>
      </c>
      <c r="H167" s="1" t="s">
        <v>61</v>
      </c>
      <c r="I167" s="1" t="s">
        <v>1049</v>
      </c>
      <c r="J167" s="1">
        <v>2021</v>
      </c>
      <c r="K167" s="1" t="s">
        <v>1050</v>
      </c>
      <c r="L167" s="1" t="s">
        <v>1051</v>
      </c>
      <c r="M167" s="1" t="s">
        <v>689</v>
      </c>
      <c r="N167" s="1" t="s">
        <v>1052</v>
      </c>
      <c r="P167" s="1" t="s">
        <v>1053</v>
      </c>
      <c r="Q167" s="1" t="s">
        <v>50</v>
      </c>
      <c r="R167" s="1" t="s">
        <v>68</v>
      </c>
      <c r="S167" s="1" t="s">
        <v>692</v>
      </c>
      <c r="T167" s="1" t="s">
        <v>693</v>
      </c>
      <c r="U167" s="1">
        <v>2</v>
      </c>
      <c r="V167" s="1" t="s">
        <v>71</v>
      </c>
      <c r="W167" s="1" t="s">
        <v>1050</v>
      </c>
      <c r="X167" s="1" t="s">
        <v>321</v>
      </c>
      <c r="Y167" s="10">
        <v>44557</v>
      </c>
      <c r="Z167" s="1">
        <v>2021</v>
      </c>
      <c r="AA167" s="2">
        <v>76372.070000000007</v>
      </c>
      <c r="AB167" s="2"/>
      <c r="AC167" s="2">
        <v>11455.81</v>
      </c>
      <c r="AD167" s="1">
        <v>3</v>
      </c>
      <c r="AG167" s="1" t="s">
        <v>56</v>
      </c>
      <c r="AI167" s="2">
        <v>11455.81</v>
      </c>
    </row>
    <row r="168" spans="1:35" ht="14.45" customHeight="1" x14ac:dyDescent="0.2">
      <c r="A168" s="1" t="s">
        <v>57</v>
      </c>
      <c r="B168" s="9" t="s">
        <v>38</v>
      </c>
      <c r="C168" s="1" t="s">
        <v>58</v>
      </c>
      <c r="D168" s="1" t="s">
        <v>59</v>
      </c>
      <c r="E168" s="1" t="s">
        <v>42</v>
      </c>
      <c r="G168" s="1" t="s">
        <v>105</v>
      </c>
      <c r="H168" s="1" t="s">
        <v>61</v>
      </c>
      <c r="I168" s="1" t="s">
        <v>1054</v>
      </c>
      <c r="J168" s="1">
        <v>2023</v>
      </c>
      <c r="K168" s="1" t="s">
        <v>1055</v>
      </c>
      <c r="L168" s="1" t="s">
        <v>1056</v>
      </c>
      <c r="P168" s="1" t="s">
        <v>1057</v>
      </c>
      <c r="Q168" s="1" t="s">
        <v>264</v>
      </c>
      <c r="R168" s="1" t="s">
        <v>265</v>
      </c>
      <c r="S168" s="1" t="s">
        <v>533</v>
      </c>
      <c r="T168" s="1" t="s">
        <v>534</v>
      </c>
      <c r="U168" s="1">
        <v>1</v>
      </c>
      <c r="V168" s="1" t="s">
        <v>535</v>
      </c>
      <c r="W168" s="1" t="s">
        <v>1058</v>
      </c>
      <c r="Y168" s="10">
        <v>45462</v>
      </c>
      <c r="Z168" s="1">
        <v>2024</v>
      </c>
      <c r="AA168" s="2">
        <v>1439478.46</v>
      </c>
      <c r="AB168" s="2"/>
      <c r="AC168" s="2">
        <v>503817.46</v>
      </c>
      <c r="AD168" s="1">
        <v>19</v>
      </c>
      <c r="AE168" s="1">
        <v>17</v>
      </c>
      <c r="AG168" s="1" t="s">
        <v>56</v>
      </c>
      <c r="AI168" s="2">
        <v>503817.46</v>
      </c>
    </row>
    <row r="169" spans="1:35" ht="14.45" customHeight="1" x14ac:dyDescent="0.2">
      <c r="A169" s="1" t="s">
        <v>57</v>
      </c>
      <c r="B169" s="9" t="s">
        <v>38</v>
      </c>
      <c r="C169" s="1" t="s">
        <v>58</v>
      </c>
      <c r="D169" s="1" t="s">
        <v>59</v>
      </c>
      <c r="E169" s="1" t="s">
        <v>42</v>
      </c>
      <c r="G169" s="1" t="s">
        <v>105</v>
      </c>
      <c r="H169" s="1" t="s">
        <v>61</v>
      </c>
      <c r="I169" s="1" t="s">
        <v>1059</v>
      </c>
      <c r="J169" s="1">
        <v>2023</v>
      </c>
      <c r="K169" s="1" t="s">
        <v>1060</v>
      </c>
      <c r="L169" s="1" t="s">
        <v>1061</v>
      </c>
      <c r="P169" s="1" t="s">
        <v>1062</v>
      </c>
      <c r="Q169" s="1" t="s">
        <v>264</v>
      </c>
      <c r="R169" s="1" t="s">
        <v>265</v>
      </c>
      <c r="S169" s="1" t="s">
        <v>542</v>
      </c>
      <c r="T169" s="1" t="s">
        <v>543</v>
      </c>
      <c r="U169" s="1">
        <v>1</v>
      </c>
      <c r="V169" s="1" t="s">
        <v>268</v>
      </c>
      <c r="W169" s="1" t="s">
        <v>1063</v>
      </c>
      <c r="Y169" s="10">
        <v>45462</v>
      </c>
      <c r="Z169" s="1">
        <v>2024</v>
      </c>
      <c r="AA169" s="2">
        <v>1368297.47</v>
      </c>
      <c r="AB169" s="2"/>
      <c r="AC169" s="2">
        <v>389452.06</v>
      </c>
      <c r="AD169" s="1">
        <v>10</v>
      </c>
      <c r="AE169" s="1">
        <v>5</v>
      </c>
      <c r="AG169" s="1" t="s">
        <v>56</v>
      </c>
      <c r="AI169" s="2">
        <v>389452.06</v>
      </c>
    </row>
    <row r="170" spans="1:35" ht="14.45" customHeight="1" x14ac:dyDescent="0.2">
      <c r="A170" s="1" t="s">
        <v>57</v>
      </c>
      <c r="B170" s="9" t="s">
        <v>38</v>
      </c>
      <c r="C170" s="1" t="s">
        <v>58</v>
      </c>
      <c r="D170" s="1" t="s">
        <v>59</v>
      </c>
      <c r="E170" s="1" t="s">
        <v>42</v>
      </c>
      <c r="G170" s="1" t="s">
        <v>105</v>
      </c>
      <c r="H170" s="1" t="s">
        <v>61</v>
      </c>
      <c r="I170" s="1" t="s">
        <v>1064</v>
      </c>
      <c r="J170" s="1">
        <v>2023</v>
      </c>
      <c r="K170" s="1" t="s">
        <v>1065</v>
      </c>
      <c r="L170" s="1" t="s">
        <v>1066</v>
      </c>
      <c r="M170" s="1" t="s">
        <v>1067</v>
      </c>
      <c r="P170" s="1" t="s">
        <v>1068</v>
      </c>
      <c r="Q170" s="1" t="s">
        <v>264</v>
      </c>
      <c r="R170" s="1" t="s">
        <v>265</v>
      </c>
      <c r="S170" s="1" t="s">
        <v>855</v>
      </c>
      <c r="T170" s="1" t="s">
        <v>856</v>
      </c>
      <c r="U170" s="1">
        <v>2</v>
      </c>
      <c r="V170" s="1" t="s">
        <v>308</v>
      </c>
      <c r="W170" s="1" t="s">
        <v>1069</v>
      </c>
      <c r="Y170" s="10">
        <v>45462</v>
      </c>
      <c r="Z170" s="1">
        <v>2024</v>
      </c>
      <c r="AA170" s="2">
        <v>26809390</v>
      </c>
      <c r="AB170" s="2"/>
      <c r="AC170" s="2">
        <v>2993204.25</v>
      </c>
      <c r="AD170" s="1">
        <v>82</v>
      </c>
      <c r="AE170" s="1">
        <v>33</v>
      </c>
      <c r="AG170" s="1" t="s">
        <v>56</v>
      </c>
      <c r="AI170" s="2">
        <v>2993204.25</v>
      </c>
    </row>
    <row r="171" spans="1:35" ht="14.45" customHeight="1" x14ac:dyDescent="0.2">
      <c r="A171" s="1" t="s">
        <v>57</v>
      </c>
      <c r="B171" s="9" t="s">
        <v>38</v>
      </c>
      <c r="C171" s="1" t="s">
        <v>58</v>
      </c>
      <c r="D171" s="1" t="s">
        <v>59</v>
      </c>
      <c r="E171" s="1" t="s">
        <v>42</v>
      </c>
      <c r="G171" s="1" t="s">
        <v>122</v>
      </c>
      <c r="H171" s="1" t="s">
        <v>61</v>
      </c>
      <c r="I171" s="1" t="s">
        <v>1070</v>
      </c>
      <c r="J171" s="1">
        <v>2023</v>
      </c>
      <c r="K171" s="1" t="s">
        <v>1071</v>
      </c>
      <c r="L171" s="1" t="s">
        <v>1072</v>
      </c>
      <c r="P171" s="1" t="s">
        <v>1073</v>
      </c>
      <c r="Q171" s="1" t="s">
        <v>50</v>
      </c>
      <c r="R171" s="1" t="s">
        <v>51</v>
      </c>
      <c r="S171" s="1" t="s">
        <v>52</v>
      </c>
      <c r="T171" s="1" t="s">
        <v>53</v>
      </c>
      <c r="V171" s="1" t="s">
        <v>54</v>
      </c>
      <c r="W171" s="1" t="s">
        <v>1072</v>
      </c>
      <c r="Y171" s="10">
        <v>45478</v>
      </c>
      <c r="Z171" s="1">
        <v>2024</v>
      </c>
      <c r="AA171" s="2">
        <v>124377.84000000001</v>
      </c>
      <c r="AB171" s="2"/>
      <c r="AC171" s="2">
        <v>61094.46</v>
      </c>
      <c r="AD171" s="1">
        <v>1</v>
      </c>
      <c r="AE171" s="1">
        <v>1</v>
      </c>
      <c r="AG171" s="1" t="s">
        <v>56</v>
      </c>
      <c r="AI171" s="2">
        <v>61094.46</v>
      </c>
    </row>
    <row r="172" spans="1:35" ht="14.45" customHeight="1" x14ac:dyDescent="0.2">
      <c r="A172" s="1" t="s">
        <v>57</v>
      </c>
      <c r="B172" s="9" t="s">
        <v>38</v>
      </c>
      <c r="C172" s="1" t="s">
        <v>58</v>
      </c>
      <c r="D172" s="1" t="s">
        <v>59</v>
      </c>
      <c r="E172" s="1" t="s">
        <v>42</v>
      </c>
      <c r="G172" s="1" t="s">
        <v>122</v>
      </c>
      <c r="H172" s="1" t="s">
        <v>61</v>
      </c>
      <c r="I172" s="1" t="s">
        <v>1074</v>
      </c>
      <c r="J172" s="1">
        <v>2023</v>
      </c>
      <c r="K172" s="1" t="s">
        <v>1075</v>
      </c>
      <c r="L172" s="1" t="s">
        <v>1075</v>
      </c>
      <c r="P172" s="1" t="s">
        <v>1076</v>
      </c>
      <c r="Q172" s="1" t="s">
        <v>50</v>
      </c>
      <c r="R172" s="1" t="s">
        <v>51</v>
      </c>
      <c r="S172" s="1" t="s">
        <v>1077</v>
      </c>
      <c r="T172" s="1" t="s">
        <v>1078</v>
      </c>
      <c r="V172" s="1" t="s">
        <v>54</v>
      </c>
      <c r="W172" s="1" t="s">
        <v>1075</v>
      </c>
      <c r="Y172" s="10">
        <v>45478</v>
      </c>
      <c r="Z172" s="1">
        <v>2024</v>
      </c>
      <c r="AA172" s="2">
        <v>32348.31</v>
      </c>
      <c r="AB172" s="2"/>
      <c r="AC172" s="2">
        <v>8087.08</v>
      </c>
      <c r="AD172" s="1">
        <v>0</v>
      </c>
      <c r="AG172" s="1" t="s">
        <v>56</v>
      </c>
      <c r="AI172" s="2">
        <v>8087.08</v>
      </c>
    </row>
    <row r="173" spans="1:35" ht="14.45" customHeight="1" x14ac:dyDescent="0.2">
      <c r="A173" s="1" t="s">
        <v>57</v>
      </c>
      <c r="B173" s="9" t="s">
        <v>38</v>
      </c>
      <c r="C173" s="1" t="s">
        <v>58</v>
      </c>
      <c r="D173" s="1" t="s">
        <v>59</v>
      </c>
      <c r="E173" s="1" t="s">
        <v>42</v>
      </c>
      <c r="G173" s="1" t="s">
        <v>88</v>
      </c>
      <c r="H173" s="1" t="s">
        <v>61</v>
      </c>
      <c r="I173" s="1" t="s">
        <v>1079</v>
      </c>
      <c r="J173" s="1">
        <v>2021</v>
      </c>
      <c r="K173" s="1" t="s">
        <v>999</v>
      </c>
      <c r="L173" s="1" t="s">
        <v>1080</v>
      </c>
      <c r="P173" s="1" t="s">
        <v>1081</v>
      </c>
      <c r="Q173" s="1" t="s">
        <v>101</v>
      </c>
      <c r="R173" s="1" t="s">
        <v>326</v>
      </c>
      <c r="S173" s="1" t="s">
        <v>327</v>
      </c>
      <c r="T173" s="1" t="s">
        <v>328</v>
      </c>
      <c r="U173" s="1">
        <v>2</v>
      </c>
      <c r="V173" s="1" t="s">
        <v>80</v>
      </c>
      <c r="W173" s="1" t="s">
        <v>1080</v>
      </c>
      <c r="X173" s="1" t="s">
        <v>571</v>
      </c>
      <c r="Y173" s="10">
        <v>44557</v>
      </c>
      <c r="Z173" s="1">
        <v>2021</v>
      </c>
      <c r="AA173" s="2">
        <v>191462</v>
      </c>
      <c r="AB173" s="2"/>
      <c r="AC173" s="2">
        <v>25000</v>
      </c>
      <c r="AD173" s="1">
        <v>1</v>
      </c>
      <c r="AE173" s="1">
        <v>1</v>
      </c>
      <c r="AG173" s="1" t="s">
        <v>56</v>
      </c>
      <c r="AI173" s="2">
        <v>25000</v>
      </c>
    </row>
    <row r="174" spans="1:35" ht="12.6" customHeight="1" x14ac:dyDescent="0.2">
      <c r="A174" s="1" t="s">
        <v>57</v>
      </c>
      <c r="B174" s="9" t="s">
        <v>38</v>
      </c>
      <c r="C174" s="1" t="s">
        <v>58</v>
      </c>
      <c r="D174" s="1" t="s">
        <v>59</v>
      </c>
      <c r="E174" s="1" t="s">
        <v>42</v>
      </c>
      <c r="G174" s="1" t="s">
        <v>88</v>
      </c>
      <c r="H174" s="1" t="s">
        <v>61</v>
      </c>
      <c r="I174" s="1" t="s">
        <v>1082</v>
      </c>
      <c r="J174" s="1">
        <v>2021</v>
      </c>
      <c r="K174" s="1" t="s">
        <v>1083</v>
      </c>
      <c r="L174" s="1" t="s">
        <v>1084</v>
      </c>
      <c r="P174" s="1" t="s">
        <v>1085</v>
      </c>
      <c r="Q174" s="1" t="s">
        <v>101</v>
      </c>
      <c r="R174" s="1" t="s">
        <v>102</v>
      </c>
      <c r="S174" s="1" t="s">
        <v>562</v>
      </c>
      <c r="T174" s="1" t="s">
        <v>563</v>
      </c>
      <c r="U174" s="1">
        <v>1</v>
      </c>
      <c r="V174" s="1" t="s">
        <v>101</v>
      </c>
      <c r="W174" s="1" t="s">
        <v>1086</v>
      </c>
      <c r="X174" s="1" t="s">
        <v>609</v>
      </c>
      <c r="Y174" s="10">
        <v>44557</v>
      </c>
      <c r="Z174" s="1">
        <v>2021</v>
      </c>
      <c r="AA174" s="2">
        <v>46169.81</v>
      </c>
      <c r="AB174" s="2"/>
      <c r="AC174" s="2">
        <v>16159.43</v>
      </c>
      <c r="AD174" s="1">
        <v>0</v>
      </c>
      <c r="AG174" s="1" t="s">
        <v>56</v>
      </c>
      <c r="AI174" s="2">
        <v>16159.43</v>
      </c>
    </row>
    <row r="175" spans="1:35" ht="14.45" customHeight="1" x14ac:dyDescent="0.2">
      <c r="A175" s="1" t="s">
        <v>57</v>
      </c>
      <c r="B175" s="9" t="s">
        <v>38</v>
      </c>
      <c r="C175" s="1" t="s">
        <v>58</v>
      </c>
      <c r="D175" s="1" t="s">
        <v>59</v>
      </c>
      <c r="E175" s="1" t="s">
        <v>42</v>
      </c>
      <c r="G175" s="1" t="s">
        <v>88</v>
      </c>
      <c r="H175" s="1" t="s">
        <v>61</v>
      </c>
      <c r="I175" s="1" t="s">
        <v>1087</v>
      </c>
      <c r="J175" s="1">
        <v>2021</v>
      </c>
      <c r="K175" s="1" t="s">
        <v>1088</v>
      </c>
      <c r="L175" s="1" t="s">
        <v>1089</v>
      </c>
      <c r="P175" s="1" t="s">
        <v>1090</v>
      </c>
      <c r="Q175" s="1" t="s">
        <v>101</v>
      </c>
      <c r="R175" s="1" t="s">
        <v>339</v>
      </c>
      <c r="S175" s="1" t="s">
        <v>340</v>
      </c>
      <c r="T175" s="1" t="s">
        <v>341</v>
      </c>
      <c r="U175" s="1">
        <v>1</v>
      </c>
      <c r="V175" s="1" t="s">
        <v>80</v>
      </c>
      <c r="W175" s="1" t="s">
        <v>1089</v>
      </c>
      <c r="X175" s="1" t="s">
        <v>138</v>
      </c>
      <c r="Y175" s="10">
        <v>44557</v>
      </c>
      <c r="Z175" s="1">
        <v>2021</v>
      </c>
      <c r="AA175" s="2">
        <v>105443.89</v>
      </c>
      <c r="AB175" s="2"/>
      <c r="AC175" s="2">
        <v>31633.17</v>
      </c>
      <c r="AD175" s="1">
        <v>1</v>
      </c>
      <c r="AE175" s="1">
        <v>1</v>
      </c>
      <c r="AG175" s="1" t="s">
        <v>56</v>
      </c>
      <c r="AI175" s="2">
        <v>31633.17</v>
      </c>
    </row>
    <row r="176" spans="1:35" ht="14.45" customHeight="1" x14ac:dyDescent="0.2">
      <c r="A176" s="1" t="s">
        <v>57</v>
      </c>
      <c r="B176" s="9" t="s">
        <v>38</v>
      </c>
      <c r="C176" s="1" t="s">
        <v>58</v>
      </c>
      <c r="D176" s="1" t="s">
        <v>59</v>
      </c>
      <c r="E176" s="1" t="s">
        <v>42</v>
      </c>
      <c r="G176" s="1" t="s">
        <v>88</v>
      </c>
      <c r="H176" s="1" t="s">
        <v>61</v>
      </c>
      <c r="I176" s="1" t="s">
        <v>1091</v>
      </c>
      <c r="J176" s="1">
        <v>2021</v>
      </c>
      <c r="K176" s="1" t="s">
        <v>1092</v>
      </c>
      <c r="L176" s="1" t="s">
        <v>1093</v>
      </c>
      <c r="N176" s="1" t="s">
        <v>1094</v>
      </c>
      <c r="P176" s="1" t="s">
        <v>1095</v>
      </c>
      <c r="Q176" s="1" t="s">
        <v>50</v>
      </c>
      <c r="R176" s="1" t="s">
        <v>77</v>
      </c>
      <c r="S176" s="1" t="s">
        <v>1096</v>
      </c>
      <c r="T176" s="1" t="s">
        <v>1097</v>
      </c>
      <c r="U176" s="1">
        <v>1</v>
      </c>
      <c r="V176" s="1" t="s">
        <v>186</v>
      </c>
      <c r="W176" s="1" t="s">
        <v>1092</v>
      </c>
      <c r="X176" s="1" t="s">
        <v>571</v>
      </c>
      <c r="Y176" s="10">
        <v>44557</v>
      </c>
      <c r="Z176" s="1">
        <v>2021</v>
      </c>
      <c r="AA176" s="2">
        <v>32200</v>
      </c>
      <c r="AB176" s="2"/>
      <c r="AC176" s="2">
        <v>9660</v>
      </c>
      <c r="AD176" s="1">
        <v>0</v>
      </c>
      <c r="AG176" s="1" t="s">
        <v>56</v>
      </c>
      <c r="AI176" s="2">
        <v>9660</v>
      </c>
    </row>
    <row r="177" spans="1:38" ht="14.45" customHeight="1" x14ac:dyDescent="0.2">
      <c r="A177" s="1" t="s">
        <v>57</v>
      </c>
      <c r="B177" s="9" t="s">
        <v>38</v>
      </c>
      <c r="C177" s="1" t="s">
        <v>58</v>
      </c>
      <c r="D177" s="1" t="s">
        <v>59</v>
      </c>
      <c r="E177" s="1" t="s">
        <v>42</v>
      </c>
      <c r="G177" s="1" t="s">
        <v>122</v>
      </c>
      <c r="H177" s="1" t="s">
        <v>61</v>
      </c>
      <c r="I177" s="1" t="s">
        <v>1098</v>
      </c>
      <c r="J177" s="1">
        <v>2023</v>
      </c>
      <c r="K177" s="1" t="s">
        <v>1099</v>
      </c>
      <c r="L177" s="1" t="s">
        <v>1099</v>
      </c>
      <c r="P177" s="1" t="s">
        <v>1100</v>
      </c>
      <c r="Q177" s="1" t="s">
        <v>50</v>
      </c>
      <c r="R177" s="1" t="s">
        <v>51</v>
      </c>
      <c r="S177" s="1" t="s">
        <v>1077</v>
      </c>
      <c r="T177" s="1" t="s">
        <v>1078</v>
      </c>
      <c r="V177" s="1" t="s">
        <v>54</v>
      </c>
      <c r="W177" s="1" t="s">
        <v>1099</v>
      </c>
      <c r="Y177" s="10">
        <v>45478</v>
      </c>
      <c r="Z177" s="1">
        <v>2024</v>
      </c>
      <c r="AA177" s="2">
        <v>125631.08</v>
      </c>
      <c r="AB177" s="2"/>
      <c r="AC177" s="2">
        <v>31407.77</v>
      </c>
      <c r="AD177" s="1">
        <v>0</v>
      </c>
      <c r="AG177" s="1" t="s">
        <v>56</v>
      </c>
      <c r="AI177" s="2">
        <v>31407.77</v>
      </c>
    </row>
    <row r="178" spans="1:38" ht="14.45" customHeight="1" x14ac:dyDescent="0.2">
      <c r="A178" s="1" t="s">
        <v>57</v>
      </c>
      <c r="B178" s="9" t="s">
        <v>38</v>
      </c>
      <c r="C178" s="1" t="s">
        <v>58</v>
      </c>
      <c r="D178" s="1" t="s">
        <v>59</v>
      </c>
      <c r="E178" s="1" t="s">
        <v>42</v>
      </c>
      <c r="G178" s="1" t="s">
        <v>122</v>
      </c>
      <c r="H178" s="1" t="s">
        <v>61</v>
      </c>
      <c r="I178" s="1" t="s">
        <v>1101</v>
      </c>
      <c r="J178" s="1">
        <v>2023</v>
      </c>
      <c r="K178" s="1" t="s">
        <v>1102</v>
      </c>
      <c r="L178" s="1" t="s">
        <v>1103</v>
      </c>
      <c r="P178" s="1" t="s">
        <v>1104</v>
      </c>
      <c r="Q178" s="1" t="s">
        <v>842</v>
      </c>
      <c r="R178" s="1" t="s">
        <v>884</v>
      </c>
      <c r="S178" s="1" t="s">
        <v>1011</v>
      </c>
      <c r="T178" s="1" t="s">
        <v>1012</v>
      </c>
      <c r="V178" s="1" t="s">
        <v>887</v>
      </c>
      <c r="W178" s="1" t="s">
        <v>1102</v>
      </c>
      <c r="Y178" s="10">
        <v>45478</v>
      </c>
      <c r="Z178" s="1">
        <v>2024</v>
      </c>
      <c r="AA178" s="2">
        <v>92620.800000000003</v>
      </c>
      <c r="AB178" s="2"/>
      <c r="AC178" s="2">
        <v>38155.199999999997</v>
      </c>
      <c r="AD178" s="1">
        <v>0.5</v>
      </c>
      <c r="AE178" s="1">
        <v>0.5</v>
      </c>
      <c r="AG178" s="1" t="s">
        <v>56</v>
      </c>
      <c r="AI178" s="2">
        <v>38155.199999999997</v>
      </c>
    </row>
    <row r="179" spans="1:38" ht="14.45" customHeight="1" x14ac:dyDescent="0.2">
      <c r="A179" s="1" t="s">
        <v>57</v>
      </c>
      <c r="B179" s="9" t="s">
        <v>38</v>
      </c>
      <c r="C179" s="1" t="s">
        <v>58</v>
      </c>
      <c r="D179" s="1" t="s">
        <v>59</v>
      </c>
      <c r="E179" s="1" t="s">
        <v>42</v>
      </c>
      <c r="G179" s="1" t="s">
        <v>122</v>
      </c>
      <c r="H179" s="1" t="s">
        <v>61</v>
      </c>
      <c r="I179" s="1" t="s">
        <v>1105</v>
      </c>
      <c r="J179" s="1">
        <v>2023</v>
      </c>
      <c r="K179" s="1" t="s">
        <v>1106</v>
      </c>
      <c r="L179" s="1" t="s">
        <v>1107</v>
      </c>
      <c r="P179" s="1" t="s">
        <v>1108</v>
      </c>
      <c r="Q179" s="1" t="s">
        <v>1109</v>
      </c>
      <c r="R179" s="1" t="s">
        <v>1110</v>
      </c>
      <c r="S179" s="1" t="s">
        <v>1111</v>
      </c>
      <c r="T179" s="1" t="s">
        <v>1112</v>
      </c>
      <c r="V179" s="1" t="s">
        <v>54</v>
      </c>
      <c r="W179" s="1" t="s">
        <v>1106</v>
      </c>
      <c r="Y179" s="10">
        <v>45478</v>
      </c>
      <c r="Z179" s="1">
        <v>2024</v>
      </c>
      <c r="AA179" s="2">
        <v>99015.93</v>
      </c>
      <c r="AB179" s="2"/>
      <c r="AC179" s="2">
        <v>24753.98</v>
      </c>
      <c r="AD179" s="1">
        <v>0</v>
      </c>
      <c r="AG179" s="1" t="s">
        <v>56</v>
      </c>
      <c r="AI179" s="2">
        <v>24753.98</v>
      </c>
    </row>
    <row r="180" spans="1:38" ht="14.45" customHeight="1" x14ac:dyDescent="0.2">
      <c r="A180" s="1" t="s">
        <v>57</v>
      </c>
      <c r="B180" s="9" t="s">
        <v>38</v>
      </c>
      <c r="C180" s="1" t="s">
        <v>58</v>
      </c>
      <c r="D180" s="1" t="s">
        <v>59</v>
      </c>
      <c r="E180" s="1" t="s">
        <v>42</v>
      </c>
      <c r="G180" s="1" t="s">
        <v>88</v>
      </c>
      <c r="H180" s="1" t="s">
        <v>61</v>
      </c>
      <c r="I180" s="1" t="s">
        <v>1113</v>
      </c>
      <c r="J180" s="1">
        <v>2021</v>
      </c>
      <c r="K180" s="1" t="s">
        <v>1114</v>
      </c>
      <c r="L180" s="1" t="s">
        <v>1115</v>
      </c>
      <c r="P180" s="1" t="s">
        <v>679</v>
      </c>
      <c r="Q180" s="1" t="s">
        <v>101</v>
      </c>
      <c r="R180" s="1" t="s">
        <v>326</v>
      </c>
      <c r="S180" s="1" t="s">
        <v>327</v>
      </c>
      <c r="T180" s="1" t="s">
        <v>328</v>
      </c>
      <c r="U180" s="1">
        <v>2</v>
      </c>
      <c r="V180" s="1" t="s">
        <v>80</v>
      </c>
      <c r="W180" s="1" t="s">
        <v>1115</v>
      </c>
      <c r="X180" s="1" t="s">
        <v>609</v>
      </c>
      <c r="Y180" s="10">
        <v>44557</v>
      </c>
      <c r="Z180" s="1">
        <v>2021</v>
      </c>
      <c r="AA180" s="2">
        <v>486498.3</v>
      </c>
      <c r="AB180" s="2"/>
      <c r="AC180" s="2">
        <v>25000</v>
      </c>
      <c r="AD180" s="1">
        <v>1</v>
      </c>
      <c r="AG180" s="1" t="s">
        <v>56</v>
      </c>
      <c r="AI180" s="2">
        <v>25000</v>
      </c>
    </row>
    <row r="181" spans="1:38" ht="14.45" customHeight="1" x14ac:dyDescent="0.2">
      <c r="A181" s="1" t="s">
        <v>57</v>
      </c>
      <c r="B181" s="9" t="s">
        <v>38</v>
      </c>
      <c r="C181" s="1" t="s">
        <v>58</v>
      </c>
      <c r="D181" s="1" t="s">
        <v>59</v>
      </c>
      <c r="E181" s="1" t="s">
        <v>42</v>
      </c>
      <c r="G181" s="1" t="s">
        <v>88</v>
      </c>
      <c r="H181" s="1" t="s">
        <v>61</v>
      </c>
      <c r="I181" s="1" t="s">
        <v>1116</v>
      </c>
      <c r="J181" s="1">
        <v>2021</v>
      </c>
      <c r="K181" s="1" t="s">
        <v>1117</v>
      </c>
      <c r="L181" s="1" t="s">
        <v>1118</v>
      </c>
      <c r="N181" s="1" t="s">
        <v>1119</v>
      </c>
      <c r="P181" s="1" t="s">
        <v>1120</v>
      </c>
      <c r="Q181" s="1" t="s">
        <v>101</v>
      </c>
      <c r="R181" s="1" t="s">
        <v>102</v>
      </c>
      <c r="S181" s="1" t="s">
        <v>637</v>
      </c>
      <c r="T181" s="1" t="s">
        <v>638</v>
      </c>
      <c r="U181" s="1">
        <v>1</v>
      </c>
      <c r="V181" s="1" t="s">
        <v>101</v>
      </c>
      <c r="W181" s="1" t="s">
        <v>1121</v>
      </c>
      <c r="X181" s="1" t="s">
        <v>609</v>
      </c>
      <c r="Y181" s="10">
        <v>44557</v>
      </c>
      <c r="Z181" s="1">
        <v>2021</v>
      </c>
      <c r="AA181" s="2">
        <v>149961.10999999999</v>
      </c>
      <c r="AB181" s="2"/>
      <c r="AC181" s="2">
        <v>52486.39</v>
      </c>
      <c r="AD181" s="1">
        <v>3</v>
      </c>
      <c r="AE181" s="1">
        <v>2</v>
      </c>
      <c r="AG181" s="1" t="s">
        <v>56</v>
      </c>
      <c r="AI181" s="2">
        <v>52486.39</v>
      </c>
    </row>
    <row r="182" spans="1:38" ht="14.45" customHeight="1" x14ac:dyDescent="0.2">
      <c r="A182" s="1" t="s">
        <v>57</v>
      </c>
      <c r="B182" s="9" t="s">
        <v>38</v>
      </c>
      <c r="C182" s="1" t="s">
        <v>58</v>
      </c>
      <c r="D182" s="1" t="s">
        <v>59</v>
      </c>
      <c r="E182" s="1" t="s">
        <v>42</v>
      </c>
      <c r="G182" s="1" t="s">
        <v>122</v>
      </c>
      <c r="H182" s="1" t="s">
        <v>61</v>
      </c>
      <c r="I182" s="1" t="s">
        <v>1122</v>
      </c>
      <c r="J182" s="1">
        <v>2023</v>
      </c>
      <c r="K182" s="1" t="s">
        <v>1123</v>
      </c>
      <c r="L182" s="1" t="s">
        <v>1124</v>
      </c>
      <c r="M182" s="1" t="s">
        <v>1125</v>
      </c>
      <c r="P182" s="1" t="s">
        <v>1126</v>
      </c>
      <c r="Q182" s="1" t="s">
        <v>50</v>
      </c>
      <c r="R182" s="1" t="s">
        <v>51</v>
      </c>
      <c r="S182" s="1" t="s">
        <v>1127</v>
      </c>
      <c r="T182" s="1" t="s">
        <v>1128</v>
      </c>
      <c r="V182" s="1" t="s">
        <v>54</v>
      </c>
      <c r="W182" s="1" t="s">
        <v>1129</v>
      </c>
      <c r="Y182" s="10">
        <v>45478</v>
      </c>
      <c r="Z182" s="1">
        <v>2024</v>
      </c>
      <c r="AA182" s="2">
        <v>376201.08</v>
      </c>
      <c r="AB182" s="2"/>
      <c r="AC182" s="2">
        <v>124050.27</v>
      </c>
      <c r="AD182" s="1">
        <v>2</v>
      </c>
      <c r="AG182" s="1" t="s">
        <v>56</v>
      </c>
      <c r="AI182" s="2">
        <v>124050.27</v>
      </c>
    </row>
    <row r="183" spans="1:38" ht="14.45" customHeight="1" x14ac:dyDescent="0.2">
      <c r="A183" s="1" t="s">
        <v>57</v>
      </c>
      <c r="B183" s="9" t="s">
        <v>38</v>
      </c>
      <c r="C183" s="1" t="s">
        <v>58</v>
      </c>
      <c r="D183" s="1" t="s">
        <v>59</v>
      </c>
      <c r="E183" s="1" t="s">
        <v>42</v>
      </c>
      <c r="G183" s="1" t="s">
        <v>88</v>
      </c>
      <c r="H183" s="1" t="s">
        <v>61</v>
      </c>
      <c r="I183" s="1" t="s">
        <v>1130</v>
      </c>
      <c r="J183" s="1">
        <v>2021</v>
      </c>
      <c r="K183" s="1" t="s">
        <v>1131</v>
      </c>
      <c r="L183" s="1" t="s">
        <v>1132</v>
      </c>
      <c r="P183" s="1" t="s">
        <v>1133</v>
      </c>
      <c r="Q183" s="1" t="s">
        <v>101</v>
      </c>
      <c r="R183" s="1" t="s">
        <v>326</v>
      </c>
      <c r="S183" s="1" t="s">
        <v>327</v>
      </c>
      <c r="T183" s="1" t="s">
        <v>328</v>
      </c>
      <c r="U183" s="1">
        <v>2</v>
      </c>
      <c r="V183" s="1" t="s">
        <v>80</v>
      </c>
      <c r="W183" s="1" t="s">
        <v>1132</v>
      </c>
      <c r="X183" s="1" t="s">
        <v>87</v>
      </c>
      <c r="Y183" s="10">
        <v>44557</v>
      </c>
      <c r="Z183" s="1">
        <v>2021</v>
      </c>
      <c r="AA183" s="2">
        <v>499379</v>
      </c>
      <c r="AB183" s="2"/>
      <c r="AC183" s="2">
        <v>24968.95</v>
      </c>
      <c r="AD183" s="1">
        <v>2</v>
      </c>
      <c r="AE183" s="1">
        <v>1</v>
      </c>
      <c r="AG183" s="1" t="s">
        <v>56</v>
      </c>
      <c r="AI183" s="2">
        <v>24968.95</v>
      </c>
    </row>
    <row r="184" spans="1:38" ht="14.45" customHeight="1" x14ac:dyDescent="0.2">
      <c r="A184" s="1" t="s">
        <v>57</v>
      </c>
      <c r="B184" s="9" t="s">
        <v>38</v>
      </c>
      <c r="C184" s="1" t="s">
        <v>58</v>
      </c>
      <c r="D184" s="1" t="s">
        <v>59</v>
      </c>
      <c r="E184" s="1" t="s">
        <v>42</v>
      </c>
      <c r="G184" s="1" t="s">
        <v>88</v>
      </c>
      <c r="H184" s="1" t="s">
        <v>61</v>
      </c>
      <c r="I184" s="1" t="s">
        <v>1134</v>
      </c>
      <c r="J184" s="1">
        <v>2021</v>
      </c>
      <c r="K184" s="1" t="s">
        <v>1135</v>
      </c>
      <c r="L184" s="1" t="s">
        <v>1136</v>
      </c>
      <c r="P184" s="1" t="s">
        <v>1137</v>
      </c>
      <c r="Q184" s="1" t="s">
        <v>101</v>
      </c>
      <c r="R184" s="1" t="s">
        <v>339</v>
      </c>
      <c r="S184" s="1" t="s">
        <v>340</v>
      </c>
      <c r="T184" s="1" t="s">
        <v>341</v>
      </c>
      <c r="U184" s="1">
        <v>1</v>
      </c>
      <c r="V184" s="1" t="s">
        <v>80</v>
      </c>
      <c r="W184" s="1" t="s">
        <v>1136</v>
      </c>
      <c r="X184" s="1" t="s">
        <v>87</v>
      </c>
      <c r="Y184" s="10">
        <v>44557</v>
      </c>
      <c r="Z184" s="1">
        <v>2021</v>
      </c>
      <c r="AA184" s="2">
        <v>351118.93</v>
      </c>
      <c r="AB184" s="2"/>
      <c r="AC184" s="2">
        <v>105335.67999999999</v>
      </c>
      <c r="AD184" s="1">
        <v>4</v>
      </c>
      <c r="AE184" s="1">
        <v>3</v>
      </c>
      <c r="AG184" s="1" t="s">
        <v>56</v>
      </c>
      <c r="AI184" s="2">
        <v>105335.67999999999</v>
      </c>
    </row>
    <row r="185" spans="1:38" ht="14.45" customHeight="1" x14ac:dyDescent="0.2">
      <c r="A185" s="1" t="s">
        <v>57</v>
      </c>
      <c r="B185" s="9" t="s">
        <v>38</v>
      </c>
      <c r="C185" s="1" t="s">
        <v>58</v>
      </c>
      <c r="D185" s="1" t="s">
        <v>59</v>
      </c>
      <c r="E185" s="1" t="s">
        <v>42</v>
      </c>
      <c r="G185" s="1" t="s">
        <v>88</v>
      </c>
      <c r="H185" s="1" t="s">
        <v>61</v>
      </c>
      <c r="I185" s="1" t="s">
        <v>1138</v>
      </c>
      <c r="J185" s="1">
        <v>2021</v>
      </c>
      <c r="K185" s="1" t="s">
        <v>1139</v>
      </c>
      <c r="L185" s="1" t="s">
        <v>1140</v>
      </c>
      <c r="P185" s="1" t="s">
        <v>1141</v>
      </c>
      <c r="Q185" s="1" t="s">
        <v>101</v>
      </c>
      <c r="R185" s="1" t="s">
        <v>102</v>
      </c>
      <c r="S185" s="1" t="s">
        <v>1142</v>
      </c>
      <c r="T185" s="1" t="s">
        <v>1143</v>
      </c>
      <c r="U185" s="1">
        <v>2</v>
      </c>
      <c r="V185" s="1" t="s">
        <v>80</v>
      </c>
      <c r="W185" s="1" t="s">
        <v>1140</v>
      </c>
      <c r="X185" s="1" t="s">
        <v>87</v>
      </c>
      <c r="Y185" s="10">
        <v>44557</v>
      </c>
      <c r="Z185" s="1">
        <v>2021</v>
      </c>
      <c r="AA185" s="2">
        <v>135317.95000000001</v>
      </c>
      <c r="AB185" s="2"/>
      <c r="AC185" s="2">
        <v>23680.639999999999</v>
      </c>
      <c r="AD185" s="1">
        <v>2</v>
      </c>
      <c r="AE185" s="1">
        <v>2</v>
      </c>
      <c r="AG185" s="1" t="s">
        <v>56</v>
      </c>
      <c r="AI185" s="2">
        <v>23680.639999999999</v>
      </c>
    </row>
    <row r="186" spans="1:38" ht="12.6" customHeight="1" x14ac:dyDescent="0.2">
      <c r="A186" s="1" t="s">
        <v>57</v>
      </c>
      <c r="B186" s="9" t="s">
        <v>38</v>
      </c>
      <c r="C186" s="1" t="s">
        <v>58</v>
      </c>
      <c r="D186" s="1" t="s">
        <v>59</v>
      </c>
      <c r="E186" s="1" t="s">
        <v>42</v>
      </c>
      <c r="G186" s="1" t="s">
        <v>122</v>
      </c>
      <c r="H186" s="1" t="s">
        <v>61</v>
      </c>
      <c r="I186" s="1" t="s">
        <v>1144</v>
      </c>
      <c r="J186" s="1">
        <v>2023</v>
      </c>
      <c r="K186" s="1" t="s">
        <v>1145</v>
      </c>
      <c r="L186" s="1" t="s">
        <v>1146</v>
      </c>
      <c r="M186" s="19" t="s">
        <v>1147</v>
      </c>
      <c r="P186" s="1" t="s">
        <v>1148</v>
      </c>
      <c r="Q186" s="1" t="s">
        <v>1149</v>
      </c>
      <c r="R186" s="1" t="s">
        <v>1150</v>
      </c>
      <c r="S186" s="1" t="s">
        <v>1151</v>
      </c>
      <c r="T186" s="1" t="s">
        <v>1152</v>
      </c>
      <c r="V186" s="1" t="s">
        <v>1153</v>
      </c>
      <c r="W186" s="1" t="s">
        <v>1145</v>
      </c>
      <c r="Y186" s="10">
        <v>45478</v>
      </c>
      <c r="Z186" s="1">
        <v>2024</v>
      </c>
      <c r="AA186" s="2">
        <v>68000</v>
      </c>
      <c r="AB186" s="2"/>
      <c r="AC186" s="2">
        <v>34000</v>
      </c>
      <c r="AD186" s="1">
        <v>1</v>
      </c>
      <c r="AE186" s="1">
        <v>1</v>
      </c>
      <c r="AG186" s="1" t="s">
        <v>56</v>
      </c>
      <c r="AI186" s="2">
        <v>34000</v>
      </c>
    </row>
    <row r="187" spans="1:38" ht="14.45" customHeight="1" x14ac:dyDescent="0.2">
      <c r="A187" s="1" t="s">
        <v>57</v>
      </c>
      <c r="B187" s="9" t="s">
        <v>38</v>
      </c>
      <c r="C187" s="1" t="s">
        <v>58</v>
      </c>
      <c r="D187" s="1" t="s">
        <v>59</v>
      </c>
      <c r="E187" s="1" t="s">
        <v>42</v>
      </c>
      <c r="G187" s="1" t="s">
        <v>88</v>
      </c>
      <c r="H187" s="1" t="s">
        <v>61</v>
      </c>
      <c r="I187" s="1" t="s">
        <v>1154</v>
      </c>
      <c r="J187" s="1">
        <v>2021</v>
      </c>
      <c r="K187" s="1" t="s">
        <v>1155</v>
      </c>
      <c r="L187" s="1" t="s">
        <v>1156</v>
      </c>
      <c r="M187" s="1" t="s">
        <v>1157</v>
      </c>
      <c r="N187" s="1" t="s">
        <v>1158</v>
      </c>
      <c r="P187" s="1" t="s">
        <v>1159</v>
      </c>
      <c r="Q187" s="1" t="s">
        <v>50</v>
      </c>
      <c r="R187" s="1" t="s">
        <v>68</v>
      </c>
      <c r="S187" s="1" t="s">
        <v>692</v>
      </c>
      <c r="T187" s="1" t="s">
        <v>693</v>
      </c>
      <c r="U187" s="1">
        <v>2</v>
      </c>
      <c r="V187" s="1" t="s">
        <v>71</v>
      </c>
      <c r="W187" s="1" t="s">
        <v>1160</v>
      </c>
      <c r="X187" s="1" t="s">
        <v>138</v>
      </c>
      <c r="Y187" s="10">
        <v>44557</v>
      </c>
      <c r="Z187" s="1">
        <v>2021</v>
      </c>
      <c r="AA187" s="2">
        <v>98193.75</v>
      </c>
      <c r="AB187" s="2"/>
      <c r="AC187" s="2">
        <v>14729.06</v>
      </c>
      <c r="AD187" s="1">
        <v>2</v>
      </c>
      <c r="AE187" s="1">
        <v>2</v>
      </c>
      <c r="AG187" s="1" t="s">
        <v>56</v>
      </c>
      <c r="AI187" s="2">
        <v>14729.06</v>
      </c>
    </row>
    <row r="188" spans="1:38" ht="14.45" customHeight="1" x14ac:dyDescent="0.2">
      <c r="A188" s="1" t="s">
        <v>57</v>
      </c>
      <c r="B188" s="9" t="s">
        <v>38</v>
      </c>
      <c r="C188" s="1" t="s">
        <v>58</v>
      </c>
      <c r="D188" s="1" t="s">
        <v>59</v>
      </c>
      <c r="E188" s="1" t="s">
        <v>42</v>
      </c>
      <c r="G188" s="1" t="s">
        <v>88</v>
      </c>
      <c r="H188" s="1" t="s">
        <v>61</v>
      </c>
      <c r="I188" s="1" t="s">
        <v>1161</v>
      </c>
      <c r="J188" s="1">
        <v>2021</v>
      </c>
      <c r="K188" s="1" t="s">
        <v>1162</v>
      </c>
      <c r="L188" s="1" t="s">
        <v>1163</v>
      </c>
      <c r="P188" s="1" t="s">
        <v>1164</v>
      </c>
      <c r="Q188" s="1" t="s">
        <v>101</v>
      </c>
      <c r="R188" s="1" t="s">
        <v>102</v>
      </c>
      <c r="S188" s="1" t="s">
        <v>637</v>
      </c>
      <c r="T188" s="1" t="s">
        <v>638</v>
      </c>
      <c r="U188" s="1">
        <v>1</v>
      </c>
      <c r="V188" s="1" t="s">
        <v>101</v>
      </c>
      <c r="W188" s="1" t="s">
        <v>1165</v>
      </c>
      <c r="X188" s="1" t="s">
        <v>609</v>
      </c>
      <c r="Y188" s="10">
        <v>44557</v>
      </c>
      <c r="Z188" s="1">
        <v>2021</v>
      </c>
      <c r="AA188" s="2">
        <v>272755.20000000001</v>
      </c>
      <c r="AB188" s="2"/>
      <c r="AC188" s="2">
        <v>30000</v>
      </c>
      <c r="AD188" s="1">
        <v>1</v>
      </c>
      <c r="AE188" s="1">
        <v>1</v>
      </c>
      <c r="AG188" s="1" t="s">
        <v>56</v>
      </c>
      <c r="AI188" s="2">
        <v>30000</v>
      </c>
    </row>
    <row r="189" spans="1:38" ht="14.45" customHeight="1" x14ac:dyDescent="0.2">
      <c r="A189" s="1" t="s">
        <v>57</v>
      </c>
      <c r="B189" s="9" t="s">
        <v>38</v>
      </c>
      <c r="C189" s="1" t="s">
        <v>58</v>
      </c>
      <c r="D189" s="1" t="s">
        <v>59</v>
      </c>
      <c r="E189" s="1" t="s">
        <v>42</v>
      </c>
      <c r="G189" s="1" t="s">
        <v>122</v>
      </c>
      <c r="H189" s="1" t="s">
        <v>61</v>
      </c>
      <c r="I189" s="1" t="s">
        <v>1166</v>
      </c>
      <c r="J189" s="1">
        <v>2023</v>
      </c>
      <c r="K189" s="1" t="s">
        <v>1167</v>
      </c>
      <c r="L189" s="1" t="s">
        <v>1167</v>
      </c>
      <c r="M189" s="1" t="s">
        <v>1168</v>
      </c>
      <c r="P189" s="1" t="s">
        <v>1169</v>
      </c>
      <c r="Q189" s="1" t="s">
        <v>50</v>
      </c>
      <c r="R189" s="1" t="s">
        <v>51</v>
      </c>
      <c r="S189" s="1" t="s">
        <v>1170</v>
      </c>
      <c r="T189" s="1" t="s">
        <v>1171</v>
      </c>
      <c r="V189" s="1" t="s">
        <v>54</v>
      </c>
      <c r="W189" s="1" t="s">
        <v>1167</v>
      </c>
      <c r="Y189" s="10">
        <v>45478</v>
      </c>
      <c r="Z189" s="1">
        <v>2024</v>
      </c>
      <c r="AA189" s="2">
        <v>447000</v>
      </c>
      <c r="AB189" s="2"/>
      <c r="AC189" s="2">
        <v>100000</v>
      </c>
      <c r="AD189" s="1">
        <v>0</v>
      </c>
      <c r="AG189" s="1" t="s">
        <v>56</v>
      </c>
      <c r="AI189" s="2">
        <v>100000</v>
      </c>
    </row>
    <row r="190" spans="1:38" ht="14.45" customHeight="1" x14ac:dyDescent="0.25">
      <c r="A190" s="1" t="s">
        <v>57</v>
      </c>
      <c r="B190" s="9" t="s">
        <v>38</v>
      </c>
      <c r="C190" s="1" t="s">
        <v>58</v>
      </c>
      <c r="D190" s="1" t="s">
        <v>146</v>
      </c>
      <c r="E190" s="1" t="s">
        <v>42</v>
      </c>
      <c r="G190" s="1" t="s">
        <v>1172</v>
      </c>
      <c r="H190" s="1" t="s">
        <v>61</v>
      </c>
      <c r="I190" s="1" t="s">
        <v>1173</v>
      </c>
      <c r="J190" s="1">
        <v>2020</v>
      </c>
      <c r="K190" s="1" t="s">
        <v>1174</v>
      </c>
      <c r="L190" s="1" t="s">
        <v>1175</v>
      </c>
      <c r="P190" s="1" t="s">
        <v>1176</v>
      </c>
      <c r="Q190" s="1" t="s">
        <v>842</v>
      </c>
      <c r="R190" s="1" t="s">
        <v>1177</v>
      </c>
      <c r="S190" s="16" t="s">
        <v>1178</v>
      </c>
      <c r="T190" s="1" t="s">
        <v>1179</v>
      </c>
      <c r="V190" s="1" t="s">
        <v>1178</v>
      </c>
      <c r="W190" s="1" t="s">
        <v>1174</v>
      </c>
      <c r="X190" s="1" t="s">
        <v>153</v>
      </c>
      <c r="Y190" s="10">
        <v>44337</v>
      </c>
      <c r="Z190" s="1">
        <v>2021</v>
      </c>
      <c r="AA190" s="2">
        <v>721000</v>
      </c>
      <c r="AB190" s="2"/>
      <c r="AC190" s="2">
        <v>360500</v>
      </c>
      <c r="AE190" s="1">
        <v>6</v>
      </c>
      <c r="AF190" s="1">
        <v>12</v>
      </c>
      <c r="AG190" s="1" t="s">
        <v>56</v>
      </c>
      <c r="AH190" s="1" t="s">
        <v>154</v>
      </c>
      <c r="AI190" s="2">
        <v>360499.3</v>
      </c>
      <c r="AK190" s="1">
        <v>12</v>
      </c>
      <c r="AL190" s="1" t="s">
        <v>1180</v>
      </c>
    </row>
    <row r="191" spans="1:38" ht="14.45" customHeight="1" x14ac:dyDescent="0.2">
      <c r="A191" s="1" t="s">
        <v>57</v>
      </c>
      <c r="B191" s="9" t="s">
        <v>38</v>
      </c>
      <c r="C191" s="1" t="s">
        <v>58</v>
      </c>
      <c r="D191" s="1" t="s">
        <v>59</v>
      </c>
      <c r="E191" s="1" t="s">
        <v>42</v>
      </c>
      <c r="G191" s="1" t="s">
        <v>88</v>
      </c>
      <c r="H191" s="1" t="s">
        <v>61</v>
      </c>
      <c r="I191" s="1" t="s">
        <v>1181</v>
      </c>
      <c r="J191" s="1">
        <v>2021</v>
      </c>
      <c r="K191" s="1" t="s">
        <v>1182</v>
      </c>
      <c r="L191" s="1" t="s">
        <v>1183</v>
      </c>
      <c r="N191" s="1" t="s">
        <v>1184</v>
      </c>
      <c r="P191" s="1" t="s">
        <v>1185</v>
      </c>
      <c r="Q191" s="1" t="s">
        <v>101</v>
      </c>
      <c r="R191" s="1" t="s">
        <v>102</v>
      </c>
      <c r="S191" s="1" t="s">
        <v>523</v>
      </c>
      <c r="T191" s="1" t="s">
        <v>524</v>
      </c>
      <c r="U191" s="1">
        <v>1</v>
      </c>
      <c r="V191" s="1" t="s">
        <v>101</v>
      </c>
      <c r="W191" s="1" t="s">
        <v>1186</v>
      </c>
      <c r="X191" s="1" t="s">
        <v>153</v>
      </c>
      <c r="Y191" s="10">
        <v>44557</v>
      </c>
      <c r="Z191" s="1">
        <v>2021</v>
      </c>
      <c r="AA191" s="2">
        <v>129200</v>
      </c>
      <c r="AB191" s="2"/>
      <c r="AC191" s="2">
        <v>45220</v>
      </c>
      <c r="AD191" s="1">
        <v>2.5</v>
      </c>
      <c r="AE191" s="1">
        <v>0.5</v>
      </c>
      <c r="AG191" s="1" t="s">
        <v>56</v>
      </c>
      <c r="AI191" s="2">
        <v>45220</v>
      </c>
    </row>
    <row r="192" spans="1:38" ht="14.45" customHeight="1" x14ac:dyDescent="0.2">
      <c r="A192" s="1" t="s">
        <v>57</v>
      </c>
      <c r="B192" s="9" t="s">
        <v>38</v>
      </c>
      <c r="C192" s="1" t="s">
        <v>58</v>
      </c>
      <c r="D192" s="1" t="s">
        <v>59</v>
      </c>
      <c r="E192" s="1" t="s">
        <v>42</v>
      </c>
      <c r="G192" s="1" t="s">
        <v>88</v>
      </c>
      <c r="H192" s="1" t="s">
        <v>61</v>
      </c>
      <c r="I192" s="1" t="s">
        <v>1187</v>
      </c>
      <c r="J192" s="1">
        <v>2021</v>
      </c>
      <c r="K192" s="1" t="s">
        <v>1188</v>
      </c>
      <c r="L192" s="1" t="s">
        <v>1189</v>
      </c>
      <c r="N192" s="1" t="s">
        <v>1190</v>
      </c>
      <c r="P192" s="1" t="s">
        <v>1191</v>
      </c>
      <c r="Q192" s="1" t="s">
        <v>50</v>
      </c>
      <c r="R192" s="1" t="s">
        <v>68</v>
      </c>
      <c r="S192" s="1" t="s">
        <v>692</v>
      </c>
      <c r="T192" s="1" t="s">
        <v>693</v>
      </c>
      <c r="U192" s="1">
        <v>2</v>
      </c>
      <c r="V192" s="1" t="s">
        <v>71</v>
      </c>
      <c r="W192" s="1" t="s">
        <v>1188</v>
      </c>
      <c r="X192" s="1" t="s">
        <v>609</v>
      </c>
      <c r="Y192" s="10">
        <v>44557</v>
      </c>
      <c r="Z192" s="1">
        <v>2021</v>
      </c>
      <c r="AA192" s="2">
        <v>377232.84</v>
      </c>
      <c r="AB192" s="2"/>
      <c r="AC192" s="2">
        <v>37723.279999999999</v>
      </c>
      <c r="AD192" s="1">
        <v>5</v>
      </c>
      <c r="AE192" s="1">
        <v>3</v>
      </c>
      <c r="AG192" s="1" t="s">
        <v>56</v>
      </c>
      <c r="AI192" s="2">
        <v>37723.279999999999</v>
      </c>
    </row>
    <row r="193" spans="1:38" ht="14.45" customHeight="1" x14ac:dyDescent="0.2">
      <c r="A193" s="1" t="s">
        <v>57</v>
      </c>
      <c r="B193" s="9" t="s">
        <v>38</v>
      </c>
      <c r="C193" s="1" t="s">
        <v>58</v>
      </c>
      <c r="D193" s="1" t="s">
        <v>59</v>
      </c>
      <c r="E193" s="1" t="s">
        <v>42</v>
      </c>
      <c r="G193" s="1" t="s">
        <v>122</v>
      </c>
      <c r="H193" s="1" t="s">
        <v>61</v>
      </c>
      <c r="I193" s="1" t="s">
        <v>1192</v>
      </c>
      <c r="J193" s="1">
        <v>2023</v>
      </c>
      <c r="K193" s="1" t="s">
        <v>1193</v>
      </c>
      <c r="L193" s="1" t="s">
        <v>1194</v>
      </c>
      <c r="M193" s="1" t="s">
        <v>1195</v>
      </c>
      <c r="P193" s="1" t="s">
        <v>1196</v>
      </c>
      <c r="Q193" s="1" t="s">
        <v>50</v>
      </c>
      <c r="R193" s="1" t="s">
        <v>51</v>
      </c>
      <c r="S193" s="1" t="s">
        <v>1077</v>
      </c>
      <c r="T193" s="1" t="s">
        <v>1078</v>
      </c>
      <c r="V193" s="1" t="s">
        <v>54</v>
      </c>
      <c r="W193" s="1" t="s">
        <v>1193</v>
      </c>
      <c r="Y193" s="10">
        <v>45478</v>
      </c>
      <c r="Z193" s="1">
        <v>2024</v>
      </c>
      <c r="AA193" s="2">
        <v>319206</v>
      </c>
      <c r="AB193" s="2"/>
      <c r="AC193" s="2">
        <v>63841.2</v>
      </c>
      <c r="AD193" s="1">
        <v>0</v>
      </c>
      <c r="AG193" s="1" t="s">
        <v>56</v>
      </c>
      <c r="AI193" s="2">
        <v>63841.2</v>
      </c>
    </row>
    <row r="194" spans="1:38" ht="12.6" customHeight="1" x14ac:dyDescent="0.2">
      <c r="A194" s="1" t="s">
        <v>57</v>
      </c>
      <c r="B194" s="9" t="s">
        <v>38</v>
      </c>
      <c r="C194" s="1" t="s">
        <v>58</v>
      </c>
      <c r="D194" s="1" t="s">
        <v>59</v>
      </c>
      <c r="E194" s="1" t="s">
        <v>42</v>
      </c>
      <c r="G194" s="1" t="s">
        <v>88</v>
      </c>
      <c r="H194" s="1" t="s">
        <v>61</v>
      </c>
      <c r="I194" s="1" t="s">
        <v>1197</v>
      </c>
      <c r="J194" s="1">
        <v>2021</v>
      </c>
      <c r="K194" s="1" t="s">
        <v>1198</v>
      </c>
      <c r="L194" s="1" t="s">
        <v>1199</v>
      </c>
      <c r="M194" s="1" t="s">
        <v>1200</v>
      </c>
      <c r="N194" s="1" t="s">
        <v>1201</v>
      </c>
      <c r="P194" s="1" t="s">
        <v>1202</v>
      </c>
      <c r="Q194" s="1" t="s">
        <v>50</v>
      </c>
      <c r="R194" s="1" t="s">
        <v>68</v>
      </c>
      <c r="S194" s="1" t="s">
        <v>1203</v>
      </c>
      <c r="T194" s="1" t="s">
        <v>1204</v>
      </c>
      <c r="U194" s="1">
        <v>1</v>
      </c>
      <c r="V194" s="1" t="s">
        <v>195</v>
      </c>
      <c r="W194" s="1" t="s">
        <v>1205</v>
      </c>
      <c r="X194" s="1" t="s">
        <v>145</v>
      </c>
      <c r="Y194" s="10">
        <v>44557</v>
      </c>
      <c r="Z194" s="1">
        <v>2021</v>
      </c>
      <c r="AA194" s="2">
        <v>176559.75</v>
      </c>
      <c r="AB194" s="2"/>
      <c r="AC194" s="2">
        <v>52967.93</v>
      </c>
      <c r="AD194" s="1">
        <v>1.5</v>
      </c>
      <c r="AE194" s="1">
        <v>1</v>
      </c>
      <c r="AG194" s="1" t="s">
        <v>56</v>
      </c>
      <c r="AI194" s="2">
        <v>48547.28</v>
      </c>
      <c r="AL194" s="18" t="s">
        <v>1206</v>
      </c>
    </row>
    <row r="195" spans="1:38" ht="12.6" customHeight="1" x14ac:dyDescent="0.2">
      <c r="A195" s="1" t="s">
        <v>57</v>
      </c>
      <c r="B195" s="9" t="s">
        <v>38</v>
      </c>
      <c r="C195" s="1" t="s">
        <v>58</v>
      </c>
      <c r="D195" s="1" t="s">
        <v>59</v>
      </c>
      <c r="E195" s="1" t="s">
        <v>42</v>
      </c>
      <c r="G195" s="1" t="s">
        <v>88</v>
      </c>
      <c r="H195" s="1" t="s">
        <v>61</v>
      </c>
      <c r="I195" s="1" t="s">
        <v>1207</v>
      </c>
      <c r="J195" s="1">
        <v>2021</v>
      </c>
      <c r="K195" s="1" t="s">
        <v>1208</v>
      </c>
      <c r="L195" s="1" t="s">
        <v>1209</v>
      </c>
      <c r="N195" s="1" t="s">
        <v>1210</v>
      </c>
      <c r="P195" s="1" t="s">
        <v>1211</v>
      </c>
      <c r="Q195" s="1" t="s">
        <v>50</v>
      </c>
      <c r="R195" s="1" t="s">
        <v>77</v>
      </c>
      <c r="S195" s="1" t="s">
        <v>1212</v>
      </c>
      <c r="T195" s="1" t="s">
        <v>1213</v>
      </c>
      <c r="U195" s="1">
        <v>1</v>
      </c>
      <c r="V195" s="1" t="s">
        <v>186</v>
      </c>
      <c r="W195" s="1" t="s">
        <v>1208</v>
      </c>
      <c r="X195" s="1" t="s">
        <v>571</v>
      </c>
      <c r="Y195" s="10">
        <v>44557</v>
      </c>
      <c r="Z195" s="1">
        <v>2021</v>
      </c>
      <c r="AA195" s="2">
        <v>130000</v>
      </c>
      <c r="AB195" s="2"/>
      <c r="AC195" s="2">
        <v>26000</v>
      </c>
      <c r="AD195" s="1">
        <v>0</v>
      </c>
      <c r="AG195" s="1" t="s">
        <v>56</v>
      </c>
      <c r="AI195" s="2">
        <v>26000</v>
      </c>
    </row>
    <row r="196" spans="1:38" ht="14.45" customHeight="1" x14ac:dyDescent="0.2">
      <c r="A196" s="1" t="s">
        <v>57</v>
      </c>
      <c r="B196" s="9" t="s">
        <v>38</v>
      </c>
      <c r="C196" s="1" t="s">
        <v>58</v>
      </c>
      <c r="D196" s="1" t="s">
        <v>59</v>
      </c>
      <c r="E196" s="1" t="s">
        <v>42</v>
      </c>
      <c r="G196" s="1" t="s">
        <v>122</v>
      </c>
      <c r="H196" s="1" t="s">
        <v>61</v>
      </c>
      <c r="I196" s="1" t="s">
        <v>1214</v>
      </c>
      <c r="J196" s="1">
        <v>2023</v>
      </c>
      <c r="K196" s="1" t="s">
        <v>1215</v>
      </c>
      <c r="L196" s="1" t="s">
        <v>1216</v>
      </c>
      <c r="P196" s="1" t="s">
        <v>1217</v>
      </c>
      <c r="Q196" s="1" t="s">
        <v>1149</v>
      </c>
      <c r="R196" s="1" t="s">
        <v>1150</v>
      </c>
      <c r="S196" s="1" t="s">
        <v>1218</v>
      </c>
      <c r="T196" s="1" t="s">
        <v>1219</v>
      </c>
      <c r="V196" s="1" t="s">
        <v>1153</v>
      </c>
      <c r="W196" s="1" t="s">
        <v>1215</v>
      </c>
      <c r="Y196" s="10">
        <v>45478</v>
      </c>
      <c r="Z196" s="1">
        <v>2024</v>
      </c>
      <c r="AA196" s="2">
        <v>209189.26</v>
      </c>
      <c r="AB196" s="2"/>
      <c r="AC196" s="2">
        <v>97297.32</v>
      </c>
      <c r="AD196" s="1">
        <v>3</v>
      </c>
      <c r="AG196" s="1" t="s">
        <v>56</v>
      </c>
      <c r="AI196" s="2">
        <v>97297.32</v>
      </c>
    </row>
    <row r="197" spans="1:38" ht="14.45" customHeight="1" x14ac:dyDescent="0.2">
      <c r="A197" s="1" t="s">
        <v>57</v>
      </c>
      <c r="B197" s="9" t="s">
        <v>38</v>
      </c>
      <c r="C197" s="1" t="s">
        <v>58</v>
      </c>
      <c r="D197" s="1" t="s">
        <v>59</v>
      </c>
      <c r="E197" s="1" t="s">
        <v>42</v>
      </c>
      <c r="G197" s="1" t="s">
        <v>122</v>
      </c>
      <c r="H197" s="1" t="s">
        <v>61</v>
      </c>
      <c r="I197" s="1" t="s">
        <v>1220</v>
      </c>
      <c r="J197" s="1">
        <v>2023</v>
      </c>
      <c r="K197" s="1" t="s">
        <v>1221</v>
      </c>
      <c r="L197" s="1" t="s">
        <v>1222</v>
      </c>
      <c r="P197" s="1" t="s">
        <v>1223</v>
      </c>
      <c r="Q197" s="1" t="s">
        <v>110</v>
      </c>
      <c r="R197" s="1" t="s">
        <v>111</v>
      </c>
      <c r="S197" s="1" t="s">
        <v>1224</v>
      </c>
      <c r="T197" s="1" t="s">
        <v>1225</v>
      </c>
      <c r="V197" s="1" t="s">
        <v>114</v>
      </c>
      <c r="W197" s="1" t="s">
        <v>1221</v>
      </c>
      <c r="Y197" s="10">
        <v>45478</v>
      </c>
      <c r="Z197" s="1">
        <v>2024</v>
      </c>
      <c r="AA197" s="2">
        <v>395874.15</v>
      </c>
      <c r="AB197" s="2"/>
      <c r="AC197" s="2">
        <v>128968.54</v>
      </c>
      <c r="AD197" s="1">
        <v>1</v>
      </c>
      <c r="AG197" s="1" t="s">
        <v>56</v>
      </c>
      <c r="AI197" s="2">
        <v>128968.54</v>
      </c>
    </row>
    <row r="198" spans="1:38" ht="14.45" customHeight="1" x14ac:dyDescent="0.2">
      <c r="A198" s="1" t="s">
        <v>57</v>
      </c>
      <c r="B198" s="9" t="s">
        <v>38</v>
      </c>
      <c r="C198" s="1" t="s">
        <v>58</v>
      </c>
      <c r="D198" s="1" t="s">
        <v>59</v>
      </c>
      <c r="E198" s="1" t="s">
        <v>42</v>
      </c>
      <c r="G198" s="1" t="s">
        <v>122</v>
      </c>
      <c r="H198" s="1" t="s">
        <v>61</v>
      </c>
      <c r="I198" s="1" t="s">
        <v>1226</v>
      </c>
      <c r="J198" s="1">
        <v>2023</v>
      </c>
      <c r="K198" s="1" t="s">
        <v>1227</v>
      </c>
      <c r="L198" s="1" t="s">
        <v>1228</v>
      </c>
      <c r="P198" s="1" t="s">
        <v>1229</v>
      </c>
      <c r="Q198" s="1" t="s">
        <v>264</v>
      </c>
      <c r="R198" s="1" t="s">
        <v>265</v>
      </c>
      <c r="S198" s="1" t="s">
        <v>290</v>
      </c>
      <c r="T198" s="1" t="s">
        <v>291</v>
      </c>
      <c r="U198" s="1">
        <v>1</v>
      </c>
      <c r="V198" s="1" t="s">
        <v>268</v>
      </c>
      <c r="W198" s="1" t="s">
        <v>1230</v>
      </c>
      <c r="Y198" s="10">
        <v>45478</v>
      </c>
      <c r="Z198" s="1">
        <v>2024</v>
      </c>
      <c r="AA198" s="2">
        <v>99608.53</v>
      </c>
      <c r="AB198" s="2"/>
      <c r="AC198" s="2">
        <v>49804.27</v>
      </c>
      <c r="AD198" s="1">
        <v>1</v>
      </c>
      <c r="AG198" s="1" t="s">
        <v>56</v>
      </c>
      <c r="AI198" s="2">
        <v>49804.27</v>
      </c>
    </row>
    <row r="199" spans="1:38" ht="14.45" customHeight="1" x14ac:dyDescent="0.2">
      <c r="A199" s="1" t="s">
        <v>57</v>
      </c>
      <c r="B199" s="9" t="s">
        <v>38</v>
      </c>
      <c r="C199" s="1" t="s">
        <v>58</v>
      </c>
      <c r="D199" s="1" t="s">
        <v>59</v>
      </c>
      <c r="E199" s="1" t="s">
        <v>42</v>
      </c>
      <c r="G199" s="1" t="s">
        <v>122</v>
      </c>
      <c r="H199" s="1" t="s">
        <v>61</v>
      </c>
      <c r="I199" s="1" t="s">
        <v>1231</v>
      </c>
      <c r="J199" s="1">
        <v>2023</v>
      </c>
      <c r="K199" s="1" t="s">
        <v>1232</v>
      </c>
      <c r="L199" s="1" t="s">
        <v>1233</v>
      </c>
      <c r="P199" s="1" t="s">
        <v>1234</v>
      </c>
      <c r="Q199" s="1" t="s">
        <v>264</v>
      </c>
      <c r="R199" s="1" t="s">
        <v>265</v>
      </c>
      <c r="S199" s="1" t="s">
        <v>266</v>
      </c>
      <c r="T199" s="1" t="s">
        <v>267</v>
      </c>
      <c r="U199" s="1">
        <v>2</v>
      </c>
      <c r="V199" s="1" t="s">
        <v>268</v>
      </c>
      <c r="W199" s="1" t="s">
        <v>1235</v>
      </c>
      <c r="Y199" s="10">
        <v>45478</v>
      </c>
      <c r="Z199" s="1">
        <v>2024</v>
      </c>
      <c r="AA199" s="2">
        <v>150576</v>
      </c>
      <c r="AB199" s="2"/>
      <c r="AC199" s="2">
        <v>75288</v>
      </c>
      <c r="AD199" s="1">
        <v>4</v>
      </c>
      <c r="AE199" s="1">
        <v>4</v>
      </c>
      <c r="AG199" s="1" t="s">
        <v>56</v>
      </c>
      <c r="AI199" s="2">
        <v>75288</v>
      </c>
    </row>
    <row r="200" spans="1:38" ht="14.45" customHeight="1" x14ac:dyDescent="0.25">
      <c r="A200" s="1" t="s">
        <v>57</v>
      </c>
      <c r="B200" s="20" t="s">
        <v>38</v>
      </c>
      <c r="C200" s="3" t="s">
        <v>58</v>
      </c>
      <c r="D200" s="1" t="s">
        <v>146</v>
      </c>
      <c r="E200" s="1" t="s">
        <v>42</v>
      </c>
      <c r="F200" s="1" t="s">
        <v>1236</v>
      </c>
      <c r="G200" s="1" t="s">
        <v>155</v>
      </c>
      <c r="H200" s="1" t="s">
        <v>156</v>
      </c>
      <c r="I200" s="3" t="s">
        <v>1237</v>
      </c>
      <c r="J200" s="1">
        <v>2022</v>
      </c>
      <c r="K200" s="1" t="s">
        <v>1238</v>
      </c>
      <c r="L200" s="1" t="s">
        <v>1239</v>
      </c>
      <c r="M200" s="1" t="s">
        <v>1240</v>
      </c>
      <c r="P200" s="1" t="s">
        <v>1241</v>
      </c>
      <c r="Q200" s="1" t="s">
        <v>264</v>
      </c>
      <c r="R200" s="1" t="s">
        <v>265</v>
      </c>
      <c r="S200" s="11" t="s">
        <v>673</v>
      </c>
      <c r="T200" s="3" t="s">
        <v>674</v>
      </c>
      <c r="U200" s="1">
        <v>2</v>
      </c>
      <c r="V200" s="3" t="s">
        <v>268</v>
      </c>
      <c r="W200" s="3" t="s">
        <v>1239</v>
      </c>
      <c r="X200" s="3"/>
      <c r="Y200" s="21"/>
      <c r="Z200" s="3">
        <v>2025</v>
      </c>
      <c r="AA200" s="22">
        <v>375710.43</v>
      </c>
      <c r="AB200" s="22"/>
      <c r="AC200" s="22">
        <v>375710.43</v>
      </c>
      <c r="AD200" s="2"/>
      <c r="AG200" s="1" t="s">
        <v>56</v>
      </c>
      <c r="AI200" s="22">
        <v>375710.43</v>
      </c>
    </row>
    <row r="201" spans="1:38" ht="14.45" customHeight="1" x14ac:dyDescent="0.2">
      <c r="A201" s="1" t="s">
        <v>57</v>
      </c>
      <c r="B201" s="9" t="s">
        <v>38</v>
      </c>
      <c r="C201" s="1" t="s">
        <v>58</v>
      </c>
      <c r="D201" s="1" t="s">
        <v>59</v>
      </c>
      <c r="E201" s="1" t="s">
        <v>42</v>
      </c>
      <c r="G201" s="1" t="s">
        <v>122</v>
      </c>
      <c r="H201" s="1" t="s">
        <v>61</v>
      </c>
      <c r="I201" s="1" t="s">
        <v>1242</v>
      </c>
      <c r="J201" s="1">
        <v>2023</v>
      </c>
      <c r="K201" s="1" t="s">
        <v>1243</v>
      </c>
      <c r="L201" s="1" t="s">
        <v>1244</v>
      </c>
      <c r="P201" s="1" t="s">
        <v>1245</v>
      </c>
      <c r="Q201" s="1" t="s">
        <v>264</v>
      </c>
      <c r="R201" s="1" t="s">
        <v>265</v>
      </c>
      <c r="S201" s="1" t="s">
        <v>290</v>
      </c>
      <c r="T201" s="1" t="s">
        <v>291</v>
      </c>
      <c r="U201" s="1">
        <v>1</v>
      </c>
      <c r="V201" s="1" t="s">
        <v>268</v>
      </c>
      <c r="W201" s="1" t="s">
        <v>1246</v>
      </c>
      <c r="Y201" s="10">
        <v>45478</v>
      </c>
      <c r="Z201" s="1">
        <v>2024</v>
      </c>
      <c r="AA201" s="2">
        <v>444865.7</v>
      </c>
      <c r="AB201" s="2"/>
      <c r="AC201" s="2">
        <v>133459.71</v>
      </c>
      <c r="AD201" s="1">
        <v>30</v>
      </c>
      <c r="AG201" s="1" t="s">
        <v>56</v>
      </c>
      <c r="AI201" s="2">
        <v>133459.71</v>
      </c>
    </row>
    <row r="202" spans="1:38" ht="14.45" customHeight="1" x14ac:dyDescent="0.2">
      <c r="A202" s="1" t="s">
        <v>57</v>
      </c>
      <c r="B202" s="9" t="s">
        <v>38</v>
      </c>
      <c r="C202" s="1" t="s">
        <v>58</v>
      </c>
      <c r="D202" s="1" t="s">
        <v>146</v>
      </c>
      <c r="E202" s="1" t="s">
        <v>42</v>
      </c>
      <c r="G202" s="1" t="s">
        <v>155</v>
      </c>
      <c r="H202" s="1" t="s">
        <v>156</v>
      </c>
      <c r="I202" s="1" t="s">
        <v>1247</v>
      </c>
      <c r="J202" s="1">
        <v>2022</v>
      </c>
      <c r="K202" s="1" t="s">
        <v>1248</v>
      </c>
      <c r="L202" s="1" t="s">
        <v>1249</v>
      </c>
      <c r="P202" s="1" t="s">
        <v>1250</v>
      </c>
      <c r="Q202" s="1" t="s">
        <v>264</v>
      </c>
      <c r="R202" s="1" t="s">
        <v>265</v>
      </c>
      <c r="S202" s="1" t="s">
        <v>1251</v>
      </c>
      <c r="T202" s="1" t="s">
        <v>1252</v>
      </c>
      <c r="U202" s="1">
        <v>2</v>
      </c>
      <c r="V202" s="1" t="s">
        <v>268</v>
      </c>
      <c r="W202" s="1" t="s">
        <v>1253</v>
      </c>
      <c r="Y202" s="10">
        <v>45112</v>
      </c>
      <c r="Z202" s="1">
        <v>2023</v>
      </c>
      <c r="AA202" s="2">
        <v>262335.38</v>
      </c>
      <c r="AB202" s="2"/>
      <c r="AC202" s="2">
        <v>262335.38</v>
      </c>
      <c r="AG202" s="1" t="s">
        <v>56</v>
      </c>
      <c r="AI202" s="2">
        <v>262335.38</v>
      </c>
    </row>
    <row r="203" spans="1:38" ht="14.45" customHeight="1" x14ac:dyDescent="0.2">
      <c r="A203" s="1" t="s">
        <v>57</v>
      </c>
      <c r="B203" s="9" t="s">
        <v>38</v>
      </c>
      <c r="C203" s="1" t="s">
        <v>58</v>
      </c>
      <c r="D203" s="1" t="s">
        <v>59</v>
      </c>
      <c r="E203" s="1" t="s">
        <v>42</v>
      </c>
      <c r="G203" s="1" t="s">
        <v>122</v>
      </c>
      <c r="H203" s="1" t="s">
        <v>61</v>
      </c>
      <c r="I203" s="1" t="s">
        <v>1254</v>
      </c>
      <c r="J203" s="1">
        <v>2023</v>
      </c>
      <c r="K203" s="1" t="s">
        <v>1255</v>
      </c>
      <c r="L203" s="1" t="s">
        <v>1256</v>
      </c>
      <c r="P203" s="1" t="s">
        <v>1257</v>
      </c>
      <c r="Q203" s="1" t="s">
        <v>264</v>
      </c>
      <c r="R203" s="1" t="s">
        <v>265</v>
      </c>
      <c r="S203" s="1" t="s">
        <v>935</v>
      </c>
      <c r="T203" s="1" t="s">
        <v>936</v>
      </c>
      <c r="U203" s="1">
        <v>1</v>
      </c>
      <c r="V203" s="1" t="s">
        <v>308</v>
      </c>
      <c r="W203" s="1" t="s">
        <v>1258</v>
      </c>
      <c r="Y203" s="10">
        <v>45478</v>
      </c>
      <c r="Z203" s="1">
        <v>2024</v>
      </c>
      <c r="AA203" s="2">
        <v>498500</v>
      </c>
      <c r="AB203" s="2"/>
      <c r="AC203" s="2">
        <v>104775</v>
      </c>
      <c r="AD203" s="1">
        <v>2</v>
      </c>
      <c r="AG203" s="1" t="s">
        <v>56</v>
      </c>
      <c r="AI203" s="2">
        <v>104775</v>
      </c>
    </row>
    <row r="204" spans="1:38" ht="14.45" customHeight="1" x14ac:dyDescent="0.2">
      <c r="A204" s="1" t="s">
        <v>57</v>
      </c>
      <c r="B204" s="9" t="s">
        <v>38</v>
      </c>
      <c r="C204" s="1" t="s">
        <v>58</v>
      </c>
      <c r="D204" s="1" t="s">
        <v>59</v>
      </c>
      <c r="E204" s="1" t="s">
        <v>42</v>
      </c>
      <c r="G204" s="1" t="s">
        <v>122</v>
      </c>
      <c r="H204" s="1" t="s">
        <v>61</v>
      </c>
      <c r="I204" s="1" t="s">
        <v>1259</v>
      </c>
      <c r="J204" s="1">
        <v>2023</v>
      </c>
      <c r="K204" s="1" t="s">
        <v>1260</v>
      </c>
      <c r="L204" s="1" t="s">
        <v>1261</v>
      </c>
      <c r="P204" s="1" t="s">
        <v>1262</v>
      </c>
      <c r="Q204" s="1" t="s">
        <v>264</v>
      </c>
      <c r="R204" s="1" t="s">
        <v>265</v>
      </c>
      <c r="S204" s="1" t="s">
        <v>935</v>
      </c>
      <c r="T204" s="1" t="s">
        <v>936</v>
      </c>
      <c r="U204" s="1">
        <v>1</v>
      </c>
      <c r="V204" s="1" t="s">
        <v>308</v>
      </c>
      <c r="W204" s="1" t="s">
        <v>1263</v>
      </c>
      <c r="Y204" s="10">
        <v>45478</v>
      </c>
      <c r="Z204" s="1">
        <v>2024</v>
      </c>
      <c r="AA204" s="2">
        <v>498600</v>
      </c>
      <c r="AB204" s="2"/>
      <c r="AC204" s="2">
        <v>104790</v>
      </c>
      <c r="AD204" s="1">
        <v>2</v>
      </c>
      <c r="AG204" s="1" t="s">
        <v>56</v>
      </c>
      <c r="AI204" s="2">
        <v>104790</v>
      </c>
    </row>
    <row r="205" spans="1:38" ht="14.45" customHeight="1" x14ac:dyDescent="0.2">
      <c r="A205" s="1" t="s">
        <v>57</v>
      </c>
      <c r="B205" s="9" t="s">
        <v>38</v>
      </c>
      <c r="C205" s="1" t="s">
        <v>58</v>
      </c>
      <c r="D205" s="1" t="s">
        <v>59</v>
      </c>
      <c r="E205" s="1" t="s">
        <v>42</v>
      </c>
      <c r="G205" s="1" t="s">
        <v>122</v>
      </c>
      <c r="H205" s="1" t="s">
        <v>61</v>
      </c>
      <c r="I205" s="1" t="s">
        <v>1264</v>
      </c>
      <c r="J205" s="1">
        <v>2023</v>
      </c>
      <c r="K205" s="1" t="s">
        <v>1075</v>
      </c>
      <c r="L205" s="1" t="s">
        <v>1265</v>
      </c>
      <c r="P205" s="1" t="s">
        <v>1266</v>
      </c>
      <c r="Q205" s="1" t="s">
        <v>264</v>
      </c>
      <c r="R205" s="1" t="s">
        <v>265</v>
      </c>
      <c r="S205" s="1" t="s">
        <v>266</v>
      </c>
      <c r="T205" s="1" t="s">
        <v>267</v>
      </c>
      <c r="U205" s="1">
        <v>2</v>
      </c>
      <c r="V205" s="1" t="s">
        <v>268</v>
      </c>
      <c r="W205" s="1" t="s">
        <v>1267</v>
      </c>
      <c r="Y205" s="10">
        <v>45478</v>
      </c>
      <c r="Z205" s="1">
        <v>2024</v>
      </c>
      <c r="AA205" s="2">
        <v>336649</v>
      </c>
      <c r="AB205" s="2"/>
      <c r="AC205" s="2">
        <v>77779.62</v>
      </c>
      <c r="AD205" s="1">
        <v>0</v>
      </c>
      <c r="AG205" s="1" t="s">
        <v>56</v>
      </c>
      <c r="AI205" s="2">
        <v>77779.62</v>
      </c>
    </row>
    <row r="206" spans="1:38" ht="14.45" customHeight="1" x14ac:dyDescent="0.2">
      <c r="A206" s="1" t="s">
        <v>57</v>
      </c>
      <c r="B206" s="9" t="s">
        <v>38</v>
      </c>
      <c r="C206" s="1" t="s">
        <v>58</v>
      </c>
      <c r="D206" s="1" t="s">
        <v>59</v>
      </c>
      <c r="E206" s="1" t="s">
        <v>42</v>
      </c>
      <c r="G206" s="1" t="s">
        <v>105</v>
      </c>
      <c r="H206" s="1" t="s">
        <v>61</v>
      </c>
      <c r="I206" s="1" t="s">
        <v>1268</v>
      </c>
      <c r="J206" s="1">
        <v>2023</v>
      </c>
      <c r="K206" s="1" t="s">
        <v>1269</v>
      </c>
      <c r="L206" s="1" t="s">
        <v>1270</v>
      </c>
      <c r="P206" s="1" t="s">
        <v>1271</v>
      </c>
      <c r="Q206" s="1" t="s">
        <v>101</v>
      </c>
      <c r="R206" s="1" t="s">
        <v>102</v>
      </c>
      <c r="S206" s="1" t="s">
        <v>1272</v>
      </c>
      <c r="T206" s="1" t="s">
        <v>1273</v>
      </c>
      <c r="U206" s="1">
        <v>2</v>
      </c>
      <c r="V206" s="1" t="s">
        <v>101</v>
      </c>
      <c r="W206" s="1" t="s">
        <v>1269</v>
      </c>
      <c r="Y206" s="10">
        <v>45462</v>
      </c>
      <c r="Z206" s="1">
        <v>2024</v>
      </c>
      <c r="AA206" s="2">
        <v>2073154.79</v>
      </c>
      <c r="AB206" s="2"/>
      <c r="AC206" s="2">
        <v>387315.48</v>
      </c>
      <c r="AD206" s="1">
        <v>15</v>
      </c>
      <c r="AE206" s="1">
        <v>4</v>
      </c>
      <c r="AG206" s="1" t="s">
        <v>56</v>
      </c>
      <c r="AI206" s="2">
        <v>387315.48</v>
      </c>
    </row>
    <row r="207" spans="1:38" ht="14.45" customHeight="1" x14ac:dyDescent="0.2">
      <c r="A207" s="1" t="s">
        <v>57</v>
      </c>
      <c r="B207" s="9" t="s">
        <v>38</v>
      </c>
      <c r="C207" s="1" t="s">
        <v>58</v>
      </c>
      <c r="D207" s="1" t="s">
        <v>146</v>
      </c>
      <c r="E207" s="1" t="s">
        <v>42</v>
      </c>
      <c r="G207" s="1" t="s">
        <v>155</v>
      </c>
      <c r="H207" s="1" t="s">
        <v>156</v>
      </c>
      <c r="I207" s="1" t="s">
        <v>1274</v>
      </c>
      <c r="J207" s="1">
        <v>2022</v>
      </c>
      <c r="K207" s="1" t="s">
        <v>1275</v>
      </c>
      <c r="L207" s="1" t="s">
        <v>1276</v>
      </c>
      <c r="N207" s="1" t="s">
        <v>1277</v>
      </c>
      <c r="P207" s="1" t="s">
        <v>1278</v>
      </c>
      <c r="Q207" s="1" t="s">
        <v>50</v>
      </c>
      <c r="R207" s="1" t="s">
        <v>51</v>
      </c>
      <c r="S207" s="1" t="s">
        <v>1279</v>
      </c>
      <c r="T207" s="1" t="s">
        <v>1280</v>
      </c>
      <c r="V207" s="1" t="s">
        <v>54</v>
      </c>
      <c r="W207" s="1" t="s">
        <v>1281</v>
      </c>
      <c r="Y207" s="10">
        <v>45112</v>
      </c>
      <c r="Z207" s="1">
        <v>2023</v>
      </c>
      <c r="AA207" s="2">
        <v>127682.71</v>
      </c>
      <c r="AB207" s="2"/>
      <c r="AC207" s="2">
        <v>127682.71</v>
      </c>
      <c r="AG207" s="1" t="s">
        <v>56</v>
      </c>
      <c r="AI207" s="2">
        <v>127682.71</v>
      </c>
    </row>
    <row r="208" spans="1:38" ht="14.45" customHeight="1" x14ac:dyDescent="0.2">
      <c r="A208" s="1" t="s">
        <v>57</v>
      </c>
      <c r="B208" s="9" t="s">
        <v>38</v>
      </c>
      <c r="C208" s="1" t="s">
        <v>58</v>
      </c>
      <c r="D208" s="1" t="s">
        <v>146</v>
      </c>
      <c r="E208" s="1" t="s">
        <v>42</v>
      </c>
      <c r="G208" s="1" t="s">
        <v>155</v>
      </c>
      <c r="H208" s="1" t="s">
        <v>156</v>
      </c>
      <c r="I208" s="1" t="s">
        <v>1282</v>
      </c>
      <c r="J208" s="1">
        <v>2022</v>
      </c>
      <c r="K208" s="1" t="s">
        <v>1283</v>
      </c>
      <c r="L208" s="1" t="s">
        <v>1284</v>
      </c>
      <c r="N208" s="1" t="s">
        <v>1285</v>
      </c>
      <c r="P208" s="1" t="s">
        <v>1286</v>
      </c>
      <c r="Q208" s="1" t="s">
        <v>110</v>
      </c>
      <c r="R208" s="1" t="s">
        <v>111</v>
      </c>
      <c r="S208" s="1" t="s">
        <v>1287</v>
      </c>
      <c r="T208" s="1" t="s">
        <v>1288</v>
      </c>
      <c r="V208" s="1" t="s">
        <v>114</v>
      </c>
      <c r="W208" s="1" t="s">
        <v>1289</v>
      </c>
      <c r="Y208" s="10">
        <v>45112</v>
      </c>
      <c r="Z208" s="1">
        <v>2023</v>
      </c>
      <c r="AA208" s="2">
        <v>1023580</v>
      </c>
      <c r="AB208" s="2"/>
      <c r="AC208" s="2">
        <v>1023580</v>
      </c>
      <c r="AG208" s="1" t="s">
        <v>56</v>
      </c>
      <c r="AI208" s="2">
        <v>1023580</v>
      </c>
    </row>
    <row r="209" spans="1:38" ht="14.45" customHeight="1" x14ac:dyDescent="0.2">
      <c r="A209" s="1" t="s">
        <v>57</v>
      </c>
      <c r="B209" s="9" t="s">
        <v>39</v>
      </c>
      <c r="C209" s="1" t="s">
        <v>58</v>
      </c>
      <c r="D209" s="1" t="s">
        <v>59</v>
      </c>
      <c r="E209" s="1" t="s">
        <v>42</v>
      </c>
      <c r="G209" s="1" t="s">
        <v>60</v>
      </c>
      <c r="H209" s="1" t="s">
        <v>61</v>
      </c>
      <c r="I209" s="1" t="s">
        <v>1290</v>
      </c>
      <c r="J209" s="1" t="s">
        <v>82</v>
      </c>
      <c r="K209" s="1" t="s">
        <v>1291</v>
      </c>
      <c r="P209" s="1" t="s">
        <v>1292</v>
      </c>
      <c r="Q209" s="1" t="s">
        <v>50</v>
      </c>
      <c r="R209" s="1" t="s">
        <v>68</v>
      </c>
      <c r="S209" s="1" t="s">
        <v>692</v>
      </c>
      <c r="T209" s="1" t="s">
        <v>693</v>
      </c>
      <c r="U209" s="1">
        <v>2</v>
      </c>
      <c r="V209" s="1" t="s">
        <v>71</v>
      </c>
      <c r="W209" s="1" t="s">
        <v>1291</v>
      </c>
      <c r="X209" s="1" t="s">
        <v>87</v>
      </c>
      <c r="Y209" s="10">
        <v>45007</v>
      </c>
      <c r="Z209" s="1">
        <v>2023</v>
      </c>
      <c r="AA209" s="2">
        <v>6244101.1600000001</v>
      </c>
      <c r="AB209" s="2"/>
      <c r="AC209" s="2">
        <v>624410.12</v>
      </c>
      <c r="AD209" s="1">
        <v>90</v>
      </c>
      <c r="AE209" s="1">
        <v>4</v>
      </c>
      <c r="AG209" s="1" t="s">
        <v>432</v>
      </c>
      <c r="AH209" s="1" t="s">
        <v>492</v>
      </c>
      <c r="AI209" s="2">
        <v>0</v>
      </c>
    </row>
    <row r="210" spans="1:38" ht="12.6" customHeight="1" x14ac:dyDescent="0.2">
      <c r="A210" s="1" t="s">
        <v>57</v>
      </c>
      <c r="B210" s="9" t="s">
        <v>38</v>
      </c>
      <c r="C210" s="1" t="s">
        <v>58</v>
      </c>
      <c r="D210" s="1" t="s">
        <v>59</v>
      </c>
      <c r="E210" s="1" t="s">
        <v>42</v>
      </c>
      <c r="G210" s="1" t="s">
        <v>88</v>
      </c>
      <c r="H210" s="1" t="s">
        <v>61</v>
      </c>
      <c r="I210" s="1" t="s">
        <v>1293</v>
      </c>
      <c r="J210" s="1">
        <v>2021</v>
      </c>
      <c r="K210" s="1" t="s">
        <v>1294</v>
      </c>
      <c r="L210" s="1" t="s">
        <v>1295</v>
      </c>
      <c r="P210" s="1" t="s">
        <v>1296</v>
      </c>
      <c r="Q210" s="1" t="s">
        <v>110</v>
      </c>
      <c r="R210" s="1" t="s">
        <v>605</v>
      </c>
      <c r="S210" s="1" t="s">
        <v>606</v>
      </c>
      <c r="T210" s="1" t="s">
        <v>607</v>
      </c>
      <c r="U210" s="1">
        <v>1</v>
      </c>
      <c r="V210" s="1" t="s">
        <v>80</v>
      </c>
      <c r="W210" s="1" t="s">
        <v>1294</v>
      </c>
      <c r="X210" s="1" t="s">
        <v>609</v>
      </c>
      <c r="Y210" s="10">
        <v>44557</v>
      </c>
      <c r="Z210" s="1">
        <v>2021</v>
      </c>
      <c r="AA210" s="2">
        <v>84346.48</v>
      </c>
      <c r="AB210" s="2"/>
      <c r="AC210" s="2">
        <v>37955.919999999998</v>
      </c>
      <c r="AD210" s="1">
        <v>1</v>
      </c>
      <c r="AE210" s="1">
        <v>1</v>
      </c>
      <c r="AG210" s="1" t="s">
        <v>56</v>
      </c>
      <c r="AI210" s="2">
        <v>37955.919999999998</v>
      </c>
    </row>
    <row r="211" spans="1:38" ht="14.45" customHeight="1" x14ac:dyDescent="0.2">
      <c r="A211" s="1" t="s">
        <v>57</v>
      </c>
      <c r="B211" s="9" t="s">
        <v>38</v>
      </c>
      <c r="C211" s="1" t="s">
        <v>58</v>
      </c>
      <c r="D211" s="1" t="s">
        <v>146</v>
      </c>
      <c r="E211" s="1" t="s">
        <v>42</v>
      </c>
      <c r="G211" s="1" t="s">
        <v>155</v>
      </c>
      <c r="H211" s="1" t="s">
        <v>156</v>
      </c>
      <c r="I211" s="1" t="s">
        <v>1297</v>
      </c>
      <c r="J211" s="1">
        <v>2022</v>
      </c>
      <c r="K211" s="1" t="s">
        <v>1298</v>
      </c>
      <c r="L211" s="1" t="s">
        <v>1299</v>
      </c>
      <c r="N211" s="1" t="s">
        <v>1300</v>
      </c>
      <c r="P211" s="1" t="s">
        <v>1301</v>
      </c>
      <c r="Q211" s="1" t="s">
        <v>101</v>
      </c>
      <c r="R211" s="1" t="s">
        <v>102</v>
      </c>
      <c r="S211" s="1" t="s">
        <v>1302</v>
      </c>
      <c r="T211" s="1" t="s">
        <v>1303</v>
      </c>
      <c r="U211" s="1">
        <v>1</v>
      </c>
      <c r="V211" s="1" t="s">
        <v>101</v>
      </c>
      <c r="W211" s="1" t="s">
        <v>1304</v>
      </c>
      <c r="Y211" s="10">
        <v>45112</v>
      </c>
      <c r="Z211" s="1">
        <v>2023</v>
      </c>
      <c r="AA211" s="2">
        <v>101519.39</v>
      </c>
      <c r="AB211" s="2"/>
      <c r="AC211" s="2">
        <v>101519.39</v>
      </c>
      <c r="AG211" s="1" t="s">
        <v>56</v>
      </c>
      <c r="AI211" s="2">
        <v>101519.39</v>
      </c>
    </row>
    <row r="212" spans="1:38" ht="14.45" customHeight="1" x14ac:dyDescent="0.25">
      <c r="A212" s="1" t="s">
        <v>57</v>
      </c>
      <c r="B212" s="9" t="s">
        <v>38</v>
      </c>
      <c r="C212" s="1" t="s">
        <v>58</v>
      </c>
      <c r="D212" s="1" t="s">
        <v>146</v>
      </c>
      <c r="E212" s="1" t="s">
        <v>42</v>
      </c>
      <c r="G212" s="1" t="s">
        <v>155</v>
      </c>
      <c r="H212" s="1" t="s">
        <v>156</v>
      </c>
      <c r="I212" s="1" t="s">
        <v>1305</v>
      </c>
      <c r="J212" s="1">
        <v>2022</v>
      </c>
      <c r="K212" s="1" t="s">
        <v>1306</v>
      </c>
      <c r="L212" s="1" t="s">
        <v>1307</v>
      </c>
      <c r="M212" s="1" t="s">
        <v>1308</v>
      </c>
      <c r="N212" s="1" t="s">
        <v>1309</v>
      </c>
      <c r="P212" s="1" t="s">
        <v>1310</v>
      </c>
      <c r="Q212" s="1" t="s">
        <v>50</v>
      </c>
      <c r="R212" s="1" t="s">
        <v>51</v>
      </c>
      <c r="S212" s="16" t="s">
        <v>1311</v>
      </c>
      <c r="T212" s="1" t="s">
        <v>1312</v>
      </c>
      <c r="V212" s="1" t="s">
        <v>54</v>
      </c>
      <c r="W212" s="1" t="s">
        <v>1313</v>
      </c>
      <c r="Y212" s="10">
        <v>45112</v>
      </c>
      <c r="Z212" s="1">
        <v>2023</v>
      </c>
      <c r="AA212" s="2">
        <v>64177.78</v>
      </c>
      <c r="AB212" s="2"/>
      <c r="AC212" s="2">
        <v>64177.78</v>
      </c>
      <c r="AG212" s="1" t="s">
        <v>56</v>
      </c>
      <c r="AI212" s="2">
        <v>64177.78</v>
      </c>
    </row>
    <row r="213" spans="1:38" ht="14.45" customHeight="1" x14ac:dyDescent="0.2">
      <c r="A213" s="1" t="s">
        <v>57</v>
      </c>
      <c r="B213" s="9" t="s">
        <v>38</v>
      </c>
      <c r="C213" s="1" t="s">
        <v>58</v>
      </c>
      <c r="D213" s="1" t="s">
        <v>59</v>
      </c>
      <c r="E213" s="1" t="s">
        <v>42</v>
      </c>
      <c r="G213" s="1" t="s">
        <v>88</v>
      </c>
      <c r="H213" s="1" t="s">
        <v>61</v>
      </c>
      <c r="I213" s="1" t="s">
        <v>1314</v>
      </c>
      <c r="J213" s="1">
        <v>2021</v>
      </c>
      <c r="K213" s="1" t="s">
        <v>1315</v>
      </c>
      <c r="L213" s="1" t="s">
        <v>1316</v>
      </c>
      <c r="P213" s="1" t="s">
        <v>1317</v>
      </c>
      <c r="Q213" s="1" t="s">
        <v>50</v>
      </c>
      <c r="R213" s="1" t="s">
        <v>68</v>
      </c>
      <c r="S213" s="1" t="s">
        <v>189</v>
      </c>
      <c r="T213" s="1" t="s">
        <v>190</v>
      </c>
      <c r="U213" s="1">
        <v>1</v>
      </c>
      <c r="V213" s="1" t="s">
        <v>71</v>
      </c>
      <c r="W213" s="1" t="s">
        <v>1315</v>
      </c>
      <c r="X213" s="1" t="s">
        <v>609</v>
      </c>
      <c r="Y213" s="10">
        <v>44557</v>
      </c>
      <c r="Z213" s="1">
        <v>2021</v>
      </c>
      <c r="AA213" s="2">
        <v>267475.23</v>
      </c>
      <c r="AB213" s="2"/>
      <c r="AC213" s="2">
        <v>80242.570000000007</v>
      </c>
      <c r="AD213" s="1">
        <v>2</v>
      </c>
      <c r="AE213" s="1">
        <v>2</v>
      </c>
      <c r="AG213" s="1" t="s">
        <v>56</v>
      </c>
      <c r="AI213" s="2">
        <v>80242.570000000007</v>
      </c>
    </row>
    <row r="214" spans="1:38" ht="14.45" customHeight="1" x14ac:dyDescent="0.2">
      <c r="A214" s="1" t="s">
        <v>57</v>
      </c>
      <c r="B214" s="9" t="s">
        <v>38</v>
      </c>
      <c r="C214" s="1" t="s">
        <v>58</v>
      </c>
      <c r="D214" s="1" t="s">
        <v>59</v>
      </c>
      <c r="E214" s="1" t="s">
        <v>42</v>
      </c>
      <c r="G214" s="1" t="s">
        <v>88</v>
      </c>
      <c r="H214" s="1" t="s">
        <v>61</v>
      </c>
      <c r="I214" s="1" t="s">
        <v>1318</v>
      </c>
      <c r="J214" s="1">
        <v>2021</v>
      </c>
      <c r="K214" s="1" t="s">
        <v>1319</v>
      </c>
      <c r="L214" s="1" t="s">
        <v>1319</v>
      </c>
      <c r="P214" s="1" t="s">
        <v>1320</v>
      </c>
      <c r="Q214" s="1" t="s">
        <v>110</v>
      </c>
      <c r="R214" s="1" t="s">
        <v>605</v>
      </c>
      <c r="S214" s="1" t="s">
        <v>606</v>
      </c>
      <c r="T214" s="1" t="s">
        <v>607</v>
      </c>
      <c r="U214" s="1">
        <v>1</v>
      </c>
      <c r="V214" s="1" t="s">
        <v>80</v>
      </c>
      <c r="W214" s="1" t="s">
        <v>1319</v>
      </c>
      <c r="X214" s="1" t="s">
        <v>400</v>
      </c>
      <c r="Y214" s="10">
        <v>44557</v>
      </c>
      <c r="Z214" s="1">
        <v>2021</v>
      </c>
      <c r="AA214" s="2">
        <v>83262</v>
      </c>
      <c r="AB214" s="2"/>
      <c r="AC214" s="2">
        <v>37467.9</v>
      </c>
      <c r="AD214" s="1">
        <v>1</v>
      </c>
      <c r="AE214" s="1">
        <v>1</v>
      </c>
      <c r="AG214" s="1" t="s">
        <v>56</v>
      </c>
      <c r="AI214" s="2">
        <v>37467.9</v>
      </c>
    </row>
    <row r="215" spans="1:38" ht="14.45" customHeight="1" x14ac:dyDescent="0.2">
      <c r="A215" s="1" t="s">
        <v>57</v>
      </c>
      <c r="B215" s="9" t="s">
        <v>38</v>
      </c>
      <c r="C215" s="1" t="s">
        <v>58</v>
      </c>
      <c r="D215" s="1" t="s">
        <v>59</v>
      </c>
      <c r="E215" s="1" t="s">
        <v>42</v>
      </c>
      <c r="G215" s="1" t="s">
        <v>88</v>
      </c>
      <c r="H215" s="1" t="s">
        <v>61</v>
      </c>
      <c r="I215" s="1" t="s">
        <v>1321</v>
      </c>
      <c r="J215" s="1" t="s">
        <v>82</v>
      </c>
      <c r="K215" s="1" t="s">
        <v>1322</v>
      </c>
      <c r="L215" s="1" t="s">
        <v>1323</v>
      </c>
      <c r="P215" s="1" t="s">
        <v>1324</v>
      </c>
      <c r="Q215" s="1" t="s">
        <v>110</v>
      </c>
      <c r="R215" s="1" t="s">
        <v>605</v>
      </c>
      <c r="S215" s="1" t="s">
        <v>606</v>
      </c>
      <c r="T215" s="1" t="s">
        <v>607</v>
      </c>
      <c r="U215" s="1">
        <v>1</v>
      </c>
      <c r="V215" s="1" t="s">
        <v>80</v>
      </c>
      <c r="W215" s="1" t="s">
        <v>1325</v>
      </c>
      <c r="X215" s="1" t="s">
        <v>153</v>
      </c>
      <c r="Y215" s="10">
        <v>43825</v>
      </c>
      <c r="Z215" s="1">
        <v>2019</v>
      </c>
      <c r="AA215" s="2">
        <v>156221.6</v>
      </c>
      <c r="AB215" s="2"/>
      <c r="AC215" s="2">
        <v>70299.72</v>
      </c>
      <c r="AD215" s="1">
        <v>0</v>
      </c>
      <c r="AG215" s="1" t="s">
        <v>56</v>
      </c>
      <c r="AI215" s="2">
        <v>70299.72</v>
      </c>
      <c r="AL215" s="1" t="s">
        <v>1326</v>
      </c>
    </row>
    <row r="216" spans="1:38" ht="14.45" customHeight="1" x14ac:dyDescent="0.2">
      <c r="A216" s="1" t="s">
        <v>57</v>
      </c>
      <c r="B216" s="9" t="s">
        <v>38</v>
      </c>
      <c r="C216" s="1" t="s">
        <v>58</v>
      </c>
      <c r="D216" s="1" t="s">
        <v>59</v>
      </c>
      <c r="E216" s="1" t="s">
        <v>42</v>
      </c>
      <c r="G216" s="1" t="s">
        <v>88</v>
      </c>
      <c r="H216" s="1" t="s">
        <v>61</v>
      </c>
      <c r="I216" s="1" t="s">
        <v>1327</v>
      </c>
      <c r="J216" s="1">
        <v>2021</v>
      </c>
      <c r="K216" s="1" t="s">
        <v>754</v>
      </c>
      <c r="L216" s="1" t="s">
        <v>1328</v>
      </c>
      <c r="P216" s="1" t="s">
        <v>1329</v>
      </c>
      <c r="Q216" s="1" t="s">
        <v>50</v>
      </c>
      <c r="R216" s="1" t="s">
        <v>68</v>
      </c>
      <c r="S216" s="1" t="s">
        <v>1203</v>
      </c>
      <c r="T216" s="1" t="s">
        <v>1204</v>
      </c>
      <c r="U216" s="1">
        <v>1</v>
      </c>
      <c r="V216" s="1" t="s">
        <v>195</v>
      </c>
      <c r="W216" s="1" t="s">
        <v>754</v>
      </c>
      <c r="X216" s="1" t="s">
        <v>138</v>
      </c>
      <c r="Y216" s="10">
        <v>44557</v>
      </c>
      <c r="Z216" s="1">
        <v>2021</v>
      </c>
      <c r="AA216" s="2">
        <v>71359.81</v>
      </c>
      <c r="AB216" s="2"/>
      <c r="AC216" s="2">
        <v>21407.94</v>
      </c>
      <c r="AD216" s="1">
        <v>2</v>
      </c>
      <c r="AG216" s="1" t="s">
        <v>56</v>
      </c>
      <c r="AI216" s="2">
        <v>21407.94</v>
      </c>
    </row>
    <row r="217" spans="1:38" ht="14.45" customHeight="1" x14ac:dyDescent="0.2">
      <c r="A217" s="1" t="s">
        <v>57</v>
      </c>
      <c r="B217" s="9" t="s">
        <v>38</v>
      </c>
      <c r="C217" s="1" t="s">
        <v>58</v>
      </c>
      <c r="D217" s="1" t="s">
        <v>146</v>
      </c>
      <c r="E217" s="1" t="s">
        <v>42</v>
      </c>
      <c r="G217" s="1" t="s">
        <v>1172</v>
      </c>
      <c r="H217" s="1" t="s">
        <v>61</v>
      </c>
      <c r="I217" s="1" t="s">
        <v>1330</v>
      </c>
      <c r="J217" s="1">
        <v>2020</v>
      </c>
      <c r="K217" s="1" t="s">
        <v>1331</v>
      </c>
      <c r="L217" s="1" t="s">
        <v>1332</v>
      </c>
      <c r="P217" s="1" t="s">
        <v>1333</v>
      </c>
      <c r="Q217" s="1" t="s">
        <v>264</v>
      </c>
      <c r="R217" s="1" t="s">
        <v>265</v>
      </c>
      <c r="S217" s="1" t="s">
        <v>1334</v>
      </c>
      <c r="T217" s="1" t="s">
        <v>1335</v>
      </c>
      <c r="U217" s="1">
        <v>1</v>
      </c>
      <c r="V217" s="1" t="s">
        <v>268</v>
      </c>
      <c r="W217" s="1" t="s">
        <v>1331</v>
      </c>
      <c r="X217" s="1" t="s">
        <v>321</v>
      </c>
      <c r="Y217" s="10">
        <v>44337</v>
      </c>
      <c r="Z217" s="1">
        <v>2021</v>
      </c>
      <c r="AA217" s="2">
        <v>999960.13</v>
      </c>
      <c r="AB217" s="2"/>
      <c r="AC217" s="2">
        <v>499980.07</v>
      </c>
      <c r="AD217" s="1">
        <v>1</v>
      </c>
      <c r="AE217" s="1">
        <v>1</v>
      </c>
      <c r="AG217" s="1" t="s">
        <v>56</v>
      </c>
      <c r="AH217" s="1" t="s">
        <v>154</v>
      </c>
      <c r="AI217" s="2">
        <v>478352.81</v>
      </c>
      <c r="AK217" s="1">
        <v>1</v>
      </c>
      <c r="AL217" s="1" t="s">
        <v>1336</v>
      </c>
    </row>
    <row r="218" spans="1:38" ht="14.45" customHeight="1" x14ac:dyDescent="0.2">
      <c r="A218" s="1" t="s">
        <v>57</v>
      </c>
      <c r="B218" s="9" t="s">
        <v>38</v>
      </c>
      <c r="C218" s="1" t="s">
        <v>58</v>
      </c>
      <c r="D218" s="1" t="s">
        <v>59</v>
      </c>
      <c r="E218" s="1" t="s">
        <v>42</v>
      </c>
      <c r="G218" s="1" t="s">
        <v>88</v>
      </c>
      <c r="H218" s="1" t="s">
        <v>61</v>
      </c>
      <c r="I218" s="1" t="s">
        <v>1337</v>
      </c>
      <c r="J218" s="1">
        <v>2021</v>
      </c>
      <c r="K218" s="1" t="s">
        <v>1338</v>
      </c>
      <c r="L218" s="1" t="s">
        <v>1339</v>
      </c>
      <c r="P218" s="1" t="s">
        <v>1340</v>
      </c>
      <c r="Q218" s="1" t="s">
        <v>50</v>
      </c>
      <c r="R218" s="1" t="s">
        <v>68</v>
      </c>
      <c r="S218" s="1" t="s">
        <v>425</v>
      </c>
      <c r="T218" s="1" t="s">
        <v>426</v>
      </c>
      <c r="U218" s="1">
        <v>1</v>
      </c>
      <c r="V218" s="1" t="s">
        <v>195</v>
      </c>
      <c r="W218" s="1" t="s">
        <v>1338</v>
      </c>
      <c r="X218" s="1" t="s">
        <v>138</v>
      </c>
      <c r="Y218" s="10">
        <v>44557</v>
      </c>
      <c r="Z218" s="1">
        <v>2021</v>
      </c>
      <c r="AA218" s="2">
        <v>238330.18</v>
      </c>
      <c r="AB218" s="2"/>
      <c r="AC218" s="2">
        <v>71499.05</v>
      </c>
      <c r="AD218" s="1">
        <v>6</v>
      </c>
      <c r="AE218" s="1">
        <v>2</v>
      </c>
      <c r="AG218" s="1" t="s">
        <v>56</v>
      </c>
      <c r="AI218" s="2">
        <v>71499.05</v>
      </c>
    </row>
    <row r="219" spans="1:38" ht="14.45" customHeight="1" x14ac:dyDescent="0.2">
      <c r="A219" s="1" t="s">
        <v>57</v>
      </c>
      <c r="B219" s="9" t="s">
        <v>38</v>
      </c>
      <c r="C219" s="1" t="s">
        <v>58</v>
      </c>
      <c r="D219" s="1" t="s">
        <v>146</v>
      </c>
      <c r="E219" s="1" t="s">
        <v>42</v>
      </c>
      <c r="G219" s="1" t="s">
        <v>155</v>
      </c>
      <c r="H219" s="1" t="s">
        <v>156</v>
      </c>
      <c r="I219" s="1" t="s">
        <v>1341</v>
      </c>
      <c r="J219" s="1">
        <v>2022</v>
      </c>
      <c r="K219" s="1" t="s">
        <v>1342</v>
      </c>
      <c r="L219" s="1" t="s">
        <v>1343</v>
      </c>
      <c r="M219" s="1" t="s">
        <v>1344</v>
      </c>
      <c r="P219" s="1" t="s">
        <v>1345</v>
      </c>
      <c r="Q219" s="1" t="s">
        <v>264</v>
      </c>
      <c r="R219" s="1" t="s">
        <v>265</v>
      </c>
      <c r="S219" s="1" t="s">
        <v>290</v>
      </c>
      <c r="T219" s="1" t="s">
        <v>291</v>
      </c>
      <c r="U219" s="1">
        <v>1</v>
      </c>
      <c r="V219" s="1" t="s">
        <v>268</v>
      </c>
      <c r="W219" s="1" t="s">
        <v>1346</v>
      </c>
      <c r="Y219" s="10">
        <v>45112</v>
      </c>
      <c r="Z219" s="1">
        <v>2023</v>
      </c>
      <c r="AA219" s="2">
        <v>1499832.96</v>
      </c>
      <c r="AB219" s="2"/>
      <c r="AC219" s="2">
        <v>1499832.96</v>
      </c>
      <c r="AG219" s="1" t="s">
        <v>56</v>
      </c>
      <c r="AI219" s="2">
        <v>1499832.96</v>
      </c>
    </row>
    <row r="220" spans="1:38" ht="14.45" customHeight="1" x14ac:dyDescent="0.2">
      <c r="A220" s="1" t="s">
        <v>57</v>
      </c>
      <c r="B220" s="9" t="s">
        <v>38</v>
      </c>
      <c r="C220" s="1" t="s">
        <v>58</v>
      </c>
      <c r="D220" s="1" t="s">
        <v>146</v>
      </c>
      <c r="E220" s="1" t="s">
        <v>42</v>
      </c>
      <c r="G220" s="1" t="s">
        <v>155</v>
      </c>
      <c r="H220" s="1" t="s">
        <v>156</v>
      </c>
      <c r="I220" s="1" t="s">
        <v>1347</v>
      </c>
      <c r="J220" s="1">
        <v>2022</v>
      </c>
      <c r="K220" s="1" t="s">
        <v>1348</v>
      </c>
      <c r="L220" s="1" t="s">
        <v>1349</v>
      </c>
      <c r="N220" s="1" t="s">
        <v>1350</v>
      </c>
      <c r="P220" s="1" t="s">
        <v>1351</v>
      </c>
      <c r="Q220" s="1" t="s">
        <v>110</v>
      </c>
      <c r="R220" s="1" t="s">
        <v>111</v>
      </c>
      <c r="S220" s="1" t="s">
        <v>1352</v>
      </c>
      <c r="T220" s="1" t="s">
        <v>1353</v>
      </c>
      <c r="V220" s="1" t="s">
        <v>114</v>
      </c>
      <c r="W220" s="1" t="s">
        <v>1354</v>
      </c>
      <c r="Y220" s="10">
        <v>45112</v>
      </c>
      <c r="Z220" s="1">
        <v>2023</v>
      </c>
      <c r="AA220" s="2">
        <v>273022.71000000002</v>
      </c>
      <c r="AB220" s="2"/>
      <c r="AC220" s="2">
        <v>273022.71000000002</v>
      </c>
      <c r="AG220" s="1" t="s">
        <v>56</v>
      </c>
      <c r="AI220" s="2">
        <v>273022.71000000002</v>
      </c>
    </row>
    <row r="221" spans="1:38" ht="14.45" customHeight="1" x14ac:dyDescent="0.2">
      <c r="A221" s="1" t="s">
        <v>57</v>
      </c>
      <c r="B221" s="9" t="s">
        <v>38</v>
      </c>
      <c r="C221" s="1" t="s">
        <v>58</v>
      </c>
      <c r="D221" s="1" t="s">
        <v>146</v>
      </c>
      <c r="E221" s="1" t="s">
        <v>42</v>
      </c>
      <c r="G221" s="1" t="s">
        <v>155</v>
      </c>
      <c r="H221" s="1" t="s">
        <v>156</v>
      </c>
      <c r="I221" s="1" t="s">
        <v>1355</v>
      </c>
      <c r="J221" s="1">
        <v>2022</v>
      </c>
      <c r="K221" s="1" t="s">
        <v>1356</v>
      </c>
      <c r="L221" s="1" t="s">
        <v>1357</v>
      </c>
      <c r="M221" s="1" t="s">
        <v>1358</v>
      </c>
      <c r="P221" s="1" t="s">
        <v>1359</v>
      </c>
      <c r="Q221" s="1" t="s">
        <v>50</v>
      </c>
      <c r="R221" s="1" t="s">
        <v>68</v>
      </c>
      <c r="S221" s="1" t="s">
        <v>1360</v>
      </c>
      <c r="T221" s="1" t="s">
        <v>1361</v>
      </c>
      <c r="U221" s="1">
        <v>1</v>
      </c>
      <c r="V221" s="1" t="s">
        <v>71</v>
      </c>
      <c r="W221" s="1" t="s">
        <v>1362</v>
      </c>
      <c r="Y221" s="10">
        <v>45112</v>
      </c>
      <c r="Z221" s="1">
        <v>2023</v>
      </c>
      <c r="AA221" s="2">
        <v>1496396.21</v>
      </c>
      <c r="AB221" s="2"/>
      <c r="AC221" s="2">
        <v>1496396.21</v>
      </c>
      <c r="AG221" s="1" t="s">
        <v>56</v>
      </c>
      <c r="AI221" s="2">
        <v>1496396.21</v>
      </c>
    </row>
    <row r="222" spans="1:38" ht="14.45" customHeight="1" x14ac:dyDescent="0.2">
      <c r="A222" s="1" t="s">
        <v>57</v>
      </c>
      <c r="B222" s="9" t="s">
        <v>38</v>
      </c>
      <c r="C222" s="1" t="s">
        <v>58</v>
      </c>
      <c r="D222" s="1" t="s">
        <v>59</v>
      </c>
      <c r="E222" s="1" t="s">
        <v>42</v>
      </c>
      <c r="G222" s="1" t="s">
        <v>88</v>
      </c>
      <c r="H222" s="1" t="s">
        <v>61</v>
      </c>
      <c r="I222" s="1" t="s">
        <v>1363</v>
      </c>
      <c r="J222" s="1">
        <v>2021</v>
      </c>
      <c r="K222" s="1" t="s">
        <v>1364</v>
      </c>
      <c r="L222" s="1" t="s">
        <v>1365</v>
      </c>
      <c r="M222" s="1" t="s">
        <v>1366</v>
      </c>
      <c r="P222" s="1" t="s">
        <v>1367</v>
      </c>
      <c r="Q222" s="1" t="s">
        <v>50</v>
      </c>
      <c r="R222" s="1" t="s">
        <v>68</v>
      </c>
      <c r="S222" s="1" t="s">
        <v>1368</v>
      </c>
      <c r="T222" s="1" t="s">
        <v>1369</v>
      </c>
      <c r="U222" s="1">
        <v>1</v>
      </c>
      <c r="V222" s="1" t="s">
        <v>195</v>
      </c>
      <c r="W222" s="1" t="s">
        <v>1370</v>
      </c>
      <c r="X222" s="1" t="s">
        <v>609</v>
      </c>
      <c r="Y222" s="10">
        <v>44557</v>
      </c>
      <c r="Z222" s="1">
        <v>2021</v>
      </c>
      <c r="AA222" s="2">
        <v>289827.71999999997</v>
      </c>
      <c r="AB222" s="2"/>
      <c r="AC222" s="2">
        <v>86948.32</v>
      </c>
      <c r="AD222" s="1">
        <v>2.5</v>
      </c>
      <c r="AE222" s="1">
        <v>1.5</v>
      </c>
      <c r="AG222" s="1" t="s">
        <v>56</v>
      </c>
      <c r="AI222" s="2">
        <v>86948.32</v>
      </c>
    </row>
    <row r="223" spans="1:38" ht="14.45" customHeight="1" x14ac:dyDescent="0.2">
      <c r="A223" s="1" t="s">
        <v>57</v>
      </c>
      <c r="B223" s="9" t="s">
        <v>38</v>
      </c>
      <c r="C223" s="1" t="s">
        <v>58</v>
      </c>
      <c r="D223" s="1" t="s">
        <v>146</v>
      </c>
      <c r="E223" s="1" t="s">
        <v>42</v>
      </c>
      <c r="G223" s="1" t="s">
        <v>155</v>
      </c>
      <c r="H223" s="1" t="s">
        <v>156</v>
      </c>
      <c r="I223" s="1" t="s">
        <v>1371</v>
      </c>
      <c r="J223" s="1">
        <v>2022</v>
      </c>
      <c r="K223" s="1" t="s">
        <v>1372</v>
      </c>
      <c r="L223" s="1" t="s">
        <v>1373</v>
      </c>
      <c r="N223" s="1" t="s">
        <v>1374</v>
      </c>
      <c r="P223" s="1" t="s">
        <v>1375</v>
      </c>
      <c r="Q223" s="1" t="s">
        <v>110</v>
      </c>
      <c r="R223" s="1" t="s">
        <v>111</v>
      </c>
      <c r="S223" s="1" t="s">
        <v>120</v>
      </c>
      <c r="T223" s="1" t="s">
        <v>121</v>
      </c>
      <c r="V223" s="1" t="s">
        <v>114</v>
      </c>
      <c r="W223" s="1" t="s">
        <v>1376</v>
      </c>
      <c r="Y223" s="10">
        <v>45112</v>
      </c>
      <c r="Z223" s="1">
        <v>2023</v>
      </c>
      <c r="AA223" s="2">
        <v>500662.77</v>
      </c>
      <c r="AB223" s="2"/>
      <c r="AC223" s="2">
        <v>500662.77</v>
      </c>
      <c r="AG223" s="1" t="s">
        <v>56</v>
      </c>
      <c r="AI223" s="2">
        <v>500662.77</v>
      </c>
    </row>
    <row r="224" spans="1:38" ht="14.45" customHeight="1" x14ac:dyDescent="0.2">
      <c r="A224" s="1" t="s">
        <v>57</v>
      </c>
      <c r="B224" s="9" t="s">
        <v>38</v>
      </c>
      <c r="C224" s="1" t="s">
        <v>58</v>
      </c>
      <c r="D224" s="1" t="s">
        <v>146</v>
      </c>
      <c r="E224" s="1" t="s">
        <v>42</v>
      </c>
      <c r="G224" s="1" t="s">
        <v>155</v>
      </c>
      <c r="H224" s="1" t="s">
        <v>156</v>
      </c>
      <c r="I224" s="1" t="s">
        <v>1377</v>
      </c>
      <c r="J224" s="1">
        <v>2022</v>
      </c>
      <c r="K224" s="1" t="s">
        <v>1378</v>
      </c>
      <c r="L224" s="1" t="s">
        <v>1379</v>
      </c>
      <c r="P224" s="1" t="s">
        <v>1345</v>
      </c>
      <c r="Q224" s="1" t="s">
        <v>264</v>
      </c>
      <c r="R224" s="1" t="s">
        <v>265</v>
      </c>
      <c r="S224" s="1" t="s">
        <v>290</v>
      </c>
      <c r="T224" s="1" t="s">
        <v>291</v>
      </c>
      <c r="U224" s="1">
        <v>1</v>
      </c>
      <c r="V224" s="1" t="s">
        <v>268</v>
      </c>
      <c r="W224" s="1" t="s">
        <v>1380</v>
      </c>
      <c r="Y224" s="10">
        <v>45112</v>
      </c>
      <c r="Z224" s="1">
        <v>2023</v>
      </c>
      <c r="AA224" s="2">
        <v>499990.16</v>
      </c>
      <c r="AB224" s="2"/>
      <c r="AC224" s="2">
        <v>499990.16</v>
      </c>
      <c r="AG224" s="1" t="s">
        <v>56</v>
      </c>
      <c r="AI224" s="2">
        <v>499990.16</v>
      </c>
    </row>
    <row r="225" spans="1:38" ht="14.45" customHeight="1" x14ac:dyDescent="0.2">
      <c r="A225" s="1" t="s">
        <v>57</v>
      </c>
      <c r="B225" s="9" t="s">
        <v>38</v>
      </c>
      <c r="C225" s="1" t="s">
        <v>58</v>
      </c>
      <c r="D225" s="1" t="s">
        <v>146</v>
      </c>
      <c r="E225" s="1" t="s">
        <v>42</v>
      </c>
      <c r="G225" s="1" t="s">
        <v>155</v>
      </c>
      <c r="H225" s="1" t="s">
        <v>156</v>
      </c>
      <c r="I225" s="1" t="s">
        <v>1381</v>
      </c>
      <c r="J225" s="1">
        <v>2022</v>
      </c>
      <c r="K225" s="1" t="s">
        <v>1382</v>
      </c>
      <c r="L225" s="1" t="s">
        <v>1383</v>
      </c>
      <c r="M225" s="1" t="s">
        <v>1384</v>
      </c>
      <c r="N225" s="1" t="s">
        <v>1385</v>
      </c>
      <c r="P225" s="1" t="s">
        <v>1386</v>
      </c>
      <c r="Q225" s="1" t="s">
        <v>50</v>
      </c>
      <c r="R225" s="1" t="s">
        <v>51</v>
      </c>
      <c r="S225" s="1" t="s">
        <v>1387</v>
      </c>
      <c r="T225" s="1" t="s">
        <v>1388</v>
      </c>
      <c r="V225" s="1" t="s">
        <v>54</v>
      </c>
      <c r="W225" s="1" t="s">
        <v>1389</v>
      </c>
      <c r="Y225" s="10">
        <v>45112</v>
      </c>
      <c r="Z225" s="1">
        <v>2023</v>
      </c>
      <c r="AA225" s="2">
        <v>98875.23</v>
      </c>
      <c r="AB225" s="2"/>
      <c r="AC225" s="2">
        <v>98875.23</v>
      </c>
      <c r="AG225" s="1" t="s">
        <v>56</v>
      </c>
      <c r="AI225" s="2">
        <v>98875.23</v>
      </c>
    </row>
    <row r="226" spans="1:38" ht="14.45" customHeight="1" x14ac:dyDescent="0.25">
      <c r="A226" s="1" t="s">
        <v>57</v>
      </c>
      <c r="B226" s="20" t="s">
        <v>38</v>
      </c>
      <c r="C226" s="3" t="s">
        <v>58</v>
      </c>
      <c r="D226" s="1" t="s">
        <v>146</v>
      </c>
      <c r="E226" s="1" t="s">
        <v>42</v>
      </c>
      <c r="F226" s="1" t="s">
        <v>1236</v>
      </c>
      <c r="G226" s="1" t="s">
        <v>155</v>
      </c>
      <c r="H226" s="1" t="s">
        <v>156</v>
      </c>
      <c r="I226" s="3" t="s">
        <v>1390</v>
      </c>
      <c r="J226" s="3">
        <v>2024</v>
      </c>
      <c r="K226" s="23" t="s">
        <v>1391</v>
      </c>
      <c r="L226" s="23" t="s">
        <v>1392</v>
      </c>
      <c r="M226" s="3" t="s">
        <v>1240</v>
      </c>
      <c r="N226" s="3" t="s">
        <v>1393</v>
      </c>
      <c r="O226" s="3"/>
      <c r="P226" s="1" t="s">
        <v>1394</v>
      </c>
      <c r="Q226" s="1" t="s">
        <v>50</v>
      </c>
      <c r="R226" s="1" t="s">
        <v>51</v>
      </c>
      <c r="S226" s="3" t="s">
        <v>1127</v>
      </c>
      <c r="T226" s="3" t="s">
        <v>1128</v>
      </c>
      <c r="U226" s="24"/>
      <c r="V226" s="3" t="s">
        <v>54</v>
      </c>
      <c r="W226" s="3" t="s">
        <v>1395</v>
      </c>
      <c r="X226" s="3" t="s">
        <v>1396</v>
      </c>
      <c r="Y226" s="21"/>
      <c r="Z226" s="3">
        <v>2025</v>
      </c>
      <c r="AA226" s="2">
        <v>259392.44</v>
      </c>
      <c r="AB226" s="2"/>
      <c r="AC226" s="2">
        <v>259392.44</v>
      </c>
      <c r="AG226" s="1" t="s">
        <v>56</v>
      </c>
      <c r="AI226" s="2">
        <v>259392.44</v>
      </c>
    </row>
    <row r="227" spans="1:38" ht="14.45" customHeight="1" x14ac:dyDescent="0.2">
      <c r="A227" s="1" t="s">
        <v>57</v>
      </c>
      <c r="B227" s="9" t="s">
        <v>38</v>
      </c>
      <c r="C227" s="1" t="s">
        <v>58</v>
      </c>
      <c r="D227" s="1" t="s">
        <v>146</v>
      </c>
      <c r="E227" s="1" t="s">
        <v>42</v>
      </c>
      <c r="G227" s="1" t="s">
        <v>155</v>
      </c>
      <c r="H227" s="1" t="s">
        <v>156</v>
      </c>
      <c r="I227" s="1" t="s">
        <v>1397</v>
      </c>
      <c r="J227" s="1">
        <v>2022</v>
      </c>
      <c r="K227" s="1" t="s">
        <v>1398</v>
      </c>
      <c r="L227" s="1" t="s">
        <v>1399</v>
      </c>
      <c r="M227" s="1" t="s">
        <v>1400</v>
      </c>
      <c r="N227" s="1" t="s">
        <v>1401</v>
      </c>
      <c r="P227" s="1" t="s">
        <v>1402</v>
      </c>
      <c r="Q227" s="1" t="s">
        <v>50</v>
      </c>
      <c r="R227" s="1" t="s">
        <v>68</v>
      </c>
      <c r="S227" s="1" t="s">
        <v>189</v>
      </c>
      <c r="T227" s="1" t="s">
        <v>190</v>
      </c>
      <c r="U227" s="1">
        <v>1</v>
      </c>
      <c r="V227" s="1" t="s">
        <v>71</v>
      </c>
      <c r="W227" s="1" t="s">
        <v>1403</v>
      </c>
      <c r="Y227" s="10">
        <v>45112</v>
      </c>
      <c r="Z227" s="1">
        <v>2023</v>
      </c>
      <c r="AA227" s="2">
        <v>3999189.06</v>
      </c>
      <c r="AB227" s="2"/>
      <c r="AC227" s="2">
        <v>3999189.06</v>
      </c>
      <c r="AG227" s="1" t="s">
        <v>56</v>
      </c>
      <c r="AI227" s="2">
        <v>3999189.06</v>
      </c>
    </row>
    <row r="228" spans="1:38" ht="14.45" customHeight="1" x14ac:dyDescent="0.2">
      <c r="A228" s="1" t="s">
        <v>57</v>
      </c>
      <c r="B228" s="9" t="s">
        <v>38</v>
      </c>
      <c r="C228" s="1" t="s">
        <v>58</v>
      </c>
      <c r="D228" s="1" t="s">
        <v>59</v>
      </c>
      <c r="E228" s="1" t="s">
        <v>42</v>
      </c>
      <c r="G228" s="1" t="s">
        <v>122</v>
      </c>
      <c r="H228" s="1" t="s">
        <v>61</v>
      </c>
      <c r="I228" s="1" t="s">
        <v>1404</v>
      </c>
      <c r="J228" s="1">
        <v>2023</v>
      </c>
      <c r="K228" s="1" t="s">
        <v>1405</v>
      </c>
      <c r="L228" s="1" t="s">
        <v>1406</v>
      </c>
      <c r="P228" s="1" t="s">
        <v>1407</v>
      </c>
      <c r="Q228" s="1" t="s">
        <v>101</v>
      </c>
      <c r="R228" s="1" t="s">
        <v>102</v>
      </c>
      <c r="S228" s="1" t="s">
        <v>562</v>
      </c>
      <c r="T228" s="1" t="s">
        <v>563</v>
      </c>
      <c r="U228" s="1">
        <v>1</v>
      </c>
      <c r="V228" s="1" t="s">
        <v>101</v>
      </c>
      <c r="W228" s="1" t="s">
        <v>1408</v>
      </c>
      <c r="Y228" s="10">
        <v>45478</v>
      </c>
      <c r="Z228" s="1">
        <v>2024</v>
      </c>
      <c r="AA228" s="2">
        <v>70429.679999999993</v>
      </c>
      <c r="AB228" s="2"/>
      <c r="AC228" s="2">
        <v>35214.839999999997</v>
      </c>
      <c r="AD228" s="1">
        <v>1</v>
      </c>
      <c r="AG228" s="1" t="s">
        <v>56</v>
      </c>
      <c r="AI228" s="2">
        <v>35214.839999999997</v>
      </c>
    </row>
    <row r="229" spans="1:38" ht="14.45" customHeight="1" x14ac:dyDescent="0.2">
      <c r="A229" s="1" t="s">
        <v>57</v>
      </c>
      <c r="B229" s="9" t="s">
        <v>38</v>
      </c>
      <c r="C229" s="1" t="s">
        <v>58</v>
      </c>
      <c r="D229" s="1" t="s">
        <v>1409</v>
      </c>
      <c r="E229" s="1" t="s">
        <v>42</v>
      </c>
      <c r="G229" s="1" t="s">
        <v>1410</v>
      </c>
      <c r="H229" s="1" t="s">
        <v>61</v>
      </c>
      <c r="I229" s="1" t="s">
        <v>1411</v>
      </c>
      <c r="J229" s="1">
        <v>2019</v>
      </c>
      <c r="K229" s="1" t="s">
        <v>1412</v>
      </c>
      <c r="L229" s="1" t="s">
        <v>1413</v>
      </c>
      <c r="P229" s="1" t="s">
        <v>1414</v>
      </c>
      <c r="Q229" s="1" t="s">
        <v>101</v>
      </c>
      <c r="R229" s="1" t="s">
        <v>102</v>
      </c>
      <c r="S229" s="1" t="s">
        <v>1415</v>
      </c>
      <c r="T229" s="1" t="s">
        <v>1416</v>
      </c>
      <c r="U229" s="1">
        <v>1</v>
      </c>
      <c r="V229" s="1" t="s">
        <v>101</v>
      </c>
      <c r="W229" s="1" t="s">
        <v>1417</v>
      </c>
      <c r="X229" s="1" t="s">
        <v>153</v>
      </c>
      <c r="Y229" s="10">
        <v>44035</v>
      </c>
      <c r="Z229" s="1">
        <v>2020</v>
      </c>
      <c r="AA229" s="2">
        <v>26758975</v>
      </c>
      <c r="AB229" s="2"/>
      <c r="AC229" s="2">
        <v>15924254.631199902</v>
      </c>
      <c r="AF229" s="1">
        <v>119</v>
      </c>
      <c r="AG229" s="1" t="s">
        <v>56</v>
      </c>
      <c r="AI229" s="2">
        <v>15924254.631199902</v>
      </c>
      <c r="AJ229" s="1">
        <v>826.48</v>
      </c>
    </row>
    <row r="230" spans="1:38" ht="14.45" customHeight="1" x14ac:dyDescent="0.2">
      <c r="A230" s="1" t="s">
        <v>57</v>
      </c>
      <c r="B230" s="9" t="s">
        <v>38</v>
      </c>
      <c r="C230" s="1" t="s">
        <v>58</v>
      </c>
      <c r="D230" s="1" t="s">
        <v>1409</v>
      </c>
      <c r="E230" s="1" t="s">
        <v>42</v>
      </c>
      <c r="G230" s="1" t="s">
        <v>1410</v>
      </c>
      <c r="H230" s="1" t="s">
        <v>61</v>
      </c>
      <c r="I230" s="1" t="s">
        <v>1418</v>
      </c>
      <c r="J230" s="1">
        <v>2020</v>
      </c>
      <c r="K230" s="1" t="s">
        <v>1419</v>
      </c>
      <c r="L230" s="1" t="s">
        <v>1420</v>
      </c>
      <c r="P230" s="1" t="s">
        <v>1421</v>
      </c>
      <c r="Q230" s="1" t="s">
        <v>101</v>
      </c>
      <c r="R230" s="1" t="s">
        <v>102</v>
      </c>
      <c r="S230" s="1" t="s">
        <v>1422</v>
      </c>
      <c r="T230" s="1" t="s">
        <v>1423</v>
      </c>
      <c r="U230" s="1">
        <v>1</v>
      </c>
      <c r="V230" s="1" t="s">
        <v>101</v>
      </c>
      <c r="W230" s="1" t="s">
        <v>1424</v>
      </c>
      <c r="X230" s="1" t="s">
        <v>153</v>
      </c>
      <c r="Y230" s="10">
        <v>44333</v>
      </c>
      <c r="Z230" s="1">
        <v>2021</v>
      </c>
      <c r="AA230" s="2">
        <v>3975283.23</v>
      </c>
      <c r="AB230" s="2"/>
      <c r="AC230" s="2">
        <v>3929933.33</v>
      </c>
      <c r="AF230" s="1">
        <v>16</v>
      </c>
      <c r="AG230" s="1" t="s">
        <v>56</v>
      </c>
      <c r="AI230" s="2">
        <v>3929933.33</v>
      </c>
      <c r="AJ230" s="1">
        <v>173.54</v>
      </c>
      <c r="AL230" s="15" t="s">
        <v>1425</v>
      </c>
    </row>
    <row r="231" spans="1:38" ht="14.45" customHeight="1" x14ac:dyDescent="0.2">
      <c r="A231" s="1" t="s">
        <v>57</v>
      </c>
      <c r="B231" s="9" t="s">
        <v>38</v>
      </c>
      <c r="C231" s="1" t="s">
        <v>58</v>
      </c>
      <c r="D231" s="1" t="s">
        <v>146</v>
      </c>
      <c r="E231" s="1" t="s">
        <v>42</v>
      </c>
      <c r="G231" s="1" t="s">
        <v>155</v>
      </c>
      <c r="H231" s="1" t="s">
        <v>156</v>
      </c>
      <c r="I231" s="1" t="s">
        <v>1426</v>
      </c>
      <c r="J231" s="1">
        <v>2022</v>
      </c>
      <c r="K231" s="1" t="s">
        <v>1427</v>
      </c>
      <c r="L231" s="1" t="s">
        <v>1428</v>
      </c>
      <c r="M231" s="1" t="s">
        <v>1429</v>
      </c>
      <c r="N231" s="1" t="s">
        <v>1430</v>
      </c>
      <c r="P231" s="1" t="s">
        <v>1431</v>
      </c>
      <c r="Q231" s="1" t="s">
        <v>50</v>
      </c>
      <c r="R231" s="1" t="s">
        <v>51</v>
      </c>
      <c r="S231" s="1" t="s">
        <v>1432</v>
      </c>
      <c r="T231" s="1" t="s">
        <v>1433</v>
      </c>
      <c r="V231" s="1" t="s">
        <v>54</v>
      </c>
      <c r="W231" s="1" t="s">
        <v>1434</v>
      </c>
      <c r="Y231" s="10">
        <v>45112</v>
      </c>
      <c r="Z231" s="1">
        <v>2023</v>
      </c>
      <c r="AA231" s="2">
        <v>950000</v>
      </c>
      <c r="AB231" s="2"/>
      <c r="AC231" s="2">
        <v>950000</v>
      </c>
      <c r="AG231" s="1" t="s">
        <v>56</v>
      </c>
      <c r="AI231" s="2">
        <v>950000</v>
      </c>
    </row>
    <row r="232" spans="1:38" ht="14.45" customHeight="1" x14ac:dyDescent="0.2">
      <c r="A232" s="1" t="s">
        <v>57</v>
      </c>
      <c r="B232" s="9" t="s">
        <v>38</v>
      </c>
      <c r="C232" s="1" t="s">
        <v>58</v>
      </c>
      <c r="D232" s="1" t="s">
        <v>146</v>
      </c>
      <c r="E232" s="1" t="s">
        <v>42</v>
      </c>
      <c r="G232" s="1" t="s">
        <v>155</v>
      </c>
      <c r="H232" s="1" t="s">
        <v>156</v>
      </c>
      <c r="I232" s="1" t="s">
        <v>1435</v>
      </c>
      <c r="J232" s="1">
        <v>2022</v>
      </c>
      <c r="K232" s="1" t="s">
        <v>1436</v>
      </c>
      <c r="L232" s="1" t="s">
        <v>1437</v>
      </c>
      <c r="N232" s="1" t="s">
        <v>1438</v>
      </c>
      <c r="P232" s="1" t="s">
        <v>1439</v>
      </c>
      <c r="Q232" s="1" t="s">
        <v>50</v>
      </c>
      <c r="R232" s="1" t="s">
        <v>68</v>
      </c>
      <c r="S232" s="1" t="s">
        <v>1440</v>
      </c>
      <c r="T232" s="1" t="s">
        <v>1441</v>
      </c>
      <c r="U232" s="1">
        <v>1</v>
      </c>
      <c r="V232" s="1" t="s">
        <v>71</v>
      </c>
      <c r="W232" s="1" t="s">
        <v>1442</v>
      </c>
      <c r="Y232" s="10">
        <v>45112</v>
      </c>
      <c r="Z232" s="1">
        <v>2023</v>
      </c>
      <c r="AA232" s="2">
        <v>439040.99</v>
      </c>
      <c r="AB232" s="2"/>
      <c r="AC232" s="2">
        <v>439040.99</v>
      </c>
      <c r="AG232" s="1" t="s">
        <v>56</v>
      </c>
      <c r="AI232" s="2">
        <v>439040.99</v>
      </c>
    </row>
    <row r="233" spans="1:38" ht="14.45" customHeight="1" x14ac:dyDescent="0.2">
      <c r="A233" s="1" t="s">
        <v>57</v>
      </c>
      <c r="B233" s="9" t="s">
        <v>38</v>
      </c>
      <c r="C233" s="1" t="s">
        <v>58</v>
      </c>
      <c r="D233" s="1" t="s">
        <v>146</v>
      </c>
      <c r="E233" s="1" t="s">
        <v>42</v>
      </c>
      <c r="G233" s="1" t="s">
        <v>155</v>
      </c>
      <c r="H233" s="1" t="s">
        <v>156</v>
      </c>
      <c r="I233" s="1" t="s">
        <v>1443</v>
      </c>
      <c r="J233" s="1">
        <v>2022</v>
      </c>
      <c r="K233" s="1" t="s">
        <v>1444</v>
      </c>
      <c r="L233" s="1" t="s">
        <v>1445</v>
      </c>
      <c r="M233" s="1" t="s">
        <v>1446</v>
      </c>
      <c r="N233" s="1" t="s">
        <v>1447</v>
      </c>
      <c r="P233" s="1" t="s">
        <v>1448</v>
      </c>
      <c r="Q233" s="1" t="s">
        <v>1149</v>
      </c>
      <c r="R233" s="1" t="s">
        <v>1449</v>
      </c>
      <c r="S233" s="1" t="s">
        <v>1450</v>
      </c>
      <c r="T233" s="1" t="s">
        <v>1451</v>
      </c>
      <c r="V233" s="1" t="s">
        <v>1153</v>
      </c>
      <c r="W233" s="1" t="s">
        <v>1452</v>
      </c>
      <c r="Y233" s="10">
        <v>45112</v>
      </c>
      <c r="Z233" s="1">
        <v>2023</v>
      </c>
      <c r="AA233" s="2">
        <v>403000</v>
      </c>
      <c r="AB233" s="2"/>
      <c r="AC233" s="2">
        <v>403000</v>
      </c>
      <c r="AG233" s="1" t="s">
        <v>56</v>
      </c>
      <c r="AI233" s="2">
        <v>403000</v>
      </c>
    </row>
    <row r="234" spans="1:38" ht="12.6" customHeight="1" x14ac:dyDescent="0.2">
      <c r="A234" s="1" t="s">
        <v>57</v>
      </c>
      <c r="B234" s="9" t="s">
        <v>38</v>
      </c>
      <c r="C234" s="1" t="s">
        <v>58</v>
      </c>
      <c r="D234" s="1" t="s">
        <v>146</v>
      </c>
      <c r="E234" s="1" t="s">
        <v>42</v>
      </c>
      <c r="G234" s="1" t="s">
        <v>147</v>
      </c>
      <c r="H234" s="1" t="s">
        <v>148</v>
      </c>
      <c r="I234" s="1" t="s">
        <v>1453</v>
      </c>
      <c r="J234" s="1">
        <v>2020</v>
      </c>
      <c r="K234" s="1" t="s">
        <v>1454</v>
      </c>
      <c r="L234" s="1" t="s">
        <v>1455</v>
      </c>
      <c r="P234" s="1" t="s">
        <v>1456</v>
      </c>
      <c r="Q234" s="1" t="s">
        <v>110</v>
      </c>
      <c r="R234" s="1" t="s">
        <v>605</v>
      </c>
      <c r="S234" s="1" t="s">
        <v>606</v>
      </c>
      <c r="T234" s="1" t="s">
        <v>607</v>
      </c>
      <c r="U234" s="1">
        <v>1</v>
      </c>
      <c r="V234" s="1" t="s">
        <v>80</v>
      </c>
      <c r="W234" s="1" t="s">
        <v>1457</v>
      </c>
      <c r="X234" s="1" t="s">
        <v>153</v>
      </c>
      <c r="Y234" s="10">
        <v>44127</v>
      </c>
      <c r="Z234" s="1">
        <v>2020</v>
      </c>
      <c r="AA234" s="2">
        <v>2734477.11</v>
      </c>
      <c r="AB234" s="2"/>
      <c r="AC234" s="2">
        <v>2050857.82</v>
      </c>
      <c r="AD234" s="1">
        <v>0</v>
      </c>
      <c r="AG234" s="1" t="s">
        <v>56</v>
      </c>
      <c r="AH234" s="1" t="s">
        <v>1458</v>
      </c>
      <c r="AI234" s="2">
        <v>2050857.8325</v>
      </c>
      <c r="AL234" s="1" t="s">
        <v>1459</v>
      </c>
    </row>
    <row r="235" spans="1:38" ht="14.45" customHeight="1" x14ac:dyDescent="0.2">
      <c r="A235" s="1" t="s">
        <v>57</v>
      </c>
      <c r="B235" s="9" t="s">
        <v>38</v>
      </c>
      <c r="C235" s="1" t="s">
        <v>58</v>
      </c>
      <c r="D235" s="1" t="s">
        <v>146</v>
      </c>
      <c r="E235" s="1" t="s">
        <v>42</v>
      </c>
      <c r="G235" s="1" t="s">
        <v>147</v>
      </c>
      <c r="H235" s="1" t="s">
        <v>148</v>
      </c>
      <c r="I235" s="1" t="s">
        <v>1460</v>
      </c>
      <c r="J235" s="1">
        <v>2020</v>
      </c>
      <c r="K235" s="1" t="s">
        <v>1461</v>
      </c>
      <c r="L235" s="1" t="s">
        <v>1461</v>
      </c>
      <c r="P235" s="1" t="s">
        <v>1456</v>
      </c>
      <c r="Q235" s="1" t="s">
        <v>110</v>
      </c>
      <c r="R235" s="1" t="s">
        <v>605</v>
      </c>
      <c r="S235" s="1" t="s">
        <v>606</v>
      </c>
      <c r="T235" s="1" t="s">
        <v>607</v>
      </c>
      <c r="U235" s="1">
        <v>1</v>
      </c>
      <c r="V235" s="1" t="s">
        <v>80</v>
      </c>
      <c r="W235" s="1" t="s">
        <v>1461</v>
      </c>
      <c r="X235" s="1" t="s">
        <v>153</v>
      </c>
      <c r="Y235" s="10">
        <v>44127</v>
      </c>
      <c r="Z235" s="1">
        <v>2020</v>
      </c>
      <c r="AA235" s="2">
        <v>1250000</v>
      </c>
      <c r="AB235" s="2"/>
      <c r="AC235" s="2">
        <v>937500</v>
      </c>
      <c r="AD235" s="1">
        <v>0</v>
      </c>
      <c r="AG235" s="1" t="s">
        <v>56</v>
      </c>
      <c r="AH235" s="1" t="s">
        <v>154</v>
      </c>
      <c r="AI235" s="2">
        <v>633385.51</v>
      </c>
      <c r="AL235" s="1" t="s">
        <v>1462</v>
      </c>
    </row>
    <row r="236" spans="1:38" ht="14.45" customHeight="1" x14ac:dyDescent="0.2">
      <c r="A236" s="1" t="s">
        <v>57</v>
      </c>
      <c r="B236" s="9" t="s">
        <v>38</v>
      </c>
      <c r="C236" s="1" t="s">
        <v>58</v>
      </c>
      <c r="D236" s="1" t="s">
        <v>146</v>
      </c>
      <c r="E236" s="1" t="s">
        <v>42</v>
      </c>
      <c r="G236" s="1" t="s">
        <v>147</v>
      </c>
      <c r="H236" s="1" t="s">
        <v>148</v>
      </c>
      <c r="I236" s="1" t="s">
        <v>1463</v>
      </c>
      <c r="J236" s="1">
        <v>2020</v>
      </c>
      <c r="K236" s="1" t="s">
        <v>1464</v>
      </c>
      <c r="L236" s="1" t="s">
        <v>1464</v>
      </c>
      <c r="P236" s="1" t="s">
        <v>1456</v>
      </c>
      <c r="Q236" s="1" t="s">
        <v>110</v>
      </c>
      <c r="R236" s="1" t="s">
        <v>605</v>
      </c>
      <c r="S236" s="1" t="s">
        <v>606</v>
      </c>
      <c r="T236" s="1" t="s">
        <v>607</v>
      </c>
      <c r="U236" s="1">
        <v>1</v>
      </c>
      <c r="V236" s="1" t="s">
        <v>80</v>
      </c>
      <c r="W236" s="1" t="s">
        <v>1464</v>
      </c>
      <c r="X236" s="1" t="s">
        <v>153</v>
      </c>
      <c r="Y236" s="10">
        <v>44127</v>
      </c>
      <c r="Z236" s="1">
        <v>2020</v>
      </c>
      <c r="AA236" s="2">
        <v>340000</v>
      </c>
      <c r="AB236" s="2"/>
      <c r="AC236" s="2">
        <v>255000</v>
      </c>
      <c r="AD236" s="1">
        <v>0</v>
      </c>
      <c r="AG236" s="1" t="s">
        <v>56</v>
      </c>
      <c r="AH236" s="1" t="s">
        <v>154</v>
      </c>
      <c r="AI236" s="2">
        <v>229045.76000000001</v>
      </c>
    </row>
    <row r="237" spans="1:38" ht="14.45" customHeight="1" x14ac:dyDescent="0.2">
      <c r="A237" s="1" t="s">
        <v>57</v>
      </c>
      <c r="B237" s="9" t="s">
        <v>38</v>
      </c>
      <c r="C237" s="1" t="s">
        <v>58</v>
      </c>
      <c r="D237" s="1" t="s">
        <v>146</v>
      </c>
      <c r="E237" s="1" t="s">
        <v>42</v>
      </c>
      <c r="G237" s="1" t="s">
        <v>155</v>
      </c>
      <c r="H237" s="1" t="s">
        <v>156</v>
      </c>
      <c r="I237" s="1" t="s">
        <v>1465</v>
      </c>
      <c r="J237" s="1">
        <v>2022</v>
      </c>
      <c r="K237" s="1" t="s">
        <v>1466</v>
      </c>
      <c r="L237" s="1" t="s">
        <v>1467</v>
      </c>
      <c r="M237" s="1" t="s">
        <v>1468</v>
      </c>
      <c r="N237" s="1" t="s">
        <v>1469</v>
      </c>
      <c r="P237" s="1" t="s">
        <v>1470</v>
      </c>
      <c r="Q237" s="1" t="s">
        <v>1149</v>
      </c>
      <c r="R237" s="1" t="s">
        <v>1150</v>
      </c>
      <c r="S237" s="1" t="s">
        <v>1471</v>
      </c>
      <c r="T237" s="1" t="s">
        <v>1472</v>
      </c>
      <c r="V237" s="1" t="s">
        <v>1153</v>
      </c>
      <c r="W237" s="1" t="s">
        <v>1473</v>
      </c>
      <c r="Y237" s="10">
        <v>45112</v>
      </c>
      <c r="Z237" s="1">
        <v>2023</v>
      </c>
      <c r="AA237" s="2">
        <v>498872.22</v>
      </c>
      <c r="AB237" s="2"/>
      <c r="AC237" s="2">
        <v>498872.22</v>
      </c>
      <c r="AG237" s="1" t="s">
        <v>56</v>
      </c>
      <c r="AI237" s="2">
        <v>498872.22</v>
      </c>
    </row>
    <row r="238" spans="1:38" ht="12.6" customHeight="1" x14ac:dyDescent="0.2">
      <c r="A238" s="1" t="s">
        <v>57</v>
      </c>
      <c r="B238" s="9" t="s">
        <v>38</v>
      </c>
      <c r="C238" s="1" t="s">
        <v>58</v>
      </c>
      <c r="D238" s="1" t="s">
        <v>146</v>
      </c>
      <c r="E238" s="1" t="s">
        <v>42</v>
      </c>
      <c r="G238" s="1" t="s">
        <v>155</v>
      </c>
      <c r="H238" s="1" t="s">
        <v>156</v>
      </c>
      <c r="I238" s="1" t="s">
        <v>1474</v>
      </c>
      <c r="J238" s="1">
        <v>2022</v>
      </c>
      <c r="K238" s="1" t="s">
        <v>1475</v>
      </c>
      <c r="L238" s="1" t="s">
        <v>1476</v>
      </c>
      <c r="M238" s="1" t="s">
        <v>1477</v>
      </c>
      <c r="P238" s="1" t="s">
        <v>1478</v>
      </c>
      <c r="Q238" s="1" t="s">
        <v>50</v>
      </c>
      <c r="R238" s="1" t="s">
        <v>68</v>
      </c>
      <c r="S238" s="1" t="s">
        <v>1479</v>
      </c>
      <c r="T238" s="1" t="s">
        <v>1480</v>
      </c>
      <c r="U238" s="1">
        <v>1</v>
      </c>
      <c r="V238" s="1" t="s">
        <v>71</v>
      </c>
      <c r="W238" s="1" t="s">
        <v>1481</v>
      </c>
      <c r="Y238" s="10">
        <v>45112</v>
      </c>
      <c r="Z238" s="1">
        <v>2023</v>
      </c>
      <c r="AA238" s="2">
        <v>274534.84000000003</v>
      </c>
      <c r="AB238" s="2"/>
      <c r="AC238" s="2">
        <v>274534.84000000003</v>
      </c>
      <c r="AG238" s="1" t="s">
        <v>56</v>
      </c>
      <c r="AI238" s="2">
        <v>274534.84000000003</v>
      </c>
    </row>
    <row r="239" spans="1:38" ht="14.45" customHeight="1" x14ac:dyDescent="0.2">
      <c r="A239" s="1" t="s">
        <v>57</v>
      </c>
      <c r="B239" s="9" t="s">
        <v>38</v>
      </c>
      <c r="C239" s="1" t="s">
        <v>58</v>
      </c>
      <c r="D239" s="1" t="s">
        <v>146</v>
      </c>
      <c r="E239" s="1" t="s">
        <v>42</v>
      </c>
      <c r="G239" s="1" t="s">
        <v>155</v>
      </c>
      <c r="H239" s="1" t="s">
        <v>156</v>
      </c>
      <c r="I239" s="1" t="s">
        <v>1482</v>
      </c>
      <c r="J239" s="1">
        <v>2022</v>
      </c>
      <c r="K239" s="1" t="s">
        <v>1483</v>
      </c>
      <c r="L239" s="1" t="s">
        <v>1484</v>
      </c>
      <c r="P239" s="1" t="s">
        <v>1485</v>
      </c>
      <c r="Q239" s="1" t="s">
        <v>101</v>
      </c>
      <c r="R239" s="1" t="s">
        <v>102</v>
      </c>
      <c r="S239" s="1" t="s">
        <v>1486</v>
      </c>
      <c r="T239" s="1" t="s">
        <v>1487</v>
      </c>
      <c r="U239" s="1">
        <v>1</v>
      </c>
      <c r="V239" s="1" t="s">
        <v>101</v>
      </c>
      <c r="W239" s="1" t="s">
        <v>1488</v>
      </c>
      <c r="Y239" s="10">
        <v>45112</v>
      </c>
      <c r="Z239" s="1">
        <v>2023</v>
      </c>
      <c r="AA239" s="2">
        <v>300275.52</v>
      </c>
      <c r="AB239" s="2"/>
      <c r="AC239" s="2">
        <v>300275.52</v>
      </c>
      <c r="AG239" s="1" t="s">
        <v>56</v>
      </c>
      <c r="AI239" s="2">
        <v>300275.52</v>
      </c>
    </row>
    <row r="240" spans="1:38" ht="14.45" customHeight="1" x14ac:dyDescent="0.2">
      <c r="A240" s="1" t="s">
        <v>57</v>
      </c>
      <c r="B240" s="9" t="s">
        <v>38</v>
      </c>
      <c r="C240" s="1" t="s">
        <v>58</v>
      </c>
      <c r="D240" s="1" t="s">
        <v>146</v>
      </c>
      <c r="E240" s="1" t="s">
        <v>42</v>
      </c>
      <c r="G240" s="1" t="s">
        <v>155</v>
      </c>
      <c r="H240" s="1" t="s">
        <v>156</v>
      </c>
      <c r="I240" s="1" t="s">
        <v>1489</v>
      </c>
      <c r="J240" s="1">
        <v>2022</v>
      </c>
      <c r="K240" s="1" t="s">
        <v>1490</v>
      </c>
      <c r="L240" s="1" t="s">
        <v>1491</v>
      </c>
      <c r="M240" s="1" t="s">
        <v>1492</v>
      </c>
      <c r="N240" s="1" t="s">
        <v>1493</v>
      </c>
      <c r="P240" s="1" t="s">
        <v>1494</v>
      </c>
      <c r="Q240" s="1" t="s">
        <v>1149</v>
      </c>
      <c r="R240" s="1" t="s">
        <v>1150</v>
      </c>
      <c r="S240" s="1" t="s">
        <v>1151</v>
      </c>
      <c r="T240" s="1" t="s">
        <v>1152</v>
      </c>
      <c r="V240" s="1" t="s">
        <v>1153</v>
      </c>
      <c r="W240" s="1" t="s">
        <v>1495</v>
      </c>
      <c r="Y240" s="10">
        <v>45112</v>
      </c>
      <c r="Z240" s="1">
        <v>2023</v>
      </c>
      <c r="AA240" s="2">
        <v>957943.34</v>
      </c>
      <c r="AB240" s="2"/>
      <c r="AC240" s="2">
        <v>957943.34</v>
      </c>
      <c r="AG240" s="1" t="s">
        <v>56</v>
      </c>
      <c r="AI240" s="2">
        <v>957943.34</v>
      </c>
    </row>
    <row r="241" spans="1:35" ht="14.45" customHeight="1" x14ac:dyDescent="0.2">
      <c r="A241" s="1" t="s">
        <v>57</v>
      </c>
      <c r="B241" s="9" t="s">
        <v>38</v>
      </c>
      <c r="C241" s="1" t="s">
        <v>58</v>
      </c>
      <c r="D241" s="1" t="s">
        <v>146</v>
      </c>
      <c r="E241" s="1" t="s">
        <v>42</v>
      </c>
      <c r="G241" s="1" t="s">
        <v>155</v>
      </c>
      <c r="H241" s="1" t="s">
        <v>156</v>
      </c>
      <c r="I241" s="1" t="s">
        <v>1496</v>
      </c>
      <c r="J241" s="1">
        <v>2022</v>
      </c>
      <c r="K241" s="1" t="s">
        <v>1497</v>
      </c>
      <c r="L241" s="1" t="s">
        <v>1498</v>
      </c>
      <c r="P241" s="1" t="s">
        <v>1499</v>
      </c>
      <c r="Q241" s="1" t="s">
        <v>101</v>
      </c>
      <c r="R241" s="1" t="s">
        <v>102</v>
      </c>
      <c r="S241" s="1" t="s">
        <v>637</v>
      </c>
      <c r="T241" s="1" t="s">
        <v>638</v>
      </c>
      <c r="U241" s="1">
        <v>1</v>
      </c>
      <c r="V241" s="1" t="s">
        <v>101</v>
      </c>
      <c r="W241" s="1" t="s">
        <v>1500</v>
      </c>
      <c r="Y241" s="10">
        <v>45112</v>
      </c>
      <c r="Z241" s="1">
        <v>2023</v>
      </c>
      <c r="AA241" s="2">
        <v>2759762.58</v>
      </c>
      <c r="AB241" s="2"/>
      <c r="AC241" s="2">
        <v>2759762.58</v>
      </c>
      <c r="AG241" s="1" t="s">
        <v>56</v>
      </c>
      <c r="AI241" s="2">
        <v>2759762.58</v>
      </c>
    </row>
    <row r="242" spans="1:35" ht="14.45" customHeight="1" x14ac:dyDescent="0.2">
      <c r="A242" s="1" t="s">
        <v>57</v>
      </c>
      <c r="B242" s="9" t="s">
        <v>38</v>
      </c>
      <c r="C242" s="1" t="s">
        <v>58</v>
      </c>
      <c r="D242" s="1" t="s">
        <v>146</v>
      </c>
      <c r="E242" s="1" t="s">
        <v>42</v>
      </c>
      <c r="G242" s="1" t="s">
        <v>155</v>
      </c>
      <c r="H242" s="1" t="s">
        <v>156</v>
      </c>
      <c r="I242" s="1" t="s">
        <v>1501</v>
      </c>
      <c r="J242" s="1">
        <v>2022</v>
      </c>
      <c r="K242" s="1" t="s">
        <v>1502</v>
      </c>
      <c r="L242" s="1" t="s">
        <v>1503</v>
      </c>
      <c r="M242" s="1" t="s">
        <v>1504</v>
      </c>
      <c r="P242" s="1" t="s">
        <v>1478</v>
      </c>
      <c r="Q242" s="1" t="s">
        <v>50</v>
      </c>
      <c r="R242" s="1" t="s">
        <v>68</v>
      </c>
      <c r="S242" s="1" t="s">
        <v>1479</v>
      </c>
      <c r="T242" s="1" t="s">
        <v>1480</v>
      </c>
      <c r="U242" s="1">
        <v>1</v>
      </c>
      <c r="V242" s="1" t="s">
        <v>71</v>
      </c>
      <c r="W242" s="1" t="s">
        <v>1505</v>
      </c>
      <c r="Y242" s="10">
        <v>45112</v>
      </c>
      <c r="Z242" s="1">
        <v>2023</v>
      </c>
      <c r="AA242" s="2">
        <v>1497865.16</v>
      </c>
      <c r="AB242" s="2"/>
      <c r="AC242" s="2">
        <v>1497865.16</v>
      </c>
      <c r="AG242" s="1" t="s">
        <v>56</v>
      </c>
      <c r="AI242" s="2">
        <v>1497865.16</v>
      </c>
    </row>
    <row r="243" spans="1:35" ht="14.45" customHeight="1" x14ac:dyDescent="0.2">
      <c r="A243" s="1" t="s">
        <v>57</v>
      </c>
      <c r="B243" s="9" t="s">
        <v>38</v>
      </c>
      <c r="C243" s="1" t="s">
        <v>58</v>
      </c>
      <c r="D243" s="1" t="s">
        <v>146</v>
      </c>
      <c r="E243" s="1" t="s">
        <v>42</v>
      </c>
      <c r="G243" s="1" t="s">
        <v>155</v>
      </c>
      <c r="H243" s="1" t="s">
        <v>156</v>
      </c>
      <c r="I243" s="1" t="s">
        <v>1506</v>
      </c>
      <c r="J243" s="1">
        <v>2022</v>
      </c>
      <c r="K243" s="1" t="s">
        <v>1507</v>
      </c>
      <c r="L243" s="1" t="s">
        <v>1508</v>
      </c>
      <c r="N243" s="1" t="s">
        <v>1509</v>
      </c>
      <c r="P243" s="1" t="s">
        <v>1510</v>
      </c>
      <c r="Q243" s="1" t="s">
        <v>110</v>
      </c>
      <c r="R243" s="1" t="s">
        <v>111</v>
      </c>
      <c r="S243" s="1" t="s">
        <v>1511</v>
      </c>
      <c r="T243" s="1" t="s">
        <v>1512</v>
      </c>
      <c r="V243" s="1" t="s">
        <v>114</v>
      </c>
      <c r="W243" s="1" t="s">
        <v>1513</v>
      </c>
      <c r="Y243" s="10">
        <v>45112</v>
      </c>
      <c r="Z243" s="1">
        <v>2023</v>
      </c>
      <c r="AA243" s="2">
        <v>499982.97</v>
      </c>
      <c r="AB243" s="2"/>
      <c r="AC243" s="2">
        <v>499982.97</v>
      </c>
      <c r="AG243" s="1" t="s">
        <v>56</v>
      </c>
      <c r="AI243" s="2">
        <v>499982.97</v>
      </c>
    </row>
    <row r="244" spans="1:35" ht="14.45" customHeight="1" x14ac:dyDescent="0.2">
      <c r="A244" s="1" t="s">
        <v>57</v>
      </c>
      <c r="B244" s="9" t="s">
        <v>38</v>
      </c>
      <c r="C244" s="1" t="s">
        <v>58</v>
      </c>
      <c r="D244" s="1" t="s">
        <v>146</v>
      </c>
      <c r="E244" s="1" t="s">
        <v>42</v>
      </c>
      <c r="G244" s="1" t="s">
        <v>155</v>
      </c>
      <c r="H244" s="1" t="s">
        <v>156</v>
      </c>
      <c r="I244" s="1" t="s">
        <v>1514</v>
      </c>
      <c r="J244" s="1">
        <v>2022</v>
      </c>
      <c r="K244" s="1" t="s">
        <v>1515</v>
      </c>
      <c r="L244" s="1" t="s">
        <v>1516</v>
      </c>
      <c r="P244" s="1" t="s">
        <v>1499</v>
      </c>
      <c r="Q244" s="1" t="s">
        <v>101</v>
      </c>
      <c r="R244" s="1" t="s">
        <v>102</v>
      </c>
      <c r="S244" s="1" t="s">
        <v>637</v>
      </c>
      <c r="T244" s="1" t="s">
        <v>638</v>
      </c>
      <c r="U244" s="1">
        <v>1</v>
      </c>
      <c r="V244" s="1" t="s">
        <v>101</v>
      </c>
      <c r="W244" s="1" t="s">
        <v>1517</v>
      </c>
      <c r="Y244" s="10">
        <v>45112</v>
      </c>
      <c r="Z244" s="1">
        <v>2023</v>
      </c>
      <c r="AA244" s="2">
        <v>500000</v>
      </c>
      <c r="AB244" s="2"/>
      <c r="AC244" s="2">
        <v>500000</v>
      </c>
      <c r="AG244" s="1" t="s">
        <v>56</v>
      </c>
      <c r="AI244" s="2">
        <v>500000</v>
      </c>
    </row>
    <row r="245" spans="1:35" ht="14.45" customHeight="1" x14ac:dyDescent="0.25">
      <c r="A245" s="1" t="s">
        <v>57</v>
      </c>
      <c r="B245" s="20" t="s">
        <v>38</v>
      </c>
      <c r="C245" s="3" t="s">
        <v>58</v>
      </c>
      <c r="D245" s="1" t="s">
        <v>146</v>
      </c>
      <c r="E245" s="1" t="s">
        <v>42</v>
      </c>
      <c r="F245" s="1" t="s">
        <v>1236</v>
      </c>
      <c r="G245" s="1" t="s">
        <v>155</v>
      </c>
      <c r="H245" s="1" t="s">
        <v>156</v>
      </c>
      <c r="I245" s="3" t="s">
        <v>1518</v>
      </c>
      <c r="J245" s="1">
        <v>2022</v>
      </c>
      <c r="K245" s="1" t="s">
        <v>1519</v>
      </c>
      <c r="L245" s="23" t="s">
        <v>1520</v>
      </c>
      <c r="M245" s="1" t="s">
        <v>1240</v>
      </c>
      <c r="P245" s="1" t="s">
        <v>1521</v>
      </c>
      <c r="Q245" s="1" t="s">
        <v>101</v>
      </c>
      <c r="R245" s="1" t="s">
        <v>102</v>
      </c>
      <c r="S245" s="3" t="s">
        <v>1522</v>
      </c>
      <c r="T245" s="3" t="s">
        <v>1523</v>
      </c>
      <c r="U245" s="1">
        <v>2</v>
      </c>
      <c r="V245" s="3" t="s">
        <v>101</v>
      </c>
      <c r="W245" s="3" t="s">
        <v>1520</v>
      </c>
      <c r="X245" s="3"/>
      <c r="Y245" s="21"/>
      <c r="Z245" s="3">
        <v>2025</v>
      </c>
      <c r="AA245" s="22">
        <v>125528.74</v>
      </c>
      <c r="AB245" s="22"/>
      <c r="AC245" s="22">
        <v>125528.74</v>
      </c>
      <c r="AD245" s="2"/>
      <c r="AG245" s="1" t="s">
        <v>56</v>
      </c>
      <c r="AI245" s="22">
        <v>125528.74</v>
      </c>
    </row>
    <row r="246" spans="1:35" ht="14.45" customHeight="1" x14ac:dyDescent="0.2">
      <c r="A246" s="1" t="s">
        <v>57</v>
      </c>
      <c r="B246" s="9" t="s">
        <v>38</v>
      </c>
      <c r="C246" s="1" t="s">
        <v>58</v>
      </c>
      <c r="D246" s="1" t="s">
        <v>146</v>
      </c>
      <c r="E246" s="1" t="s">
        <v>42</v>
      </c>
      <c r="G246" s="1" t="s">
        <v>155</v>
      </c>
      <c r="H246" s="1" t="s">
        <v>156</v>
      </c>
      <c r="I246" s="1" t="s">
        <v>1524</v>
      </c>
      <c r="J246" s="1">
        <v>2022</v>
      </c>
      <c r="K246" s="1" t="s">
        <v>1525</v>
      </c>
      <c r="L246" s="1" t="s">
        <v>1526</v>
      </c>
      <c r="M246" s="1" t="s">
        <v>1527</v>
      </c>
      <c r="P246" s="1" t="s">
        <v>1528</v>
      </c>
      <c r="Q246" s="1" t="s">
        <v>842</v>
      </c>
      <c r="R246" s="1" t="s">
        <v>884</v>
      </c>
      <c r="S246" s="1" t="s">
        <v>1011</v>
      </c>
      <c r="T246" s="1" t="s">
        <v>1012</v>
      </c>
      <c r="V246" s="1" t="s">
        <v>887</v>
      </c>
      <c r="W246" s="1" t="s">
        <v>1529</v>
      </c>
      <c r="Y246" s="10">
        <v>45112</v>
      </c>
      <c r="Z246" s="1">
        <v>2023</v>
      </c>
      <c r="AA246" s="2">
        <v>1499994.28</v>
      </c>
      <c r="AB246" s="2"/>
      <c r="AC246" s="2">
        <v>1325981.1607692305</v>
      </c>
      <c r="AG246" s="1" t="s">
        <v>56</v>
      </c>
      <c r="AI246" s="2">
        <v>1325981.1607692305</v>
      </c>
    </row>
    <row r="247" spans="1:35" ht="12.6" customHeight="1" x14ac:dyDescent="0.2">
      <c r="A247" s="1" t="s">
        <v>57</v>
      </c>
      <c r="B247" s="9" t="s">
        <v>38</v>
      </c>
      <c r="C247" s="1" t="s">
        <v>58</v>
      </c>
      <c r="D247" s="1" t="s">
        <v>146</v>
      </c>
      <c r="E247" s="1" t="s">
        <v>42</v>
      </c>
      <c r="G247" s="1" t="s">
        <v>155</v>
      </c>
      <c r="H247" s="1" t="s">
        <v>156</v>
      </c>
      <c r="I247" s="1" t="s">
        <v>1530</v>
      </c>
      <c r="J247" s="1">
        <v>2022</v>
      </c>
      <c r="K247" s="1" t="s">
        <v>1531</v>
      </c>
      <c r="L247" s="1" t="s">
        <v>1532</v>
      </c>
      <c r="N247" s="1" t="s">
        <v>1533</v>
      </c>
      <c r="P247" s="1" t="s">
        <v>1534</v>
      </c>
      <c r="Q247" s="1" t="s">
        <v>1149</v>
      </c>
      <c r="R247" s="1" t="s">
        <v>1150</v>
      </c>
      <c r="S247" s="1" t="s">
        <v>1535</v>
      </c>
      <c r="T247" s="1" t="s">
        <v>1536</v>
      </c>
      <c r="V247" s="1" t="s">
        <v>1537</v>
      </c>
      <c r="W247" s="1" t="s">
        <v>1538</v>
      </c>
      <c r="Y247" s="10">
        <v>45112</v>
      </c>
      <c r="Z247" s="1">
        <v>2023</v>
      </c>
      <c r="AA247" s="2">
        <v>1215125.45</v>
      </c>
      <c r="AB247" s="2"/>
      <c r="AC247" s="2">
        <v>1215125.45</v>
      </c>
      <c r="AG247" s="1" t="s">
        <v>56</v>
      </c>
      <c r="AI247" s="2">
        <v>1215125.45</v>
      </c>
    </row>
    <row r="248" spans="1:35" ht="12.6" customHeight="1" x14ac:dyDescent="0.2">
      <c r="A248" s="1" t="s">
        <v>57</v>
      </c>
      <c r="B248" s="9" t="s">
        <v>38</v>
      </c>
      <c r="C248" s="1" t="s">
        <v>58</v>
      </c>
      <c r="D248" s="1" t="s">
        <v>146</v>
      </c>
      <c r="E248" s="1" t="s">
        <v>42</v>
      </c>
      <c r="G248" s="1" t="s">
        <v>155</v>
      </c>
      <c r="H248" s="1" t="s">
        <v>156</v>
      </c>
      <c r="I248" s="1" t="s">
        <v>1539</v>
      </c>
      <c r="J248" s="1">
        <v>2022</v>
      </c>
      <c r="K248" s="1" t="s">
        <v>1540</v>
      </c>
      <c r="L248" s="1" t="s">
        <v>1541</v>
      </c>
      <c r="P248" s="1" t="s">
        <v>1542</v>
      </c>
      <c r="Q248" s="1" t="s">
        <v>264</v>
      </c>
      <c r="R248" s="1" t="s">
        <v>265</v>
      </c>
      <c r="S248" s="1" t="s">
        <v>855</v>
      </c>
      <c r="T248" s="1" t="s">
        <v>856</v>
      </c>
      <c r="U248" s="1">
        <v>2</v>
      </c>
      <c r="V248" s="1" t="s">
        <v>308</v>
      </c>
      <c r="W248" s="1" t="s">
        <v>1543</v>
      </c>
      <c r="Y248" s="10">
        <v>45112</v>
      </c>
      <c r="Z248" s="1">
        <v>2023</v>
      </c>
      <c r="AA248" s="2">
        <v>477825.36</v>
      </c>
      <c r="AB248" s="2"/>
      <c r="AC248" s="2">
        <v>477825.36</v>
      </c>
      <c r="AG248" s="1" t="s">
        <v>56</v>
      </c>
      <c r="AI248" s="2">
        <v>477825.36</v>
      </c>
    </row>
    <row r="249" spans="1:35" ht="14.45" customHeight="1" x14ac:dyDescent="0.2">
      <c r="A249" s="1" t="s">
        <v>57</v>
      </c>
      <c r="B249" s="9" t="s">
        <v>38</v>
      </c>
      <c r="C249" s="1" t="s">
        <v>58</v>
      </c>
      <c r="D249" s="1" t="s">
        <v>146</v>
      </c>
      <c r="E249" s="1" t="s">
        <v>42</v>
      </c>
      <c r="G249" s="1" t="s">
        <v>155</v>
      </c>
      <c r="H249" s="1" t="s">
        <v>156</v>
      </c>
      <c r="I249" s="1" t="s">
        <v>1544</v>
      </c>
      <c r="J249" s="1">
        <v>2022</v>
      </c>
      <c r="K249" s="1" t="s">
        <v>1545</v>
      </c>
      <c r="L249" s="1" t="s">
        <v>1546</v>
      </c>
      <c r="M249" s="1" t="s">
        <v>1547</v>
      </c>
      <c r="N249" s="1" t="s">
        <v>1548</v>
      </c>
      <c r="P249" s="1" t="s">
        <v>1549</v>
      </c>
      <c r="Q249" s="1" t="s">
        <v>50</v>
      </c>
      <c r="R249" s="1" t="s">
        <v>51</v>
      </c>
      <c r="S249" s="1" t="s">
        <v>1550</v>
      </c>
      <c r="T249" s="1" t="s">
        <v>1551</v>
      </c>
      <c r="V249" s="1" t="s">
        <v>54</v>
      </c>
      <c r="W249" s="1" t="s">
        <v>1552</v>
      </c>
      <c r="Y249" s="10">
        <v>45112</v>
      </c>
      <c r="Z249" s="1">
        <v>2023</v>
      </c>
      <c r="AA249" s="2">
        <v>525881.56999999995</v>
      </c>
      <c r="AB249" s="2"/>
      <c r="AC249" s="2">
        <v>525881.56999999995</v>
      </c>
      <c r="AG249" s="1" t="s">
        <v>56</v>
      </c>
      <c r="AI249" s="2">
        <v>525881.56999999995</v>
      </c>
    </row>
    <row r="250" spans="1:35" ht="14.45" customHeight="1" x14ac:dyDescent="0.2">
      <c r="A250" s="1" t="s">
        <v>57</v>
      </c>
      <c r="B250" s="9" t="s">
        <v>38</v>
      </c>
      <c r="C250" s="1" t="s">
        <v>58</v>
      </c>
      <c r="D250" s="1" t="s">
        <v>146</v>
      </c>
      <c r="E250" s="1" t="s">
        <v>42</v>
      </c>
      <c r="G250" s="1" t="s">
        <v>155</v>
      </c>
      <c r="H250" s="1" t="s">
        <v>156</v>
      </c>
      <c r="I250" s="1" t="s">
        <v>1553</v>
      </c>
      <c r="J250" s="1">
        <v>2022</v>
      </c>
      <c r="K250" s="1" t="s">
        <v>1554</v>
      </c>
      <c r="L250" s="1" t="s">
        <v>1555</v>
      </c>
      <c r="P250" s="1" t="s">
        <v>1556</v>
      </c>
      <c r="Q250" s="1" t="s">
        <v>264</v>
      </c>
      <c r="R250" s="1" t="s">
        <v>265</v>
      </c>
      <c r="S250" s="1" t="s">
        <v>1557</v>
      </c>
      <c r="T250" s="1" t="s">
        <v>1558</v>
      </c>
      <c r="U250" s="1">
        <v>1</v>
      </c>
      <c r="V250" s="1" t="s">
        <v>268</v>
      </c>
      <c r="W250" s="1" t="s">
        <v>1559</v>
      </c>
      <c r="Y250" s="10">
        <v>45112</v>
      </c>
      <c r="Z250" s="1">
        <v>2023</v>
      </c>
      <c r="AA250" s="2">
        <v>492744.63</v>
      </c>
      <c r="AB250" s="2"/>
      <c r="AC250" s="2">
        <v>492744.63</v>
      </c>
      <c r="AG250" s="1" t="s">
        <v>56</v>
      </c>
      <c r="AI250" s="2">
        <v>492744.63</v>
      </c>
    </row>
    <row r="251" spans="1:35" ht="12.6" customHeight="1" x14ac:dyDescent="0.2">
      <c r="A251" s="1" t="s">
        <v>57</v>
      </c>
      <c r="B251" s="9" t="s">
        <v>38</v>
      </c>
      <c r="C251" s="1" t="s">
        <v>58</v>
      </c>
      <c r="D251" s="1" t="s">
        <v>59</v>
      </c>
      <c r="E251" s="1" t="s">
        <v>42</v>
      </c>
      <c r="F251" s="1" t="s">
        <v>165</v>
      </c>
      <c r="G251" s="1" t="s">
        <v>88</v>
      </c>
      <c r="H251" s="1" t="s">
        <v>166</v>
      </c>
      <c r="I251" s="1" t="s">
        <v>1560</v>
      </c>
      <c r="J251" s="1">
        <v>2023</v>
      </c>
      <c r="K251" s="1" t="s">
        <v>1561</v>
      </c>
      <c r="L251" s="1" t="s">
        <v>1562</v>
      </c>
      <c r="M251" s="1" t="s">
        <v>170</v>
      </c>
      <c r="P251" s="1" t="s">
        <v>1563</v>
      </c>
      <c r="Q251" s="1" t="s">
        <v>50</v>
      </c>
      <c r="R251" s="1" t="s">
        <v>68</v>
      </c>
      <c r="S251" s="1" t="s">
        <v>69</v>
      </c>
      <c r="T251" s="2" t="s">
        <v>70</v>
      </c>
      <c r="U251" s="1">
        <v>1</v>
      </c>
      <c r="V251" s="1" t="str">
        <f>VLOOKUP(Tabla354[[#This Row],[Municipio]],[1]CON_INE_2024!$H$5:$K$353,3,FALSE)</f>
        <v>Bierzo-Laciana</v>
      </c>
      <c r="W251" s="1" t="s">
        <v>1564</v>
      </c>
      <c r="Y251" s="10">
        <v>45802</v>
      </c>
      <c r="Z251" s="1">
        <v>2025</v>
      </c>
      <c r="AA251" s="12">
        <v>438800</v>
      </c>
      <c r="AB251" s="2"/>
      <c r="AC251" s="12">
        <v>153580</v>
      </c>
      <c r="AD251" s="1">
        <v>2</v>
      </c>
      <c r="AE251" s="1">
        <v>1.5</v>
      </c>
      <c r="AG251" s="1" t="s">
        <v>56</v>
      </c>
      <c r="AI251" s="13">
        <v>153580</v>
      </c>
    </row>
    <row r="252" spans="1:35" x14ac:dyDescent="0.2">
      <c r="A252" s="1" t="s">
        <v>57</v>
      </c>
      <c r="B252" s="9" t="s">
        <v>38</v>
      </c>
      <c r="C252" s="1" t="s">
        <v>58</v>
      </c>
      <c r="D252" s="1" t="s">
        <v>146</v>
      </c>
      <c r="E252" s="1" t="s">
        <v>42</v>
      </c>
      <c r="G252" s="1" t="s">
        <v>155</v>
      </c>
      <c r="H252" s="1" t="s">
        <v>156</v>
      </c>
      <c r="I252" s="1" t="s">
        <v>1565</v>
      </c>
      <c r="J252" s="1">
        <v>2022</v>
      </c>
      <c r="K252" s="1" t="s">
        <v>1566</v>
      </c>
      <c r="L252" s="1" t="s">
        <v>1567</v>
      </c>
      <c r="M252" s="1" t="s">
        <v>1568</v>
      </c>
      <c r="P252" s="1" t="s">
        <v>188</v>
      </c>
      <c r="Q252" s="1" t="s">
        <v>50</v>
      </c>
      <c r="R252" s="1" t="s">
        <v>68</v>
      </c>
      <c r="S252" s="1" t="s">
        <v>189</v>
      </c>
      <c r="T252" s="1" t="s">
        <v>190</v>
      </c>
      <c r="U252" s="1">
        <v>1</v>
      </c>
      <c r="V252" s="1" t="s">
        <v>71</v>
      </c>
      <c r="W252" s="1" t="s">
        <v>1569</v>
      </c>
      <c r="Y252" s="10">
        <v>45112</v>
      </c>
      <c r="Z252" s="1">
        <v>2023</v>
      </c>
      <c r="AA252" s="2">
        <v>1451133.34</v>
      </c>
      <c r="AB252" s="2"/>
      <c r="AC252" s="2">
        <v>1451133.34</v>
      </c>
      <c r="AG252" s="1" t="s">
        <v>56</v>
      </c>
      <c r="AI252" s="2">
        <v>1451133.34</v>
      </c>
    </row>
    <row r="253" spans="1:35" ht="14.45" customHeight="1" x14ac:dyDescent="0.2">
      <c r="A253" s="1" t="s">
        <v>57</v>
      </c>
      <c r="B253" s="9" t="s">
        <v>38</v>
      </c>
      <c r="C253" s="1" t="s">
        <v>58</v>
      </c>
      <c r="D253" s="1" t="s">
        <v>59</v>
      </c>
      <c r="E253" s="1" t="s">
        <v>42</v>
      </c>
      <c r="F253" s="1" t="s">
        <v>165</v>
      </c>
      <c r="G253" s="1" t="s">
        <v>88</v>
      </c>
      <c r="H253" s="1" t="s">
        <v>166</v>
      </c>
      <c r="I253" s="1" t="s">
        <v>1570</v>
      </c>
      <c r="J253" s="1">
        <v>2023</v>
      </c>
      <c r="K253" s="1" t="s">
        <v>1571</v>
      </c>
      <c r="L253" s="1" t="s">
        <v>1572</v>
      </c>
      <c r="M253" s="1" t="s">
        <v>170</v>
      </c>
      <c r="P253" s="1" t="s">
        <v>1573</v>
      </c>
      <c r="Q253" s="1" t="s">
        <v>50</v>
      </c>
      <c r="R253" s="1" t="s">
        <v>68</v>
      </c>
      <c r="S253" s="1" t="s">
        <v>189</v>
      </c>
      <c r="T253" s="2" t="s">
        <v>190</v>
      </c>
      <c r="U253" s="1">
        <v>1</v>
      </c>
      <c r="V253" s="1" t="str">
        <f>VLOOKUP(Tabla354[[#This Row],[Municipio]],[1]CON_INE_2024!$H$5:$K$353,3,FALSE)</f>
        <v>Bierzo-Laciana</v>
      </c>
      <c r="W253" s="1" t="s">
        <v>1574</v>
      </c>
      <c r="Y253" s="10">
        <v>45802</v>
      </c>
      <c r="Z253" s="1">
        <v>2025</v>
      </c>
      <c r="AA253" s="12">
        <v>392796</v>
      </c>
      <c r="AB253" s="2"/>
      <c r="AC253" s="12">
        <v>137478.6</v>
      </c>
      <c r="AD253" s="1">
        <v>3.5</v>
      </c>
      <c r="AE253" s="1">
        <v>1</v>
      </c>
      <c r="AG253" s="1" t="s">
        <v>56</v>
      </c>
      <c r="AI253" s="13">
        <v>137478.6</v>
      </c>
    </row>
    <row r="254" spans="1:35" ht="12.6" customHeight="1" x14ac:dyDescent="0.2">
      <c r="A254" s="1" t="s">
        <v>57</v>
      </c>
      <c r="B254" s="9" t="s">
        <v>38</v>
      </c>
      <c r="C254" s="1" t="s">
        <v>58</v>
      </c>
      <c r="D254" s="1" t="s">
        <v>59</v>
      </c>
      <c r="E254" s="1" t="s">
        <v>42</v>
      </c>
      <c r="F254" s="1" t="s">
        <v>165</v>
      </c>
      <c r="G254" s="1" t="s">
        <v>88</v>
      </c>
      <c r="H254" s="1" t="s">
        <v>166</v>
      </c>
      <c r="I254" s="1" t="s">
        <v>1575</v>
      </c>
      <c r="J254" s="1">
        <v>2023</v>
      </c>
      <c r="K254" s="1" t="s">
        <v>1576</v>
      </c>
      <c r="L254" s="1" t="s">
        <v>1577</v>
      </c>
      <c r="M254" s="1" t="s">
        <v>170</v>
      </c>
      <c r="P254" s="1" t="s">
        <v>1578</v>
      </c>
      <c r="Q254" s="1" t="s">
        <v>50</v>
      </c>
      <c r="R254" s="1" t="s">
        <v>68</v>
      </c>
      <c r="S254" s="1" t="s">
        <v>814</v>
      </c>
      <c r="T254" s="2" t="s">
        <v>815</v>
      </c>
      <c r="U254" s="1">
        <v>2</v>
      </c>
      <c r="V254" s="1" t="str">
        <f>VLOOKUP(Tabla354[[#This Row],[Municipio]],[1]CON_INE_2024!$H$5:$K$353,3,FALSE)</f>
        <v>Bierzo-Laciana</v>
      </c>
      <c r="W254" s="1" t="s">
        <v>1579</v>
      </c>
      <c r="Y254" s="10">
        <v>45802</v>
      </c>
      <c r="Z254" s="1">
        <v>2025</v>
      </c>
      <c r="AA254" s="12">
        <v>179381.74</v>
      </c>
      <c r="AB254" s="2"/>
      <c r="AC254" s="12">
        <v>31391.8</v>
      </c>
      <c r="AD254" s="1">
        <v>1</v>
      </c>
      <c r="AE254" s="1">
        <v>0.5</v>
      </c>
      <c r="AG254" s="1" t="s">
        <v>56</v>
      </c>
      <c r="AI254" s="13">
        <v>31391.8</v>
      </c>
    </row>
    <row r="255" spans="1:35" ht="14.45" customHeight="1" x14ac:dyDescent="0.2">
      <c r="A255" s="1" t="s">
        <v>57</v>
      </c>
      <c r="B255" s="9" t="s">
        <v>38</v>
      </c>
      <c r="C255" s="1" t="s">
        <v>58</v>
      </c>
      <c r="D255" s="1" t="s">
        <v>59</v>
      </c>
      <c r="E255" s="1" t="s">
        <v>42</v>
      </c>
      <c r="F255" s="1" t="s">
        <v>165</v>
      </c>
      <c r="G255" s="1" t="s">
        <v>88</v>
      </c>
      <c r="H255" s="1" t="s">
        <v>166</v>
      </c>
      <c r="I255" s="1" t="s">
        <v>1580</v>
      </c>
      <c r="J255" s="1">
        <v>2023</v>
      </c>
      <c r="K255" s="1" t="s">
        <v>1581</v>
      </c>
      <c r="L255" s="1" t="s">
        <v>1582</v>
      </c>
      <c r="M255" s="1" t="s">
        <v>170</v>
      </c>
      <c r="P255" s="1" t="s">
        <v>1583</v>
      </c>
      <c r="Q255" s="1" t="s">
        <v>50</v>
      </c>
      <c r="R255" s="1" t="s">
        <v>68</v>
      </c>
      <c r="S255" s="1" t="s">
        <v>1360</v>
      </c>
      <c r="T255" s="2" t="s">
        <v>1361</v>
      </c>
      <c r="U255" s="1">
        <v>1</v>
      </c>
      <c r="V255" s="1" t="str">
        <f>VLOOKUP(Tabla354[[#This Row],[Municipio]],[1]CON_INE_2024!$H$5:$K$353,3,FALSE)</f>
        <v>Bierzo-Laciana</v>
      </c>
      <c r="W255" s="1" t="s">
        <v>1584</v>
      </c>
      <c r="Y255" s="10">
        <v>45802</v>
      </c>
      <c r="Z255" s="1">
        <v>2025</v>
      </c>
      <c r="AA255" s="12">
        <v>43643.66</v>
      </c>
      <c r="AB255" s="2"/>
      <c r="AC255" s="12">
        <v>15275.28</v>
      </c>
      <c r="AD255" s="1">
        <v>1</v>
      </c>
      <c r="AE255" s="1">
        <v>0</v>
      </c>
      <c r="AG255" s="1" t="s">
        <v>56</v>
      </c>
      <c r="AI255" s="13">
        <v>15275.28</v>
      </c>
    </row>
    <row r="256" spans="1:35" ht="12.6" customHeight="1" x14ac:dyDescent="0.2">
      <c r="A256" s="1" t="s">
        <v>57</v>
      </c>
      <c r="B256" s="9" t="s">
        <v>38</v>
      </c>
      <c r="C256" s="1" t="s">
        <v>58</v>
      </c>
      <c r="D256" s="1" t="s">
        <v>59</v>
      </c>
      <c r="E256" s="1" t="s">
        <v>42</v>
      </c>
      <c r="F256" s="1" t="s">
        <v>165</v>
      </c>
      <c r="G256" s="1" t="s">
        <v>88</v>
      </c>
      <c r="H256" s="1" t="s">
        <v>166</v>
      </c>
      <c r="I256" s="1" t="s">
        <v>1585</v>
      </c>
      <c r="J256" s="1">
        <v>2023</v>
      </c>
      <c r="K256" s="1" t="s">
        <v>1586</v>
      </c>
      <c r="L256" s="1" t="s">
        <v>1587</v>
      </c>
      <c r="M256" s="1" t="s">
        <v>1588</v>
      </c>
      <c r="P256" s="1" t="s">
        <v>1589</v>
      </c>
      <c r="Q256" s="1" t="s">
        <v>50</v>
      </c>
      <c r="R256" s="1" t="s">
        <v>68</v>
      </c>
      <c r="S256" s="1" t="s">
        <v>692</v>
      </c>
      <c r="T256" s="2" t="s">
        <v>693</v>
      </c>
      <c r="U256" s="1">
        <v>2</v>
      </c>
      <c r="V256" s="1" t="str">
        <f>VLOOKUP(Tabla354[[#This Row],[Municipio]],[1]CON_INE_2024!$H$5:$K$353,3,FALSE)</f>
        <v>Bierzo-Laciana</v>
      </c>
      <c r="W256" s="1" t="s">
        <v>1590</v>
      </c>
      <c r="Y256" s="10">
        <v>45802</v>
      </c>
      <c r="Z256" s="1">
        <v>2025</v>
      </c>
      <c r="AA256" s="12">
        <v>81608.2</v>
      </c>
      <c r="AB256" s="2"/>
      <c r="AC256" s="12">
        <v>14281.44</v>
      </c>
      <c r="AD256" s="1">
        <v>1</v>
      </c>
      <c r="AE256" s="1">
        <v>1</v>
      </c>
      <c r="AG256" s="1" t="s">
        <v>56</v>
      </c>
      <c r="AI256" s="13">
        <v>14281.44</v>
      </c>
    </row>
    <row r="257" spans="1:35" ht="12.6" customHeight="1" x14ac:dyDescent="0.2">
      <c r="A257" s="1" t="s">
        <v>57</v>
      </c>
      <c r="B257" s="9" t="s">
        <v>38</v>
      </c>
      <c r="C257" s="1" t="s">
        <v>58</v>
      </c>
      <c r="D257" s="1" t="s">
        <v>59</v>
      </c>
      <c r="E257" s="1" t="s">
        <v>42</v>
      </c>
      <c r="F257" s="1" t="s">
        <v>165</v>
      </c>
      <c r="G257" s="1" t="s">
        <v>88</v>
      </c>
      <c r="H257" s="1" t="s">
        <v>166</v>
      </c>
      <c r="I257" s="1" t="s">
        <v>1591</v>
      </c>
      <c r="J257" s="1">
        <v>2023</v>
      </c>
      <c r="K257" s="1" t="s">
        <v>1592</v>
      </c>
      <c r="L257" s="1" t="s">
        <v>1593</v>
      </c>
      <c r="M257" s="1" t="s">
        <v>1594</v>
      </c>
      <c r="P257" s="1" t="s">
        <v>1595</v>
      </c>
      <c r="Q257" s="1" t="s">
        <v>50</v>
      </c>
      <c r="R257" s="1" t="s">
        <v>68</v>
      </c>
      <c r="S257" s="1" t="s">
        <v>1596</v>
      </c>
      <c r="T257" s="2" t="s">
        <v>1597</v>
      </c>
      <c r="U257" s="1">
        <v>1</v>
      </c>
      <c r="V257" s="1" t="str">
        <f>VLOOKUP(Tabla354[[#This Row],[Municipio]],[1]CON_INE_2024!$H$5:$K$353,3,FALSE)</f>
        <v>Bierzo-Laciana</v>
      </c>
      <c r="W257" s="1" t="s">
        <v>1598</v>
      </c>
      <c r="Y257" s="10">
        <v>45802</v>
      </c>
      <c r="Z257" s="1">
        <v>2025</v>
      </c>
      <c r="AA257" s="12">
        <v>52996.44</v>
      </c>
      <c r="AB257" s="2"/>
      <c r="AC257" s="12">
        <v>18548.75</v>
      </c>
      <c r="AD257" s="1">
        <v>1</v>
      </c>
      <c r="AE257" s="1">
        <v>1</v>
      </c>
      <c r="AG257" s="1" t="s">
        <v>56</v>
      </c>
      <c r="AI257" s="13">
        <v>18548.75</v>
      </c>
    </row>
    <row r="258" spans="1:35" ht="12.6" customHeight="1" x14ac:dyDescent="0.2">
      <c r="A258" s="1" t="s">
        <v>57</v>
      </c>
      <c r="B258" s="9" t="s">
        <v>38</v>
      </c>
      <c r="C258" s="1" t="s">
        <v>58</v>
      </c>
      <c r="D258" s="1" t="s">
        <v>59</v>
      </c>
      <c r="E258" s="1" t="s">
        <v>42</v>
      </c>
      <c r="F258" s="1" t="s">
        <v>165</v>
      </c>
      <c r="G258" s="1" t="s">
        <v>88</v>
      </c>
      <c r="H258" s="1" t="s">
        <v>166</v>
      </c>
      <c r="I258" s="1" t="s">
        <v>1599</v>
      </c>
      <c r="J258" s="1">
        <v>2023</v>
      </c>
      <c r="K258" s="1" t="s">
        <v>1600</v>
      </c>
      <c r="L258" s="1" t="s">
        <v>1601</v>
      </c>
      <c r="M258" s="1" t="s">
        <v>170</v>
      </c>
      <c r="P258" s="1" t="s">
        <v>1602</v>
      </c>
      <c r="Q258" s="1" t="s">
        <v>50</v>
      </c>
      <c r="R258" s="1" t="s">
        <v>68</v>
      </c>
      <c r="S258" s="1" t="s">
        <v>1360</v>
      </c>
      <c r="T258" s="2" t="s">
        <v>1361</v>
      </c>
      <c r="U258" s="1">
        <v>1</v>
      </c>
      <c r="V258" s="1" t="str">
        <f>VLOOKUP(Tabla354[[#This Row],[Municipio]],[1]CON_INE_2024!$H$5:$K$353,3,FALSE)</f>
        <v>Bierzo-Laciana</v>
      </c>
      <c r="W258" s="1" t="s">
        <v>1603</v>
      </c>
      <c r="Y258" s="10">
        <v>45802</v>
      </c>
      <c r="Z258" s="1">
        <v>2025</v>
      </c>
      <c r="AA258" s="12">
        <v>64243.73</v>
      </c>
      <c r="AB258" s="2"/>
      <c r="AC258" s="12">
        <v>22485.31</v>
      </c>
      <c r="AD258" s="1">
        <v>1</v>
      </c>
      <c r="AE258" s="1">
        <v>0</v>
      </c>
      <c r="AG258" s="1" t="s">
        <v>56</v>
      </c>
      <c r="AI258" s="13">
        <v>22485.31</v>
      </c>
    </row>
    <row r="259" spans="1:35" ht="12.6" customHeight="1" x14ac:dyDescent="0.2">
      <c r="A259" s="1" t="s">
        <v>57</v>
      </c>
      <c r="B259" s="9" t="s">
        <v>38</v>
      </c>
      <c r="C259" s="1" t="s">
        <v>58</v>
      </c>
      <c r="D259" s="1" t="s">
        <v>146</v>
      </c>
      <c r="E259" s="1" t="s">
        <v>42</v>
      </c>
      <c r="G259" s="1" t="s">
        <v>155</v>
      </c>
      <c r="H259" s="1" t="s">
        <v>156</v>
      </c>
      <c r="I259" s="1" t="s">
        <v>1604</v>
      </c>
      <c r="J259" s="1">
        <v>2022</v>
      </c>
      <c r="K259" s="1" t="s">
        <v>1605</v>
      </c>
      <c r="L259" s="1" t="s">
        <v>1606</v>
      </c>
      <c r="M259" s="1" t="s">
        <v>1607</v>
      </c>
      <c r="N259" s="1" t="s">
        <v>1608</v>
      </c>
      <c r="P259" s="1" t="s">
        <v>1609</v>
      </c>
      <c r="Q259" s="1" t="s">
        <v>50</v>
      </c>
      <c r="R259" s="1" t="s">
        <v>68</v>
      </c>
      <c r="S259" s="1" t="s">
        <v>425</v>
      </c>
      <c r="T259" s="1" t="s">
        <v>426</v>
      </c>
      <c r="U259" s="1">
        <v>1</v>
      </c>
      <c r="V259" s="1" t="s">
        <v>195</v>
      </c>
      <c r="W259" s="1" t="s">
        <v>1610</v>
      </c>
      <c r="Y259" s="10">
        <v>45112</v>
      </c>
      <c r="Z259" s="1">
        <v>2023</v>
      </c>
      <c r="AA259" s="2">
        <v>425598.66</v>
      </c>
      <c r="AB259" s="2"/>
      <c r="AC259" s="2">
        <v>425598.66</v>
      </c>
      <c r="AG259" s="1" t="s">
        <v>56</v>
      </c>
      <c r="AI259" s="2">
        <v>425598.66</v>
      </c>
    </row>
    <row r="260" spans="1:35" ht="12.6" customHeight="1" x14ac:dyDescent="0.2">
      <c r="A260" s="1" t="s">
        <v>57</v>
      </c>
      <c r="B260" s="9" t="s">
        <v>38</v>
      </c>
      <c r="C260" s="1" t="s">
        <v>58</v>
      </c>
      <c r="D260" s="1" t="s">
        <v>146</v>
      </c>
      <c r="E260" s="1" t="s">
        <v>42</v>
      </c>
      <c r="G260" s="1" t="s">
        <v>155</v>
      </c>
      <c r="H260" s="1" t="s">
        <v>156</v>
      </c>
      <c r="I260" s="1" t="s">
        <v>1611</v>
      </c>
      <c r="J260" s="1">
        <v>2022</v>
      </c>
      <c r="K260" s="1" t="s">
        <v>1612</v>
      </c>
      <c r="L260" s="1" t="s">
        <v>1613</v>
      </c>
      <c r="M260" s="1" t="s">
        <v>1614</v>
      </c>
      <c r="P260" s="1" t="s">
        <v>1615</v>
      </c>
      <c r="Q260" s="1" t="s">
        <v>101</v>
      </c>
      <c r="R260" s="1" t="s">
        <v>102</v>
      </c>
      <c r="S260" s="1" t="s">
        <v>1616</v>
      </c>
      <c r="T260" s="1" t="s">
        <v>1617</v>
      </c>
      <c r="V260" s="1" t="s">
        <v>101</v>
      </c>
      <c r="W260" s="1" t="s">
        <v>1618</v>
      </c>
      <c r="Y260" s="10">
        <v>45112</v>
      </c>
      <c r="Z260" s="1">
        <v>2023</v>
      </c>
      <c r="AA260" s="2">
        <v>95089.65</v>
      </c>
      <c r="AB260" s="2"/>
      <c r="AC260" s="2">
        <v>95089.65</v>
      </c>
      <c r="AG260" s="1" t="s">
        <v>56</v>
      </c>
      <c r="AI260" s="2">
        <v>95089.65</v>
      </c>
    </row>
    <row r="261" spans="1:35" ht="12.6" customHeight="1" x14ac:dyDescent="0.2">
      <c r="A261" s="1" t="s">
        <v>57</v>
      </c>
      <c r="B261" s="9" t="s">
        <v>38</v>
      </c>
      <c r="C261" s="1" t="s">
        <v>58</v>
      </c>
      <c r="D261" s="1" t="s">
        <v>146</v>
      </c>
      <c r="E261" s="1" t="s">
        <v>42</v>
      </c>
      <c r="G261" s="1" t="s">
        <v>155</v>
      </c>
      <c r="H261" s="1" t="s">
        <v>156</v>
      </c>
      <c r="I261" s="1" t="s">
        <v>1619</v>
      </c>
      <c r="J261" s="1">
        <v>2022</v>
      </c>
      <c r="K261" s="1" t="s">
        <v>1620</v>
      </c>
      <c r="L261" s="1" t="s">
        <v>1621</v>
      </c>
      <c r="P261" s="1" t="s">
        <v>1470</v>
      </c>
      <c r="Q261" s="1" t="s">
        <v>1149</v>
      </c>
      <c r="R261" s="1" t="s">
        <v>1150</v>
      </c>
      <c r="S261" s="1" t="s">
        <v>1471</v>
      </c>
      <c r="T261" s="1" t="s">
        <v>1472</v>
      </c>
      <c r="V261" s="1" t="s">
        <v>1153</v>
      </c>
      <c r="W261" s="1" t="s">
        <v>1622</v>
      </c>
      <c r="Y261" s="10">
        <v>45112</v>
      </c>
      <c r="Z261" s="1">
        <v>2023</v>
      </c>
      <c r="AA261" s="2">
        <v>706989.45</v>
      </c>
      <c r="AB261" s="2"/>
      <c r="AC261" s="2">
        <v>706989.45</v>
      </c>
      <c r="AG261" s="1" t="s">
        <v>56</v>
      </c>
      <c r="AI261" s="2">
        <v>706989.45</v>
      </c>
    </row>
    <row r="262" spans="1:35" ht="12.6" customHeight="1" x14ac:dyDescent="0.2">
      <c r="A262" s="1" t="s">
        <v>57</v>
      </c>
      <c r="B262" s="9" t="s">
        <v>38</v>
      </c>
      <c r="C262" s="1" t="s">
        <v>58</v>
      </c>
      <c r="D262" s="1" t="s">
        <v>146</v>
      </c>
      <c r="E262" s="1" t="s">
        <v>42</v>
      </c>
      <c r="G262" s="1" t="s">
        <v>155</v>
      </c>
      <c r="H262" s="1" t="s">
        <v>156</v>
      </c>
      <c r="I262" s="1" t="s">
        <v>1623</v>
      </c>
      <c r="J262" s="1">
        <v>2022</v>
      </c>
      <c r="K262" s="1" t="s">
        <v>1624</v>
      </c>
      <c r="L262" s="1" t="s">
        <v>1625</v>
      </c>
      <c r="M262" s="1" t="s">
        <v>1626</v>
      </c>
      <c r="N262" s="1" t="s">
        <v>1627</v>
      </c>
      <c r="P262" s="1" t="s">
        <v>1609</v>
      </c>
      <c r="Q262" s="1" t="s">
        <v>50</v>
      </c>
      <c r="R262" s="1" t="s">
        <v>68</v>
      </c>
      <c r="S262" s="1" t="s">
        <v>425</v>
      </c>
      <c r="T262" s="1" t="s">
        <v>426</v>
      </c>
      <c r="U262" s="1">
        <v>1</v>
      </c>
      <c r="V262" s="1" t="s">
        <v>195</v>
      </c>
      <c r="W262" s="1" t="s">
        <v>1628</v>
      </c>
      <c r="Y262" s="10">
        <v>45112</v>
      </c>
      <c r="Z262" s="1">
        <v>2023</v>
      </c>
      <c r="AA262" s="2">
        <v>1812163.34</v>
      </c>
      <c r="AB262" s="2"/>
      <c r="AC262" s="2">
        <v>1812163.34</v>
      </c>
      <c r="AG262" s="1" t="s">
        <v>56</v>
      </c>
      <c r="AI262" s="2">
        <v>1812163.34</v>
      </c>
    </row>
    <row r="263" spans="1:35" ht="12.6" customHeight="1" x14ac:dyDescent="0.2">
      <c r="A263" s="1" t="s">
        <v>57</v>
      </c>
      <c r="B263" s="9" t="s">
        <v>38</v>
      </c>
      <c r="C263" s="1" t="s">
        <v>58</v>
      </c>
      <c r="D263" s="1" t="s">
        <v>146</v>
      </c>
      <c r="E263" s="1" t="s">
        <v>42</v>
      </c>
      <c r="G263" s="1" t="s">
        <v>155</v>
      </c>
      <c r="H263" s="1" t="s">
        <v>156</v>
      </c>
      <c r="I263" s="1" t="s">
        <v>1629</v>
      </c>
      <c r="J263" s="1">
        <v>2022</v>
      </c>
      <c r="K263" s="1" t="s">
        <v>1630</v>
      </c>
      <c r="L263" s="1" t="s">
        <v>1631</v>
      </c>
      <c r="M263" s="1" t="s">
        <v>1632</v>
      </c>
      <c r="N263" s="1" t="s">
        <v>1633</v>
      </c>
      <c r="P263" s="1" t="s">
        <v>1634</v>
      </c>
      <c r="Q263" s="1" t="s">
        <v>1149</v>
      </c>
      <c r="R263" s="1" t="s">
        <v>1150</v>
      </c>
      <c r="S263" s="1" t="s">
        <v>1635</v>
      </c>
      <c r="T263" s="1" t="s">
        <v>1636</v>
      </c>
      <c r="V263" s="1" t="s">
        <v>1153</v>
      </c>
      <c r="W263" s="1" t="s">
        <v>1637</v>
      </c>
      <c r="Y263" s="10">
        <v>45112</v>
      </c>
      <c r="Z263" s="1">
        <v>2023</v>
      </c>
      <c r="AA263" s="2">
        <v>304046.31</v>
      </c>
      <c r="AB263" s="2"/>
      <c r="AC263" s="2">
        <v>304046.31</v>
      </c>
      <c r="AG263" s="1" t="s">
        <v>56</v>
      </c>
      <c r="AI263" s="2">
        <v>304046.31</v>
      </c>
    </row>
    <row r="264" spans="1:35" ht="12.6" customHeight="1" x14ac:dyDescent="0.2">
      <c r="A264" s="1" t="s">
        <v>57</v>
      </c>
      <c r="B264" s="9" t="s">
        <v>38</v>
      </c>
      <c r="C264" s="1" t="s">
        <v>58</v>
      </c>
      <c r="D264" s="1" t="s">
        <v>146</v>
      </c>
      <c r="E264" s="1" t="s">
        <v>42</v>
      </c>
      <c r="G264" s="1" t="s">
        <v>155</v>
      </c>
      <c r="H264" s="1" t="s">
        <v>156</v>
      </c>
      <c r="I264" s="1" t="s">
        <v>1638</v>
      </c>
      <c r="J264" s="1">
        <v>2022</v>
      </c>
      <c r="K264" s="1" t="s">
        <v>1639</v>
      </c>
      <c r="L264" s="1" t="s">
        <v>1640</v>
      </c>
      <c r="N264" s="1" t="s">
        <v>1641</v>
      </c>
      <c r="P264" s="1" t="s">
        <v>1642</v>
      </c>
      <c r="Q264" s="1" t="s">
        <v>50</v>
      </c>
      <c r="R264" s="1" t="s">
        <v>51</v>
      </c>
      <c r="S264" s="1" t="s">
        <v>1643</v>
      </c>
      <c r="T264" s="1" t="s">
        <v>1644</v>
      </c>
      <c r="V264" s="1" t="s">
        <v>54</v>
      </c>
      <c r="W264" s="1" t="s">
        <v>1645</v>
      </c>
      <c r="Y264" s="10">
        <v>45112</v>
      </c>
      <c r="Z264" s="1">
        <v>2023</v>
      </c>
      <c r="AA264" s="2">
        <v>223846.43</v>
      </c>
      <c r="AB264" s="2"/>
      <c r="AC264" s="2">
        <v>223846.43</v>
      </c>
      <c r="AG264" s="1" t="s">
        <v>56</v>
      </c>
      <c r="AI264" s="2">
        <v>223846.43</v>
      </c>
    </row>
    <row r="265" spans="1:35" ht="37.9" customHeight="1" x14ac:dyDescent="0.2">
      <c r="A265" s="1" t="s">
        <v>57</v>
      </c>
      <c r="B265" s="9" t="s">
        <v>38</v>
      </c>
      <c r="C265" s="1" t="s">
        <v>58</v>
      </c>
      <c r="D265" s="1" t="s">
        <v>146</v>
      </c>
      <c r="E265" s="1" t="s">
        <v>42</v>
      </c>
      <c r="G265" s="1" t="s">
        <v>155</v>
      </c>
      <c r="H265" s="1" t="s">
        <v>156</v>
      </c>
      <c r="I265" s="1" t="s">
        <v>1646</v>
      </c>
      <c r="J265" s="1">
        <v>2022</v>
      </c>
      <c r="K265" s="1" t="s">
        <v>1647</v>
      </c>
      <c r="L265" s="1" t="s">
        <v>1648</v>
      </c>
      <c r="P265" s="1" t="s">
        <v>1649</v>
      </c>
      <c r="Q265" s="1" t="s">
        <v>110</v>
      </c>
      <c r="R265" s="1" t="s">
        <v>111</v>
      </c>
      <c r="S265" s="1" t="s">
        <v>1650</v>
      </c>
      <c r="T265" s="1" t="s">
        <v>1651</v>
      </c>
      <c r="V265" s="1" t="s">
        <v>114</v>
      </c>
      <c r="W265" s="1" t="s">
        <v>1652</v>
      </c>
      <c r="Y265" s="10">
        <v>45112</v>
      </c>
      <c r="Z265" s="1">
        <v>2023</v>
      </c>
      <c r="AA265" s="2">
        <v>208160.82</v>
      </c>
      <c r="AB265" s="2"/>
      <c r="AC265" s="2">
        <v>208160.82</v>
      </c>
      <c r="AG265" s="1" t="s">
        <v>56</v>
      </c>
      <c r="AI265" s="2">
        <v>208160.82</v>
      </c>
    </row>
    <row r="266" spans="1:35" ht="12.6" customHeight="1" x14ac:dyDescent="0.2">
      <c r="A266" s="1" t="s">
        <v>57</v>
      </c>
      <c r="B266" s="9" t="s">
        <v>38</v>
      </c>
      <c r="C266" s="1" t="s">
        <v>58</v>
      </c>
      <c r="D266" s="1" t="s">
        <v>146</v>
      </c>
      <c r="E266" s="1" t="s">
        <v>42</v>
      </c>
      <c r="G266" s="1" t="s">
        <v>155</v>
      </c>
      <c r="H266" s="1" t="s">
        <v>156</v>
      </c>
      <c r="I266" s="1" t="s">
        <v>1653</v>
      </c>
      <c r="J266" s="1">
        <v>2022</v>
      </c>
      <c r="K266" s="1" t="s">
        <v>1654</v>
      </c>
      <c r="L266" s="1" t="s">
        <v>1655</v>
      </c>
      <c r="P266" s="1" t="s">
        <v>1499</v>
      </c>
      <c r="Q266" s="1" t="s">
        <v>101</v>
      </c>
      <c r="R266" s="1" t="s">
        <v>102</v>
      </c>
      <c r="S266" s="1" t="s">
        <v>637</v>
      </c>
      <c r="T266" s="1" t="s">
        <v>638</v>
      </c>
      <c r="U266" s="1">
        <v>1</v>
      </c>
      <c r="V266" s="1" t="s">
        <v>101</v>
      </c>
      <c r="W266" s="1" t="s">
        <v>1656</v>
      </c>
      <c r="Y266" s="10">
        <v>45112</v>
      </c>
      <c r="Z266" s="1">
        <v>2023</v>
      </c>
      <c r="AA266" s="2">
        <v>1498770.94</v>
      </c>
      <c r="AB266" s="2"/>
      <c r="AC266" s="2">
        <v>1498770.94</v>
      </c>
      <c r="AG266" s="1" t="s">
        <v>56</v>
      </c>
      <c r="AI266" s="2">
        <v>1498770.94</v>
      </c>
    </row>
    <row r="267" spans="1:35" ht="14.45" customHeight="1" x14ac:dyDescent="0.2">
      <c r="A267" s="1" t="s">
        <v>57</v>
      </c>
      <c r="B267" s="9" t="s">
        <v>38</v>
      </c>
      <c r="C267" s="1" t="s">
        <v>58</v>
      </c>
      <c r="D267" s="1" t="s">
        <v>146</v>
      </c>
      <c r="E267" s="1" t="s">
        <v>42</v>
      </c>
      <c r="G267" s="1" t="s">
        <v>155</v>
      </c>
      <c r="H267" s="1" t="s">
        <v>156</v>
      </c>
      <c r="I267" s="1" t="s">
        <v>1657</v>
      </c>
      <c r="J267" s="1">
        <v>2022</v>
      </c>
      <c r="K267" s="1" t="s">
        <v>1658</v>
      </c>
      <c r="L267" s="1" t="s">
        <v>1659</v>
      </c>
      <c r="M267" s="1" t="s">
        <v>1660</v>
      </c>
      <c r="P267" s="1" t="s">
        <v>1661</v>
      </c>
      <c r="Q267" s="1" t="s">
        <v>842</v>
      </c>
      <c r="R267" s="1" t="s">
        <v>884</v>
      </c>
      <c r="S267" s="1" t="s">
        <v>1662</v>
      </c>
      <c r="T267" s="1" t="s">
        <v>1663</v>
      </c>
      <c r="V267" s="1" t="s">
        <v>887</v>
      </c>
      <c r="W267" s="1" t="s">
        <v>1664</v>
      </c>
      <c r="Y267" s="10">
        <v>45112</v>
      </c>
      <c r="Z267" s="1">
        <v>2023</v>
      </c>
      <c r="AA267" s="2">
        <v>499302.08</v>
      </c>
      <c r="AB267" s="2"/>
      <c r="AC267" s="2">
        <v>499302.08</v>
      </c>
      <c r="AG267" s="1" t="s">
        <v>56</v>
      </c>
      <c r="AI267" s="2">
        <v>499302.08</v>
      </c>
    </row>
    <row r="268" spans="1:35" ht="12.6" customHeight="1" x14ac:dyDescent="0.2">
      <c r="A268" s="1" t="s">
        <v>57</v>
      </c>
      <c r="B268" s="9" t="s">
        <v>38</v>
      </c>
      <c r="C268" s="1" t="s">
        <v>58</v>
      </c>
      <c r="D268" s="1" t="s">
        <v>146</v>
      </c>
      <c r="E268" s="1" t="s">
        <v>42</v>
      </c>
      <c r="G268" s="1" t="s">
        <v>155</v>
      </c>
      <c r="H268" s="1" t="s">
        <v>156</v>
      </c>
      <c r="I268" s="1" t="s">
        <v>1665</v>
      </c>
      <c r="J268" s="1">
        <v>2022</v>
      </c>
      <c r="K268" s="1" t="s">
        <v>1666</v>
      </c>
      <c r="L268" s="1" t="s">
        <v>1667</v>
      </c>
      <c r="M268" s="1" t="s">
        <v>1668</v>
      </c>
      <c r="P268" s="1" t="s">
        <v>1669</v>
      </c>
      <c r="Q268" s="1" t="s">
        <v>50</v>
      </c>
      <c r="R268" s="1" t="s">
        <v>68</v>
      </c>
      <c r="S268" s="1" t="s">
        <v>1670</v>
      </c>
      <c r="T268" s="1" t="s">
        <v>1671</v>
      </c>
      <c r="U268" s="1">
        <v>1</v>
      </c>
      <c r="V268" s="1" t="s">
        <v>71</v>
      </c>
      <c r="W268" s="1" t="s">
        <v>1672</v>
      </c>
      <c r="Y268" s="10">
        <v>45112</v>
      </c>
      <c r="Z268" s="1">
        <v>2023</v>
      </c>
      <c r="AA268" s="2">
        <v>533925.14</v>
      </c>
      <c r="AB268" s="2"/>
      <c r="AC268" s="2">
        <v>533925.14</v>
      </c>
      <c r="AG268" s="1" t="s">
        <v>56</v>
      </c>
      <c r="AI268" s="2">
        <v>533925.14</v>
      </c>
    </row>
    <row r="269" spans="1:35" ht="12.6" customHeight="1" x14ac:dyDescent="0.25">
      <c r="A269" s="1" t="s">
        <v>57</v>
      </c>
      <c r="B269" s="20" t="s">
        <v>38</v>
      </c>
      <c r="C269" s="3" t="s">
        <v>58</v>
      </c>
      <c r="D269" s="1" t="s">
        <v>146</v>
      </c>
      <c r="E269" s="1" t="s">
        <v>42</v>
      </c>
      <c r="G269" s="1" t="s">
        <v>1673</v>
      </c>
      <c r="H269" s="1" t="s">
        <v>156</v>
      </c>
      <c r="I269" s="3" t="s">
        <v>1674</v>
      </c>
      <c r="J269" s="1">
        <v>2023</v>
      </c>
      <c r="K269" s="1" t="s">
        <v>1675</v>
      </c>
      <c r="L269" s="1" t="s">
        <v>1676</v>
      </c>
      <c r="M269" s="1" t="s">
        <v>1677</v>
      </c>
      <c r="P269" s="1" t="s">
        <v>1678</v>
      </c>
      <c r="Q269" s="1" t="s">
        <v>50</v>
      </c>
      <c r="R269" s="1" t="s">
        <v>68</v>
      </c>
      <c r="S269" s="3" t="s">
        <v>69</v>
      </c>
      <c r="T269" s="3" t="s">
        <v>70</v>
      </c>
      <c r="U269" s="24">
        <v>1</v>
      </c>
      <c r="V269" s="3" t="s">
        <v>71</v>
      </c>
      <c r="W269" s="3" t="s">
        <v>1676</v>
      </c>
      <c r="X269" s="3" t="s">
        <v>87</v>
      </c>
      <c r="Y269" s="21">
        <v>45799</v>
      </c>
      <c r="Z269" s="3">
        <v>2025</v>
      </c>
      <c r="AA269" s="22">
        <v>3654731.64</v>
      </c>
      <c r="AB269" s="22"/>
      <c r="AC269" s="22">
        <v>3654731.64</v>
      </c>
      <c r="AD269" s="2"/>
      <c r="AG269" s="1" t="s">
        <v>56</v>
      </c>
      <c r="AI269" s="22">
        <v>3654731.64</v>
      </c>
    </row>
    <row r="270" spans="1:35" ht="12.6" customHeight="1" x14ac:dyDescent="0.2">
      <c r="A270" s="1" t="s">
        <v>57</v>
      </c>
      <c r="B270" s="9" t="s">
        <v>38</v>
      </c>
      <c r="C270" s="1" t="s">
        <v>58</v>
      </c>
      <c r="D270" s="1" t="s">
        <v>59</v>
      </c>
      <c r="E270" s="1" t="s">
        <v>42</v>
      </c>
      <c r="G270" s="1" t="s">
        <v>105</v>
      </c>
      <c r="H270" s="1" t="s">
        <v>61</v>
      </c>
      <c r="I270" s="1" t="s">
        <v>1679</v>
      </c>
      <c r="J270" s="1">
        <v>2023</v>
      </c>
      <c r="K270" s="1" t="s">
        <v>1680</v>
      </c>
      <c r="L270" s="1" t="s">
        <v>1681</v>
      </c>
      <c r="M270" s="1" t="s">
        <v>1682</v>
      </c>
      <c r="P270" s="1" t="s">
        <v>1683</v>
      </c>
      <c r="Q270" s="1" t="s">
        <v>50</v>
      </c>
      <c r="R270" s="1" t="s">
        <v>68</v>
      </c>
      <c r="S270" s="1" t="s">
        <v>692</v>
      </c>
      <c r="T270" s="1" t="s">
        <v>693</v>
      </c>
      <c r="U270" s="1">
        <v>2</v>
      </c>
      <c r="V270" s="1" t="s">
        <v>71</v>
      </c>
      <c r="W270" s="1" t="s">
        <v>1680</v>
      </c>
      <c r="Y270" s="10">
        <v>45462</v>
      </c>
      <c r="Z270" s="1">
        <v>2024</v>
      </c>
      <c r="AA270" s="2">
        <v>13081353</v>
      </c>
      <c r="AB270" s="2"/>
      <c r="AC270" s="2">
        <v>1176101.48</v>
      </c>
      <c r="AD270" s="1">
        <v>15</v>
      </c>
      <c r="AE270" s="1">
        <v>3</v>
      </c>
      <c r="AG270" s="1" t="s">
        <v>56</v>
      </c>
      <c r="AI270" s="2">
        <v>1176101.48</v>
      </c>
    </row>
    <row r="271" spans="1:35" ht="12.6" customHeight="1" x14ac:dyDescent="0.2">
      <c r="A271" s="1" t="s">
        <v>57</v>
      </c>
      <c r="B271" s="9" t="s">
        <v>38</v>
      </c>
      <c r="C271" s="1" t="s">
        <v>58</v>
      </c>
      <c r="D271" s="1" t="s">
        <v>146</v>
      </c>
      <c r="E271" s="1" t="s">
        <v>42</v>
      </c>
      <c r="G271" s="1" t="s">
        <v>155</v>
      </c>
      <c r="H271" s="1" t="s">
        <v>156</v>
      </c>
      <c r="I271" s="1" t="s">
        <v>1684</v>
      </c>
      <c r="J271" s="1">
        <v>2022</v>
      </c>
      <c r="K271" s="1" t="s">
        <v>1685</v>
      </c>
      <c r="L271" s="1" t="s">
        <v>1686</v>
      </c>
      <c r="M271" s="1" t="s">
        <v>1687</v>
      </c>
      <c r="P271" s="1" t="s">
        <v>1688</v>
      </c>
      <c r="Q271" s="1" t="s">
        <v>50</v>
      </c>
      <c r="R271" s="1" t="s">
        <v>68</v>
      </c>
      <c r="S271" s="1" t="s">
        <v>1203</v>
      </c>
      <c r="T271" s="1" t="s">
        <v>1204</v>
      </c>
      <c r="U271" s="1">
        <v>1</v>
      </c>
      <c r="V271" s="1" t="s">
        <v>195</v>
      </c>
      <c r="W271" s="1" t="s">
        <v>1689</v>
      </c>
      <c r="Y271" s="10">
        <v>45112</v>
      </c>
      <c r="Z271" s="1">
        <v>2023</v>
      </c>
      <c r="AA271" s="2">
        <v>500000</v>
      </c>
      <c r="AB271" s="2"/>
      <c r="AC271" s="2">
        <v>500000</v>
      </c>
      <c r="AG271" s="1" t="s">
        <v>56</v>
      </c>
      <c r="AI271" s="2">
        <v>500000</v>
      </c>
    </row>
    <row r="272" spans="1:35" ht="12.6" customHeight="1" x14ac:dyDescent="0.2">
      <c r="A272" s="1" t="s">
        <v>57</v>
      </c>
      <c r="B272" s="9" t="s">
        <v>38</v>
      </c>
      <c r="C272" s="1" t="s">
        <v>58</v>
      </c>
      <c r="D272" s="1" t="s">
        <v>146</v>
      </c>
      <c r="E272" s="1" t="s">
        <v>42</v>
      </c>
      <c r="G272" s="1" t="s">
        <v>155</v>
      </c>
      <c r="H272" s="1" t="s">
        <v>156</v>
      </c>
      <c r="I272" s="1" t="s">
        <v>1690</v>
      </c>
      <c r="J272" s="1">
        <v>2022</v>
      </c>
      <c r="K272" s="1" t="s">
        <v>1691</v>
      </c>
      <c r="L272" s="1" t="s">
        <v>1692</v>
      </c>
      <c r="M272" s="1" t="s">
        <v>1693</v>
      </c>
      <c r="N272" s="1" t="s">
        <v>1694</v>
      </c>
      <c r="P272" s="1" t="s">
        <v>183</v>
      </c>
      <c r="Q272" s="1" t="s">
        <v>50</v>
      </c>
      <c r="R272" s="1" t="s">
        <v>77</v>
      </c>
      <c r="S272" s="1" t="s">
        <v>184</v>
      </c>
      <c r="T272" s="1" t="s">
        <v>185</v>
      </c>
      <c r="U272" s="1">
        <v>1</v>
      </c>
      <c r="V272" s="1" t="s">
        <v>186</v>
      </c>
      <c r="W272" s="1" t="s">
        <v>1695</v>
      </c>
      <c r="Y272" s="10">
        <v>45112</v>
      </c>
      <c r="Z272" s="1">
        <v>2023</v>
      </c>
      <c r="AA272" s="2">
        <v>1889687.27</v>
      </c>
      <c r="AB272" s="2"/>
      <c r="AC272" s="2">
        <v>1889687.27</v>
      </c>
      <c r="AG272" s="1" t="s">
        <v>56</v>
      </c>
      <c r="AI272" s="2">
        <v>1889687.27</v>
      </c>
    </row>
    <row r="273" spans="1:38" ht="12.6" customHeight="1" x14ac:dyDescent="0.2">
      <c r="A273" s="1" t="s">
        <v>57</v>
      </c>
      <c r="B273" s="9" t="s">
        <v>38</v>
      </c>
      <c r="C273" s="1" t="s">
        <v>58</v>
      </c>
      <c r="D273" s="1" t="s">
        <v>1409</v>
      </c>
      <c r="E273" s="1" t="s">
        <v>42</v>
      </c>
      <c r="G273" s="1" t="s">
        <v>1410</v>
      </c>
      <c r="H273" s="1" t="s">
        <v>61</v>
      </c>
      <c r="I273" s="1" t="s">
        <v>1696</v>
      </c>
      <c r="J273" s="1">
        <v>2020</v>
      </c>
      <c r="K273" s="1" t="s">
        <v>1697</v>
      </c>
      <c r="L273" s="1" t="s">
        <v>1698</v>
      </c>
      <c r="P273" s="1" t="s">
        <v>1699</v>
      </c>
      <c r="Q273" s="1" t="s">
        <v>50</v>
      </c>
      <c r="R273" s="1" t="s">
        <v>68</v>
      </c>
      <c r="S273" s="1" t="s">
        <v>189</v>
      </c>
      <c r="T273" s="1" t="s">
        <v>190</v>
      </c>
      <c r="U273" s="1">
        <v>1</v>
      </c>
      <c r="V273" s="1" t="s">
        <v>71</v>
      </c>
      <c r="W273" s="1" t="s">
        <v>1698</v>
      </c>
      <c r="X273" s="1" t="s">
        <v>153</v>
      </c>
      <c r="Y273" s="10">
        <v>44333</v>
      </c>
      <c r="Z273" s="1">
        <v>2021</v>
      </c>
      <c r="AA273" s="2">
        <v>2089935.68</v>
      </c>
      <c r="AB273" s="2"/>
      <c r="AC273" s="2">
        <v>2070066.67</v>
      </c>
      <c r="AF273" s="1">
        <v>18</v>
      </c>
      <c r="AG273" s="1" t="s">
        <v>56</v>
      </c>
      <c r="AI273" s="2">
        <v>2070066.67</v>
      </c>
      <c r="AJ273" s="1">
        <v>7.54</v>
      </c>
      <c r="AL273" s="15" t="s">
        <v>1425</v>
      </c>
    </row>
    <row r="274" spans="1:38" ht="12.6" customHeight="1" x14ac:dyDescent="0.25">
      <c r="A274" s="1" t="s">
        <v>57</v>
      </c>
      <c r="B274" s="9" t="s">
        <v>38</v>
      </c>
      <c r="C274" s="1" t="s">
        <v>58</v>
      </c>
      <c r="D274" s="1" t="s">
        <v>146</v>
      </c>
      <c r="E274" s="1" t="s">
        <v>42</v>
      </c>
      <c r="G274" s="1" t="s">
        <v>155</v>
      </c>
      <c r="H274" s="1" t="s">
        <v>156</v>
      </c>
      <c r="I274" s="1" t="s">
        <v>1700</v>
      </c>
      <c r="J274" s="1">
        <v>2022</v>
      </c>
      <c r="K274" s="1" t="s">
        <v>1701</v>
      </c>
      <c r="L274" s="1" t="s">
        <v>1702</v>
      </c>
      <c r="N274" s="1" t="s">
        <v>1703</v>
      </c>
      <c r="P274" s="25" t="s">
        <v>1704</v>
      </c>
      <c r="Q274" s="1" t="s">
        <v>1109</v>
      </c>
      <c r="R274" s="1" t="s">
        <v>1110</v>
      </c>
      <c r="S274" s="1" t="s">
        <v>1705</v>
      </c>
      <c r="T274" s="1" t="s">
        <v>1706</v>
      </c>
      <c r="V274" s="1" t="s">
        <v>54</v>
      </c>
      <c r="W274" s="1" t="s">
        <v>1707</v>
      </c>
      <c r="Y274" s="10">
        <v>45112</v>
      </c>
      <c r="Z274" s="1">
        <v>2023</v>
      </c>
      <c r="AA274" s="2">
        <v>499906.41</v>
      </c>
      <c r="AB274" s="2"/>
      <c r="AC274" s="2">
        <v>499906.41</v>
      </c>
      <c r="AG274" s="1" t="s">
        <v>56</v>
      </c>
      <c r="AI274" s="2">
        <v>499906.41</v>
      </c>
    </row>
    <row r="275" spans="1:38" ht="12.6" customHeight="1" x14ac:dyDescent="0.2">
      <c r="A275" s="1" t="s">
        <v>57</v>
      </c>
      <c r="B275" s="9" t="s">
        <v>38</v>
      </c>
      <c r="C275" s="1" t="s">
        <v>58</v>
      </c>
      <c r="D275" s="1" t="s">
        <v>146</v>
      </c>
      <c r="E275" s="1" t="s">
        <v>42</v>
      </c>
      <c r="G275" s="1" t="s">
        <v>147</v>
      </c>
      <c r="H275" s="1" t="s">
        <v>148</v>
      </c>
      <c r="I275" s="1" t="s">
        <v>1708</v>
      </c>
      <c r="J275" s="1">
        <v>2020</v>
      </c>
      <c r="K275" s="1" t="s">
        <v>1709</v>
      </c>
      <c r="L275" s="8" t="s">
        <v>1710</v>
      </c>
      <c r="P275" s="1" t="s">
        <v>1711</v>
      </c>
      <c r="Q275" s="1" t="s">
        <v>264</v>
      </c>
      <c r="R275" s="1" t="s">
        <v>265</v>
      </c>
      <c r="S275" s="1" t="s">
        <v>315</v>
      </c>
      <c r="T275" s="1" t="s">
        <v>316</v>
      </c>
      <c r="U275" s="1">
        <v>1</v>
      </c>
      <c r="V275" s="1" t="s">
        <v>268</v>
      </c>
      <c r="W275" s="1" t="s">
        <v>1712</v>
      </c>
      <c r="X275" s="1" t="s">
        <v>153</v>
      </c>
      <c r="Y275" s="10">
        <v>44127</v>
      </c>
      <c r="Z275" s="1">
        <v>2020</v>
      </c>
      <c r="AA275" s="2">
        <v>213099.85</v>
      </c>
      <c r="AB275" s="2"/>
      <c r="AC275" s="2">
        <v>159824.89000000001</v>
      </c>
      <c r="AD275" s="1">
        <v>0</v>
      </c>
      <c r="AF275" s="1">
        <v>3</v>
      </c>
      <c r="AG275" s="1" t="s">
        <v>56</v>
      </c>
      <c r="AH275" s="1" t="s">
        <v>1458</v>
      </c>
      <c r="AI275" s="2">
        <v>159824.89000000001</v>
      </c>
      <c r="AL275" s="8" t="s">
        <v>1713</v>
      </c>
    </row>
    <row r="276" spans="1:38" ht="28.9" customHeight="1" x14ac:dyDescent="0.2">
      <c r="A276" s="9" t="s">
        <v>38</v>
      </c>
      <c r="B276" s="9" t="s">
        <v>38</v>
      </c>
      <c r="C276" s="1" t="s">
        <v>58</v>
      </c>
      <c r="D276" s="1" t="s">
        <v>146</v>
      </c>
      <c r="E276" s="1" t="s">
        <v>42</v>
      </c>
      <c r="G276" s="1" t="s">
        <v>147</v>
      </c>
      <c r="H276" s="1" t="s">
        <v>148</v>
      </c>
      <c r="I276" s="1" t="s">
        <v>1708</v>
      </c>
      <c r="J276" s="1">
        <v>2020</v>
      </c>
      <c r="K276" s="1" t="s">
        <v>1709</v>
      </c>
      <c r="L276" s="8" t="s">
        <v>1714</v>
      </c>
      <c r="P276" s="1" t="s">
        <v>1715</v>
      </c>
      <c r="Q276" s="1" t="s">
        <v>264</v>
      </c>
      <c r="R276" s="1" t="s">
        <v>265</v>
      </c>
      <c r="S276" s="1" t="s">
        <v>542</v>
      </c>
      <c r="T276" s="1" t="s">
        <v>543</v>
      </c>
      <c r="U276" s="1">
        <v>1</v>
      </c>
      <c r="V276" s="1" t="s">
        <v>268</v>
      </c>
      <c r="W276" s="8" t="s">
        <v>1716</v>
      </c>
      <c r="Y276" s="10">
        <v>44127</v>
      </c>
      <c r="Z276" s="1">
        <v>2020</v>
      </c>
      <c r="AA276" s="2">
        <v>1160489.07</v>
      </c>
      <c r="AB276" s="2"/>
      <c r="AC276" s="2">
        <v>870366.8</v>
      </c>
      <c r="AD276" s="1">
        <v>0</v>
      </c>
      <c r="AG276" s="1" t="s">
        <v>56</v>
      </c>
      <c r="AH276" s="1" t="s">
        <v>1458</v>
      </c>
      <c r="AI276" s="2">
        <v>870366.8</v>
      </c>
      <c r="AL276" s="8" t="s">
        <v>1713</v>
      </c>
    </row>
    <row r="277" spans="1:38" ht="28.9" customHeight="1" x14ac:dyDescent="0.2">
      <c r="A277" s="9" t="s">
        <v>38</v>
      </c>
      <c r="B277" s="9" t="s">
        <v>38</v>
      </c>
      <c r="C277" s="1" t="s">
        <v>58</v>
      </c>
      <c r="D277" s="1" t="s">
        <v>146</v>
      </c>
      <c r="E277" s="1" t="s">
        <v>42</v>
      </c>
      <c r="G277" s="1" t="s">
        <v>147</v>
      </c>
      <c r="H277" s="1" t="s">
        <v>148</v>
      </c>
      <c r="I277" s="1" t="s">
        <v>1708</v>
      </c>
      <c r="J277" s="1">
        <v>2020</v>
      </c>
      <c r="K277" s="1" t="s">
        <v>1709</v>
      </c>
      <c r="L277" s="8" t="s">
        <v>1717</v>
      </c>
      <c r="P277" s="1" t="s">
        <v>1718</v>
      </c>
      <c r="Q277" s="1" t="s">
        <v>264</v>
      </c>
      <c r="R277" s="1" t="s">
        <v>265</v>
      </c>
      <c r="S277" s="1" t="s">
        <v>717</v>
      </c>
      <c r="T277" s="1" t="s">
        <v>718</v>
      </c>
      <c r="U277" s="1">
        <v>1</v>
      </c>
      <c r="V277" s="1" t="s">
        <v>535</v>
      </c>
      <c r="W277" s="8" t="s">
        <v>1719</v>
      </c>
      <c r="Y277" s="10">
        <v>44127</v>
      </c>
      <c r="Z277" s="1">
        <v>2020</v>
      </c>
      <c r="AA277" s="2">
        <v>764193.85</v>
      </c>
      <c r="AB277" s="2"/>
      <c r="AC277" s="2">
        <v>573145.39</v>
      </c>
      <c r="AD277" s="1">
        <v>0</v>
      </c>
      <c r="AG277" s="1" t="s">
        <v>56</v>
      </c>
      <c r="AH277" s="1" t="s">
        <v>1458</v>
      </c>
      <c r="AI277" s="2">
        <v>573145.39</v>
      </c>
      <c r="AL277" s="8" t="s">
        <v>1713</v>
      </c>
    </row>
    <row r="278" spans="1:38" ht="15.6" customHeight="1" x14ac:dyDescent="0.2">
      <c r="A278" s="9" t="s">
        <v>38</v>
      </c>
      <c r="B278" s="9" t="s">
        <v>38</v>
      </c>
      <c r="C278" s="1" t="s">
        <v>58</v>
      </c>
      <c r="D278" s="1" t="s">
        <v>146</v>
      </c>
      <c r="E278" s="1" t="s">
        <v>42</v>
      </c>
      <c r="G278" s="1" t="s">
        <v>147</v>
      </c>
      <c r="H278" s="1" t="s">
        <v>148</v>
      </c>
      <c r="I278" s="1" t="s">
        <v>1708</v>
      </c>
      <c r="J278" s="1">
        <v>2020</v>
      </c>
      <c r="K278" s="1" t="s">
        <v>1709</v>
      </c>
      <c r="L278" s="8" t="s">
        <v>1720</v>
      </c>
      <c r="P278" s="1" t="s">
        <v>1721</v>
      </c>
      <c r="Q278" s="1" t="s">
        <v>264</v>
      </c>
      <c r="R278" s="1" t="s">
        <v>265</v>
      </c>
      <c r="S278" s="1" t="s">
        <v>533</v>
      </c>
      <c r="T278" s="1" t="s">
        <v>534</v>
      </c>
      <c r="U278" s="1">
        <v>1</v>
      </c>
      <c r="V278" s="1" t="s">
        <v>535</v>
      </c>
      <c r="W278" s="1" t="s">
        <v>5234</v>
      </c>
      <c r="Y278" s="10">
        <v>44127</v>
      </c>
      <c r="Z278" s="1">
        <v>2020</v>
      </c>
      <c r="AA278" s="2">
        <v>756402.97</v>
      </c>
      <c r="AB278" s="2"/>
      <c r="AC278" s="2">
        <v>567302.23</v>
      </c>
      <c r="AD278" s="1">
        <v>0</v>
      </c>
      <c r="AG278" s="1" t="s">
        <v>56</v>
      </c>
      <c r="AH278" s="1" t="s">
        <v>1458</v>
      </c>
      <c r="AI278" s="2">
        <v>567302.23</v>
      </c>
      <c r="AL278" s="8" t="s">
        <v>1713</v>
      </c>
    </row>
    <row r="279" spans="1:38" ht="14.45" customHeight="1" x14ac:dyDescent="0.2">
      <c r="A279" s="1" t="s">
        <v>57</v>
      </c>
      <c r="B279" s="9" t="s">
        <v>38</v>
      </c>
      <c r="C279" s="1" t="s">
        <v>58</v>
      </c>
      <c r="D279" s="1" t="s">
        <v>146</v>
      </c>
      <c r="E279" s="1" t="s">
        <v>42</v>
      </c>
      <c r="G279" s="1" t="s">
        <v>155</v>
      </c>
      <c r="H279" s="1" t="s">
        <v>156</v>
      </c>
      <c r="I279" s="1" t="s">
        <v>1722</v>
      </c>
      <c r="J279" s="1">
        <v>2022</v>
      </c>
      <c r="K279" s="1" t="s">
        <v>1723</v>
      </c>
      <c r="L279" s="1" t="s">
        <v>1724</v>
      </c>
      <c r="N279" s="1" t="s">
        <v>1725</v>
      </c>
      <c r="P279" s="1" t="s">
        <v>1726</v>
      </c>
      <c r="Q279" s="1" t="s">
        <v>110</v>
      </c>
      <c r="R279" s="1" t="s">
        <v>111</v>
      </c>
      <c r="S279" s="1" t="s">
        <v>112</v>
      </c>
      <c r="T279" s="1" t="s">
        <v>113</v>
      </c>
      <c r="V279" s="1" t="s">
        <v>114</v>
      </c>
      <c r="W279" s="1" t="s">
        <v>1727</v>
      </c>
      <c r="Y279" s="10">
        <v>45112</v>
      </c>
      <c r="Z279" s="1">
        <v>2023</v>
      </c>
      <c r="AA279" s="2">
        <v>499894.57</v>
      </c>
      <c r="AB279" s="2"/>
      <c r="AC279" s="2">
        <v>499894.57</v>
      </c>
      <c r="AG279" s="1" t="s">
        <v>56</v>
      </c>
      <c r="AI279" s="2">
        <v>499894.57</v>
      </c>
    </row>
    <row r="280" spans="1:38" ht="12.6" customHeight="1" x14ac:dyDescent="0.2">
      <c r="A280" s="1" t="s">
        <v>57</v>
      </c>
      <c r="B280" s="9" t="s">
        <v>38</v>
      </c>
      <c r="C280" s="1" t="s">
        <v>58</v>
      </c>
      <c r="D280" s="1" t="s">
        <v>146</v>
      </c>
      <c r="E280" s="1" t="s">
        <v>42</v>
      </c>
      <c r="G280" s="1" t="s">
        <v>155</v>
      </c>
      <c r="H280" s="1" t="s">
        <v>156</v>
      </c>
      <c r="I280" s="1" t="s">
        <v>1728</v>
      </c>
      <c r="J280" s="1">
        <v>2022</v>
      </c>
      <c r="K280" s="1" t="s">
        <v>1729</v>
      </c>
      <c r="L280" s="1" t="s">
        <v>1730</v>
      </c>
      <c r="M280" s="1" t="s">
        <v>1731</v>
      </c>
      <c r="N280" s="1" t="s">
        <v>1732</v>
      </c>
      <c r="P280" s="1" t="s">
        <v>1733</v>
      </c>
      <c r="Q280" s="1" t="s">
        <v>1149</v>
      </c>
      <c r="R280" s="1" t="s">
        <v>1150</v>
      </c>
      <c r="S280" s="1" t="s">
        <v>1734</v>
      </c>
      <c r="T280" s="1" t="s">
        <v>1735</v>
      </c>
      <c r="V280" s="1" t="s">
        <v>1153</v>
      </c>
      <c r="W280" s="1" t="s">
        <v>1736</v>
      </c>
      <c r="Y280" s="10">
        <v>45112</v>
      </c>
      <c r="Z280" s="1">
        <v>2023</v>
      </c>
      <c r="AA280" s="2">
        <v>1123556.43</v>
      </c>
      <c r="AB280" s="2"/>
      <c r="AC280" s="2">
        <v>1123556.43</v>
      </c>
      <c r="AG280" s="1" t="s">
        <v>56</v>
      </c>
      <c r="AI280" s="2">
        <v>1123556.43</v>
      </c>
    </row>
    <row r="281" spans="1:38" ht="12.6" customHeight="1" x14ac:dyDescent="0.2">
      <c r="A281" s="1" t="s">
        <v>57</v>
      </c>
      <c r="B281" s="9" t="s">
        <v>38</v>
      </c>
      <c r="C281" s="1" t="s">
        <v>58</v>
      </c>
      <c r="D281" s="1" t="s">
        <v>146</v>
      </c>
      <c r="E281" s="1" t="s">
        <v>42</v>
      </c>
      <c r="G281" s="1" t="s">
        <v>147</v>
      </c>
      <c r="H281" s="1" t="s">
        <v>148</v>
      </c>
      <c r="I281" s="1" t="s">
        <v>1737</v>
      </c>
      <c r="J281" s="1">
        <v>2020</v>
      </c>
      <c r="K281" s="1" t="s">
        <v>1738</v>
      </c>
      <c r="L281" s="1" t="s">
        <v>1739</v>
      </c>
      <c r="P281" s="1" t="s">
        <v>1740</v>
      </c>
      <c r="Q281" s="1" t="s">
        <v>264</v>
      </c>
      <c r="R281" s="1" t="s">
        <v>265</v>
      </c>
      <c r="S281" s="1" t="s">
        <v>350</v>
      </c>
      <c r="T281" s="1" t="s">
        <v>351</v>
      </c>
      <c r="U281" s="1">
        <v>1</v>
      </c>
      <c r="V281" s="1" t="s">
        <v>80</v>
      </c>
      <c r="W281" s="1" t="s">
        <v>1739</v>
      </c>
      <c r="X281" s="1" t="s">
        <v>599</v>
      </c>
      <c r="Y281" s="10">
        <v>44127</v>
      </c>
      <c r="Z281" s="1">
        <v>2020</v>
      </c>
      <c r="AA281" s="2">
        <v>2800000</v>
      </c>
      <c r="AB281" s="2"/>
      <c r="AC281" s="2">
        <v>2100000</v>
      </c>
      <c r="AD281" s="1">
        <v>0</v>
      </c>
      <c r="AF281" s="1">
        <v>0</v>
      </c>
      <c r="AG281" s="1" t="s">
        <v>56</v>
      </c>
      <c r="AH281" s="1" t="s">
        <v>154</v>
      </c>
      <c r="AI281" s="2">
        <v>1581064.11</v>
      </c>
      <c r="AL281" s="1" t="s">
        <v>1462</v>
      </c>
    </row>
    <row r="282" spans="1:38" ht="14.45" customHeight="1" x14ac:dyDescent="0.2">
      <c r="A282" s="1" t="s">
        <v>57</v>
      </c>
      <c r="B282" s="9" t="s">
        <v>38</v>
      </c>
      <c r="C282" s="1" t="s">
        <v>58</v>
      </c>
      <c r="D282" s="1" t="s">
        <v>146</v>
      </c>
      <c r="E282" s="1" t="s">
        <v>42</v>
      </c>
      <c r="G282" s="1" t="s">
        <v>147</v>
      </c>
      <c r="H282" s="1" t="s">
        <v>148</v>
      </c>
      <c r="I282" s="1" t="s">
        <v>1741</v>
      </c>
      <c r="J282" s="1">
        <v>2020</v>
      </c>
      <c r="K282" s="1" t="s">
        <v>1742</v>
      </c>
      <c r="L282" s="1" t="s">
        <v>1743</v>
      </c>
      <c r="P282" s="1" t="s">
        <v>1740</v>
      </c>
      <c r="Q282" s="1" t="s">
        <v>264</v>
      </c>
      <c r="R282" s="1" t="s">
        <v>265</v>
      </c>
      <c r="S282" s="1" t="s">
        <v>350</v>
      </c>
      <c r="T282" s="1" t="s">
        <v>351</v>
      </c>
      <c r="U282" s="1">
        <v>1</v>
      </c>
      <c r="V282" s="1" t="s">
        <v>80</v>
      </c>
      <c r="W282" s="1" t="s">
        <v>1743</v>
      </c>
      <c r="X282" s="1" t="s">
        <v>599</v>
      </c>
      <c r="Y282" s="10">
        <v>44127</v>
      </c>
      <c r="Z282" s="1">
        <v>2020</v>
      </c>
      <c r="AA282" s="2">
        <v>2500000</v>
      </c>
      <c r="AB282" s="2"/>
      <c r="AC282" s="2">
        <v>1875000</v>
      </c>
      <c r="AD282" s="1">
        <v>0</v>
      </c>
      <c r="AF282" s="1">
        <v>0</v>
      </c>
      <c r="AG282" s="1" t="s">
        <v>56</v>
      </c>
      <c r="AH282" s="1" t="s">
        <v>154</v>
      </c>
      <c r="AI282" s="2">
        <f>VLOOKUP(Tabla354[[#This Row],[Ref. Proyecto]],[4]revITJ!$B$2:$BG$67,2,FALSE)</f>
        <v>1561060.5699999998</v>
      </c>
      <c r="AL282" s="1" t="s">
        <v>1744</v>
      </c>
    </row>
    <row r="283" spans="1:38" ht="12.6" customHeight="1" x14ac:dyDescent="0.2">
      <c r="A283" s="1" t="s">
        <v>57</v>
      </c>
      <c r="B283" s="9" t="s">
        <v>38</v>
      </c>
      <c r="C283" s="1" t="s">
        <v>58</v>
      </c>
      <c r="D283" s="1" t="s">
        <v>146</v>
      </c>
      <c r="E283" s="1" t="s">
        <v>42</v>
      </c>
      <c r="G283" s="1" t="s">
        <v>155</v>
      </c>
      <c r="H283" s="1" t="s">
        <v>156</v>
      </c>
      <c r="I283" s="1" t="s">
        <v>1745</v>
      </c>
      <c r="J283" s="1">
        <v>2022</v>
      </c>
      <c r="K283" s="1" t="s">
        <v>1746</v>
      </c>
      <c r="L283" s="1" t="s">
        <v>1747</v>
      </c>
      <c r="N283" s="1" t="s">
        <v>1748</v>
      </c>
      <c r="P283" s="1" t="s">
        <v>1549</v>
      </c>
      <c r="Q283" s="1" t="s">
        <v>50</v>
      </c>
      <c r="R283" s="1" t="s">
        <v>51</v>
      </c>
      <c r="S283" s="1" t="s">
        <v>1550</v>
      </c>
      <c r="T283" s="1" t="s">
        <v>1551</v>
      </c>
      <c r="V283" s="1" t="s">
        <v>54</v>
      </c>
      <c r="W283" s="1" t="s">
        <v>1749</v>
      </c>
      <c r="Y283" s="10">
        <v>45112</v>
      </c>
      <c r="Z283" s="1">
        <v>2023</v>
      </c>
      <c r="AA283" s="2">
        <v>297384.78000000003</v>
      </c>
      <c r="AB283" s="2"/>
      <c r="AC283" s="2">
        <v>297384.78000000003</v>
      </c>
      <c r="AG283" s="1" t="s">
        <v>56</v>
      </c>
      <c r="AI283" s="2">
        <v>297384.78000000003</v>
      </c>
    </row>
    <row r="284" spans="1:38" ht="12.6" customHeight="1" x14ac:dyDescent="0.2">
      <c r="A284" s="1" t="s">
        <v>57</v>
      </c>
      <c r="B284" s="9" t="s">
        <v>38</v>
      </c>
      <c r="C284" s="1" t="s">
        <v>58</v>
      </c>
      <c r="D284" s="1" t="s">
        <v>146</v>
      </c>
      <c r="E284" s="1" t="s">
        <v>42</v>
      </c>
      <c r="G284" s="1" t="s">
        <v>147</v>
      </c>
      <c r="H284" s="1" t="s">
        <v>148</v>
      </c>
      <c r="I284" s="1" t="s">
        <v>1750</v>
      </c>
      <c r="J284" s="1">
        <v>2020</v>
      </c>
      <c r="K284" s="1" t="s">
        <v>1751</v>
      </c>
      <c r="L284" s="1" t="s">
        <v>1752</v>
      </c>
      <c r="M284" s="1" t="s">
        <v>1753</v>
      </c>
      <c r="P284" s="1" t="s">
        <v>1715</v>
      </c>
      <c r="Q284" s="1" t="s">
        <v>264</v>
      </c>
      <c r="R284" s="1" t="s">
        <v>265</v>
      </c>
      <c r="S284" s="1" t="s">
        <v>542</v>
      </c>
      <c r="T284" s="1" t="s">
        <v>543</v>
      </c>
      <c r="U284" s="1">
        <v>1</v>
      </c>
      <c r="V284" s="1" t="s">
        <v>268</v>
      </c>
      <c r="W284" s="1" t="s">
        <v>1751</v>
      </c>
      <c r="X284" s="1" t="s">
        <v>153</v>
      </c>
      <c r="Y284" s="10">
        <v>44127</v>
      </c>
      <c r="Z284" s="1">
        <v>2020</v>
      </c>
      <c r="AA284" s="2">
        <v>971000</v>
      </c>
      <c r="AB284" s="2"/>
      <c r="AC284" s="2">
        <v>728250</v>
      </c>
      <c r="AD284" s="1">
        <v>0</v>
      </c>
      <c r="AF284" s="1">
        <v>0</v>
      </c>
      <c r="AG284" s="1" t="s">
        <v>56</v>
      </c>
      <c r="AH284" s="1" t="s">
        <v>154</v>
      </c>
      <c r="AI284" s="2">
        <v>570646.43000000005</v>
      </c>
    </row>
    <row r="285" spans="1:38" ht="12.6" customHeight="1" x14ac:dyDescent="0.2">
      <c r="A285" s="1" t="s">
        <v>57</v>
      </c>
      <c r="B285" s="9" t="s">
        <v>38</v>
      </c>
      <c r="C285" s="1" t="s">
        <v>58</v>
      </c>
      <c r="D285" s="1" t="s">
        <v>146</v>
      </c>
      <c r="E285" s="1" t="s">
        <v>42</v>
      </c>
      <c r="G285" s="1" t="s">
        <v>147</v>
      </c>
      <c r="H285" s="1" t="s">
        <v>148</v>
      </c>
      <c r="I285" s="1" t="s">
        <v>1754</v>
      </c>
      <c r="J285" s="1">
        <v>2020</v>
      </c>
      <c r="K285" s="1" t="s">
        <v>1755</v>
      </c>
      <c r="L285" s="1" t="s">
        <v>1756</v>
      </c>
      <c r="M285" s="1" t="s">
        <v>1757</v>
      </c>
      <c r="P285" s="1" t="s">
        <v>1758</v>
      </c>
      <c r="Q285" s="1" t="s">
        <v>264</v>
      </c>
      <c r="R285" s="1" t="s">
        <v>265</v>
      </c>
      <c r="S285" s="1" t="s">
        <v>1759</v>
      </c>
      <c r="T285" s="1" t="s">
        <v>1760</v>
      </c>
      <c r="U285" s="1">
        <v>1</v>
      </c>
      <c r="V285" s="1" t="s">
        <v>268</v>
      </c>
      <c r="W285" s="1" t="s">
        <v>1761</v>
      </c>
      <c r="X285" s="1" t="s">
        <v>599</v>
      </c>
      <c r="Y285" s="10">
        <v>44127</v>
      </c>
      <c r="Z285" s="1">
        <v>2020</v>
      </c>
      <c r="AA285" s="2">
        <v>1023378.88</v>
      </c>
      <c r="AB285" s="2"/>
      <c r="AC285" s="2">
        <v>767534.16</v>
      </c>
      <c r="AD285" s="1">
        <v>0</v>
      </c>
      <c r="AF285" s="1">
        <v>0</v>
      </c>
      <c r="AG285" s="1" t="s">
        <v>56</v>
      </c>
      <c r="AH285" s="1" t="s">
        <v>154</v>
      </c>
      <c r="AI285" s="2">
        <v>767534.16</v>
      </c>
      <c r="AL285" s="1" t="s">
        <v>1762</v>
      </c>
    </row>
    <row r="286" spans="1:38" ht="12.6" customHeight="1" x14ac:dyDescent="0.2">
      <c r="A286" s="1" t="s">
        <v>57</v>
      </c>
      <c r="B286" s="9" t="s">
        <v>38</v>
      </c>
      <c r="C286" s="1" t="s">
        <v>58</v>
      </c>
      <c r="D286" s="1" t="s">
        <v>146</v>
      </c>
      <c r="E286" s="1" t="s">
        <v>42</v>
      </c>
      <c r="G286" s="1" t="s">
        <v>147</v>
      </c>
      <c r="H286" s="1" t="s">
        <v>148</v>
      </c>
      <c r="I286" s="1" t="s">
        <v>1763</v>
      </c>
      <c r="J286" s="1">
        <v>2020</v>
      </c>
      <c r="K286" s="1" t="s">
        <v>1764</v>
      </c>
      <c r="L286" s="1" t="s">
        <v>1765</v>
      </c>
      <c r="M286" s="1" t="s">
        <v>1766</v>
      </c>
      <c r="P286" s="1" t="s">
        <v>1556</v>
      </c>
      <c r="Q286" s="1" t="s">
        <v>264</v>
      </c>
      <c r="R286" s="1" t="s">
        <v>265</v>
      </c>
      <c r="S286" s="1" t="s">
        <v>1557</v>
      </c>
      <c r="T286" s="1" t="s">
        <v>1558</v>
      </c>
      <c r="U286" s="1">
        <v>1</v>
      </c>
      <c r="V286" s="1" t="s">
        <v>268</v>
      </c>
      <c r="W286" s="1" t="s">
        <v>1767</v>
      </c>
      <c r="X286" s="1" t="s">
        <v>599</v>
      </c>
      <c r="Y286" s="10">
        <v>44127</v>
      </c>
      <c r="Z286" s="1">
        <v>2020</v>
      </c>
      <c r="AA286" s="2">
        <v>877000</v>
      </c>
      <c r="AB286" s="2"/>
      <c r="AC286" s="2">
        <v>657750</v>
      </c>
      <c r="AD286" s="1">
        <v>1</v>
      </c>
      <c r="AF286" s="1" t="s">
        <v>1768</v>
      </c>
      <c r="AG286" s="1" t="s">
        <v>56</v>
      </c>
      <c r="AH286" s="1" t="s">
        <v>154</v>
      </c>
      <c r="AI286" s="2">
        <v>650552.13</v>
      </c>
      <c r="AL286" s="1" t="s">
        <v>1769</v>
      </c>
    </row>
    <row r="287" spans="1:38" ht="12.6" customHeight="1" x14ac:dyDescent="0.2">
      <c r="A287" s="1" t="s">
        <v>57</v>
      </c>
      <c r="B287" s="9" t="s">
        <v>38</v>
      </c>
      <c r="C287" s="1" t="s">
        <v>58</v>
      </c>
      <c r="D287" s="1" t="s">
        <v>146</v>
      </c>
      <c r="E287" s="1" t="s">
        <v>42</v>
      </c>
      <c r="G287" s="1" t="s">
        <v>155</v>
      </c>
      <c r="H287" s="1" t="s">
        <v>156</v>
      </c>
      <c r="I287" s="1" t="s">
        <v>1770</v>
      </c>
      <c r="J287" s="1">
        <v>2022</v>
      </c>
      <c r="K287" s="1" t="s">
        <v>1771</v>
      </c>
      <c r="L287" s="1" t="s">
        <v>1772</v>
      </c>
      <c r="N287" s="1" t="s">
        <v>1773</v>
      </c>
      <c r="P287" s="1" t="s">
        <v>1774</v>
      </c>
      <c r="Q287" s="1" t="s">
        <v>50</v>
      </c>
      <c r="R287" s="1" t="s">
        <v>77</v>
      </c>
      <c r="S287" s="1" t="s">
        <v>1775</v>
      </c>
      <c r="T287" s="1" t="s">
        <v>1776</v>
      </c>
      <c r="U287" s="1">
        <v>1</v>
      </c>
      <c r="V287" s="1" t="s">
        <v>186</v>
      </c>
      <c r="W287" s="1" t="s">
        <v>1777</v>
      </c>
      <c r="Y287" s="10">
        <v>45112</v>
      </c>
      <c r="Z287" s="1">
        <v>2023</v>
      </c>
      <c r="AA287" s="2">
        <v>269898.15000000002</v>
      </c>
      <c r="AB287" s="2"/>
      <c r="AC287" s="2">
        <v>269898.15000000002</v>
      </c>
      <c r="AG287" s="1" t="s">
        <v>56</v>
      </c>
      <c r="AI287" s="2">
        <v>269898.15000000002</v>
      </c>
    </row>
    <row r="288" spans="1:38" ht="14.45" customHeight="1" x14ac:dyDescent="0.2">
      <c r="A288" s="1" t="s">
        <v>57</v>
      </c>
      <c r="B288" s="9" t="s">
        <v>38</v>
      </c>
      <c r="C288" s="1" t="s">
        <v>58</v>
      </c>
      <c r="D288" s="1" t="s">
        <v>146</v>
      </c>
      <c r="E288" s="1" t="s">
        <v>42</v>
      </c>
      <c r="G288" s="1" t="s">
        <v>147</v>
      </c>
      <c r="H288" s="1" t="s">
        <v>148</v>
      </c>
      <c r="I288" s="1" t="s">
        <v>1778</v>
      </c>
      <c r="J288" s="1">
        <v>2020</v>
      </c>
      <c r="K288" s="1" t="s">
        <v>1779</v>
      </c>
      <c r="L288" s="1" t="s">
        <v>1780</v>
      </c>
      <c r="M288" s="1" t="s">
        <v>1781</v>
      </c>
      <c r="P288" s="1" t="s">
        <v>1782</v>
      </c>
      <c r="Q288" s="1" t="s">
        <v>264</v>
      </c>
      <c r="R288" s="1" t="s">
        <v>265</v>
      </c>
      <c r="S288" s="1" t="s">
        <v>1783</v>
      </c>
      <c r="T288" s="1" t="s">
        <v>1784</v>
      </c>
      <c r="U288" s="1">
        <v>1</v>
      </c>
      <c r="V288" s="1" t="s">
        <v>535</v>
      </c>
      <c r="W288" s="1" t="s">
        <v>1785</v>
      </c>
      <c r="X288" s="1" t="s">
        <v>321</v>
      </c>
      <c r="Y288" s="10">
        <v>44127</v>
      </c>
      <c r="Z288" s="1">
        <v>2020</v>
      </c>
      <c r="AA288" s="2">
        <v>1000000</v>
      </c>
      <c r="AB288" s="2"/>
      <c r="AC288" s="2">
        <v>750000</v>
      </c>
      <c r="AD288" s="1">
        <v>0</v>
      </c>
      <c r="AF288" s="1">
        <v>0</v>
      </c>
      <c r="AG288" s="1" t="s">
        <v>56</v>
      </c>
      <c r="AH288" s="1" t="s">
        <v>154</v>
      </c>
      <c r="AI288" s="2">
        <v>701581.36</v>
      </c>
      <c r="AL288" s="1" t="s">
        <v>1786</v>
      </c>
    </row>
    <row r="289" spans="1:38" ht="12.6" customHeight="1" x14ac:dyDescent="0.2">
      <c r="A289" s="1" t="s">
        <v>57</v>
      </c>
      <c r="B289" s="9" t="s">
        <v>38</v>
      </c>
      <c r="C289" s="1" t="s">
        <v>58</v>
      </c>
      <c r="D289" s="1" t="s">
        <v>146</v>
      </c>
      <c r="E289" s="1" t="s">
        <v>42</v>
      </c>
      <c r="G289" s="1" t="s">
        <v>155</v>
      </c>
      <c r="H289" s="1" t="s">
        <v>156</v>
      </c>
      <c r="I289" s="1" t="s">
        <v>1787</v>
      </c>
      <c r="J289" s="1">
        <v>2022</v>
      </c>
      <c r="K289" s="1" t="s">
        <v>1788</v>
      </c>
      <c r="L289" s="1" t="s">
        <v>1789</v>
      </c>
      <c r="M289" s="1" t="s">
        <v>1790</v>
      </c>
      <c r="N289" s="1" t="s">
        <v>1791</v>
      </c>
      <c r="P289" s="1" t="s">
        <v>1792</v>
      </c>
      <c r="Q289" s="1" t="s">
        <v>842</v>
      </c>
      <c r="R289" s="1" t="s">
        <v>884</v>
      </c>
      <c r="S289" s="1" t="s">
        <v>1793</v>
      </c>
      <c r="T289" s="1" t="s">
        <v>1794</v>
      </c>
      <c r="V289" s="1" t="s">
        <v>887</v>
      </c>
      <c r="W289" s="1" t="s">
        <v>1795</v>
      </c>
      <c r="Y289" s="10">
        <v>45112</v>
      </c>
      <c r="Z289" s="1">
        <v>2023</v>
      </c>
      <c r="AA289" s="2">
        <v>1499033.65</v>
      </c>
      <c r="AB289" s="2"/>
      <c r="AC289" s="2">
        <v>1499033.65</v>
      </c>
      <c r="AG289" s="1" t="s">
        <v>56</v>
      </c>
      <c r="AI289" s="2">
        <v>1499033.65</v>
      </c>
    </row>
    <row r="290" spans="1:38" ht="14.45" customHeight="1" x14ac:dyDescent="0.2">
      <c r="A290" s="1" t="s">
        <v>57</v>
      </c>
      <c r="B290" s="9" t="s">
        <v>38</v>
      </c>
      <c r="C290" s="1" t="s">
        <v>58</v>
      </c>
      <c r="D290" s="1" t="s">
        <v>146</v>
      </c>
      <c r="E290" s="1" t="s">
        <v>42</v>
      </c>
      <c r="G290" s="1" t="s">
        <v>155</v>
      </c>
      <c r="H290" s="1" t="s">
        <v>156</v>
      </c>
      <c r="I290" s="1" t="s">
        <v>1796</v>
      </c>
      <c r="J290" s="1">
        <v>2022</v>
      </c>
      <c r="K290" s="1" t="s">
        <v>1797</v>
      </c>
      <c r="L290" s="1" t="s">
        <v>1798</v>
      </c>
      <c r="N290" s="1" t="s">
        <v>1799</v>
      </c>
      <c r="P290" s="1" t="s">
        <v>1800</v>
      </c>
      <c r="Q290" s="1" t="s">
        <v>101</v>
      </c>
      <c r="R290" s="1" t="s">
        <v>339</v>
      </c>
      <c r="S290" s="1" t="s">
        <v>1801</v>
      </c>
      <c r="T290" s="1" t="s">
        <v>1802</v>
      </c>
      <c r="V290" s="1" t="s">
        <v>101</v>
      </c>
      <c r="W290" s="1" t="s">
        <v>1803</v>
      </c>
      <c r="Y290" s="10">
        <v>45112</v>
      </c>
      <c r="Z290" s="1">
        <v>2023</v>
      </c>
      <c r="AA290" s="2">
        <v>1048841.69</v>
      </c>
      <c r="AB290" s="2"/>
      <c r="AC290" s="2">
        <v>1048841.69</v>
      </c>
      <c r="AG290" s="1" t="s">
        <v>56</v>
      </c>
      <c r="AI290" s="2">
        <v>1048841.69</v>
      </c>
    </row>
    <row r="291" spans="1:38" ht="14.45" customHeight="1" x14ac:dyDescent="0.2">
      <c r="A291" s="1" t="s">
        <v>57</v>
      </c>
      <c r="B291" s="9" t="s">
        <v>38</v>
      </c>
      <c r="C291" s="1" t="s">
        <v>58</v>
      </c>
      <c r="D291" s="1" t="s">
        <v>146</v>
      </c>
      <c r="E291" s="1" t="s">
        <v>42</v>
      </c>
      <c r="G291" s="1" t="s">
        <v>147</v>
      </c>
      <c r="H291" s="1" t="s">
        <v>148</v>
      </c>
      <c r="I291" s="1" t="s">
        <v>1804</v>
      </c>
      <c r="J291" s="1">
        <v>2020</v>
      </c>
      <c r="K291" s="1" t="s">
        <v>1805</v>
      </c>
      <c r="L291" s="1" t="s">
        <v>1806</v>
      </c>
      <c r="P291" s="1" t="s">
        <v>1740</v>
      </c>
      <c r="Q291" s="1" t="s">
        <v>264</v>
      </c>
      <c r="R291" s="1" t="s">
        <v>265</v>
      </c>
      <c r="S291" s="1" t="s">
        <v>350</v>
      </c>
      <c r="T291" s="1" t="s">
        <v>351</v>
      </c>
      <c r="U291" s="1">
        <v>1</v>
      </c>
      <c r="V291" s="1" t="s">
        <v>80</v>
      </c>
      <c r="W291" s="1" t="s">
        <v>1806</v>
      </c>
      <c r="X291" s="1" t="s">
        <v>153</v>
      </c>
      <c r="Y291" s="10">
        <v>44127</v>
      </c>
      <c r="Z291" s="1">
        <v>2020</v>
      </c>
      <c r="AA291" s="2">
        <v>750000</v>
      </c>
      <c r="AB291" s="2"/>
      <c r="AC291" s="2">
        <v>562500</v>
      </c>
      <c r="AD291" s="1">
        <v>0</v>
      </c>
      <c r="AF291" s="1">
        <v>0</v>
      </c>
      <c r="AG291" s="1" t="s">
        <v>56</v>
      </c>
      <c r="AH291" s="1" t="s">
        <v>154</v>
      </c>
      <c r="AI291" s="2">
        <v>562500</v>
      </c>
      <c r="AL291" s="1" t="s">
        <v>1807</v>
      </c>
    </row>
    <row r="292" spans="1:38" ht="14.45" customHeight="1" x14ac:dyDescent="0.2">
      <c r="A292" s="1" t="s">
        <v>57</v>
      </c>
      <c r="B292" s="9" t="s">
        <v>38</v>
      </c>
      <c r="C292" s="1" t="s">
        <v>58</v>
      </c>
      <c r="D292" s="1" t="s">
        <v>146</v>
      </c>
      <c r="E292" s="1" t="s">
        <v>42</v>
      </c>
      <c r="G292" s="1" t="s">
        <v>155</v>
      </c>
      <c r="H292" s="1" t="s">
        <v>156</v>
      </c>
      <c r="I292" s="1" t="s">
        <v>1808</v>
      </c>
      <c r="J292" s="1">
        <v>2022</v>
      </c>
      <c r="K292" s="1" t="s">
        <v>1809</v>
      </c>
      <c r="L292" s="1" t="s">
        <v>1810</v>
      </c>
      <c r="N292" s="1" t="s">
        <v>1811</v>
      </c>
      <c r="P292" s="1" t="s">
        <v>1812</v>
      </c>
      <c r="Q292" s="1" t="s">
        <v>101</v>
      </c>
      <c r="R292" s="1" t="s">
        <v>102</v>
      </c>
      <c r="S292" s="1" t="s">
        <v>523</v>
      </c>
      <c r="T292" s="1" t="s">
        <v>524</v>
      </c>
      <c r="U292" s="1">
        <v>1</v>
      </c>
      <c r="V292" s="1" t="s">
        <v>101</v>
      </c>
      <c r="W292" s="1" t="s">
        <v>1813</v>
      </c>
      <c r="Y292" s="10">
        <v>45112</v>
      </c>
      <c r="Z292" s="1">
        <v>2023</v>
      </c>
      <c r="AA292" s="2">
        <v>450905.15</v>
      </c>
      <c r="AB292" s="2"/>
      <c r="AC292" s="2">
        <v>450905.15</v>
      </c>
      <c r="AG292" s="1" t="s">
        <v>56</v>
      </c>
      <c r="AI292" s="2">
        <v>450905.15</v>
      </c>
    </row>
    <row r="293" spans="1:38" ht="14.45" customHeight="1" x14ac:dyDescent="0.2">
      <c r="A293" s="1" t="s">
        <v>57</v>
      </c>
      <c r="B293" s="9" t="s">
        <v>38</v>
      </c>
      <c r="C293" s="1" t="s">
        <v>58</v>
      </c>
      <c r="D293" s="1" t="s">
        <v>146</v>
      </c>
      <c r="E293" s="1" t="s">
        <v>42</v>
      </c>
      <c r="G293" s="1" t="s">
        <v>147</v>
      </c>
      <c r="H293" s="1" t="s">
        <v>148</v>
      </c>
      <c r="I293" s="1" t="s">
        <v>1814</v>
      </c>
      <c r="J293" s="1">
        <v>2020</v>
      </c>
      <c r="K293" s="1" t="s">
        <v>1815</v>
      </c>
      <c r="L293" s="1" t="s">
        <v>1816</v>
      </c>
      <c r="M293" s="1" t="s">
        <v>1817</v>
      </c>
      <c r="P293" s="1" t="s">
        <v>1721</v>
      </c>
      <c r="Q293" s="1" t="s">
        <v>264</v>
      </c>
      <c r="R293" s="1" t="s">
        <v>265</v>
      </c>
      <c r="S293" s="1" t="s">
        <v>533</v>
      </c>
      <c r="T293" s="1" t="s">
        <v>534</v>
      </c>
      <c r="U293" s="1">
        <v>1</v>
      </c>
      <c r="V293" s="1" t="s">
        <v>535</v>
      </c>
      <c r="W293" s="1" t="s">
        <v>1818</v>
      </c>
      <c r="X293" s="1" t="s">
        <v>153</v>
      </c>
      <c r="Y293" s="10">
        <v>44127</v>
      </c>
      <c r="Z293" s="1">
        <v>2020</v>
      </c>
      <c r="AA293" s="2">
        <v>162000</v>
      </c>
      <c r="AB293" s="2"/>
      <c r="AC293" s="2">
        <v>121500</v>
      </c>
      <c r="AD293" s="1">
        <v>0</v>
      </c>
      <c r="AF293" s="1">
        <v>15</v>
      </c>
      <c r="AG293" s="1" t="s">
        <v>56</v>
      </c>
      <c r="AH293" s="1" t="s">
        <v>154</v>
      </c>
      <c r="AI293" s="2">
        <v>107218.99</v>
      </c>
      <c r="AL293" s="1" t="s">
        <v>1819</v>
      </c>
    </row>
    <row r="294" spans="1:38" ht="14.45" customHeight="1" x14ac:dyDescent="0.2">
      <c r="A294" s="1" t="s">
        <v>57</v>
      </c>
      <c r="B294" s="9" t="s">
        <v>38</v>
      </c>
      <c r="C294" s="1" t="s">
        <v>58</v>
      </c>
      <c r="D294" s="1" t="s">
        <v>146</v>
      </c>
      <c r="E294" s="1" t="s">
        <v>42</v>
      </c>
      <c r="G294" s="1" t="s">
        <v>155</v>
      </c>
      <c r="H294" s="1" t="s">
        <v>156</v>
      </c>
      <c r="I294" s="1" t="s">
        <v>1820</v>
      </c>
      <c r="J294" s="1">
        <v>2022</v>
      </c>
      <c r="K294" s="1" t="s">
        <v>1821</v>
      </c>
      <c r="L294" s="1" t="s">
        <v>1822</v>
      </c>
      <c r="N294" s="1" t="s">
        <v>1823</v>
      </c>
      <c r="P294" s="1" t="s">
        <v>1824</v>
      </c>
      <c r="Q294" s="1" t="s">
        <v>50</v>
      </c>
      <c r="R294" s="1" t="s">
        <v>51</v>
      </c>
      <c r="S294" s="1" t="s">
        <v>1825</v>
      </c>
      <c r="T294" s="1" t="s">
        <v>1826</v>
      </c>
      <c r="V294" s="1" t="s">
        <v>54</v>
      </c>
      <c r="W294" s="1" t="s">
        <v>1827</v>
      </c>
      <c r="Y294" s="10">
        <v>45112</v>
      </c>
      <c r="Z294" s="1">
        <v>2023</v>
      </c>
      <c r="AA294" s="2">
        <v>2997522.77</v>
      </c>
      <c r="AB294" s="2"/>
      <c r="AC294" s="2">
        <v>2997522.77</v>
      </c>
      <c r="AG294" s="1" t="s">
        <v>56</v>
      </c>
      <c r="AI294" s="2">
        <v>2997522.77</v>
      </c>
    </row>
    <row r="295" spans="1:38" ht="12.6" customHeight="1" x14ac:dyDescent="0.2">
      <c r="A295" s="1" t="s">
        <v>57</v>
      </c>
      <c r="B295" s="9" t="s">
        <v>38</v>
      </c>
      <c r="C295" s="1" t="s">
        <v>58</v>
      </c>
      <c r="D295" s="1" t="s">
        <v>146</v>
      </c>
      <c r="E295" s="1" t="s">
        <v>42</v>
      </c>
      <c r="G295" s="1" t="s">
        <v>155</v>
      </c>
      <c r="H295" s="1" t="s">
        <v>156</v>
      </c>
      <c r="I295" s="1" t="s">
        <v>1828</v>
      </c>
      <c r="J295" s="1">
        <v>2022</v>
      </c>
      <c r="K295" s="1" t="s">
        <v>1829</v>
      </c>
      <c r="L295" s="1" t="s">
        <v>1830</v>
      </c>
      <c r="M295" s="1" t="s">
        <v>1831</v>
      </c>
      <c r="N295" s="1" t="s">
        <v>1832</v>
      </c>
      <c r="O295" s="1" t="s">
        <v>1833</v>
      </c>
      <c r="P295" s="1" t="s">
        <v>1834</v>
      </c>
      <c r="Q295" s="1" t="s">
        <v>842</v>
      </c>
      <c r="R295" s="1" t="s">
        <v>843</v>
      </c>
      <c r="S295" s="1" t="s">
        <v>844</v>
      </c>
      <c r="T295" s="1" t="s">
        <v>845</v>
      </c>
      <c r="V295" s="1" t="s">
        <v>846</v>
      </c>
      <c r="W295" s="1" t="s">
        <v>1835</v>
      </c>
      <c r="Y295" s="10">
        <v>45112</v>
      </c>
      <c r="Z295" s="1">
        <v>2023</v>
      </c>
      <c r="AA295" s="2">
        <v>999208.61</v>
      </c>
      <c r="AB295" s="2"/>
      <c r="AC295" s="2">
        <v>999208.61</v>
      </c>
      <c r="AG295" s="1" t="s">
        <v>56</v>
      </c>
      <c r="AI295" s="2">
        <v>999208.61</v>
      </c>
    </row>
    <row r="296" spans="1:38" ht="12.6" customHeight="1" x14ac:dyDescent="0.2">
      <c r="A296" s="1" t="s">
        <v>57</v>
      </c>
      <c r="B296" s="9" t="s">
        <v>38</v>
      </c>
      <c r="C296" s="1" t="s">
        <v>58</v>
      </c>
      <c r="D296" s="1" t="s">
        <v>146</v>
      </c>
      <c r="E296" s="1" t="s">
        <v>42</v>
      </c>
      <c r="G296" s="1" t="s">
        <v>155</v>
      </c>
      <c r="H296" s="1" t="s">
        <v>156</v>
      </c>
      <c r="I296" s="1" t="s">
        <v>1836</v>
      </c>
      <c r="J296" s="1">
        <v>2022</v>
      </c>
      <c r="K296" s="1" t="s">
        <v>1837</v>
      </c>
      <c r="L296" s="1" t="s">
        <v>1838</v>
      </c>
      <c r="M296" s="1" t="s">
        <v>1839</v>
      </c>
      <c r="N296" s="1" t="s">
        <v>1840</v>
      </c>
      <c r="P296" s="1" t="s">
        <v>1834</v>
      </c>
      <c r="Q296" s="1" t="s">
        <v>842</v>
      </c>
      <c r="R296" s="1" t="s">
        <v>843</v>
      </c>
      <c r="S296" s="1" t="s">
        <v>844</v>
      </c>
      <c r="T296" s="1" t="s">
        <v>845</v>
      </c>
      <c r="V296" s="1" t="s">
        <v>846</v>
      </c>
      <c r="W296" s="1" t="s">
        <v>1841</v>
      </c>
      <c r="Y296" s="10">
        <v>45112</v>
      </c>
      <c r="Z296" s="1">
        <v>2023</v>
      </c>
      <c r="AA296" s="2">
        <v>3997108.32</v>
      </c>
      <c r="AB296" s="2"/>
      <c r="AC296" s="2">
        <v>3997108.32</v>
      </c>
      <c r="AG296" s="1" t="s">
        <v>56</v>
      </c>
      <c r="AI296" s="2">
        <v>3997108.32</v>
      </c>
    </row>
    <row r="297" spans="1:38" ht="12.6" customHeight="1" x14ac:dyDescent="0.2">
      <c r="A297" s="1" t="s">
        <v>57</v>
      </c>
      <c r="B297" s="9" t="s">
        <v>38</v>
      </c>
      <c r="C297" s="1" t="s">
        <v>58</v>
      </c>
      <c r="D297" s="1" t="s">
        <v>146</v>
      </c>
      <c r="E297" s="1" t="s">
        <v>42</v>
      </c>
      <c r="G297" s="1" t="s">
        <v>147</v>
      </c>
      <c r="H297" s="1" t="s">
        <v>148</v>
      </c>
      <c r="I297" s="1" t="s">
        <v>1842</v>
      </c>
      <c r="J297" s="1">
        <v>2020</v>
      </c>
      <c r="K297" s="1" t="s">
        <v>1843</v>
      </c>
      <c r="L297" s="1" t="s">
        <v>1844</v>
      </c>
      <c r="P297" s="1" t="s">
        <v>1845</v>
      </c>
      <c r="Q297" s="1" t="s">
        <v>264</v>
      </c>
      <c r="R297" s="1" t="s">
        <v>265</v>
      </c>
      <c r="S297" s="1" t="s">
        <v>1334</v>
      </c>
      <c r="T297" s="1" t="s">
        <v>1335</v>
      </c>
      <c r="U297" s="1">
        <v>1</v>
      </c>
      <c r="V297" s="1" t="s">
        <v>268</v>
      </c>
      <c r="W297" s="1" t="s">
        <v>1846</v>
      </c>
      <c r="X297" s="1" t="s">
        <v>153</v>
      </c>
      <c r="Y297" s="10">
        <v>44127</v>
      </c>
      <c r="Z297" s="1">
        <v>2020</v>
      </c>
      <c r="AA297" s="2">
        <v>1500000</v>
      </c>
      <c r="AB297" s="2"/>
      <c r="AC297" s="2">
        <v>1125000</v>
      </c>
      <c r="AD297" s="1">
        <v>0</v>
      </c>
      <c r="AF297" s="1">
        <v>0</v>
      </c>
      <c r="AG297" s="1" t="s">
        <v>56</v>
      </c>
      <c r="AH297" s="1" t="s">
        <v>154</v>
      </c>
      <c r="AI297" s="2">
        <v>1101714.69</v>
      </c>
      <c r="AL297" s="1" t="s">
        <v>503</v>
      </c>
    </row>
    <row r="298" spans="1:38" ht="12.6" customHeight="1" x14ac:dyDescent="0.2">
      <c r="A298" s="1" t="s">
        <v>57</v>
      </c>
      <c r="B298" s="9" t="s">
        <v>38</v>
      </c>
      <c r="C298" s="1" t="s">
        <v>58</v>
      </c>
      <c r="D298" s="1" t="s">
        <v>146</v>
      </c>
      <c r="E298" s="1" t="s">
        <v>42</v>
      </c>
      <c r="G298" s="1" t="s">
        <v>147</v>
      </c>
      <c r="H298" s="1" t="s">
        <v>148</v>
      </c>
      <c r="I298" s="1" t="s">
        <v>1847</v>
      </c>
      <c r="J298" s="1">
        <v>2020</v>
      </c>
      <c r="K298" s="1" t="s">
        <v>1848</v>
      </c>
      <c r="L298" s="1" t="s">
        <v>1848</v>
      </c>
      <c r="P298" s="1" t="s">
        <v>1849</v>
      </c>
      <c r="Q298" s="1" t="s">
        <v>264</v>
      </c>
      <c r="R298" s="1" t="s">
        <v>265</v>
      </c>
      <c r="S298" s="1" t="s">
        <v>275</v>
      </c>
      <c r="T298" s="1" t="s">
        <v>276</v>
      </c>
      <c r="U298" s="1">
        <v>2</v>
      </c>
      <c r="V298" s="1" t="s">
        <v>80</v>
      </c>
      <c r="W298" s="1" t="s">
        <v>1848</v>
      </c>
      <c r="X298" s="1" t="s">
        <v>153</v>
      </c>
      <c r="Y298" s="10">
        <v>44127</v>
      </c>
      <c r="Z298" s="1">
        <v>2020</v>
      </c>
      <c r="AA298" s="2">
        <v>1500000</v>
      </c>
      <c r="AB298" s="2"/>
      <c r="AC298" s="2">
        <v>1125000</v>
      </c>
      <c r="AD298" s="1">
        <v>0</v>
      </c>
      <c r="AF298" s="1">
        <v>0</v>
      </c>
      <c r="AG298" s="1" t="s">
        <v>56</v>
      </c>
      <c r="AH298" s="1" t="s">
        <v>1458</v>
      </c>
      <c r="AI298" s="2">
        <v>1125000</v>
      </c>
      <c r="AL298" s="1" t="s">
        <v>1744</v>
      </c>
    </row>
    <row r="299" spans="1:38" ht="14.45" customHeight="1" x14ac:dyDescent="0.2">
      <c r="A299" s="1" t="s">
        <v>57</v>
      </c>
      <c r="B299" s="9" t="s">
        <v>38</v>
      </c>
      <c r="C299" s="1" t="s">
        <v>58</v>
      </c>
      <c r="D299" s="1" t="s">
        <v>146</v>
      </c>
      <c r="E299" s="1" t="s">
        <v>42</v>
      </c>
      <c r="G299" s="1" t="s">
        <v>147</v>
      </c>
      <c r="H299" s="1" t="s">
        <v>148</v>
      </c>
      <c r="I299" s="1" t="s">
        <v>1850</v>
      </c>
      <c r="J299" s="1">
        <v>2020</v>
      </c>
      <c r="K299" s="1" t="s">
        <v>1851</v>
      </c>
      <c r="L299" s="1" t="s">
        <v>1852</v>
      </c>
      <c r="M299" s="1" t="s">
        <v>1853</v>
      </c>
      <c r="P299" s="1" t="s">
        <v>1854</v>
      </c>
      <c r="Q299" s="1" t="s">
        <v>264</v>
      </c>
      <c r="R299" s="1" t="s">
        <v>265</v>
      </c>
      <c r="S299" s="1" t="s">
        <v>1855</v>
      </c>
      <c r="T299" s="1" t="s">
        <v>1856</v>
      </c>
      <c r="U299" s="1">
        <v>1</v>
      </c>
      <c r="V299" s="1" t="s">
        <v>268</v>
      </c>
      <c r="W299" s="1" t="s">
        <v>1857</v>
      </c>
      <c r="X299" s="1" t="s">
        <v>153</v>
      </c>
      <c r="Y299" s="10">
        <v>44127</v>
      </c>
      <c r="Z299" s="1">
        <v>2020</v>
      </c>
      <c r="AA299" s="2">
        <v>930000</v>
      </c>
      <c r="AB299" s="2"/>
      <c r="AC299" s="2">
        <v>697500</v>
      </c>
      <c r="AD299" s="1">
        <v>0</v>
      </c>
      <c r="AF299" s="1">
        <v>5</v>
      </c>
      <c r="AG299" s="1" t="s">
        <v>56</v>
      </c>
      <c r="AH299" s="1" t="s">
        <v>154</v>
      </c>
      <c r="AI299" s="2">
        <v>645030.39</v>
      </c>
      <c r="AL299" s="1" t="s">
        <v>1858</v>
      </c>
    </row>
    <row r="300" spans="1:38" ht="12.6" customHeight="1" x14ac:dyDescent="0.2">
      <c r="A300" s="1" t="s">
        <v>57</v>
      </c>
      <c r="B300" s="9" t="s">
        <v>38</v>
      </c>
      <c r="C300" s="1" t="s">
        <v>58</v>
      </c>
      <c r="D300" s="1" t="s">
        <v>146</v>
      </c>
      <c r="E300" s="1" t="s">
        <v>42</v>
      </c>
      <c r="G300" s="1" t="s">
        <v>147</v>
      </c>
      <c r="H300" s="1" t="s">
        <v>148</v>
      </c>
      <c r="I300" s="1" t="s">
        <v>1859</v>
      </c>
      <c r="J300" s="1">
        <v>2020</v>
      </c>
      <c r="K300" s="1" t="s">
        <v>1860</v>
      </c>
      <c r="L300" s="1" t="s">
        <v>1861</v>
      </c>
      <c r="M300" s="1" t="s">
        <v>1862</v>
      </c>
      <c r="P300" s="1" t="s">
        <v>1556</v>
      </c>
      <c r="Q300" s="1" t="s">
        <v>264</v>
      </c>
      <c r="R300" s="1" t="s">
        <v>265</v>
      </c>
      <c r="S300" s="1" t="s">
        <v>1557</v>
      </c>
      <c r="T300" s="1" t="s">
        <v>1558</v>
      </c>
      <c r="U300" s="1">
        <v>1</v>
      </c>
      <c r="V300" s="1" t="s">
        <v>268</v>
      </c>
      <c r="W300" s="1" t="s">
        <v>1863</v>
      </c>
      <c r="X300" s="1" t="s">
        <v>400</v>
      </c>
      <c r="Y300" s="10">
        <v>44127</v>
      </c>
      <c r="Z300" s="1">
        <v>2020</v>
      </c>
      <c r="AA300" s="2">
        <v>445000</v>
      </c>
      <c r="AB300" s="2"/>
      <c r="AC300" s="2">
        <v>333750</v>
      </c>
      <c r="AD300" s="1">
        <v>0</v>
      </c>
      <c r="AF300" s="1">
        <v>8</v>
      </c>
      <c r="AG300" s="1" t="s">
        <v>56</v>
      </c>
      <c r="AH300" s="1" t="s">
        <v>154</v>
      </c>
      <c r="AI300" s="2">
        <v>333750</v>
      </c>
      <c r="AL300" s="1" t="s">
        <v>1864</v>
      </c>
    </row>
    <row r="301" spans="1:38" ht="12.6" customHeight="1" x14ac:dyDescent="0.2">
      <c r="A301" s="1" t="s">
        <v>57</v>
      </c>
      <c r="B301" s="9" t="s">
        <v>38</v>
      </c>
      <c r="C301" s="1" t="s">
        <v>58</v>
      </c>
      <c r="D301" s="1" t="s">
        <v>146</v>
      </c>
      <c r="E301" s="1" t="s">
        <v>42</v>
      </c>
      <c r="G301" s="1" t="s">
        <v>147</v>
      </c>
      <c r="H301" s="1" t="s">
        <v>148</v>
      </c>
      <c r="I301" s="1" t="s">
        <v>1865</v>
      </c>
      <c r="J301" s="1">
        <v>2020</v>
      </c>
      <c r="K301" s="1" t="s">
        <v>1866</v>
      </c>
      <c r="L301" s="1" t="s">
        <v>1867</v>
      </c>
      <c r="M301" s="1" t="s">
        <v>1868</v>
      </c>
      <c r="P301" s="1" t="s">
        <v>1345</v>
      </c>
      <c r="Q301" s="1" t="s">
        <v>264</v>
      </c>
      <c r="R301" s="1" t="s">
        <v>265</v>
      </c>
      <c r="S301" s="1" t="s">
        <v>290</v>
      </c>
      <c r="T301" s="1" t="s">
        <v>291</v>
      </c>
      <c r="U301" s="1">
        <v>1</v>
      </c>
      <c r="V301" s="1" t="s">
        <v>268</v>
      </c>
      <c r="W301" s="1" t="s">
        <v>1869</v>
      </c>
      <c r="X301" s="1" t="s">
        <v>153</v>
      </c>
      <c r="Y301" s="10">
        <v>44127</v>
      </c>
      <c r="Z301" s="1">
        <v>2020</v>
      </c>
      <c r="AA301" s="2">
        <v>300000</v>
      </c>
      <c r="AB301" s="2"/>
      <c r="AC301" s="2">
        <v>225000</v>
      </c>
      <c r="AD301" s="1">
        <v>0</v>
      </c>
      <c r="AF301" s="1">
        <v>10</v>
      </c>
      <c r="AG301" s="1" t="s">
        <v>56</v>
      </c>
      <c r="AH301" s="1" t="s">
        <v>154</v>
      </c>
      <c r="AI301" s="2">
        <v>224999.96</v>
      </c>
      <c r="AL301" s="1" t="s">
        <v>1870</v>
      </c>
    </row>
    <row r="302" spans="1:38" ht="12.6" customHeight="1" x14ac:dyDescent="0.2">
      <c r="A302" s="1" t="s">
        <v>57</v>
      </c>
      <c r="B302" s="9" t="s">
        <v>38</v>
      </c>
      <c r="C302" s="1" t="s">
        <v>58</v>
      </c>
      <c r="D302" s="1" t="s">
        <v>146</v>
      </c>
      <c r="E302" s="1" t="s">
        <v>42</v>
      </c>
      <c r="G302" s="1" t="s">
        <v>155</v>
      </c>
      <c r="H302" s="1" t="s">
        <v>156</v>
      </c>
      <c r="I302" s="1" t="s">
        <v>1871</v>
      </c>
      <c r="J302" s="1">
        <v>2022</v>
      </c>
      <c r="K302" s="1" t="s">
        <v>1872</v>
      </c>
      <c r="L302" s="1" t="s">
        <v>1873</v>
      </c>
      <c r="N302" s="1" t="s">
        <v>1874</v>
      </c>
      <c r="P302" s="1" t="s">
        <v>1875</v>
      </c>
      <c r="Q302" s="1" t="s">
        <v>50</v>
      </c>
      <c r="R302" s="1" t="s">
        <v>68</v>
      </c>
      <c r="S302" s="1" t="s">
        <v>1876</v>
      </c>
      <c r="T302" s="1" t="s">
        <v>1877</v>
      </c>
      <c r="U302" s="1">
        <v>1</v>
      </c>
      <c r="V302" s="1" t="s">
        <v>71</v>
      </c>
      <c r="W302" s="1" t="s">
        <v>1878</v>
      </c>
      <c r="Y302" s="10">
        <v>45112</v>
      </c>
      <c r="Z302" s="1">
        <v>2023</v>
      </c>
      <c r="AA302" s="2">
        <v>427263</v>
      </c>
      <c r="AB302" s="2"/>
      <c r="AC302" s="2">
        <v>427263</v>
      </c>
      <c r="AG302" s="1" t="s">
        <v>56</v>
      </c>
      <c r="AI302" s="2">
        <v>427263</v>
      </c>
    </row>
    <row r="303" spans="1:38" ht="14.45" customHeight="1" x14ac:dyDescent="0.2">
      <c r="A303" s="1" t="s">
        <v>57</v>
      </c>
      <c r="B303" s="9" t="s">
        <v>38</v>
      </c>
      <c r="C303" s="1" t="s">
        <v>58</v>
      </c>
      <c r="D303" s="1" t="s">
        <v>146</v>
      </c>
      <c r="E303" s="1" t="s">
        <v>42</v>
      </c>
      <c r="G303" s="1" t="s">
        <v>155</v>
      </c>
      <c r="H303" s="1" t="s">
        <v>156</v>
      </c>
      <c r="I303" s="1" t="s">
        <v>1879</v>
      </c>
      <c r="J303" s="1">
        <v>2022</v>
      </c>
      <c r="K303" s="1" t="s">
        <v>1880</v>
      </c>
      <c r="L303" s="1" t="s">
        <v>1881</v>
      </c>
      <c r="N303" s="1" t="s">
        <v>1882</v>
      </c>
      <c r="P303" s="1" t="s">
        <v>1883</v>
      </c>
      <c r="Q303" s="1" t="s">
        <v>1149</v>
      </c>
      <c r="R303" s="1" t="s">
        <v>1150</v>
      </c>
      <c r="S303" s="1" t="s">
        <v>1884</v>
      </c>
      <c r="T303" s="1" t="s">
        <v>1885</v>
      </c>
      <c r="V303" s="1" t="s">
        <v>1537</v>
      </c>
      <c r="W303" s="1" t="s">
        <v>1886</v>
      </c>
      <c r="Y303" s="10">
        <v>45112</v>
      </c>
      <c r="Z303" s="1">
        <v>2023</v>
      </c>
      <c r="AA303" s="2">
        <v>1693338.21</v>
      </c>
      <c r="AB303" s="2"/>
      <c r="AC303" s="2">
        <v>1693338.21</v>
      </c>
      <c r="AG303" s="1" t="s">
        <v>56</v>
      </c>
      <c r="AI303" s="2">
        <v>1693338.21</v>
      </c>
    </row>
    <row r="304" spans="1:38" ht="14.45" customHeight="1" x14ac:dyDescent="0.2">
      <c r="A304" s="1" t="s">
        <v>57</v>
      </c>
      <c r="B304" s="9" t="s">
        <v>38</v>
      </c>
      <c r="C304" s="1" t="s">
        <v>58</v>
      </c>
      <c r="D304" s="1" t="s">
        <v>146</v>
      </c>
      <c r="E304" s="1" t="s">
        <v>42</v>
      </c>
      <c r="G304" s="1" t="s">
        <v>155</v>
      </c>
      <c r="H304" s="1" t="s">
        <v>156</v>
      </c>
      <c r="I304" s="1" t="s">
        <v>1887</v>
      </c>
      <c r="J304" s="1">
        <v>2022</v>
      </c>
      <c r="K304" s="1" t="s">
        <v>1888</v>
      </c>
      <c r="L304" s="1" t="s">
        <v>1889</v>
      </c>
      <c r="M304" s="1" t="s">
        <v>1890</v>
      </c>
      <c r="N304" s="1" t="s">
        <v>1891</v>
      </c>
      <c r="P304" s="1" t="s">
        <v>1688</v>
      </c>
      <c r="Q304" s="1" t="s">
        <v>50</v>
      </c>
      <c r="R304" s="1" t="s">
        <v>68</v>
      </c>
      <c r="S304" s="1" t="s">
        <v>1203</v>
      </c>
      <c r="T304" s="1" t="s">
        <v>1204</v>
      </c>
      <c r="U304" s="1">
        <v>1</v>
      </c>
      <c r="V304" s="1" t="s">
        <v>195</v>
      </c>
      <c r="W304" s="1" t="s">
        <v>1892</v>
      </c>
      <c r="Y304" s="10">
        <v>45112</v>
      </c>
      <c r="Z304" s="1">
        <v>2023</v>
      </c>
      <c r="AA304" s="2">
        <v>1750255.14</v>
      </c>
      <c r="AB304" s="2"/>
      <c r="AC304" s="2">
        <v>1750255.14</v>
      </c>
      <c r="AG304" s="1" t="s">
        <v>56</v>
      </c>
      <c r="AI304" s="2">
        <v>1750255.14</v>
      </c>
    </row>
    <row r="305" spans="1:38" ht="12.6" customHeight="1" x14ac:dyDescent="0.2">
      <c r="A305" s="1" t="s">
        <v>57</v>
      </c>
      <c r="B305" s="9" t="s">
        <v>38</v>
      </c>
      <c r="C305" s="1" t="s">
        <v>58</v>
      </c>
      <c r="D305" s="1" t="s">
        <v>59</v>
      </c>
      <c r="E305" s="1" t="s">
        <v>42</v>
      </c>
      <c r="G305" s="1" t="s">
        <v>105</v>
      </c>
      <c r="H305" s="1" t="s">
        <v>1893</v>
      </c>
      <c r="I305" s="1" t="s">
        <v>1894</v>
      </c>
      <c r="J305" s="1">
        <v>2023</v>
      </c>
      <c r="K305" s="1" t="s">
        <v>1895</v>
      </c>
      <c r="L305" s="1" t="s">
        <v>1896</v>
      </c>
      <c r="N305" s="1" t="s">
        <v>1897</v>
      </c>
      <c r="P305" s="1" t="s">
        <v>1898</v>
      </c>
      <c r="Q305" s="1" t="s">
        <v>101</v>
      </c>
      <c r="R305" s="1" t="s">
        <v>102</v>
      </c>
      <c r="S305" s="1" t="s">
        <v>637</v>
      </c>
      <c r="T305" s="1" t="s">
        <v>638</v>
      </c>
      <c r="U305" s="1">
        <v>1</v>
      </c>
      <c r="V305" s="1" t="s">
        <v>101</v>
      </c>
      <c r="W305" s="1" t="s">
        <v>1895</v>
      </c>
      <c r="Y305" s="10">
        <v>45462</v>
      </c>
      <c r="Z305" s="1">
        <v>2024</v>
      </c>
      <c r="AA305" s="2">
        <v>25279160.579999998</v>
      </c>
      <c r="AB305" s="2"/>
      <c r="AC305" s="2">
        <v>3000000</v>
      </c>
      <c r="AD305" s="1">
        <v>35</v>
      </c>
      <c r="AE305" s="1">
        <v>3</v>
      </c>
      <c r="AG305" s="1" t="s">
        <v>56</v>
      </c>
      <c r="AI305" s="2">
        <v>3000000</v>
      </c>
    </row>
    <row r="306" spans="1:38" ht="14.45" customHeight="1" x14ac:dyDescent="0.25">
      <c r="A306" s="1" t="s">
        <v>57</v>
      </c>
      <c r="B306" s="9" t="s">
        <v>38</v>
      </c>
      <c r="C306" s="1" t="s">
        <v>58</v>
      </c>
      <c r="D306" s="1" t="s">
        <v>59</v>
      </c>
      <c r="E306" s="1" t="s">
        <v>42</v>
      </c>
      <c r="G306" s="1" t="s">
        <v>105</v>
      </c>
      <c r="H306" s="1" t="s">
        <v>1893</v>
      </c>
      <c r="I306" s="1" t="s">
        <v>1899</v>
      </c>
      <c r="J306" s="1">
        <v>2023</v>
      </c>
      <c r="K306" s="1" t="s">
        <v>1900</v>
      </c>
      <c r="L306" s="1" t="s">
        <v>1901</v>
      </c>
      <c r="M306" s="1" t="s">
        <v>1902</v>
      </c>
      <c r="N306" s="1" t="s">
        <v>1903</v>
      </c>
      <c r="P306" s="1" t="s">
        <v>1904</v>
      </c>
      <c r="Q306" s="1" t="s">
        <v>842</v>
      </c>
      <c r="R306" s="1" t="s">
        <v>1177</v>
      </c>
      <c r="S306" s="16" t="s">
        <v>1178</v>
      </c>
      <c r="T306" s="1" t="s">
        <v>1179</v>
      </c>
      <c r="V306" s="1" t="s">
        <v>1178</v>
      </c>
      <c r="W306" s="1" t="s">
        <v>1900</v>
      </c>
      <c r="Y306" s="10">
        <v>45462</v>
      </c>
      <c r="Z306" s="1">
        <v>2024</v>
      </c>
      <c r="AA306" s="2">
        <v>6113619.0099999998</v>
      </c>
      <c r="AB306" s="2"/>
      <c r="AC306" s="2">
        <v>1887977.23</v>
      </c>
      <c r="AD306" s="1">
        <v>30</v>
      </c>
      <c r="AE306" s="1">
        <v>17.399999999999999</v>
      </c>
      <c r="AG306" s="1" t="s">
        <v>56</v>
      </c>
      <c r="AI306" s="2">
        <v>1887977.23</v>
      </c>
    </row>
    <row r="307" spans="1:38" ht="14.45" customHeight="1" x14ac:dyDescent="0.2">
      <c r="A307" s="1" t="s">
        <v>57</v>
      </c>
      <c r="B307" s="9" t="s">
        <v>38</v>
      </c>
      <c r="C307" s="1" t="s">
        <v>58</v>
      </c>
      <c r="D307" s="1" t="s">
        <v>59</v>
      </c>
      <c r="E307" s="1" t="s">
        <v>42</v>
      </c>
      <c r="G307" s="1" t="s">
        <v>105</v>
      </c>
      <c r="H307" s="1" t="s">
        <v>1893</v>
      </c>
      <c r="I307" s="1" t="s">
        <v>1905</v>
      </c>
      <c r="J307" s="1">
        <v>2023</v>
      </c>
      <c r="K307" s="1" t="s">
        <v>1906</v>
      </c>
      <c r="L307" s="1" t="s">
        <v>1907</v>
      </c>
      <c r="M307" s="1" t="s">
        <v>1908</v>
      </c>
      <c r="N307" s="1" t="s">
        <v>1909</v>
      </c>
      <c r="P307" s="1" t="s">
        <v>1910</v>
      </c>
      <c r="Q307" s="1" t="s">
        <v>1149</v>
      </c>
      <c r="R307" s="1" t="s">
        <v>1150</v>
      </c>
      <c r="S307" s="1" t="s">
        <v>1218</v>
      </c>
      <c r="T307" s="1" t="s">
        <v>1219</v>
      </c>
      <c r="V307" s="1" t="s">
        <v>1153</v>
      </c>
      <c r="W307" s="1" t="s">
        <v>1906</v>
      </c>
      <c r="Y307" s="10">
        <v>45462</v>
      </c>
      <c r="Z307" s="1">
        <v>2024</v>
      </c>
      <c r="AA307" s="2">
        <v>2775810.32</v>
      </c>
      <c r="AB307" s="2"/>
      <c r="AC307" s="2">
        <v>560766.81000000006</v>
      </c>
      <c r="AD307" s="1">
        <v>5</v>
      </c>
      <c r="AE307" s="1">
        <v>1</v>
      </c>
      <c r="AG307" s="1" t="s">
        <v>56</v>
      </c>
      <c r="AI307" s="2">
        <v>560766.81000000006</v>
      </c>
      <c r="AL307" s="1" t="s">
        <v>1911</v>
      </c>
    </row>
    <row r="308" spans="1:38" ht="12.6" customHeight="1" x14ac:dyDescent="0.2">
      <c r="A308" s="1" t="s">
        <v>57</v>
      </c>
      <c r="B308" s="9" t="s">
        <v>38</v>
      </c>
      <c r="C308" s="1" t="s">
        <v>58</v>
      </c>
      <c r="D308" s="1" t="s">
        <v>59</v>
      </c>
      <c r="E308" s="1" t="s">
        <v>42</v>
      </c>
      <c r="G308" s="1" t="s">
        <v>105</v>
      </c>
      <c r="H308" s="1" t="s">
        <v>1893</v>
      </c>
      <c r="I308" s="1" t="s">
        <v>1912</v>
      </c>
      <c r="J308" s="1">
        <v>2023</v>
      </c>
      <c r="K308" s="1" t="s">
        <v>1913</v>
      </c>
      <c r="L308" s="1" t="s">
        <v>1914</v>
      </c>
      <c r="N308" s="1" t="s">
        <v>1915</v>
      </c>
      <c r="P308" s="1" t="s">
        <v>1916</v>
      </c>
      <c r="Q308" s="1" t="s">
        <v>101</v>
      </c>
      <c r="R308" s="1" t="s">
        <v>102</v>
      </c>
      <c r="S308" s="1" t="s">
        <v>1917</v>
      </c>
      <c r="T308" s="1" t="s">
        <v>1918</v>
      </c>
      <c r="U308" s="1">
        <v>2</v>
      </c>
      <c r="V308" s="1" t="s">
        <v>101</v>
      </c>
      <c r="W308" s="1" t="s">
        <v>1919</v>
      </c>
      <c r="Y308" s="10">
        <v>45462</v>
      </c>
      <c r="Z308" s="1">
        <v>2024</v>
      </c>
      <c r="AA308" s="2">
        <v>7722917.2300000004</v>
      </c>
      <c r="AB308" s="2"/>
      <c r="AC308" s="2">
        <v>1852083.45</v>
      </c>
      <c r="AD308" s="1">
        <v>41</v>
      </c>
      <c r="AG308" s="1" t="s">
        <v>56</v>
      </c>
      <c r="AI308" s="2">
        <v>1852083.45</v>
      </c>
    </row>
    <row r="309" spans="1:38" ht="12.6" customHeight="1" x14ac:dyDescent="0.2">
      <c r="A309" s="1" t="s">
        <v>57</v>
      </c>
      <c r="B309" s="9" t="s">
        <v>38</v>
      </c>
      <c r="C309" s="1" t="s">
        <v>58</v>
      </c>
      <c r="D309" s="1" t="s">
        <v>59</v>
      </c>
      <c r="E309" s="1" t="s">
        <v>42</v>
      </c>
      <c r="G309" s="1" t="s">
        <v>105</v>
      </c>
      <c r="H309" s="1" t="s">
        <v>1893</v>
      </c>
      <c r="I309" s="1" t="s">
        <v>1920</v>
      </c>
      <c r="J309" s="1">
        <v>2023</v>
      </c>
      <c r="K309" s="1" t="s">
        <v>1921</v>
      </c>
      <c r="L309" s="1" t="s">
        <v>1922</v>
      </c>
      <c r="M309" s="1" t="s">
        <v>1923</v>
      </c>
      <c r="N309" s="1" t="s">
        <v>1924</v>
      </c>
      <c r="O309" s="1" t="s">
        <v>1833</v>
      </c>
      <c r="P309" s="1" t="s">
        <v>1925</v>
      </c>
      <c r="Q309" s="1" t="s">
        <v>842</v>
      </c>
      <c r="R309" s="1" t="s">
        <v>884</v>
      </c>
      <c r="S309" s="11" t="s">
        <v>1926</v>
      </c>
      <c r="T309" s="1" t="s">
        <v>1927</v>
      </c>
      <c r="V309" s="1" t="s">
        <v>887</v>
      </c>
      <c r="W309" s="1" t="s">
        <v>1928</v>
      </c>
      <c r="Y309" s="10">
        <v>45594</v>
      </c>
      <c r="Z309" s="1">
        <v>2024</v>
      </c>
      <c r="AA309" s="2">
        <v>1234202.3999999999</v>
      </c>
      <c r="AB309" s="2"/>
      <c r="AC309" s="2">
        <v>307573.68</v>
      </c>
      <c r="AD309" s="1">
        <v>4</v>
      </c>
      <c r="AE309" s="1">
        <v>4</v>
      </c>
      <c r="AG309" s="1" t="s">
        <v>56</v>
      </c>
    </row>
    <row r="310" spans="1:38" ht="37.9" customHeight="1" x14ac:dyDescent="0.2">
      <c r="A310" s="1" t="s">
        <v>57</v>
      </c>
      <c r="B310" s="9" t="s">
        <v>38</v>
      </c>
      <c r="C310" s="1" t="s">
        <v>58</v>
      </c>
      <c r="D310" s="1" t="s">
        <v>59</v>
      </c>
      <c r="E310" s="1" t="s">
        <v>42</v>
      </c>
      <c r="G310" s="1" t="s">
        <v>105</v>
      </c>
      <c r="H310" s="1" t="s">
        <v>1893</v>
      </c>
      <c r="I310" s="1" t="s">
        <v>1929</v>
      </c>
      <c r="J310" s="1">
        <v>2023</v>
      </c>
      <c r="K310" s="1" t="s">
        <v>1930</v>
      </c>
      <c r="L310" s="1" t="s">
        <v>1931</v>
      </c>
      <c r="N310" s="1" t="s">
        <v>1932</v>
      </c>
      <c r="P310" s="1" t="s">
        <v>1933</v>
      </c>
      <c r="Q310" s="1" t="s">
        <v>101</v>
      </c>
      <c r="R310" s="1" t="s">
        <v>102</v>
      </c>
      <c r="S310" s="1" t="s">
        <v>103</v>
      </c>
      <c r="T310" s="1" t="s">
        <v>104</v>
      </c>
      <c r="U310" s="1">
        <v>1</v>
      </c>
      <c r="V310" s="1" t="s">
        <v>101</v>
      </c>
      <c r="W310" s="1" t="s">
        <v>1930</v>
      </c>
      <c r="Y310" s="10">
        <v>45462</v>
      </c>
      <c r="Z310" s="1">
        <v>2024</v>
      </c>
      <c r="AA310" s="2">
        <v>355104</v>
      </c>
      <c r="AB310" s="2"/>
      <c r="AC310" s="2">
        <v>116020.8</v>
      </c>
      <c r="AD310" s="1">
        <v>3</v>
      </c>
      <c r="AE310" s="1">
        <v>2</v>
      </c>
      <c r="AG310" s="1" t="s">
        <v>56</v>
      </c>
      <c r="AI310" s="2">
        <v>116020.8</v>
      </c>
    </row>
    <row r="311" spans="1:38" ht="14.45" customHeight="1" x14ac:dyDescent="0.2">
      <c r="A311" s="1" t="s">
        <v>57</v>
      </c>
      <c r="B311" s="9" t="s">
        <v>38</v>
      </c>
      <c r="C311" s="1" t="s">
        <v>58</v>
      </c>
      <c r="D311" s="1" t="s">
        <v>59</v>
      </c>
      <c r="E311" s="1" t="s">
        <v>42</v>
      </c>
      <c r="G311" s="1" t="s">
        <v>105</v>
      </c>
      <c r="H311" s="1" t="s">
        <v>61</v>
      </c>
      <c r="I311" s="1" t="s">
        <v>1934</v>
      </c>
      <c r="J311" s="1">
        <v>2023</v>
      </c>
      <c r="K311" s="1" t="s">
        <v>1935</v>
      </c>
      <c r="L311" s="1" t="s">
        <v>1936</v>
      </c>
      <c r="M311" s="1" t="s">
        <v>1937</v>
      </c>
      <c r="N311" s="1" t="s">
        <v>1938</v>
      </c>
      <c r="P311" s="1" t="s">
        <v>1939</v>
      </c>
      <c r="Q311" s="1" t="s">
        <v>842</v>
      </c>
      <c r="R311" s="1" t="s">
        <v>843</v>
      </c>
      <c r="S311" s="1" t="s">
        <v>844</v>
      </c>
      <c r="T311" s="1" t="s">
        <v>845</v>
      </c>
      <c r="V311" s="1" t="s">
        <v>846</v>
      </c>
      <c r="W311" s="1" t="s">
        <v>1935</v>
      </c>
      <c r="Y311" s="10">
        <v>45462</v>
      </c>
      <c r="Z311" s="1">
        <v>2024</v>
      </c>
      <c r="AA311" s="2">
        <v>125030</v>
      </c>
      <c r="AB311" s="2"/>
      <c r="AC311" s="2">
        <v>75017.990000000005</v>
      </c>
      <c r="AD311" s="1">
        <v>6</v>
      </c>
      <c r="AE311" s="1">
        <v>4</v>
      </c>
      <c r="AG311" s="1" t="s">
        <v>56</v>
      </c>
      <c r="AI311" s="2">
        <v>75017.990000000005</v>
      </c>
    </row>
    <row r="312" spans="1:38" ht="14.45" customHeight="1" x14ac:dyDescent="0.2">
      <c r="A312" s="1" t="s">
        <v>57</v>
      </c>
      <c r="B312" s="9" t="s">
        <v>38</v>
      </c>
      <c r="C312" s="1" t="s">
        <v>58</v>
      </c>
      <c r="D312" s="1" t="s">
        <v>59</v>
      </c>
      <c r="E312" s="1" t="s">
        <v>42</v>
      </c>
      <c r="G312" s="1" t="s">
        <v>105</v>
      </c>
      <c r="H312" s="1" t="s">
        <v>61</v>
      </c>
      <c r="I312" s="1" t="s">
        <v>1940</v>
      </c>
      <c r="J312" s="1">
        <v>2023</v>
      </c>
      <c r="K312" s="1" t="s">
        <v>1941</v>
      </c>
      <c r="L312" s="1" t="s">
        <v>1941</v>
      </c>
      <c r="M312" s="1" t="s">
        <v>1942</v>
      </c>
      <c r="N312" s="1" t="s">
        <v>1943</v>
      </c>
      <c r="P312" s="1" t="s">
        <v>1944</v>
      </c>
      <c r="Q312" s="1" t="s">
        <v>50</v>
      </c>
      <c r="R312" s="1" t="s">
        <v>51</v>
      </c>
      <c r="S312" s="1" t="s">
        <v>1077</v>
      </c>
      <c r="T312" s="1" t="s">
        <v>1078</v>
      </c>
      <c r="V312" s="1" t="s">
        <v>54</v>
      </c>
      <c r="W312" s="1" t="s">
        <v>1941</v>
      </c>
      <c r="Y312" s="10">
        <v>45462</v>
      </c>
      <c r="Z312" s="1">
        <v>2024</v>
      </c>
      <c r="AA312" s="2">
        <v>5379034.0899999999</v>
      </c>
      <c r="AB312" s="2"/>
      <c r="AC312" s="2">
        <v>942379.26</v>
      </c>
      <c r="AD312" s="1">
        <v>18</v>
      </c>
      <c r="AE312" s="1">
        <v>5</v>
      </c>
      <c r="AG312" s="1" t="s">
        <v>56</v>
      </c>
      <c r="AI312" s="2">
        <v>942379.26</v>
      </c>
    </row>
    <row r="313" spans="1:38" ht="14.45" customHeight="1" x14ac:dyDescent="0.2">
      <c r="A313" s="1" t="s">
        <v>57</v>
      </c>
      <c r="B313" s="9" t="s">
        <v>38</v>
      </c>
      <c r="C313" s="1" t="s">
        <v>58</v>
      </c>
      <c r="D313" s="1" t="s">
        <v>59</v>
      </c>
      <c r="E313" s="1" t="s">
        <v>42</v>
      </c>
      <c r="G313" s="1" t="s">
        <v>105</v>
      </c>
      <c r="H313" s="1" t="s">
        <v>61</v>
      </c>
      <c r="I313" s="1" t="s">
        <v>1945</v>
      </c>
      <c r="J313" s="1">
        <v>2023</v>
      </c>
      <c r="K313" s="1" t="s">
        <v>1946</v>
      </c>
      <c r="L313" s="1" t="s">
        <v>1947</v>
      </c>
      <c r="N313" s="1" t="s">
        <v>1948</v>
      </c>
      <c r="P313" s="1" t="s">
        <v>1949</v>
      </c>
      <c r="Q313" s="1" t="s">
        <v>101</v>
      </c>
      <c r="R313" s="1" t="s">
        <v>102</v>
      </c>
      <c r="S313" s="1" t="s">
        <v>1950</v>
      </c>
      <c r="T313" s="1" t="s">
        <v>1951</v>
      </c>
      <c r="V313" s="1" t="s">
        <v>101</v>
      </c>
      <c r="W313" s="1" t="s">
        <v>1952</v>
      </c>
      <c r="Y313" s="10">
        <v>45462</v>
      </c>
      <c r="Z313" s="1">
        <v>2024</v>
      </c>
      <c r="AA313" s="2">
        <v>6011615.5599999996</v>
      </c>
      <c r="AB313" s="2"/>
      <c r="AC313" s="2">
        <v>1202323.1100000001</v>
      </c>
      <c r="AD313" s="1">
        <v>60</v>
      </c>
      <c r="AE313" s="1">
        <v>18</v>
      </c>
      <c r="AG313" s="1" t="s">
        <v>56</v>
      </c>
      <c r="AI313" s="2">
        <v>1202323.1100000001</v>
      </c>
    </row>
    <row r="314" spans="1:38" ht="14.45" customHeight="1" x14ac:dyDescent="0.25">
      <c r="A314" s="1" t="s">
        <v>57</v>
      </c>
      <c r="B314" s="9" t="s">
        <v>38</v>
      </c>
      <c r="C314" s="1" t="s">
        <v>58</v>
      </c>
      <c r="D314" s="1" t="s">
        <v>59</v>
      </c>
      <c r="E314" s="1" t="s">
        <v>42</v>
      </c>
      <c r="G314" s="1" t="s">
        <v>105</v>
      </c>
      <c r="H314" s="1" t="s">
        <v>1893</v>
      </c>
      <c r="I314" s="1" t="s">
        <v>1953</v>
      </c>
      <c r="J314" s="1">
        <v>2023</v>
      </c>
      <c r="K314" s="1" t="s">
        <v>1954</v>
      </c>
      <c r="L314" s="1" t="s">
        <v>1955</v>
      </c>
      <c r="M314" s="19" t="s">
        <v>1956</v>
      </c>
      <c r="N314" s="1" t="s">
        <v>1957</v>
      </c>
      <c r="P314" s="1" t="s">
        <v>1958</v>
      </c>
      <c r="Q314" s="1" t="s">
        <v>1149</v>
      </c>
      <c r="R314" s="1" t="s">
        <v>1150</v>
      </c>
      <c r="S314" s="16" t="s">
        <v>1959</v>
      </c>
      <c r="T314" s="1" t="s">
        <v>1960</v>
      </c>
      <c r="V314" s="1" t="s">
        <v>1153</v>
      </c>
      <c r="W314" s="1" t="s">
        <v>1954</v>
      </c>
      <c r="Y314" s="10">
        <v>45462</v>
      </c>
      <c r="Z314" s="1">
        <v>2024</v>
      </c>
      <c r="AA314" s="2">
        <v>21720130.07</v>
      </c>
      <c r="AB314" s="2"/>
      <c r="AC314" s="2">
        <v>3000000</v>
      </c>
      <c r="AD314" s="1">
        <v>25</v>
      </c>
      <c r="AE314" s="1">
        <v>6</v>
      </c>
      <c r="AG314" s="1" t="s">
        <v>56</v>
      </c>
      <c r="AI314" s="2">
        <v>3000000</v>
      </c>
    </row>
    <row r="315" spans="1:38" ht="14.45" customHeight="1" x14ac:dyDescent="0.2">
      <c r="A315" s="1" t="s">
        <v>57</v>
      </c>
      <c r="B315" s="9" t="s">
        <v>38</v>
      </c>
      <c r="C315" s="1" t="s">
        <v>58</v>
      </c>
      <c r="D315" s="1" t="s">
        <v>59</v>
      </c>
      <c r="E315" s="1" t="s">
        <v>42</v>
      </c>
      <c r="G315" s="1" t="s">
        <v>105</v>
      </c>
      <c r="H315" s="1" t="s">
        <v>1893</v>
      </c>
      <c r="I315" s="1" t="s">
        <v>1961</v>
      </c>
      <c r="J315" s="1">
        <v>2023</v>
      </c>
      <c r="K315" s="1" t="s">
        <v>1962</v>
      </c>
      <c r="L315" s="1" t="s">
        <v>1963</v>
      </c>
      <c r="M315" s="1" t="s">
        <v>882</v>
      </c>
      <c r="N315" s="1" t="s">
        <v>1964</v>
      </c>
      <c r="P315" s="1" t="s">
        <v>1965</v>
      </c>
      <c r="Q315" s="1" t="s">
        <v>842</v>
      </c>
      <c r="R315" s="1" t="s">
        <v>884</v>
      </c>
      <c r="S315" s="1" t="s">
        <v>1011</v>
      </c>
      <c r="T315" s="1" t="s">
        <v>1012</v>
      </c>
      <c r="V315" s="1" t="s">
        <v>887</v>
      </c>
      <c r="W315" s="1" t="s">
        <v>1962</v>
      </c>
      <c r="Y315" s="10">
        <v>45462</v>
      </c>
      <c r="Z315" s="1">
        <v>2024</v>
      </c>
      <c r="AA315" s="2">
        <v>1407209.76</v>
      </c>
      <c r="AB315" s="2"/>
      <c r="AC315" s="2">
        <v>722162.93</v>
      </c>
      <c r="AD315" s="1">
        <v>20</v>
      </c>
      <c r="AE315" s="1">
        <v>6</v>
      </c>
      <c r="AG315" s="1" t="s">
        <v>56</v>
      </c>
      <c r="AI315" s="2">
        <v>722162.93</v>
      </c>
    </row>
    <row r="316" spans="1:38" ht="14.45" customHeight="1" x14ac:dyDescent="0.2">
      <c r="A316" s="1" t="s">
        <v>57</v>
      </c>
      <c r="B316" s="9" t="s">
        <v>38</v>
      </c>
      <c r="C316" s="1" t="s">
        <v>58</v>
      </c>
      <c r="D316" s="1" t="s">
        <v>59</v>
      </c>
      <c r="E316" s="1" t="s">
        <v>42</v>
      </c>
      <c r="F316" s="1" t="s">
        <v>165</v>
      </c>
      <c r="G316" s="1" t="s">
        <v>88</v>
      </c>
      <c r="H316" s="1" t="s">
        <v>166</v>
      </c>
      <c r="I316" s="1" t="s">
        <v>1966</v>
      </c>
      <c r="J316" s="1">
        <v>2023</v>
      </c>
      <c r="K316" s="1" t="s">
        <v>1967</v>
      </c>
      <c r="L316" s="1" t="s">
        <v>1968</v>
      </c>
      <c r="M316" s="1" t="s">
        <v>1969</v>
      </c>
      <c r="N316" s="1" t="s">
        <v>1970</v>
      </c>
      <c r="P316" s="1" t="s">
        <v>1971</v>
      </c>
      <c r="Q316" s="1" t="s">
        <v>50</v>
      </c>
      <c r="R316" s="1" t="s">
        <v>77</v>
      </c>
      <c r="S316" s="1" t="s">
        <v>198</v>
      </c>
      <c r="T316" s="2" t="s">
        <v>199</v>
      </c>
      <c r="U316" s="1">
        <v>1</v>
      </c>
      <c r="V316" s="1" t="str">
        <f>VLOOKUP(Tabla354[[#This Row],[Municipio]],[1]CON_INE_2024!$H$5:$K$353,3,FALSE)</f>
        <v>Guardo-Velilla</v>
      </c>
      <c r="W316" s="1" t="s">
        <v>1972</v>
      </c>
      <c r="Y316" s="10">
        <v>45802</v>
      </c>
      <c r="Z316" s="1">
        <v>2025</v>
      </c>
      <c r="AA316" s="12">
        <v>431094.07</v>
      </c>
      <c r="AB316" s="2"/>
      <c r="AC316" s="12">
        <v>107773.52</v>
      </c>
      <c r="AD316" s="1">
        <v>0</v>
      </c>
      <c r="AE316" s="1">
        <v>0</v>
      </c>
      <c r="AG316" s="1" t="s">
        <v>56</v>
      </c>
      <c r="AI316" s="13">
        <v>107773.52</v>
      </c>
    </row>
    <row r="317" spans="1:38" ht="14.45" customHeight="1" x14ac:dyDescent="0.2">
      <c r="A317" s="1" t="s">
        <v>57</v>
      </c>
      <c r="B317" s="9" t="s">
        <v>38</v>
      </c>
      <c r="C317" s="1" t="s">
        <v>58</v>
      </c>
      <c r="D317" s="1" t="s">
        <v>146</v>
      </c>
      <c r="E317" s="1" t="s">
        <v>42</v>
      </c>
      <c r="G317" s="1" t="s">
        <v>147</v>
      </c>
      <c r="H317" s="1" t="s">
        <v>148</v>
      </c>
      <c r="I317" s="1" t="s">
        <v>1973</v>
      </c>
      <c r="J317" s="1">
        <v>2020</v>
      </c>
      <c r="K317" s="1" t="s">
        <v>1974</v>
      </c>
      <c r="L317" s="1" t="s">
        <v>1975</v>
      </c>
      <c r="M317" s="1" t="s">
        <v>1976</v>
      </c>
      <c r="P317" s="1" t="s">
        <v>1715</v>
      </c>
      <c r="Q317" s="1" t="s">
        <v>264</v>
      </c>
      <c r="R317" s="1" t="s">
        <v>265</v>
      </c>
      <c r="S317" s="1" t="s">
        <v>542</v>
      </c>
      <c r="T317" s="1" t="s">
        <v>543</v>
      </c>
      <c r="U317" s="1">
        <v>1</v>
      </c>
      <c r="V317" s="1" t="s">
        <v>268</v>
      </c>
      <c r="W317" s="1" t="s">
        <v>1977</v>
      </c>
      <c r="X317" s="1" t="s">
        <v>153</v>
      </c>
      <c r="Y317" s="10">
        <v>44127</v>
      </c>
      <c r="Z317" s="1">
        <v>2020</v>
      </c>
      <c r="AA317" s="2">
        <v>350000</v>
      </c>
      <c r="AB317" s="2"/>
      <c r="AC317" s="2">
        <v>262500</v>
      </c>
      <c r="AD317" s="1">
        <v>0</v>
      </c>
      <c r="AF317" s="1">
        <v>0</v>
      </c>
      <c r="AG317" s="1" t="s">
        <v>56</v>
      </c>
      <c r="AH317" s="1" t="s">
        <v>154</v>
      </c>
      <c r="AI317" s="2">
        <v>247442.89</v>
      </c>
      <c r="AL317" s="1" t="s">
        <v>503</v>
      </c>
    </row>
    <row r="318" spans="1:38" ht="14.45" customHeight="1" x14ac:dyDescent="0.2">
      <c r="A318" s="1" t="s">
        <v>57</v>
      </c>
      <c r="B318" s="9" t="s">
        <v>38</v>
      </c>
      <c r="C318" s="1" t="s">
        <v>58</v>
      </c>
      <c r="D318" s="1" t="s">
        <v>146</v>
      </c>
      <c r="E318" s="1" t="s">
        <v>42</v>
      </c>
      <c r="G318" s="1" t="s">
        <v>147</v>
      </c>
      <c r="H318" s="1" t="s">
        <v>148</v>
      </c>
      <c r="I318" s="1" t="s">
        <v>1978</v>
      </c>
      <c r="J318" s="1">
        <v>2020</v>
      </c>
      <c r="K318" s="1" t="s">
        <v>1979</v>
      </c>
      <c r="L318" s="1" t="s">
        <v>1980</v>
      </c>
      <c r="M318" s="1" t="s">
        <v>1981</v>
      </c>
      <c r="P318" s="1" t="s">
        <v>1715</v>
      </c>
      <c r="Q318" s="1" t="s">
        <v>264</v>
      </c>
      <c r="R318" s="1" t="s">
        <v>265</v>
      </c>
      <c r="S318" s="1" t="s">
        <v>542</v>
      </c>
      <c r="T318" s="1" t="s">
        <v>543</v>
      </c>
      <c r="U318" s="1">
        <v>1</v>
      </c>
      <c r="V318" s="1" t="s">
        <v>268</v>
      </c>
      <c r="W318" s="1" t="s">
        <v>1982</v>
      </c>
      <c r="X318" s="1" t="s">
        <v>153</v>
      </c>
      <c r="Y318" s="10">
        <v>44127</v>
      </c>
      <c r="Z318" s="1">
        <v>2020</v>
      </c>
      <c r="AA318" s="2">
        <v>331500</v>
      </c>
      <c r="AB318" s="2"/>
      <c r="AC318" s="2">
        <v>248625</v>
      </c>
      <c r="AD318" s="1">
        <v>0</v>
      </c>
      <c r="AF318" s="1">
        <v>0</v>
      </c>
      <c r="AG318" s="1" t="s">
        <v>56</v>
      </c>
      <c r="AH318" s="1" t="s">
        <v>154</v>
      </c>
      <c r="AI318" s="2">
        <v>233825.93</v>
      </c>
    </row>
    <row r="319" spans="1:38" ht="14.45" customHeight="1" x14ac:dyDescent="0.2">
      <c r="A319" s="1" t="s">
        <v>57</v>
      </c>
      <c r="B319" s="9" t="s">
        <v>38</v>
      </c>
      <c r="C319" s="1" t="s">
        <v>58</v>
      </c>
      <c r="D319" s="1" t="s">
        <v>146</v>
      </c>
      <c r="E319" s="1" t="s">
        <v>42</v>
      </c>
      <c r="G319" s="1" t="s">
        <v>147</v>
      </c>
      <c r="H319" s="1" t="s">
        <v>148</v>
      </c>
      <c r="I319" s="1" t="s">
        <v>1983</v>
      </c>
      <c r="J319" s="1">
        <v>2020</v>
      </c>
      <c r="K319" s="1" t="s">
        <v>1984</v>
      </c>
      <c r="L319" s="1" t="s">
        <v>1985</v>
      </c>
      <c r="M319" s="1" t="s">
        <v>1986</v>
      </c>
      <c r="P319" s="1" t="s">
        <v>1715</v>
      </c>
      <c r="Q319" s="1" t="s">
        <v>264</v>
      </c>
      <c r="R319" s="1" t="s">
        <v>265</v>
      </c>
      <c r="S319" s="1" t="s">
        <v>542</v>
      </c>
      <c r="T319" s="1" t="s">
        <v>543</v>
      </c>
      <c r="U319" s="1">
        <v>1</v>
      </c>
      <c r="V319" s="1" t="s">
        <v>268</v>
      </c>
      <c r="W319" s="1" t="s">
        <v>1987</v>
      </c>
      <c r="X319" s="1" t="s">
        <v>153</v>
      </c>
      <c r="Y319" s="10">
        <v>44127</v>
      </c>
      <c r="Z319" s="1">
        <v>2020</v>
      </c>
      <c r="AA319" s="2">
        <v>957000</v>
      </c>
      <c r="AB319" s="2"/>
      <c r="AC319" s="2">
        <v>717750</v>
      </c>
      <c r="AD319" s="1">
        <v>0</v>
      </c>
      <c r="AF319" s="1">
        <v>0</v>
      </c>
      <c r="AG319" s="1" t="s">
        <v>56</v>
      </c>
      <c r="AH319" s="1" t="s">
        <v>1458</v>
      </c>
      <c r="AI319" s="2">
        <v>717750</v>
      </c>
      <c r="AL319" s="1" t="s">
        <v>1744</v>
      </c>
    </row>
    <row r="320" spans="1:38" ht="14.45" customHeight="1" x14ac:dyDescent="0.2">
      <c r="A320" s="1" t="s">
        <v>57</v>
      </c>
      <c r="B320" s="9" t="s">
        <v>38</v>
      </c>
      <c r="C320" s="1" t="s">
        <v>58</v>
      </c>
      <c r="D320" s="1" t="s">
        <v>59</v>
      </c>
      <c r="E320" s="1" t="s">
        <v>42</v>
      </c>
      <c r="F320" s="1" t="s">
        <v>165</v>
      </c>
      <c r="G320" s="1" t="s">
        <v>88</v>
      </c>
      <c r="H320" s="1" t="s">
        <v>166</v>
      </c>
      <c r="I320" s="1" t="s">
        <v>1988</v>
      </c>
      <c r="J320" s="1">
        <v>2023</v>
      </c>
      <c r="K320" s="1" t="s">
        <v>1989</v>
      </c>
      <c r="L320" s="1" t="s">
        <v>1990</v>
      </c>
      <c r="M320" s="1" t="s">
        <v>1991</v>
      </c>
      <c r="N320" s="1" t="s">
        <v>1992</v>
      </c>
      <c r="P320" s="1" t="s">
        <v>1993</v>
      </c>
      <c r="Q320" s="1" t="s">
        <v>50</v>
      </c>
      <c r="R320" s="1" t="s">
        <v>77</v>
      </c>
      <c r="S320" s="1" t="s">
        <v>1212</v>
      </c>
      <c r="T320" s="2" t="s">
        <v>1213</v>
      </c>
      <c r="U320" s="1">
        <v>1</v>
      </c>
      <c r="V320" s="1" t="str">
        <f>VLOOKUP(Tabla354[[#This Row],[Municipio]],[1]CON_INE_2024!$H$5:$K$353,3,FALSE)</f>
        <v>Guardo-Velilla</v>
      </c>
      <c r="W320" s="1" t="s">
        <v>1994</v>
      </c>
      <c r="Y320" s="10">
        <v>45802</v>
      </c>
      <c r="Z320" s="1">
        <v>2025</v>
      </c>
      <c r="AA320" s="12">
        <v>107328.22</v>
      </c>
      <c r="AB320" s="2"/>
      <c r="AC320" s="12">
        <v>37564.879999999997</v>
      </c>
      <c r="AD320" s="1">
        <v>0</v>
      </c>
      <c r="AE320" s="1">
        <v>0</v>
      </c>
      <c r="AG320" s="1" t="s">
        <v>56</v>
      </c>
      <c r="AI320" s="13">
        <v>37564.879999999997</v>
      </c>
    </row>
    <row r="321" spans="1:38" ht="14.45" customHeight="1" x14ac:dyDescent="0.2">
      <c r="A321" s="1" t="s">
        <v>57</v>
      </c>
      <c r="B321" s="9" t="s">
        <v>38</v>
      </c>
      <c r="C321" s="1" t="s">
        <v>58</v>
      </c>
      <c r="D321" s="1" t="s">
        <v>146</v>
      </c>
      <c r="E321" s="1" t="s">
        <v>42</v>
      </c>
      <c r="G321" s="1" t="s">
        <v>147</v>
      </c>
      <c r="H321" s="1" t="s">
        <v>148</v>
      </c>
      <c r="I321" s="1" t="s">
        <v>1995</v>
      </c>
      <c r="J321" s="1">
        <v>2020</v>
      </c>
      <c r="K321" s="1" t="s">
        <v>1996</v>
      </c>
      <c r="L321" s="1" t="s">
        <v>1997</v>
      </c>
      <c r="M321" s="1" t="s">
        <v>1998</v>
      </c>
      <c r="P321" s="1" t="s">
        <v>1556</v>
      </c>
      <c r="Q321" s="1" t="s">
        <v>264</v>
      </c>
      <c r="R321" s="1" t="s">
        <v>265</v>
      </c>
      <c r="S321" s="1" t="s">
        <v>1557</v>
      </c>
      <c r="T321" s="1" t="s">
        <v>1558</v>
      </c>
      <c r="U321" s="1">
        <v>1</v>
      </c>
      <c r="V321" s="1" t="s">
        <v>268</v>
      </c>
      <c r="W321" s="1" t="s">
        <v>1999</v>
      </c>
      <c r="X321" s="1" t="s">
        <v>153</v>
      </c>
      <c r="Y321" s="10">
        <v>44127</v>
      </c>
      <c r="Z321" s="1">
        <v>2020</v>
      </c>
      <c r="AA321" s="2">
        <v>91000</v>
      </c>
      <c r="AB321" s="2"/>
      <c r="AC321" s="2">
        <v>68250</v>
      </c>
      <c r="AD321" s="1">
        <v>0.5</v>
      </c>
      <c r="AF321" s="1">
        <v>2</v>
      </c>
      <c r="AG321" s="1" t="s">
        <v>56</v>
      </c>
      <c r="AH321" s="1" t="s">
        <v>154</v>
      </c>
      <c r="AI321" s="2">
        <v>56177.38</v>
      </c>
      <c r="AL321" s="1" t="s">
        <v>2000</v>
      </c>
    </row>
    <row r="322" spans="1:38" ht="14.45" customHeight="1" x14ac:dyDescent="0.2">
      <c r="A322" s="1" t="s">
        <v>57</v>
      </c>
      <c r="B322" s="9" t="s">
        <v>38</v>
      </c>
      <c r="C322" s="1" t="s">
        <v>58</v>
      </c>
      <c r="D322" s="1" t="s">
        <v>146</v>
      </c>
      <c r="E322" s="1" t="s">
        <v>42</v>
      </c>
      <c r="G322" s="1" t="s">
        <v>147</v>
      </c>
      <c r="H322" s="1" t="s">
        <v>148</v>
      </c>
      <c r="I322" s="1" t="s">
        <v>2001</v>
      </c>
      <c r="J322" s="1">
        <v>2020</v>
      </c>
      <c r="K322" s="1" t="s">
        <v>2002</v>
      </c>
      <c r="L322" s="1" t="s">
        <v>2003</v>
      </c>
      <c r="M322" s="1" t="s">
        <v>2004</v>
      </c>
      <c r="P322" s="1" t="s">
        <v>1718</v>
      </c>
      <c r="Q322" s="1" t="s">
        <v>264</v>
      </c>
      <c r="R322" s="1" t="s">
        <v>265</v>
      </c>
      <c r="S322" s="1" t="s">
        <v>717</v>
      </c>
      <c r="T322" s="1" t="s">
        <v>718</v>
      </c>
      <c r="U322" s="1">
        <v>1</v>
      </c>
      <c r="V322" s="1" t="s">
        <v>535</v>
      </c>
      <c r="W322" s="1" t="s">
        <v>2005</v>
      </c>
      <c r="X322" s="1" t="s">
        <v>153</v>
      </c>
      <c r="Y322" s="10">
        <v>44127</v>
      </c>
      <c r="Z322" s="1">
        <v>2020</v>
      </c>
      <c r="AA322" s="2">
        <v>601000</v>
      </c>
      <c r="AB322" s="2"/>
      <c r="AC322" s="2">
        <v>450750</v>
      </c>
      <c r="AD322" s="1">
        <v>0</v>
      </c>
      <c r="AF322" s="1">
        <v>10</v>
      </c>
      <c r="AG322" s="1" t="s">
        <v>56</v>
      </c>
      <c r="AH322" s="1" t="s">
        <v>154</v>
      </c>
      <c r="AI322" s="2">
        <f>VLOOKUP(Tabla354[[#This Row],[Ref. Proyecto]],[4]revITJ!$B$2:$BG$67,2,FALSE)</f>
        <v>390122.39</v>
      </c>
      <c r="AL322" s="1" t="s">
        <v>2006</v>
      </c>
    </row>
    <row r="323" spans="1:38" ht="14.45" customHeight="1" x14ac:dyDescent="0.2">
      <c r="A323" s="1" t="s">
        <v>57</v>
      </c>
      <c r="B323" s="9" t="s">
        <v>38</v>
      </c>
      <c r="C323" s="1" t="s">
        <v>58</v>
      </c>
      <c r="D323" s="1" t="s">
        <v>59</v>
      </c>
      <c r="E323" s="1" t="s">
        <v>42</v>
      </c>
      <c r="G323" s="1" t="s">
        <v>122</v>
      </c>
      <c r="H323" s="1" t="s">
        <v>1893</v>
      </c>
      <c r="I323" s="1" t="s">
        <v>2007</v>
      </c>
      <c r="J323" s="1">
        <v>2023</v>
      </c>
      <c r="K323" s="1" t="s">
        <v>2008</v>
      </c>
      <c r="L323" s="1" t="s">
        <v>2009</v>
      </c>
      <c r="M323" s="1" t="s">
        <v>2010</v>
      </c>
      <c r="N323" s="1" t="s">
        <v>2011</v>
      </c>
      <c r="O323" s="1" t="s">
        <v>2012</v>
      </c>
      <c r="P323" s="1" t="s">
        <v>2013</v>
      </c>
      <c r="Q323" s="1" t="s">
        <v>1149</v>
      </c>
      <c r="R323" s="1" t="s">
        <v>1150</v>
      </c>
      <c r="S323" s="1" t="s">
        <v>2014</v>
      </c>
      <c r="T323" s="1" t="s">
        <v>2015</v>
      </c>
      <c r="V323" s="1" t="s">
        <v>1153</v>
      </c>
      <c r="W323" s="1" t="s">
        <v>2008</v>
      </c>
      <c r="Y323" s="10">
        <v>45478</v>
      </c>
      <c r="Z323" s="1">
        <v>2024</v>
      </c>
      <c r="AA323" s="2">
        <v>69271.55</v>
      </c>
      <c r="AB323" s="2"/>
      <c r="AC323" s="2">
        <v>32317.89</v>
      </c>
      <c r="AD323" s="1">
        <v>1</v>
      </c>
      <c r="AG323" s="1" t="s">
        <v>56</v>
      </c>
      <c r="AI323" s="2">
        <v>32317.89</v>
      </c>
    </row>
    <row r="324" spans="1:38" ht="14.45" customHeight="1" x14ac:dyDescent="0.2">
      <c r="A324" s="1" t="s">
        <v>57</v>
      </c>
      <c r="B324" s="9" t="s">
        <v>38</v>
      </c>
      <c r="C324" s="1" t="s">
        <v>58</v>
      </c>
      <c r="D324" s="1" t="s">
        <v>59</v>
      </c>
      <c r="E324" s="1" t="s">
        <v>42</v>
      </c>
      <c r="G324" s="1" t="s">
        <v>122</v>
      </c>
      <c r="H324" s="1" t="s">
        <v>1893</v>
      </c>
      <c r="I324" s="1" t="s">
        <v>2016</v>
      </c>
      <c r="J324" s="1">
        <v>2023</v>
      </c>
      <c r="K324" s="1" t="s">
        <v>2017</v>
      </c>
      <c r="L324" s="1" t="s">
        <v>2018</v>
      </c>
      <c r="N324" s="1" t="s">
        <v>2019</v>
      </c>
      <c r="P324" s="1" t="s">
        <v>2020</v>
      </c>
      <c r="Q324" s="1" t="s">
        <v>101</v>
      </c>
      <c r="R324" s="1" t="s">
        <v>102</v>
      </c>
      <c r="S324" s="1" t="s">
        <v>637</v>
      </c>
      <c r="T324" s="1" t="s">
        <v>638</v>
      </c>
      <c r="U324" s="1">
        <v>1</v>
      </c>
      <c r="V324" s="1" t="s">
        <v>101</v>
      </c>
      <c r="W324" s="1" t="s">
        <v>2017</v>
      </c>
      <c r="Y324" s="10">
        <v>45478</v>
      </c>
      <c r="Z324" s="1">
        <v>2024</v>
      </c>
      <c r="AA324" s="2">
        <v>80059.48</v>
      </c>
      <c r="AB324" s="2"/>
      <c r="AC324" s="2">
        <v>40029.74</v>
      </c>
      <c r="AD324" s="1">
        <v>2</v>
      </c>
      <c r="AE324" s="1">
        <v>2</v>
      </c>
      <c r="AG324" s="1" t="s">
        <v>56</v>
      </c>
      <c r="AI324" s="2">
        <v>40029.74</v>
      </c>
    </row>
    <row r="325" spans="1:38" ht="14.45" customHeight="1" x14ac:dyDescent="0.2">
      <c r="A325" s="1" t="s">
        <v>57</v>
      </c>
      <c r="B325" s="9" t="s">
        <v>38</v>
      </c>
      <c r="C325" s="1" t="s">
        <v>58</v>
      </c>
      <c r="D325" s="1" t="s">
        <v>59</v>
      </c>
      <c r="E325" s="1" t="s">
        <v>42</v>
      </c>
      <c r="G325" s="1" t="s">
        <v>122</v>
      </c>
      <c r="H325" s="1" t="s">
        <v>1893</v>
      </c>
      <c r="I325" s="1" t="s">
        <v>2021</v>
      </c>
      <c r="J325" s="1">
        <v>2023</v>
      </c>
      <c r="K325" s="1" t="s">
        <v>2022</v>
      </c>
      <c r="L325" s="1" t="s">
        <v>2023</v>
      </c>
      <c r="N325" s="1" t="s">
        <v>2024</v>
      </c>
      <c r="P325" s="1" t="s">
        <v>2025</v>
      </c>
      <c r="Q325" s="1" t="s">
        <v>2026</v>
      </c>
      <c r="R325" s="1" t="s">
        <v>2027</v>
      </c>
      <c r="S325" s="1" t="s">
        <v>2028</v>
      </c>
      <c r="T325" s="1" t="s">
        <v>2029</v>
      </c>
      <c r="U325" s="1">
        <v>2</v>
      </c>
      <c r="V325" s="1" t="s">
        <v>101</v>
      </c>
      <c r="W325" s="1" t="s">
        <v>2022</v>
      </c>
      <c r="Y325" s="10">
        <v>45478</v>
      </c>
      <c r="Z325" s="1">
        <v>2024</v>
      </c>
      <c r="AA325" s="2">
        <v>47542.31</v>
      </c>
      <c r="AB325" s="2"/>
      <c r="AC325" s="2">
        <v>23771.15</v>
      </c>
      <c r="AD325" s="1">
        <v>1</v>
      </c>
      <c r="AG325" s="1" t="s">
        <v>56</v>
      </c>
      <c r="AI325" s="2">
        <v>23771.15</v>
      </c>
    </row>
    <row r="326" spans="1:38" ht="12.6" customHeight="1" x14ac:dyDescent="0.2">
      <c r="A326" s="1" t="s">
        <v>57</v>
      </c>
      <c r="B326" s="9" t="s">
        <v>38</v>
      </c>
      <c r="C326" s="1" t="s">
        <v>58</v>
      </c>
      <c r="D326" s="1" t="s">
        <v>146</v>
      </c>
      <c r="E326" s="1" t="s">
        <v>42</v>
      </c>
      <c r="G326" s="1" t="s">
        <v>147</v>
      </c>
      <c r="H326" s="1" t="s">
        <v>148</v>
      </c>
      <c r="I326" s="1" t="s">
        <v>2030</v>
      </c>
      <c r="J326" s="1">
        <v>2021</v>
      </c>
      <c r="K326" s="1" t="s">
        <v>2031</v>
      </c>
      <c r="L326" s="1" t="s">
        <v>2032</v>
      </c>
      <c r="P326" s="1" t="s">
        <v>1711</v>
      </c>
      <c r="Q326" s="1" t="s">
        <v>264</v>
      </c>
      <c r="R326" s="1" t="s">
        <v>265</v>
      </c>
      <c r="S326" s="1" t="s">
        <v>315</v>
      </c>
      <c r="T326" s="1" t="s">
        <v>316</v>
      </c>
      <c r="U326" s="1">
        <v>1</v>
      </c>
      <c r="V326" s="1" t="s">
        <v>268</v>
      </c>
      <c r="W326" s="1" t="s">
        <v>2033</v>
      </c>
      <c r="Y326" s="10">
        <v>44550</v>
      </c>
      <c r="Z326" s="1">
        <v>2021</v>
      </c>
      <c r="AA326" s="2">
        <v>10000000</v>
      </c>
      <c r="AB326" s="2"/>
      <c r="AC326" s="2">
        <v>7500000</v>
      </c>
      <c r="AD326" s="1">
        <v>42</v>
      </c>
      <c r="AF326" s="1">
        <v>0</v>
      </c>
      <c r="AG326" s="1" t="s">
        <v>56</v>
      </c>
      <c r="AH326" s="1" t="s">
        <v>154</v>
      </c>
      <c r="AI326" s="2">
        <v>6048000</v>
      </c>
      <c r="AL326" s="1" t="s">
        <v>2034</v>
      </c>
    </row>
    <row r="327" spans="1:38" ht="14.45" customHeight="1" x14ac:dyDescent="0.2">
      <c r="A327" s="1" t="s">
        <v>57</v>
      </c>
      <c r="B327" s="9" t="s">
        <v>38</v>
      </c>
      <c r="C327" s="1" t="s">
        <v>58</v>
      </c>
      <c r="D327" s="1" t="s">
        <v>59</v>
      </c>
      <c r="E327" s="1" t="s">
        <v>42</v>
      </c>
      <c r="G327" s="1" t="s">
        <v>122</v>
      </c>
      <c r="H327" s="1" t="s">
        <v>61</v>
      </c>
      <c r="I327" s="1" t="s">
        <v>2035</v>
      </c>
      <c r="J327" s="1">
        <v>2023</v>
      </c>
      <c r="K327" s="1" t="s">
        <v>2036</v>
      </c>
      <c r="L327" s="1" t="s">
        <v>2037</v>
      </c>
      <c r="N327" s="1" t="s">
        <v>2038</v>
      </c>
      <c r="P327" s="1" t="s">
        <v>2039</v>
      </c>
      <c r="Q327" s="1" t="s">
        <v>1109</v>
      </c>
      <c r="R327" s="1" t="s">
        <v>1110</v>
      </c>
      <c r="S327" s="1" t="s">
        <v>2040</v>
      </c>
      <c r="T327" s="1" t="s">
        <v>2041</v>
      </c>
      <c r="V327" s="1" t="s">
        <v>54</v>
      </c>
      <c r="W327" s="1" t="s">
        <v>2037</v>
      </c>
      <c r="Y327" s="10">
        <v>45478</v>
      </c>
      <c r="Z327" s="1">
        <v>2024</v>
      </c>
      <c r="AA327" s="2">
        <v>418450</v>
      </c>
      <c r="AB327" s="2"/>
      <c r="AC327" s="2">
        <v>190000</v>
      </c>
      <c r="AD327" s="1">
        <v>3</v>
      </c>
      <c r="AE327" s="1">
        <v>1</v>
      </c>
      <c r="AG327" s="1" t="s">
        <v>56</v>
      </c>
      <c r="AI327" s="2">
        <v>190000</v>
      </c>
    </row>
    <row r="328" spans="1:38" ht="14.45" customHeight="1" x14ac:dyDescent="0.2">
      <c r="A328" s="1" t="s">
        <v>57</v>
      </c>
      <c r="B328" s="9" t="s">
        <v>38</v>
      </c>
      <c r="C328" s="1" t="s">
        <v>58</v>
      </c>
      <c r="D328" s="1" t="s">
        <v>146</v>
      </c>
      <c r="E328" s="1" t="s">
        <v>42</v>
      </c>
      <c r="G328" s="1" t="s">
        <v>147</v>
      </c>
      <c r="H328" s="1" t="s">
        <v>148</v>
      </c>
      <c r="I328" s="1" t="s">
        <v>2042</v>
      </c>
      <c r="J328" s="1">
        <v>2020</v>
      </c>
      <c r="K328" s="1" t="s">
        <v>2043</v>
      </c>
      <c r="L328" s="1" t="s">
        <v>2044</v>
      </c>
      <c r="P328" s="1" t="s">
        <v>1812</v>
      </c>
      <c r="Q328" s="1" t="s">
        <v>101</v>
      </c>
      <c r="R328" s="1" t="s">
        <v>102</v>
      </c>
      <c r="S328" s="1" t="s">
        <v>523</v>
      </c>
      <c r="T328" s="1" t="s">
        <v>524</v>
      </c>
      <c r="U328" s="1">
        <v>1</v>
      </c>
      <c r="V328" s="1" t="s">
        <v>101</v>
      </c>
      <c r="W328" s="1" t="s">
        <v>2045</v>
      </c>
      <c r="X328" s="1" t="s">
        <v>153</v>
      </c>
      <c r="Y328" s="10">
        <v>44127</v>
      </c>
      <c r="Z328" s="1">
        <v>2020</v>
      </c>
      <c r="AA328" s="2">
        <v>251223.1</v>
      </c>
      <c r="AB328" s="2"/>
      <c r="AC328" s="2">
        <v>188417.32500000001</v>
      </c>
      <c r="AD328" s="1">
        <v>0</v>
      </c>
      <c r="AF328" s="1">
        <v>18</v>
      </c>
      <c r="AG328" s="1" t="s">
        <v>56</v>
      </c>
      <c r="AH328" s="1" t="s">
        <v>154</v>
      </c>
      <c r="AI328" s="2">
        <v>160217.38</v>
      </c>
      <c r="AK328" s="1" t="s">
        <v>600</v>
      </c>
      <c r="AL328" s="1" t="s">
        <v>2046</v>
      </c>
    </row>
    <row r="329" spans="1:38" ht="14.45" customHeight="1" x14ac:dyDescent="0.2">
      <c r="A329" s="1" t="s">
        <v>57</v>
      </c>
      <c r="B329" s="9" t="s">
        <v>38</v>
      </c>
      <c r="C329" s="1" t="s">
        <v>58</v>
      </c>
      <c r="D329" s="1" t="s">
        <v>146</v>
      </c>
      <c r="E329" s="1" t="s">
        <v>42</v>
      </c>
      <c r="G329" s="1" t="s">
        <v>147</v>
      </c>
      <c r="H329" s="1" t="s">
        <v>148</v>
      </c>
      <c r="I329" s="1" t="s">
        <v>2047</v>
      </c>
      <c r="J329" s="1">
        <v>2020</v>
      </c>
      <c r="K329" s="1" t="s">
        <v>2048</v>
      </c>
      <c r="L329" s="1" t="s">
        <v>2049</v>
      </c>
      <c r="P329" s="1" t="s">
        <v>2050</v>
      </c>
      <c r="Q329" s="1" t="s">
        <v>101</v>
      </c>
      <c r="R329" s="1" t="s">
        <v>102</v>
      </c>
      <c r="S329" s="1" t="s">
        <v>1917</v>
      </c>
      <c r="T329" s="1" t="s">
        <v>1918</v>
      </c>
      <c r="U329" s="1">
        <v>1</v>
      </c>
      <c r="V329" s="1" t="s">
        <v>101</v>
      </c>
      <c r="W329" s="1" t="s">
        <v>2051</v>
      </c>
      <c r="X329" s="1" t="s">
        <v>153</v>
      </c>
      <c r="Y329" s="10">
        <v>44188</v>
      </c>
      <c r="Z329" s="1">
        <v>2020</v>
      </c>
      <c r="AA329" s="2">
        <v>120000</v>
      </c>
      <c r="AB329" s="2"/>
      <c r="AC329" s="2">
        <v>90000</v>
      </c>
      <c r="AD329" s="1">
        <v>0</v>
      </c>
      <c r="AF329" s="1">
        <v>0</v>
      </c>
      <c r="AG329" s="1" t="s">
        <v>56</v>
      </c>
      <c r="AH329" s="1" t="s">
        <v>154</v>
      </c>
      <c r="AI329" s="2">
        <v>73536.41</v>
      </c>
      <c r="AK329" s="1" t="s">
        <v>301</v>
      </c>
    </row>
    <row r="330" spans="1:38" ht="14.45" customHeight="1" x14ac:dyDescent="0.2">
      <c r="A330" s="1" t="s">
        <v>57</v>
      </c>
      <c r="B330" s="9" t="s">
        <v>38</v>
      </c>
      <c r="C330" s="1" t="s">
        <v>58</v>
      </c>
      <c r="D330" s="1" t="s">
        <v>59</v>
      </c>
      <c r="E330" s="1" t="s">
        <v>42</v>
      </c>
      <c r="G330" s="1" t="s">
        <v>122</v>
      </c>
      <c r="H330" s="1" t="s">
        <v>1893</v>
      </c>
      <c r="I330" s="1" t="s">
        <v>2052</v>
      </c>
      <c r="J330" s="1">
        <v>2023</v>
      </c>
      <c r="K330" s="1" t="s">
        <v>1075</v>
      </c>
      <c r="L330" s="1" t="s">
        <v>2053</v>
      </c>
      <c r="N330" s="1" t="s">
        <v>2054</v>
      </c>
      <c r="P330" s="1" t="s">
        <v>2055</v>
      </c>
      <c r="Q330" s="1" t="s">
        <v>50</v>
      </c>
      <c r="R330" s="1" t="s">
        <v>68</v>
      </c>
      <c r="S330" s="1" t="s">
        <v>2056</v>
      </c>
      <c r="T330" s="1" t="s">
        <v>2057</v>
      </c>
      <c r="U330" s="1">
        <v>1</v>
      </c>
      <c r="V330" s="1" t="s">
        <v>195</v>
      </c>
      <c r="W330" s="1" t="s">
        <v>1075</v>
      </c>
      <c r="Y330" s="10">
        <v>45478</v>
      </c>
      <c r="Z330" s="1">
        <v>2024</v>
      </c>
      <c r="AA330" s="2">
        <v>335847</v>
      </c>
      <c r="AB330" s="2"/>
      <c r="AC330" s="2">
        <v>112169.4</v>
      </c>
      <c r="AD330" s="1">
        <v>3</v>
      </c>
      <c r="AG330" s="1" t="s">
        <v>56</v>
      </c>
      <c r="AI330" s="2">
        <v>112169.4</v>
      </c>
    </row>
    <row r="331" spans="1:38" x14ac:dyDescent="0.2">
      <c r="A331" s="1" t="s">
        <v>57</v>
      </c>
      <c r="B331" s="9" t="s">
        <v>38</v>
      </c>
      <c r="C331" s="1" t="s">
        <v>58</v>
      </c>
      <c r="D331" s="1" t="s">
        <v>59</v>
      </c>
      <c r="E331" s="1" t="s">
        <v>42</v>
      </c>
      <c r="G331" s="1" t="s">
        <v>122</v>
      </c>
      <c r="H331" s="1" t="s">
        <v>1893</v>
      </c>
      <c r="I331" s="1" t="s">
        <v>2058</v>
      </c>
      <c r="J331" s="1">
        <v>2023</v>
      </c>
      <c r="K331" s="1" t="s">
        <v>2059</v>
      </c>
      <c r="L331" s="1" t="s">
        <v>2060</v>
      </c>
      <c r="N331" s="1" t="s">
        <v>2061</v>
      </c>
      <c r="P331" s="1" t="s">
        <v>561</v>
      </c>
      <c r="Q331" s="1" t="s">
        <v>101</v>
      </c>
      <c r="R331" s="1" t="s">
        <v>102</v>
      </c>
      <c r="S331" s="1" t="s">
        <v>562</v>
      </c>
      <c r="T331" s="1" t="s">
        <v>563</v>
      </c>
      <c r="U331" s="1">
        <v>1</v>
      </c>
      <c r="V331" s="1" t="s">
        <v>101</v>
      </c>
      <c r="W331" s="1" t="s">
        <v>2062</v>
      </c>
      <c r="Y331" s="10">
        <v>45478</v>
      </c>
      <c r="Z331" s="1">
        <v>2024</v>
      </c>
      <c r="AA331" s="2">
        <v>247293.17</v>
      </c>
      <c r="AB331" s="2"/>
      <c r="AC331" s="2">
        <v>94458.63</v>
      </c>
      <c r="AD331" s="1">
        <v>3</v>
      </c>
      <c r="AG331" s="1" t="s">
        <v>56</v>
      </c>
      <c r="AI331" s="2">
        <v>94458.63</v>
      </c>
    </row>
    <row r="332" spans="1:38" ht="14.45" customHeight="1" x14ac:dyDescent="0.2">
      <c r="A332" s="1" t="s">
        <v>57</v>
      </c>
      <c r="B332" s="9" t="s">
        <v>38</v>
      </c>
      <c r="C332" s="1" t="s">
        <v>58</v>
      </c>
      <c r="D332" s="1" t="s">
        <v>59</v>
      </c>
      <c r="E332" s="1" t="s">
        <v>42</v>
      </c>
      <c r="G332" s="1" t="s">
        <v>122</v>
      </c>
      <c r="H332" s="1" t="s">
        <v>61</v>
      </c>
      <c r="I332" s="1" t="s">
        <v>2063</v>
      </c>
      <c r="J332" s="1">
        <v>2023</v>
      </c>
      <c r="K332" s="1" t="s">
        <v>2064</v>
      </c>
      <c r="L332" s="1" t="s">
        <v>2065</v>
      </c>
      <c r="N332" s="1" t="s">
        <v>2066</v>
      </c>
      <c r="P332" s="1" t="s">
        <v>2067</v>
      </c>
      <c r="Q332" s="1" t="s">
        <v>1149</v>
      </c>
      <c r="R332" s="1" t="s">
        <v>1449</v>
      </c>
      <c r="S332" s="1" t="s">
        <v>2068</v>
      </c>
      <c r="T332" s="1" t="s">
        <v>2069</v>
      </c>
      <c r="V332" s="1" t="s">
        <v>1153</v>
      </c>
      <c r="W332" s="1" t="s">
        <v>2064</v>
      </c>
      <c r="Y332" s="10">
        <v>45478</v>
      </c>
      <c r="Z332" s="1">
        <v>2024</v>
      </c>
      <c r="AA332" s="2">
        <v>374953.4</v>
      </c>
      <c r="AB332" s="2"/>
      <c r="AC332" s="2">
        <v>112486.02</v>
      </c>
      <c r="AD332" s="1">
        <v>4</v>
      </c>
      <c r="AE332" s="1">
        <v>2</v>
      </c>
      <c r="AG332" s="1" t="s">
        <v>56</v>
      </c>
      <c r="AI332" s="2">
        <v>112486.02</v>
      </c>
    </row>
    <row r="333" spans="1:38" ht="14.45" customHeight="1" x14ac:dyDescent="0.2">
      <c r="A333" s="1" t="s">
        <v>57</v>
      </c>
      <c r="B333" s="9" t="s">
        <v>38</v>
      </c>
      <c r="C333" s="1" t="s">
        <v>58</v>
      </c>
      <c r="D333" s="1" t="s">
        <v>146</v>
      </c>
      <c r="E333" s="1" t="s">
        <v>42</v>
      </c>
      <c r="G333" s="1" t="s">
        <v>147</v>
      </c>
      <c r="H333" s="1" t="s">
        <v>148</v>
      </c>
      <c r="I333" s="1" t="s">
        <v>2070</v>
      </c>
      <c r="J333" s="1">
        <v>2020</v>
      </c>
      <c r="K333" s="1" t="s">
        <v>2071</v>
      </c>
      <c r="L333" s="1" t="s">
        <v>2072</v>
      </c>
      <c r="P333" s="1" t="s">
        <v>2073</v>
      </c>
      <c r="Q333" s="1" t="s">
        <v>101</v>
      </c>
      <c r="R333" s="1" t="s">
        <v>102</v>
      </c>
      <c r="S333" s="1" t="s">
        <v>562</v>
      </c>
      <c r="T333" s="1" t="s">
        <v>563</v>
      </c>
      <c r="U333" s="1">
        <v>1</v>
      </c>
      <c r="V333" s="1" t="s">
        <v>101</v>
      </c>
      <c r="W333" s="1" t="s">
        <v>2074</v>
      </c>
      <c r="X333" s="1" t="s">
        <v>153</v>
      </c>
      <c r="Y333" s="10">
        <v>44127</v>
      </c>
      <c r="Z333" s="1">
        <v>2020</v>
      </c>
      <c r="AA333" s="2">
        <v>249769</v>
      </c>
      <c r="AB333" s="2"/>
      <c r="AC333" s="2">
        <v>187326.75</v>
      </c>
      <c r="AF333" s="1">
        <v>15</v>
      </c>
      <c r="AG333" s="1" t="s">
        <v>56</v>
      </c>
      <c r="AH333" s="1" t="s">
        <v>154</v>
      </c>
      <c r="AI333" s="2">
        <v>186235.84</v>
      </c>
      <c r="AK333" s="1" t="s">
        <v>2075</v>
      </c>
      <c r="AL333" s="1" t="s">
        <v>1744</v>
      </c>
    </row>
    <row r="334" spans="1:38" ht="14.45" customHeight="1" x14ac:dyDescent="0.2">
      <c r="A334" s="1" t="s">
        <v>57</v>
      </c>
      <c r="B334" s="9" t="s">
        <v>38</v>
      </c>
      <c r="C334" s="1" t="s">
        <v>58</v>
      </c>
      <c r="D334" s="1" t="s">
        <v>146</v>
      </c>
      <c r="E334" s="1" t="s">
        <v>42</v>
      </c>
      <c r="G334" s="1" t="s">
        <v>147</v>
      </c>
      <c r="H334" s="1" t="s">
        <v>148</v>
      </c>
      <c r="I334" s="1" t="s">
        <v>2076</v>
      </c>
      <c r="J334" s="1">
        <v>2020</v>
      </c>
      <c r="K334" s="1" t="s">
        <v>2077</v>
      </c>
      <c r="L334" s="1" t="s">
        <v>2078</v>
      </c>
      <c r="P334" s="1" t="s">
        <v>2073</v>
      </c>
      <c r="Q334" s="1" t="s">
        <v>101</v>
      </c>
      <c r="R334" s="1" t="s">
        <v>102</v>
      </c>
      <c r="S334" s="1" t="s">
        <v>562</v>
      </c>
      <c r="T334" s="1" t="s">
        <v>563</v>
      </c>
      <c r="U334" s="1">
        <v>1</v>
      </c>
      <c r="V334" s="1" t="s">
        <v>101</v>
      </c>
      <c r="W334" s="1" t="s">
        <v>2079</v>
      </c>
      <c r="X334" s="1" t="s">
        <v>153</v>
      </c>
      <c r="Y334" s="10">
        <v>44127</v>
      </c>
      <c r="Z334" s="1">
        <v>2020</v>
      </c>
      <c r="AA334" s="2">
        <v>199988</v>
      </c>
      <c r="AB334" s="2"/>
      <c r="AC334" s="2">
        <v>149991</v>
      </c>
      <c r="AF334" s="1">
        <v>15</v>
      </c>
      <c r="AG334" s="1" t="s">
        <v>56</v>
      </c>
      <c r="AH334" s="1" t="s">
        <v>154</v>
      </c>
      <c r="AI334" s="2">
        <v>149991</v>
      </c>
      <c r="AK334" s="1" t="s">
        <v>301</v>
      </c>
      <c r="AL334" s="1" t="s">
        <v>2080</v>
      </c>
    </row>
    <row r="335" spans="1:38" ht="14.45" customHeight="1" x14ac:dyDescent="0.2">
      <c r="A335" s="1" t="s">
        <v>57</v>
      </c>
      <c r="B335" s="9" t="s">
        <v>38</v>
      </c>
      <c r="C335" s="1" t="s">
        <v>58</v>
      </c>
      <c r="D335" s="1" t="s">
        <v>146</v>
      </c>
      <c r="E335" s="1" t="s">
        <v>42</v>
      </c>
      <c r="G335" s="1" t="s">
        <v>147</v>
      </c>
      <c r="H335" s="1" t="s">
        <v>148</v>
      </c>
      <c r="I335" s="1" t="s">
        <v>2081</v>
      </c>
      <c r="J335" s="1">
        <v>2020</v>
      </c>
      <c r="K335" s="1" t="s">
        <v>2082</v>
      </c>
      <c r="L335" s="1" t="s">
        <v>2083</v>
      </c>
      <c r="P335" s="1" t="s">
        <v>2084</v>
      </c>
      <c r="Q335" s="1" t="s">
        <v>101</v>
      </c>
      <c r="R335" s="1" t="s">
        <v>102</v>
      </c>
      <c r="S335" s="1" t="s">
        <v>103</v>
      </c>
      <c r="T335" s="1" t="s">
        <v>104</v>
      </c>
      <c r="U335" s="1">
        <v>1</v>
      </c>
      <c r="V335" s="1" t="s">
        <v>101</v>
      </c>
      <c r="W335" s="1" t="s">
        <v>2085</v>
      </c>
      <c r="X335" s="1" t="s">
        <v>321</v>
      </c>
      <c r="Y335" s="10">
        <v>44127</v>
      </c>
      <c r="Z335" s="1">
        <v>2020</v>
      </c>
      <c r="AA335" s="2">
        <v>5386700.1699999999</v>
      </c>
      <c r="AB335" s="2"/>
      <c r="AC335" s="2">
        <v>4040025.1274999999</v>
      </c>
      <c r="AD335" s="1">
        <v>24</v>
      </c>
      <c r="AF335" s="1">
        <v>0</v>
      </c>
      <c r="AG335" s="1" t="s">
        <v>56</v>
      </c>
      <c r="AH335" s="1" t="s">
        <v>1458</v>
      </c>
      <c r="AI335" s="2">
        <v>4040025.1274999999</v>
      </c>
      <c r="AK335" s="1" t="s">
        <v>301</v>
      </c>
      <c r="AL335" s="1" t="s">
        <v>2046</v>
      </c>
    </row>
    <row r="336" spans="1:38" ht="14.45" customHeight="1" x14ac:dyDescent="0.2">
      <c r="A336" s="1" t="s">
        <v>57</v>
      </c>
      <c r="B336" s="9" t="s">
        <v>38</v>
      </c>
      <c r="C336" s="1" t="s">
        <v>58</v>
      </c>
      <c r="D336" s="1" t="s">
        <v>59</v>
      </c>
      <c r="E336" s="1" t="s">
        <v>42</v>
      </c>
      <c r="G336" s="1" t="s">
        <v>122</v>
      </c>
      <c r="H336" s="1" t="s">
        <v>61</v>
      </c>
      <c r="I336" s="1" t="s">
        <v>2086</v>
      </c>
      <c r="J336" s="1">
        <v>2023</v>
      </c>
      <c r="K336" s="1" t="s">
        <v>2087</v>
      </c>
      <c r="L336" s="1" t="s">
        <v>2088</v>
      </c>
      <c r="N336" s="1" t="s">
        <v>2089</v>
      </c>
      <c r="P336" s="1" t="s">
        <v>119</v>
      </c>
      <c r="Q336" s="1" t="s">
        <v>110</v>
      </c>
      <c r="R336" s="1" t="s">
        <v>111</v>
      </c>
      <c r="S336" s="1" t="s">
        <v>120</v>
      </c>
      <c r="T336" s="1" t="s">
        <v>121</v>
      </c>
      <c r="V336" s="1" t="s">
        <v>114</v>
      </c>
      <c r="W336" s="1" t="s">
        <v>2090</v>
      </c>
      <c r="Y336" s="10">
        <v>45478</v>
      </c>
      <c r="Z336" s="1">
        <v>2024</v>
      </c>
      <c r="AA336" s="2">
        <v>177842.26</v>
      </c>
      <c r="AB336" s="2"/>
      <c r="AC336" s="2">
        <v>88921.13</v>
      </c>
      <c r="AD336" s="1">
        <v>1.6</v>
      </c>
      <c r="AE336" s="1">
        <v>1.6</v>
      </c>
      <c r="AG336" s="1" t="s">
        <v>56</v>
      </c>
      <c r="AI336" s="2">
        <v>88921.13</v>
      </c>
    </row>
    <row r="337" spans="1:38" ht="14.45" customHeight="1" x14ac:dyDescent="0.2">
      <c r="A337" s="1" t="s">
        <v>57</v>
      </c>
      <c r="B337" s="9" t="s">
        <v>38</v>
      </c>
      <c r="C337" s="1" t="s">
        <v>58</v>
      </c>
      <c r="D337" s="1" t="s">
        <v>146</v>
      </c>
      <c r="E337" s="1" t="s">
        <v>42</v>
      </c>
      <c r="G337" s="1" t="s">
        <v>147</v>
      </c>
      <c r="H337" s="1" t="s">
        <v>148</v>
      </c>
      <c r="I337" s="1" t="s">
        <v>2091</v>
      </c>
      <c r="J337" s="1">
        <v>2020</v>
      </c>
      <c r="K337" s="1" t="s">
        <v>2092</v>
      </c>
      <c r="L337" s="1" t="s">
        <v>2093</v>
      </c>
      <c r="P337" s="1" t="s">
        <v>1812</v>
      </c>
      <c r="Q337" s="1" t="s">
        <v>101</v>
      </c>
      <c r="R337" s="1" t="s">
        <v>102</v>
      </c>
      <c r="S337" s="1" t="s">
        <v>523</v>
      </c>
      <c r="T337" s="1" t="s">
        <v>524</v>
      </c>
      <c r="U337" s="1">
        <v>1</v>
      </c>
      <c r="V337" s="1" t="s">
        <v>101</v>
      </c>
      <c r="W337" s="1" t="s">
        <v>2094</v>
      </c>
      <c r="X337" s="1" t="s">
        <v>153</v>
      </c>
      <c r="Y337" s="10">
        <v>44127</v>
      </c>
      <c r="Z337" s="1">
        <v>2020</v>
      </c>
      <c r="AA337" s="2">
        <v>53487</v>
      </c>
      <c r="AB337" s="2"/>
      <c r="AC337" s="2">
        <v>40115.25</v>
      </c>
      <c r="AD337" s="1">
        <v>0</v>
      </c>
      <c r="AF337" s="1">
        <v>0</v>
      </c>
      <c r="AG337" s="1" t="s">
        <v>56</v>
      </c>
      <c r="AH337" s="1" t="s">
        <v>154</v>
      </c>
      <c r="AI337" s="2">
        <v>40115.25</v>
      </c>
      <c r="AL337" s="1" t="s">
        <v>2095</v>
      </c>
    </row>
    <row r="338" spans="1:38" ht="14.45" customHeight="1" x14ac:dyDescent="0.2">
      <c r="A338" s="1" t="s">
        <v>57</v>
      </c>
      <c r="B338" s="9" t="s">
        <v>38</v>
      </c>
      <c r="C338" s="1" t="s">
        <v>58</v>
      </c>
      <c r="D338" s="1" t="s">
        <v>146</v>
      </c>
      <c r="E338" s="1" t="s">
        <v>42</v>
      </c>
      <c r="G338" s="1" t="s">
        <v>147</v>
      </c>
      <c r="H338" s="1" t="s">
        <v>148</v>
      </c>
      <c r="I338" s="1" t="s">
        <v>2096</v>
      </c>
      <c r="J338" s="1">
        <v>2020</v>
      </c>
      <c r="K338" s="1" t="s">
        <v>2097</v>
      </c>
      <c r="L338" s="1" t="s">
        <v>2098</v>
      </c>
      <c r="P338" s="1" t="s">
        <v>2099</v>
      </c>
      <c r="Q338" s="1" t="s">
        <v>101</v>
      </c>
      <c r="R338" s="1" t="s">
        <v>339</v>
      </c>
      <c r="S338" s="1" t="s">
        <v>340</v>
      </c>
      <c r="T338" s="1" t="s">
        <v>341</v>
      </c>
      <c r="U338" s="1">
        <v>1</v>
      </c>
      <c r="V338" s="1" t="s">
        <v>80</v>
      </c>
      <c r="W338" s="1" t="s">
        <v>2098</v>
      </c>
      <c r="X338" s="1" t="s">
        <v>138</v>
      </c>
      <c r="Y338" s="10">
        <v>44127</v>
      </c>
      <c r="Z338" s="1">
        <v>2020</v>
      </c>
      <c r="AA338" s="2">
        <v>5317116</v>
      </c>
      <c r="AB338" s="2"/>
      <c r="AC338" s="2">
        <v>3987837</v>
      </c>
      <c r="AD338" s="1">
        <v>0</v>
      </c>
      <c r="AF338" s="1">
        <v>30</v>
      </c>
      <c r="AG338" s="1" t="s">
        <v>56</v>
      </c>
      <c r="AH338" s="1" t="s">
        <v>154</v>
      </c>
      <c r="AI338" s="2">
        <v>3987837</v>
      </c>
      <c r="AK338" s="1" t="s">
        <v>600</v>
      </c>
      <c r="AL338" s="1" t="s">
        <v>2100</v>
      </c>
    </row>
    <row r="339" spans="1:38" ht="14.45" customHeight="1" x14ac:dyDescent="0.2">
      <c r="A339" s="1" t="s">
        <v>57</v>
      </c>
      <c r="B339" s="9" t="s">
        <v>38</v>
      </c>
      <c r="C339" s="1" t="s">
        <v>58</v>
      </c>
      <c r="D339" s="1" t="s">
        <v>146</v>
      </c>
      <c r="E339" s="1" t="s">
        <v>42</v>
      </c>
      <c r="G339" s="1" t="s">
        <v>147</v>
      </c>
      <c r="H339" s="1" t="s">
        <v>148</v>
      </c>
      <c r="I339" s="1" t="s">
        <v>2101</v>
      </c>
      <c r="J339" s="1">
        <v>2020</v>
      </c>
      <c r="K339" s="1" t="s">
        <v>2102</v>
      </c>
      <c r="L339" s="1" t="s">
        <v>2103</v>
      </c>
      <c r="P339" s="1" t="s">
        <v>2104</v>
      </c>
      <c r="Q339" s="1" t="s">
        <v>101</v>
      </c>
      <c r="R339" s="1" t="s">
        <v>102</v>
      </c>
      <c r="S339" s="1" t="s">
        <v>2105</v>
      </c>
      <c r="T339" s="1" t="s">
        <v>2106</v>
      </c>
      <c r="U339" s="1">
        <v>1</v>
      </c>
      <c r="V339" s="1" t="s">
        <v>101</v>
      </c>
      <c r="W339" s="1" t="s">
        <v>2107</v>
      </c>
      <c r="X339" s="1" t="s">
        <v>153</v>
      </c>
      <c r="Y339" s="10">
        <v>44127</v>
      </c>
      <c r="Z339" s="1">
        <v>2020</v>
      </c>
      <c r="AA339" s="2">
        <v>199700.7</v>
      </c>
      <c r="AB339" s="2"/>
      <c r="AC339" s="2">
        <v>149775.52500000002</v>
      </c>
      <c r="AD339" s="1">
        <v>4</v>
      </c>
      <c r="AG339" s="1" t="s">
        <v>56</v>
      </c>
      <c r="AH339" s="1" t="s">
        <v>154</v>
      </c>
      <c r="AI339" s="2">
        <v>148961.57</v>
      </c>
      <c r="AK339" s="1" t="s">
        <v>2108</v>
      </c>
    </row>
    <row r="340" spans="1:38" ht="14.45" customHeight="1" x14ac:dyDescent="0.2">
      <c r="A340" s="1" t="s">
        <v>57</v>
      </c>
      <c r="B340" s="9" t="s">
        <v>38</v>
      </c>
      <c r="C340" s="1" t="s">
        <v>58</v>
      </c>
      <c r="D340" s="1" t="s">
        <v>59</v>
      </c>
      <c r="E340" s="1" t="s">
        <v>42</v>
      </c>
      <c r="G340" s="1" t="s">
        <v>122</v>
      </c>
      <c r="H340" s="1" t="s">
        <v>1893</v>
      </c>
      <c r="I340" s="1" t="s">
        <v>2109</v>
      </c>
      <c r="J340" s="1">
        <v>2023</v>
      </c>
      <c r="K340" s="1" t="s">
        <v>2110</v>
      </c>
      <c r="L340" s="1" t="s">
        <v>2111</v>
      </c>
      <c r="M340" s="1" t="s">
        <v>2112</v>
      </c>
      <c r="N340" s="1" t="s">
        <v>2113</v>
      </c>
      <c r="P340" s="1" t="s">
        <v>2114</v>
      </c>
      <c r="Q340" s="1" t="s">
        <v>50</v>
      </c>
      <c r="R340" s="1" t="s">
        <v>68</v>
      </c>
      <c r="S340" s="1" t="s">
        <v>692</v>
      </c>
      <c r="T340" s="1" t="s">
        <v>693</v>
      </c>
      <c r="U340" s="1">
        <v>2</v>
      </c>
      <c r="V340" s="1" t="s">
        <v>71</v>
      </c>
      <c r="W340" s="1" t="s">
        <v>2110</v>
      </c>
      <c r="Y340" s="10">
        <v>45478</v>
      </c>
      <c r="Z340" s="1">
        <v>2024</v>
      </c>
      <c r="AA340" s="2">
        <v>228878.99</v>
      </c>
      <c r="AB340" s="2"/>
      <c r="AC340" s="2">
        <v>87219.75</v>
      </c>
      <c r="AD340" s="1">
        <v>1</v>
      </c>
      <c r="AG340" s="1" t="s">
        <v>56</v>
      </c>
      <c r="AI340" s="2">
        <v>87219.75</v>
      </c>
    </row>
    <row r="341" spans="1:38" ht="14.45" customHeight="1" x14ac:dyDescent="0.2">
      <c r="A341" s="1" t="s">
        <v>57</v>
      </c>
      <c r="B341" s="9" t="s">
        <v>38</v>
      </c>
      <c r="C341" s="1" t="s">
        <v>58</v>
      </c>
      <c r="D341" s="1" t="s">
        <v>146</v>
      </c>
      <c r="E341" s="1" t="s">
        <v>42</v>
      </c>
      <c r="G341" s="1" t="s">
        <v>147</v>
      </c>
      <c r="H341" s="1" t="s">
        <v>148</v>
      </c>
      <c r="I341" s="1" t="s">
        <v>2115</v>
      </c>
      <c r="J341" s="1">
        <v>2020</v>
      </c>
      <c r="K341" s="1" t="s">
        <v>2116</v>
      </c>
      <c r="L341" s="1" t="s">
        <v>2117</v>
      </c>
      <c r="P341" s="1" t="s">
        <v>2050</v>
      </c>
      <c r="Q341" s="1" t="s">
        <v>101</v>
      </c>
      <c r="R341" s="1" t="s">
        <v>102</v>
      </c>
      <c r="S341" s="1" t="s">
        <v>1917</v>
      </c>
      <c r="T341" s="1" t="s">
        <v>1918</v>
      </c>
      <c r="U341" s="1">
        <v>1</v>
      </c>
      <c r="V341" s="1" t="s">
        <v>101</v>
      </c>
      <c r="W341" s="1" t="s">
        <v>2118</v>
      </c>
      <c r="X341" s="1" t="s">
        <v>153</v>
      </c>
      <c r="Y341" s="10">
        <v>44127</v>
      </c>
      <c r="Z341" s="1">
        <v>2020</v>
      </c>
      <c r="AA341" s="2">
        <v>37295</v>
      </c>
      <c r="AB341" s="2"/>
      <c r="AC341" s="2">
        <v>27971.25</v>
      </c>
      <c r="AD341" s="1">
        <v>0</v>
      </c>
      <c r="AF341" s="1">
        <v>0</v>
      </c>
      <c r="AG341" s="1" t="s">
        <v>56</v>
      </c>
      <c r="AH341" s="1" t="s">
        <v>154</v>
      </c>
      <c r="AI341" s="2">
        <v>23683.89</v>
      </c>
      <c r="AK341" s="1" t="s">
        <v>440</v>
      </c>
      <c r="AL341" s="1" t="s">
        <v>503</v>
      </c>
    </row>
    <row r="342" spans="1:38" ht="14.45" customHeight="1" x14ac:dyDescent="0.2">
      <c r="A342" s="1" t="s">
        <v>57</v>
      </c>
      <c r="B342" s="9" t="s">
        <v>38</v>
      </c>
      <c r="C342" s="1" t="s">
        <v>58</v>
      </c>
      <c r="D342" s="1" t="s">
        <v>146</v>
      </c>
      <c r="E342" s="1" t="s">
        <v>42</v>
      </c>
      <c r="G342" s="1" t="s">
        <v>147</v>
      </c>
      <c r="H342" s="1" t="s">
        <v>148</v>
      </c>
      <c r="I342" s="1" t="s">
        <v>2119</v>
      </c>
      <c r="J342" s="1">
        <v>2020</v>
      </c>
      <c r="K342" s="1" t="s">
        <v>2120</v>
      </c>
      <c r="L342" s="1" t="s">
        <v>2121</v>
      </c>
      <c r="P342" s="1" t="s">
        <v>2122</v>
      </c>
      <c r="Q342" s="1" t="s">
        <v>101</v>
      </c>
      <c r="R342" s="1" t="s">
        <v>102</v>
      </c>
      <c r="S342" s="1" t="s">
        <v>2123</v>
      </c>
      <c r="T342" s="1" t="s">
        <v>2124</v>
      </c>
      <c r="U342" s="1">
        <v>1</v>
      </c>
      <c r="V342" s="1" t="s">
        <v>101</v>
      </c>
      <c r="W342" s="1" t="s">
        <v>2125</v>
      </c>
      <c r="X342" s="1" t="s">
        <v>153</v>
      </c>
      <c r="Y342" s="10">
        <v>44127</v>
      </c>
      <c r="Z342" s="1">
        <v>2020</v>
      </c>
      <c r="AA342" s="2">
        <v>237978</v>
      </c>
      <c r="AB342" s="2"/>
      <c r="AC342" s="2">
        <v>178483.5</v>
      </c>
      <c r="AD342" s="1">
        <v>0</v>
      </c>
      <c r="AF342" s="1">
        <v>0</v>
      </c>
      <c r="AG342" s="1" t="s">
        <v>56</v>
      </c>
      <c r="AH342" s="1" t="s">
        <v>154</v>
      </c>
      <c r="AI342" s="2">
        <v>168781.79</v>
      </c>
      <c r="AK342" s="1" t="s">
        <v>301</v>
      </c>
      <c r="AL342" s="1" t="s">
        <v>503</v>
      </c>
    </row>
    <row r="343" spans="1:38" ht="12.6" customHeight="1" x14ac:dyDescent="0.2">
      <c r="A343" s="1" t="s">
        <v>57</v>
      </c>
      <c r="B343" s="9" t="s">
        <v>38</v>
      </c>
      <c r="C343" s="1" t="s">
        <v>58</v>
      </c>
      <c r="D343" s="1" t="s">
        <v>146</v>
      </c>
      <c r="E343" s="1" t="s">
        <v>42</v>
      </c>
      <c r="G343" s="1" t="s">
        <v>147</v>
      </c>
      <c r="H343" s="1" t="s">
        <v>148</v>
      </c>
      <c r="I343" s="1" t="s">
        <v>2126</v>
      </c>
      <c r="J343" s="1">
        <v>2020</v>
      </c>
      <c r="K343" s="1" t="s">
        <v>2127</v>
      </c>
      <c r="L343" s="1" t="s">
        <v>2128</v>
      </c>
      <c r="P343" s="1" t="s">
        <v>2129</v>
      </c>
      <c r="Q343" s="1" t="s">
        <v>101</v>
      </c>
      <c r="R343" s="1" t="s">
        <v>102</v>
      </c>
      <c r="S343" s="1" t="s">
        <v>637</v>
      </c>
      <c r="T343" s="1" t="s">
        <v>638</v>
      </c>
      <c r="U343" s="1">
        <v>1</v>
      </c>
      <c r="V343" s="1" t="s">
        <v>101</v>
      </c>
      <c r="W343" s="1" t="s">
        <v>2130</v>
      </c>
      <c r="X343" s="1" t="s">
        <v>153</v>
      </c>
      <c r="Y343" s="10">
        <v>44127</v>
      </c>
      <c r="Z343" s="1">
        <v>2020</v>
      </c>
      <c r="AA343" s="2">
        <v>249550</v>
      </c>
      <c r="AB343" s="2"/>
      <c r="AC343" s="2">
        <v>187162.5</v>
      </c>
      <c r="AD343" s="1">
        <v>0</v>
      </c>
      <c r="AF343" s="1">
        <v>0</v>
      </c>
      <c r="AG343" s="1" t="s">
        <v>56</v>
      </c>
      <c r="AH343" s="1" t="s">
        <v>154</v>
      </c>
      <c r="AI343" s="2">
        <v>185032.01</v>
      </c>
      <c r="AK343" s="1" t="s">
        <v>600</v>
      </c>
      <c r="AL343" s="1" t="s">
        <v>503</v>
      </c>
    </row>
    <row r="344" spans="1:38" ht="14.45" customHeight="1" x14ac:dyDescent="0.2">
      <c r="A344" s="1" t="s">
        <v>57</v>
      </c>
      <c r="B344" s="9" t="s">
        <v>38</v>
      </c>
      <c r="C344" s="1" t="s">
        <v>58</v>
      </c>
      <c r="D344" s="1" t="s">
        <v>59</v>
      </c>
      <c r="E344" s="1" t="s">
        <v>42</v>
      </c>
      <c r="G344" s="1" t="s">
        <v>122</v>
      </c>
      <c r="H344" s="1" t="s">
        <v>1893</v>
      </c>
      <c r="I344" s="1" t="s">
        <v>2131</v>
      </c>
      <c r="J344" s="1">
        <v>2023</v>
      </c>
      <c r="K344" s="1" t="s">
        <v>2132</v>
      </c>
      <c r="L344" s="1" t="s">
        <v>2133</v>
      </c>
      <c r="N344" s="1" t="s">
        <v>2134</v>
      </c>
      <c r="P344" s="1" t="s">
        <v>2135</v>
      </c>
      <c r="Q344" s="1" t="s">
        <v>101</v>
      </c>
      <c r="R344" s="1" t="s">
        <v>102</v>
      </c>
      <c r="S344" s="1" t="s">
        <v>562</v>
      </c>
      <c r="T344" s="1" t="s">
        <v>563</v>
      </c>
      <c r="U344" s="1">
        <v>1</v>
      </c>
      <c r="V344" s="1" t="s">
        <v>101</v>
      </c>
      <c r="W344" s="1" t="s">
        <v>2132</v>
      </c>
      <c r="Y344" s="10">
        <v>45478</v>
      </c>
      <c r="Z344" s="1">
        <v>2024</v>
      </c>
      <c r="AA344" s="2">
        <v>81937.94</v>
      </c>
      <c r="AB344" s="2"/>
      <c r="AC344" s="2">
        <v>20484.490000000002</v>
      </c>
      <c r="AD344" s="1">
        <v>0</v>
      </c>
      <c r="AG344" s="1" t="s">
        <v>56</v>
      </c>
      <c r="AI344" s="2">
        <v>20484.490000000002</v>
      </c>
    </row>
    <row r="345" spans="1:38" ht="12.6" customHeight="1" x14ac:dyDescent="0.2">
      <c r="A345" s="1" t="s">
        <v>57</v>
      </c>
      <c r="B345" s="9" t="s">
        <v>38</v>
      </c>
      <c r="C345" s="1" t="s">
        <v>58</v>
      </c>
      <c r="D345" s="1" t="s">
        <v>146</v>
      </c>
      <c r="E345" s="1" t="s">
        <v>42</v>
      </c>
      <c r="G345" s="1" t="s">
        <v>147</v>
      </c>
      <c r="H345" s="1" t="s">
        <v>148</v>
      </c>
      <c r="I345" s="1" t="s">
        <v>2136</v>
      </c>
      <c r="J345" s="1">
        <v>2020</v>
      </c>
      <c r="K345" s="1" t="s">
        <v>2137</v>
      </c>
      <c r="L345" s="1" t="s">
        <v>2138</v>
      </c>
      <c r="P345" s="1" t="s">
        <v>2129</v>
      </c>
      <c r="Q345" s="1" t="s">
        <v>101</v>
      </c>
      <c r="R345" s="1" t="s">
        <v>102</v>
      </c>
      <c r="S345" s="1" t="s">
        <v>637</v>
      </c>
      <c r="T345" s="1" t="s">
        <v>638</v>
      </c>
      <c r="U345" s="1">
        <v>1</v>
      </c>
      <c r="V345" s="1" t="s">
        <v>101</v>
      </c>
      <c r="W345" s="1" t="s">
        <v>2139</v>
      </c>
      <c r="X345" s="1" t="s">
        <v>321</v>
      </c>
      <c r="Y345" s="10">
        <v>44127</v>
      </c>
      <c r="Z345" s="1">
        <v>2020</v>
      </c>
      <c r="AA345" s="2">
        <v>231916.12</v>
      </c>
      <c r="AB345" s="2"/>
      <c r="AC345" s="2">
        <v>173937.09</v>
      </c>
      <c r="AD345" s="1">
        <v>0</v>
      </c>
      <c r="AF345" s="1">
        <v>2</v>
      </c>
      <c r="AG345" s="1" t="s">
        <v>56</v>
      </c>
      <c r="AH345" s="1" t="s">
        <v>1458</v>
      </c>
      <c r="AI345" s="2">
        <v>173937.09</v>
      </c>
      <c r="AK345" s="1" t="s">
        <v>440</v>
      </c>
      <c r="AL345" s="1" t="s">
        <v>2046</v>
      </c>
    </row>
    <row r="346" spans="1:38" ht="14.45" customHeight="1" x14ac:dyDescent="0.2">
      <c r="A346" s="1" t="s">
        <v>57</v>
      </c>
      <c r="B346" s="9" t="s">
        <v>38</v>
      </c>
      <c r="C346" s="1" t="s">
        <v>58</v>
      </c>
      <c r="D346" s="1" t="s">
        <v>146</v>
      </c>
      <c r="E346" s="1" t="s">
        <v>42</v>
      </c>
      <c r="G346" s="1" t="s">
        <v>147</v>
      </c>
      <c r="H346" s="1" t="s">
        <v>148</v>
      </c>
      <c r="I346" s="1" t="s">
        <v>2140</v>
      </c>
      <c r="J346" s="1">
        <v>2020</v>
      </c>
      <c r="K346" s="1" t="s">
        <v>2141</v>
      </c>
      <c r="L346" s="1" t="s">
        <v>2142</v>
      </c>
      <c r="P346" s="1" t="s">
        <v>2073</v>
      </c>
      <c r="Q346" s="1" t="s">
        <v>101</v>
      </c>
      <c r="R346" s="1" t="s">
        <v>102</v>
      </c>
      <c r="S346" s="1" t="s">
        <v>562</v>
      </c>
      <c r="T346" s="1" t="s">
        <v>563</v>
      </c>
      <c r="U346" s="1">
        <v>1</v>
      </c>
      <c r="V346" s="1" t="s">
        <v>101</v>
      </c>
      <c r="W346" s="1" t="s">
        <v>2143</v>
      </c>
      <c r="X346" s="1" t="s">
        <v>153</v>
      </c>
      <c r="Y346" s="10">
        <v>44127</v>
      </c>
      <c r="Z346" s="1">
        <v>2020</v>
      </c>
      <c r="AA346" s="2">
        <v>393361</v>
      </c>
      <c r="AB346" s="2"/>
      <c r="AC346" s="2">
        <v>295020.75</v>
      </c>
      <c r="AD346" s="1">
        <v>18</v>
      </c>
      <c r="AF346" s="1">
        <v>0</v>
      </c>
      <c r="AG346" s="1" t="s">
        <v>56</v>
      </c>
      <c r="AH346" s="1" t="s">
        <v>154</v>
      </c>
      <c r="AI346" s="2">
        <v>201775.79</v>
      </c>
      <c r="AK346" s="1" t="s">
        <v>301</v>
      </c>
      <c r="AL346" s="1" t="s">
        <v>2144</v>
      </c>
    </row>
    <row r="347" spans="1:38" ht="14.45" customHeight="1" x14ac:dyDescent="0.2">
      <c r="A347" s="1" t="s">
        <v>57</v>
      </c>
      <c r="B347" s="9" t="s">
        <v>38</v>
      </c>
      <c r="C347" s="1" t="s">
        <v>58</v>
      </c>
      <c r="D347" s="1" t="s">
        <v>1409</v>
      </c>
      <c r="E347" s="1" t="s">
        <v>42</v>
      </c>
      <c r="F347" s="1" t="s">
        <v>2145</v>
      </c>
      <c r="G347" s="1" t="s">
        <v>2146</v>
      </c>
      <c r="H347" s="1" t="s">
        <v>2147</v>
      </c>
      <c r="I347" s="1" t="s">
        <v>2148</v>
      </c>
      <c r="J347" s="1">
        <v>2021</v>
      </c>
      <c r="K347" s="1" t="s">
        <v>2149</v>
      </c>
      <c r="L347" s="1" t="s">
        <v>2149</v>
      </c>
      <c r="M347" s="1" t="s">
        <v>2150</v>
      </c>
      <c r="P347" s="1" t="s">
        <v>2151</v>
      </c>
      <c r="Q347" s="1" t="s">
        <v>50</v>
      </c>
      <c r="R347" s="1" t="s">
        <v>68</v>
      </c>
      <c r="S347" s="1" t="s">
        <v>1360</v>
      </c>
      <c r="T347" s="1" t="s">
        <v>1361</v>
      </c>
      <c r="U347" s="1">
        <v>1</v>
      </c>
      <c r="V347" s="1" t="s">
        <v>71</v>
      </c>
      <c r="W347" s="1" t="s">
        <v>2152</v>
      </c>
      <c r="Y347" s="10">
        <v>44363</v>
      </c>
      <c r="Z347" s="1">
        <v>2021</v>
      </c>
      <c r="AA347" s="2">
        <v>1050038.3899999999</v>
      </c>
      <c r="AB347" s="2"/>
      <c r="AC347" s="2">
        <v>1050038.3899999999</v>
      </c>
      <c r="AG347" s="1" t="s">
        <v>2153</v>
      </c>
      <c r="AI347" s="2">
        <v>1050038.3899999999</v>
      </c>
      <c r="AJ347" s="2">
        <v>4.8899999999999997</v>
      </c>
      <c r="AL347" s="1" t="s">
        <v>2154</v>
      </c>
    </row>
    <row r="348" spans="1:38" ht="14.45" customHeight="1" x14ac:dyDescent="0.2">
      <c r="A348" s="1" t="s">
        <v>57</v>
      </c>
      <c r="B348" s="9" t="s">
        <v>38</v>
      </c>
      <c r="C348" s="1" t="s">
        <v>58</v>
      </c>
      <c r="D348" s="1" t="s">
        <v>146</v>
      </c>
      <c r="E348" s="1" t="s">
        <v>42</v>
      </c>
      <c r="G348" s="1" t="s">
        <v>147</v>
      </c>
      <c r="H348" s="1" t="s">
        <v>2155</v>
      </c>
      <c r="I348" s="1" t="s">
        <v>2156</v>
      </c>
      <c r="J348" s="1">
        <v>2020</v>
      </c>
      <c r="K348" s="1" t="s">
        <v>2157</v>
      </c>
      <c r="L348" s="1" t="s">
        <v>2158</v>
      </c>
      <c r="P348" s="1" t="s">
        <v>1711</v>
      </c>
      <c r="Q348" s="1" t="s">
        <v>264</v>
      </c>
      <c r="R348" s="1" t="s">
        <v>265</v>
      </c>
      <c r="S348" s="1" t="s">
        <v>315</v>
      </c>
      <c r="T348" s="1" t="s">
        <v>316</v>
      </c>
      <c r="U348" s="1">
        <v>1</v>
      </c>
      <c r="V348" s="1" t="s">
        <v>268</v>
      </c>
      <c r="W348" s="1" t="s">
        <v>2157</v>
      </c>
      <c r="X348" s="1" t="s">
        <v>153</v>
      </c>
      <c r="Y348" s="10">
        <v>44127</v>
      </c>
      <c r="Z348" s="1">
        <v>2020</v>
      </c>
      <c r="AA348" s="2">
        <v>5581159.4400000004</v>
      </c>
      <c r="AB348" s="2"/>
      <c r="AC348" s="2">
        <v>4185869.58</v>
      </c>
      <c r="AD348" s="1">
        <v>0</v>
      </c>
      <c r="AF348" s="1" t="s">
        <v>1768</v>
      </c>
      <c r="AG348" s="1" t="s">
        <v>56</v>
      </c>
      <c r="AH348" s="1" t="s">
        <v>1458</v>
      </c>
      <c r="AI348" s="2">
        <v>4185869.58</v>
      </c>
      <c r="AL348" s="1" t="s">
        <v>2159</v>
      </c>
    </row>
    <row r="349" spans="1:38" ht="14.45" customHeight="1" x14ac:dyDescent="0.2">
      <c r="A349" s="1" t="s">
        <v>57</v>
      </c>
      <c r="B349" s="9" t="s">
        <v>38</v>
      </c>
      <c r="C349" s="1" t="s">
        <v>58</v>
      </c>
      <c r="D349" s="1" t="s">
        <v>59</v>
      </c>
      <c r="E349" s="1" t="s">
        <v>42</v>
      </c>
      <c r="G349" s="1" t="s">
        <v>122</v>
      </c>
      <c r="H349" s="1" t="s">
        <v>61</v>
      </c>
      <c r="I349" s="1" t="s">
        <v>2160</v>
      </c>
      <c r="J349" s="1">
        <v>2023</v>
      </c>
      <c r="K349" s="1" t="s">
        <v>2161</v>
      </c>
      <c r="L349" s="1" t="s">
        <v>2162</v>
      </c>
      <c r="N349" s="1" t="s">
        <v>2163</v>
      </c>
      <c r="P349" s="1" t="s">
        <v>2164</v>
      </c>
      <c r="Q349" s="1" t="s">
        <v>1149</v>
      </c>
      <c r="R349" s="1" t="s">
        <v>1150</v>
      </c>
      <c r="S349" s="1" t="s">
        <v>1218</v>
      </c>
      <c r="T349" s="1" t="s">
        <v>1219</v>
      </c>
      <c r="V349" s="1" t="s">
        <v>1153</v>
      </c>
      <c r="W349" s="1" t="s">
        <v>2161</v>
      </c>
      <c r="Y349" s="10">
        <v>45478</v>
      </c>
      <c r="Z349" s="1">
        <v>2024</v>
      </c>
      <c r="AA349" s="2">
        <v>199873.95</v>
      </c>
      <c r="AB349" s="2"/>
      <c r="AC349" s="2">
        <v>99936.98</v>
      </c>
      <c r="AD349" s="1">
        <v>4</v>
      </c>
      <c r="AE349" s="1">
        <v>1</v>
      </c>
      <c r="AG349" s="1" t="s">
        <v>56</v>
      </c>
      <c r="AI349" s="2">
        <v>99936.98</v>
      </c>
    </row>
    <row r="350" spans="1:38" ht="14.45" customHeight="1" x14ac:dyDescent="0.2">
      <c r="A350" s="1" t="s">
        <v>57</v>
      </c>
      <c r="B350" s="9" t="s">
        <v>38</v>
      </c>
      <c r="C350" s="1" t="s">
        <v>58</v>
      </c>
      <c r="D350" s="1" t="s">
        <v>146</v>
      </c>
      <c r="E350" s="1" t="s">
        <v>42</v>
      </c>
      <c r="G350" s="1" t="s">
        <v>147</v>
      </c>
      <c r="H350" s="1" t="s">
        <v>2155</v>
      </c>
      <c r="I350" s="1" t="s">
        <v>2165</v>
      </c>
      <c r="J350" s="1">
        <v>2020</v>
      </c>
      <c r="K350" s="1" t="s">
        <v>2166</v>
      </c>
      <c r="L350" s="1" t="s">
        <v>2167</v>
      </c>
      <c r="M350" s="1" t="s">
        <v>2168</v>
      </c>
      <c r="P350" s="1" t="s">
        <v>1782</v>
      </c>
      <c r="Q350" s="1" t="s">
        <v>264</v>
      </c>
      <c r="R350" s="1" t="s">
        <v>265</v>
      </c>
      <c r="S350" s="1" t="s">
        <v>1783</v>
      </c>
      <c r="T350" s="1" t="s">
        <v>1784</v>
      </c>
      <c r="U350" s="1">
        <v>1</v>
      </c>
      <c r="V350" s="1" t="s">
        <v>535</v>
      </c>
      <c r="W350" s="1" t="s">
        <v>2169</v>
      </c>
      <c r="X350" s="1" t="s">
        <v>153</v>
      </c>
      <c r="Y350" s="10">
        <v>44127</v>
      </c>
      <c r="Z350" s="1">
        <v>2020</v>
      </c>
      <c r="AA350" s="2">
        <v>1423907.35</v>
      </c>
      <c r="AB350" s="2"/>
      <c r="AC350" s="2">
        <v>1067930.5125000002</v>
      </c>
      <c r="AD350" s="1">
        <v>1</v>
      </c>
      <c r="AF350" s="1">
        <v>0</v>
      </c>
      <c r="AG350" s="1" t="s">
        <v>56</v>
      </c>
      <c r="AH350" s="1" t="s">
        <v>1458</v>
      </c>
      <c r="AI350" s="2">
        <v>1067930.5125000002</v>
      </c>
      <c r="AL350" s="1" t="s">
        <v>2170</v>
      </c>
    </row>
    <row r="351" spans="1:38" ht="12.6" customHeight="1" x14ac:dyDescent="0.2">
      <c r="A351" s="1" t="s">
        <v>57</v>
      </c>
      <c r="B351" s="9" t="s">
        <v>38</v>
      </c>
      <c r="C351" s="1" t="s">
        <v>58</v>
      </c>
      <c r="D351" s="1" t="s">
        <v>59</v>
      </c>
      <c r="E351" s="1" t="s">
        <v>42</v>
      </c>
      <c r="G351" s="1" t="s">
        <v>122</v>
      </c>
      <c r="H351" s="1" t="s">
        <v>61</v>
      </c>
      <c r="I351" s="1" t="s">
        <v>2171</v>
      </c>
      <c r="J351" s="1">
        <v>2023</v>
      </c>
      <c r="K351" s="1" t="s">
        <v>2172</v>
      </c>
      <c r="L351" s="1" t="s">
        <v>2173</v>
      </c>
      <c r="N351" s="1" t="s">
        <v>2174</v>
      </c>
      <c r="P351" s="1" t="s">
        <v>2175</v>
      </c>
      <c r="Q351" s="1" t="s">
        <v>101</v>
      </c>
      <c r="R351" s="1" t="s">
        <v>102</v>
      </c>
      <c r="S351" s="1" t="s">
        <v>1950</v>
      </c>
      <c r="T351" s="1" t="s">
        <v>1951</v>
      </c>
      <c r="V351" s="1" t="s">
        <v>101</v>
      </c>
      <c r="W351" s="1" t="s">
        <v>2172</v>
      </c>
      <c r="Y351" s="10">
        <v>45478</v>
      </c>
      <c r="Z351" s="1">
        <v>2024</v>
      </c>
      <c r="AA351" s="2">
        <v>124451.03</v>
      </c>
      <c r="AB351" s="2"/>
      <c r="AC351" s="2">
        <v>62225.52</v>
      </c>
      <c r="AD351" s="1">
        <v>2</v>
      </c>
      <c r="AE351" s="1">
        <v>1</v>
      </c>
      <c r="AG351" s="1" t="s">
        <v>56</v>
      </c>
      <c r="AI351" s="2">
        <v>62225.52</v>
      </c>
    </row>
    <row r="352" spans="1:38" ht="14.45" customHeight="1" x14ac:dyDescent="0.2">
      <c r="A352" s="1" t="s">
        <v>57</v>
      </c>
      <c r="B352" s="9" t="s">
        <v>38</v>
      </c>
      <c r="C352" s="1" t="s">
        <v>58</v>
      </c>
      <c r="D352" s="1" t="s">
        <v>146</v>
      </c>
      <c r="E352" s="1" t="s">
        <v>42</v>
      </c>
      <c r="G352" s="1" t="s">
        <v>147</v>
      </c>
      <c r="H352" s="1" t="s">
        <v>2155</v>
      </c>
      <c r="I352" s="1" t="s">
        <v>2176</v>
      </c>
      <c r="J352" s="1">
        <v>2020</v>
      </c>
      <c r="K352" s="1" t="s">
        <v>2177</v>
      </c>
      <c r="L352" s="1" t="s">
        <v>2178</v>
      </c>
      <c r="M352" s="1" t="s">
        <v>2179</v>
      </c>
      <c r="P352" s="1" t="s">
        <v>1715</v>
      </c>
      <c r="Q352" s="1" t="s">
        <v>264</v>
      </c>
      <c r="R352" s="1" t="s">
        <v>265</v>
      </c>
      <c r="S352" s="1" t="s">
        <v>542</v>
      </c>
      <c r="T352" s="1" t="s">
        <v>543</v>
      </c>
      <c r="U352" s="1">
        <v>1</v>
      </c>
      <c r="V352" s="1" t="s">
        <v>268</v>
      </c>
      <c r="W352" s="1" t="s">
        <v>2180</v>
      </c>
      <c r="X352" s="1" t="s">
        <v>153</v>
      </c>
      <c r="Y352" s="10">
        <v>44127</v>
      </c>
      <c r="Z352" s="1">
        <v>2020</v>
      </c>
      <c r="AA352" s="2">
        <v>3614424.88</v>
      </c>
      <c r="AB352" s="2"/>
      <c r="AC352" s="2">
        <v>2710818.66</v>
      </c>
      <c r="AD352" s="1">
        <v>0</v>
      </c>
      <c r="AF352" s="1">
        <v>0</v>
      </c>
      <c r="AG352" s="1" t="s">
        <v>56</v>
      </c>
      <c r="AH352" s="1" t="s">
        <v>1458</v>
      </c>
      <c r="AI352" s="2">
        <v>2710818.66</v>
      </c>
      <c r="AL352" s="1" t="s">
        <v>2046</v>
      </c>
    </row>
    <row r="353" spans="1:38" ht="14.45" customHeight="1" x14ac:dyDescent="0.2">
      <c r="A353" s="1" t="s">
        <v>57</v>
      </c>
      <c r="B353" s="9" t="s">
        <v>38</v>
      </c>
      <c r="C353" s="1" t="s">
        <v>58</v>
      </c>
      <c r="D353" s="1" t="s">
        <v>146</v>
      </c>
      <c r="E353" s="1" t="s">
        <v>42</v>
      </c>
      <c r="G353" s="1" t="s">
        <v>147</v>
      </c>
      <c r="H353" s="1" t="s">
        <v>2155</v>
      </c>
      <c r="I353" s="1" t="s">
        <v>2181</v>
      </c>
      <c r="J353" s="1">
        <v>2020</v>
      </c>
      <c r="K353" s="1" t="s">
        <v>2182</v>
      </c>
      <c r="L353" s="1" t="s">
        <v>2183</v>
      </c>
      <c r="M353" s="1" t="s">
        <v>2184</v>
      </c>
      <c r="P353" s="1" t="s">
        <v>1715</v>
      </c>
      <c r="Q353" s="1" t="s">
        <v>264</v>
      </c>
      <c r="R353" s="1" t="s">
        <v>265</v>
      </c>
      <c r="S353" s="1" t="s">
        <v>542</v>
      </c>
      <c r="T353" s="1" t="s">
        <v>543</v>
      </c>
      <c r="U353" s="1">
        <v>1</v>
      </c>
      <c r="V353" s="1" t="s">
        <v>268</v>
      </c>
      <c r="W353" s="1" t="s">
        <v>2185</v>
      </c>
      <c r="X353" s="1" t="s">
        <v>321</v>
      </c>
      <c r="Y353" s="10">
        <v>44127</v>
      </c>
      <c r="Z353" s="1">
        <v>2020</v>
      </c>
      <c r="AA353" s="2">
        <v>623854.24</v>
      </c>
      <c r="AB353" s="2"/>
      <c r="AC353" s="2">
        <v>467890.68</v>
      </c>
      <c r="AD353" s="1">
        <v>0</v>
      </c>
      <c r="AF353" s="1">
        <v>0</v>
      </c>
      <c r="AG353" s="1" t="s">
        <v>56</v>
      </c>
      <c r="AH353" s="1" t="s">
        <v>1458</v>
      </c>
      <c r="AI353" s="2">
        <v>467890.68</v>
      </c>
      <c r="AL353" s="1" t="s">
        <v>2046</v>
      </c>
    </row>
    <row r="354" spans="1:38" ht="14.45" customHeight="1" x14ac:dyDescent="0.2">
      <c r="A354" s="1" t="s">
        <v>57</v>
      </c>
      <c r="B354" s="9" t="s">
        <v>38</v>
      </c>
      <c r="C354" s="1" t="s">
        <v>58</v>
      </c>
      <c r="D354" s="1" t="s">
        <v>146</v>
      </c>
      <c r="E354" s="1" t="s">
        <v>42</v>
      </c>
      <c r="G354" s="1" t="s">
        <v>147</v>
      </c>
      <c r="H354" s="1" t="s">
        <v>2155</v>
      </c>
      <c r="I354" s="1" t="s">
        <v>2186</v>
      </c>
      <c r="J354" s="1">
        <v>2020</v>
      </c>
      <c r="K354" s="1" t="s">
        <v>2187</v>
      </c>
      <c r="L354" s="1" t="s">
        <v>2188</v>
      </c>
      <c r="P354" s="1" t="s">
        <v>2189</v>
      </c>
      <c r="Q354" s="1" t="s">
        <v>101</v>
      </c>
      <c r="R354" s="1" t="s">
        <v>102</v>
      </c>
      <c r="S354" s="1" t="s">
        <v>2190</v>
      </c>
      <c r="T354" s="1" t="s">
        <v>2191</v>
      </c>
      <c r="U354" s="1">
        <v>1</v>
      </c>
      <c r="V354" s="1" t="s">
        <v>101</v>
      </c>
      <c r="W354" s="1" t="s">
        <v>2192</v>
      </c>
      <c r="X354" s="1" t="s">
        <v>400</v>
      </c>
      <c r="Y354" s="10">
        <v>44127</v>
      </c>
      <c r="Z354" s="1">
        <v>2020</v>
      </c>
      <c r="AA354" s="2">
        <v>367830.15</v>
      </c>
      <c r="AB354" s="2"/>
      <c r="AC354" s="2">
        <v>275872.61250000005</v>
      </c>
      <c r="AD354" s="1">
        <v>12</v>
      </c>
      <c r="AF354" s="1">
        <v>12</v>
      </c>
      <c r="AG354" s="1" t="s">
        <v>56</v>
      </c>
      <c r="AH354" s="1" t="s">
        <v>154</v>
      </c>
      <c r="AI354" s="2">
        <v>208210.72</v>
      </c>
      <c r="AK354" s="1" t="s">
        <v>600</v>
      </c>
      <c r="AL354" s="1" t="s">
        <v>2046</v>
      </c>
    </row>
    <row r="355" spans="1:38" ht="14.45" customHeight="1" x14ac:dyDescent="0.2">
      <c r="A355" s="1" t="s">
        <v>57</v>
      </c>
      <c r="B355" s="9" t="s">
        <v>38</v>
      </c>
      <c r="C355" s="1" t="s">
        <v>58</v>
      </c>
      <c r="D355" s="1" t="s">
        <v>146</v>
      </c>
      <c r="E355" s="1" t="s">
        <v>42</v>
      </c>
      <c r="G355" s="1" t="s">
        <v>147</v>
      </c>
      <c r="H355" s="1" t="s">
        <v>2155</v>
      </c>
      <c r="I355" s="1" t="s">
        <v>2193</v>
      </c>
      <c r="J355" s="1">
        <v>2020</v>
      </c>
      <c r="K355" s="1" t="s">
        <v>2194</v>
      </c>
      <c r="L355" s="1" t="s">
        <v>2195</v>
      </c>
      <c r="P355" s="1" t="s">
        <v>2129</v>
      </c>
      <c r="Q355" s="1" t="s">
        <v>101</v>
      </c>
      <c r="R355" s="1" t="s">
        <v>102</v>
      </c>
      <c r="S355" s="1" t="s">
        <v>637</v>
      </c>
      <c r="T355" s="1" t="s">
        <v>638</v>
      </c>
      <c r="U355" s="1">
        <v>1</v>
      </c>
      <c r="V355" s="1" t="s">
        <v>101</v>
      </c>
      <c r="W355" s="1" t="s">
        <v>2196</v>
      </c>
      <c r="X355" s="1" t="s">
        <v>153</v>
      </c>
      <c r="Y355" s="10">
        <v>44127</v>
      </c>
      <c r="Z355" s="1">
        <v>2020</v>
      </c>
      <c r="AA355" s="2">
        <v>361789.58</v>
      </c>
      <c r="AB355" s="2"/>
      <c r="AC355" s="2">
        <v>271342.19</v>
      </c>
      <c r="AD355" s="1">
        <v>0</v>
      </c>
      <c r="AF355" s="1">
        <v>0</v>
      </c>
      <c r="AG355" s="1" t="s">
        <v>56</v>
      </c>
      <c r="AH355" s="1" t="s">
        <v>154</v>
      </c>
      <c r="AI355" s="2">
        <v>271342.19</v>
      </c>
      <c r="AK355" s="1" t="s">
        <v>600</v>
      </c>
      <c r="AL355" s="1" t="s">
        <v>2197</v>
      </c>
    </row>
    <row r="356" spans="1:38" ht="14.45" customHeight="1" x14ac:dyDescent="0.2">
      <c r="A356" s="1" t="s">
        <v>57</v>
      </c>
      <c r="B356" s="9" t="s">
        <v>38</v>
      </c>
      <c r="C356" s="1" t="s">
        <v>58</v>
      </c>
      <c r="D356" s="1" t="s">
        <v>146</v>
      </c>
      <c r="E356" s="1" t="s">
        <v>42</v>
      </c>
      <c r="G356" s="1" t="s">
        <v>147</v>
      </c>
      <c r="H356" s="1" t="s">
        <v>2155</v>
      </c>
      <c r="I356" s="1" t="s">
        <v>2198</v>
      </c>
      <c r="J356" s="1">
        <v>2020</v>
      </c>
      <c r="K356" s="1" t="s">
        <v>2199</v>
      </c>
      <c r="L356" s="1" t="s">
        <v>2200</v>
      </c>
      <c r="P356" s="1" t="s">
        <v>1812</v>
      </c>
      <c r="Q356" s="1" t="s">
        <v>101</v>
      </c>
      <c r="R356" s="1" t="s">
        <v>102</v>
      </c>
      <c r="S356" s="1" t="s">
        <v>523</v>
      </c>
      <c r="T356" s="1" t="s">
        <v>524</v>
      </c>
      <c r="U356" s="1">
        <v>1</v>
      </c>
      <c r="V356" s="1" t="s">
        <v>101</v>
      </c>
      <c r="W356" s="1" t="s">
        <v>2201</v>
      </c>
      <c r="X356" s="1" t="s">
        <v>138</v>
      </c>
      <c r="Y356" s="10">
        <v>44127</v>
      </c>
      <c r="Z356" s="1">
        <v>2020</v>
      </c>
      <c r="AA356" s="2">
        <v>1036918.0666666667</v>
      </c>
      <c r="AB356" s="2"/>
      <c r="AC356" s="2">
        <v>777688.55</v>
      </c>
      <c r="AD356" s="1">
        <v>0</v>
      </c>
      <c r="AF356" s="1">
        <v>5</v>
      </c>
      <c r="AG356" s="1" t="s">
        <v>56</v>
      </c>
      <c r="AH356" s="1" t="s">
        <v>154</v>
      </c>
      <c r="AI356" s="2">
        <f>VLOOKUP(Tabla354[[#This Row],[Ref. Proyecto]],[4]revITJ!$B$2:$BG$67,2,FALSE)</f>
        <v>659909.99</v>
      </c>
      <c r="AL356" s="1" t="s">
        <v>2202</v>
      </c>
    </row>
    <row r="357" spans="1:38" ht="14.45" customHeight="1" x14ac:dyDescent="0.2">
      <c r="A357" s="1" t="s">
        <v>57</v>
      </c>
      <c r="B357" s="9" t="s">
        <v>38</v>
      </c>
      <c r="C357" s="1" t="s">
        <v>58</v>
      </c>
      <c r="D357" s="1" t="s">
        <v>59</v>
      </c>
      <c r="E357" s="1" t="s">
        <v>42</v>
      </c>
      <c r="F357" s="1" t="s">
        <v>2203</v>
      </c>
      <c r="G357" s="1" t="s">
        <v>60</v>
      </c>
      <c r="H357" s="1" t="s">
        <v>166</v>
      </c>
      <c r="I357" s="1" t="s">
        <v>2204</v>
      </c>
      <c r="J357" s="1">
        <v>2023</v>
      </c>
      <c r="K357" s="1" t="s">
        <v>2205</v>
      </c>
      <c r="L357" s="1" t="s">
        <v>2205</v>
      </c>
      <c r="M357" s="1" t="s">
        <v>2206</v>
      </c>
      <c r="P357" s="1" t="s">
        <v>2207</v>
      </c>
      <c r="Q357" s="1" t="s">
        <v>264</v>
      </c>
      <c r="R357" s="1" t="str">
        <f>VLOOKUP(Tabla354[[#This Row],[COD_INE]],[1]CON_INE_2024!$A$5:$K$353,5,FALSE)</f>
        <v>Asturias</v>
      </c>
      <c r="S357" s="1" t="s">
        <v>275</v>
      </c>
      <c r="T357" s="1" t="s">
        <v>276</v>
      </c>
      <c r="U357" s="1">
        <v>2</v>
      </c>
      <c r="V357" s="1" t="s">
        <v>80</v>
      </c>
      <c r="W357" s="1" t="s">
        <v>2208</v>
      </c>
      <c r="Y357" s="10">
        <v>45802</v>
      </c>
      <c r="Z357" s="1">
        <v>2025</v>
      </c>
      <c r="AA357" s="2">
        <v>5759779.3300000001</v>
      </c>
      <c r="AB357" s="2"/>
      <c r="AC357" s="2">
        <v>1439944.83</v>
      </c>
      <c r="AD357" s="26">
        <v>25</v>
      </c>
      <c r="AE357" s="1">
        <v>2</v>
      </c>
      <c r="AG357" s="1" t="s">
        <v>56</v>
      </c>
      <c r="AI357" s="2">
        <v>1439944.83</v>
      </c>
    </row>
    <row r="358" spans="1:38" ht="14.45" customHeight="1" x14ac:dyDescent="0.2">
      <c r="A358" s="1" t="s">
        <v>57</v>
      </c>
      <c r="B358" s="9" t="s">
        <v>38</v>
      </c>
      <c r="C358" s="1" t="s">
        <v>58</v>
      </c>
      <c r="D358" s="1" t="s">
        <v>59</v>
      </c>
      <c r="E358" s="1" t="s">
        <v>42</v>
      </c>
      <c r="F358" s="1" t="s">
        <v>2203</v>
      </c>
      <c r="G358" s="1" t="s">
        <v>60</v>
      </c>
      <c r="H358" s="1" t="s">
        <v>166</v>
      </c>
      <c r="I358" s="1" t="s">
        <v>2209</v>
      </c>
      <c r="J358" s="1">
        <v>2023</v>
      </c>
      <c r="K358" s="1" t="s">
        <v>2210</v>
      </c>
      <c r="L358" s="1" t="s">
        <v>2210</v>
      </c>
      <c r="M358" s="1" t="s">
        <v>2211</v>
      </c>
      <c r="P358" s="1" t="s">
        <v>2212</v>
      </c>
      <c r="Q358" s="1" t="s">
        <v>264</v>
      </c>
      <c r="R358" s="1" t="str">
        <f>VLOOKUP(Tabla354[[#This Row],[COD_INE]],[1]CON_INE_2024!$A$5:$K$353,5,FALSE)</f>
        <v>Asturias</v>
      </c>
      <c r="S358" s="1" t="s">
        <v>266</v>
      </c>
      <c r="T358" s="1" t="s">
        <v>267</v>
      </c>
      <c r="U358" s="1">
        <v>2</v>
      </c>
      <c r="V358" s="1" t="s">
        <v>268</v>
      </c>
      <c r="W358" s="1" t="s">
        <v>2213</v>
      </c>
      <c r="Y358" s="10">
        <v>45802</v>
      </c>
      <c r="Z358" s="1">
        <v>2025</v>
      </c>
      <c r="AA358" s="2">
        <v>778054</v>
      </c>
      <c r="AB358" s="2"/>
      <c r="AC358" s="2">
        <v>136159.45000000001</v>
      </c>
      <c r="AD358" s="26">
        <v>3</v>
      </c>
      <c r="AE358" s="1">
        <v>0</v>
      </c>
      <c r="AG358" s="1" t="s">
        <v>56</v>
      </c>
      <c r="AI358" s="2">
        <v>136159.45000000001</v>
      </c>
    </row>
    <row r="359" spans="1:38" ht="14.45" customHeight="1" x14ac:dyDescent="0.2">
      <c r="A359" s="1" t="s">
        <v>57</v>
      </c>
      <c r="B359" s="9" t="s">
        <v>38</v>
      </c>
      <c r="C359" s="1" t="s">
        <v>58</v>
      </c>
      <c r="D359" s="1" t="s">
        <v>59</v>
      </c>
      <c r="E359" s="1" t="s">
        <v>42</v>
      </c>
      <c r="F359" s="1" t="s">
        <v>2203</v>
      </c>
      <c r="G359" s="1" t="s">
        <v>60</v>
      </c>
      <c r="H359" s="1" t="s">
        <v>166</v>
      </c>
      <c r="I359" s="1" t="s">
        <v>2214</v>
      </c>
      <c r="J359" s="1">
        <v>2023</v>
      </c>
      <c r="K359" s="1" t="s">
        <v>2215</v>
      </c>
      <c r="L359" s="1" t="s">
        <v>2215</v>
      </c>
      <c r="M359" s="1" t="s">
        <v>1240</v>
      </c>
      <c r="P359" s="1" t="s">
        <v>2216</v>
      </c>
      <c r="Q359" s="1" t="s">
        <v>264</v>
      </c>
      <c r="R359" s="1" t="str">
        <f>VLOOKUP(Tabla354[[#This Row],[COD_INE]],[1]CON_INE_2024!$A$5:$K$353,5,FALSE)</f>
        <v>Asturias</v>
      </c>
      <c r="S359" s="1" t="s">
        <v>266</v>
      </c>
      <c r="T359" s="1" t="s">
        <v>267</v>
      </c>
      <c r="U359" s="1">
        <v>2</v>
      </c>
      <c r="V359" s="1" t="s">
        <v>268</v>
      </c>
      <c r="W359" s="1" t="s">
        <v>2217</v>
      </c>
      <c r="Y359" s="10">
        <v>45802</v>
      </c>
      <c r="Z359" s="1">
        <v>2025</v>
      </c>
      <c r="AA359" s="2">
        <v>731443.96</v>
      </c>
      <c r="AB359" s="2"/>
      <c r="AC359" s="2">
        <v>128002.69</v>
      </c>
      <c r="AD359" s="26">
        <v>3</v>
      </c>
      <c r="AE359" s="1">
        <v>0</v>
      </c>
      <c r="AG359" s="1" t="s">
        <v>56</v>
      </c>
      <c r="AI359" s="2">
        <v>128002.69</v>
      </c>
    </row>
    <row r="360" spans="1:38" ht="12.6" customHeight="1" x14ac:dyDescent="0.2">
      <c r="A360" s="1" t="s">
        <v>57</v>
      </c>
      <c r="B360" s="9" t="s">
        <v>38</v>
      </c>
      <c r="C360" s="1" t="s">
        <v>58</v>
      </c>
      <c r="D360" s="1" t="s">
        <v>59</v>
      </c>
      <c r="E360" s="1" t="s">
        <v>42</v>
      </c>
      <c r="F360" s="1" t="s">
        <v>2203</v>
      </c>
      <c r="G360" s="1" t="s">
        <v>60</v>
      </c>
      <c r="H360" s="1" t="s">
        <v>166</v>
      </c>
      <c r="I360" s="1" t="s">
        <v>2218</v>
      </c>
      <c r="J360" s="1">
        <v>2023</v>
      </c>
      <c r="K360" s="1" t="s">
        <v>2219</v>
      </c>
      <c r="L360" s="1" t="s">
        <v>2219</v>
      </c>
      <c r="M360" s="1" t="s">
        <v>2220</v>
      </c>
      <c r="P360" s="1" t="s">
        <v>2221</v>
      </c>
      <c r="Q360" s="1" t="s">
        <v>264</v>
      </c>
      <c r="R360" s="1" t="str">
        <f>VLOOKUP(Tabla354[[#This Row],[COD_INE]],[1]CON_INE_2024!$A$5:$K$353,5,FALSE)</f>
        <v>Asturias</v>
      </c>
      <c r="S360" s="1" t="s">
        <v>379</v>
      </c>
      <c r="T360" s="1" t="s">
        <v>380</v>
      </c>
      <c r="U360" s="1">
        <v>2</v>
      </c>
      <c r="V360" s="1" t="s">
        <v>268</v>
      </c>
      <c r="W360" s="1" t="s">
        <v>2222</v>
      </c>
      <c r="Y360" s="10">
        <v>45802</v>
      </c>
      <c r="Z360" s="1">
        <v>2025</v>
      </c>
      <c r="AA360" s="2">
        <v>1447460.63</v>
      </c>
      <c r="AB360" s="2"/>
      <c r="AC360" s="2">
        <v>180932.58</v>
      </c>
      <c r="AD360" s="26">
        <v>7</v>
      </c>
      <c r="AE360" s="1">
        <v>4</v>
      </c>
      <c r="AG360" s="1" t="s">
        <v>56</v>
      </c>
      <c r="AI360" s="2">
        <v>180932.58</v>
      </c>
    </row>
    <row r="361" spans="1:38" ht="14.45" customHeight="1" x14ac:dyDescent="0.2">
      <c r="A361" s="1" t="s">
        <v>57</v>
      </c>
      <c r="B361" s="9" t="s">
        <v>38</v>
      </c>
      <c r="C361" s="1" t="s">
        <v>58</v>
      </c>
      <c r="D361" s="1" t="s">
        <v>59</v>
      </c>
      <c r="E361" s="1" t="s">
        <v>42</v>
      </c>
      <c r="F361" s="1" t="s">
        <v>2203</v>
      </c>
      <c r="G361" s="1" t="s">
        <v>60</v>
      </c>
      <c r="H361" s="1" t="s">
        <v>166</v>
      </c>
      <c r="I361" s="1" t="s">
        <v>2223</v>
      </c>
      <c r="J361" s="1">
        <v>2023</v>
      </c>
      <c r="K361" s="1" t="s">
        <v>2224</v>
      </c>
      <c r="L361" s="1" t="s">
        <v>2224</v>
      </c>
      <c r="M361" s="1" t="s">
        <v>2225</v>
      </c>
      <c r="P361" s="1" t="s">
        <v>2226</v>
      </c>
      <c r="Q361" s="1" t="s">
        <v>264</v>
      </c>
      <c r="R361" s="1" t="str">
        <f>VLOOKUP(Tabla354[[#This Row],[COD_INE]],[1]CON_INE_2024!$A$5:$K$353,5,FALSE)</f>
        <v>Asturias</v>
      </c>
      <c r="S361" s="1" t="s">
        <v>266</v>
      </c>
      <c r="T361" s="1" t="s">
        <v>267</v>
      </c>
      <c r="U361" s="1">
        <v>2</v>
      </c>
      <c r="V361" s="1" t="s">
        <v>268</v>
      </c>
      <c r="W361" s="1" t="s">
        <v>2227</v>
      </c>
      <c r="Y361" s="10">
        <v>45802</v>
      </c>
      <c r="Z361" s="1">
        <v>2025</v>
      </c>
      <c r="AA361" s="2">
        <v>1503409.65</v>
      </c>
      <c r="AB361" s="2"/>
      <c r="AC361" s="2">
        <v>150054.60999999999</v>
      </c>
      <c r="AD361" s="26">
        <v>3</v>
      </c>
      <c r="AE361" s="1">
        <v>0</v>
      </c>
      <c r="AG361" s="1" t="s">
        <v>56</v>
      </c>
      <c r="AI361" s="2">
        <v>150054.60999999999</v>
      </c>
    </row>
    <row r="362" spans="1:38" ht="14.45" customHeight="1" x14ac:dyDescent="0.2">
      <c r="A362" s="1" t="s">
        <v>57</v>
      </c>
      <c r="B362" s="9" t="s">
        <v>38</v>
      </c>
      <c r="C362" s="1" t="s">
        <v>58</v>
      </c>
      <c r="D362" s="1" t="s">
        <v>59</v>
      </c>
      <c r="E362" s="1" t="s">
        <v>42</v>
      </c>
      <c r="F362" s="1" t="s">
        <v>2203</v>
      </c>
      <c r="G362" s="1" t="s">
        <v>60</v>
      </c>
      <c r="H362" s="1" t="s">
        <v>166</v>
      </c>
      <c r="I362" s="1" t="s">
        <v>2228</v>
      </c>
      <c r="J362" s="1">
        <v>2023</v>
      </c>
      <c r="K362" s="1" t="s">
        <v>2229</v>
      </c>
      <c r="L362" s="1" t="s">
        <v>2229</v>
      </c>
      <c r="M362" s="1" t="s">
        <v>2230</v>
      </c>
      <c r="P362" s="1" t="s">
        <v>2231</v>
      </c>
      <c r="Q362" s="1" t="s">
        <v>264</v>
      </c>
      <c r="R362" s="1" t="str">
        <f>VLOOKUP(Tabla354[[#This Row],[COD_INE]],[1]CON_INE_2024!$A$5:$K$353,5,FALSE)</f>
        <v>Asturias</v>
      </c>
      <c r="S362" s="1" t="s">
        <v>717</v>
      </c>
      <c r="T362" s="1" t="s">
        <v>718</v>
      </c>
      <c r="U362" s="1">
        <v>1</v>
      </c>
      <c r="V362" s="1" t="s">
        <v>535</v>
      </c>
      <c r="W362" s="1" t="s">
        <v>2232</v>
      </c>
      <c r="Y362" s="10">
        <v>45802</v>
      </c>
      <c r="Z362" s="1">
        <v>2025</v>
      </c>
      <c r="AA362" s="2">
        <v>472782.64</v>
      </c>
      <c r="AB362" s="2"/>
      <c r="AC362" s="2">
        <v>165473.92000000001</v>
      </c>
      <c r="AD362" s="26">
        <v>6</v>
      </c>
      <c r="AE362" s="1">
        <v>3</v>
      </c>
      <c r="AG362" s="1" t="s">
        <v>56</v>
      </c>
      <c r="AI362" s="2">
        <v>165473.92000000001</v>
      </c>
    </row>
    <row r="363" spans="1:38" ht="14.45" customHeight="1" x14ac:dyDescent="0.2">
      <c r="A363" s="1" t="s">
        <v>57</v>
      </c>
      <c r="B363" s="9" t="s">
        <v>38</v>
      </c>
      <c r="C363" s="1" t="s">
        <v>58</v>
      </c>
      <c r="D363" s="1" t="s">
        <v>59</v>
      </c>
      <c r="E363" s="1" t="s">
        <v>42</v>
      </c>
      <c r="F363" s="1" t="s">
        <v>2203</v>
      </c>
      <c r="G363" s="1" t="s">
        <v>60</v>
      </c>
      <c r="H363" s="1" t="s">
        <v>166</v>
      </c>
      <c r="I363" s="1" t="s">
        <v>2233</v>
      </c>
      <c r="J363" s="1">
        <v>2023</v>
      </c>
      <c r="K363" s="1" t="s">
        <v>2234</v>
      </c>
      <c r="L363" s="1" t="s">
        <v>2234</v>
      </c>
      <c r="M363" s="1" t="s">
        <v>1240</v>
      </c>
      <c r="P363" s="1" t="s">
        <v>2235</v>
      </c>
      <c r="Q363" s="1" t="s">
        <v>264</v>
      </c>
      <c r="R363" s="1" t="str">
        <f>VLOOKUP(Tabla354[[#This Row],[COD_INE]],[1]CON_INE_2024!$A$5:$K$353,5,FALSE)</f>
        <v>Asturias</v>
      </c>
      <c r="S363" s="1" t="s">
        <v>266</v>
      </c>
      <c r="T363" s="1" t="s">
        <v>267</v>
      </c>
      <c r="U363" s="1">
        <v>2</v>
      </c>
      <c r="V363" s="1" t="s">
        <v>268</v>
      </c>
      <c r="W363" s="1" t="s">
        <v>2236</v>
      </c>
      <c r="Y363" s="10">
        <v>45802</v>
      </c>
      <c r="Z363" s="1">
        <v>2025</v>
      </c>
      <c r="AA363" s="2">
        <v>653755.14</v>
      </c>
      <c r="AB363" s="2"/>
      <c r="AC363" s="2">
        <v>81719.39</v>
      </c>
      <c r="AD363" s="26">
        <v>10</v>
      </c>
      <c r="AE363" s="1">
        <v>0</v>
      </c>
      <c r="AG363" s="1" t="s">
        <v>56</v>
      </c>
      <c r="AI363" s="2">
        <v>81719.39</v>
      </c>
    </row>
    <row r="364" spans="1:38" ht="14.45" customHeight="1" x14ac:dyDescent="0.2">
      <c r="A364" s="1" t="s">
        <v>57</v>
      </c>
      <c r="B364" s="9" t="s">
        <v>38</v>
      </c>
      <c r="C364" s="1" t="s">
        <v>58</v>
      </c>
      <c r="D364" s="1" t="s">
        <v>59</v>
      </c>
      <c r="E364" s="1" t="s">
        <v>42</v>
      </c>
      <c r="F364" s="1" t="s">
        <v>2203</v>
      </c>
      <c r="G364" s="1" t="s">
        <v>60</v>
      </c>
      <c r="H364" s="1" t="s">
        <v>166</v>
      </c>
      <c r="I364" s="1" t="s">
        <v>2237</v>
      </c>
      <c r="J364" s="1">
        <v>2023</v>
      </c>
      <c r="K364" s="1" t="s">
        <v>2238</v>
      </c>
      <c r="L364" s="1" t="s">
        <v>2238</v>
      </c>
      <c r="M364" s="1" t="s">
        <v>2239</v>
      </c>
      <c r="P364" s="1" t="s">
        <v>2240</v>
      </c>
      <c r="Q364" s="1" t="s">
        <v>264</v>
      </c>
      <c r="R364" s="1" t="str">
        <f>VLOOKUP(Tabla354[[#This Row],[COD_INE]],[1]CON_INE_2024!$A$5:$K$353,5,FALSE)</f>
        <v>Asturias</v>
      </c>
      <c r="S364" s="1" t="s">
        <v>266</v>
      </c>
      <c r="T364" s="1" t="s">
        <v>267</v>
      </c>
      <c r="U364" s="1">
        <v>2</v>
      </c>
      <c r="V364" s="1" t="s">
        <v>268</v>
      </c>
      <c r="W364" s="1" t="s">
        <v>2241</v>
      </c>
      <c r="Y364" s="10">
        <v>45802</v>
      </c>
      <c r="Z364" s="1">
        <v>2025</v>
      </c>
      <c r="AA364" s="2">
        <v>7363496.8899999997</v>
      </c>
      <c r="AB364" s="2"/>
      <c r="AC364" s="2">
        <v>552262.27</v>
      </c>
      <c r="AD364" s="26">
        <v>33</v>
      </c>
      <c r="AE364" s="1">
        <v>6</v>
      </c>
      <c r="AG364" s="1" t="s">
        <v>56</v>
      </c>
      <c r="AI364" s="2">
        <v>552262.27</v>
      </c>
    </row>
    <row r="365" spans="1:38" ht="14.45" customHeight="1" x14ac:dyDescent="0.2">
      <c r="A365" s="1" t="s">
        <v>57</v>
      </c>
      <c r="B365" s="9" t="s">
        <v>38</v>
      </c>
      <c r="C365" s="1" t="s">
        <v>58</v>
      </c>
      <c r="D365" s="1" t="s">
        <v>59</v>
      </c>
      <c r="E365" s="1" t="s">
        <v>42</v>
      </c>
      <c r="F365" s="1" t="s">
        <v>2203</v>
      </c>
      <c r="G365" s="1" t="s">
        <v>60</v>
      </c>
      <c r="H365" s="1" t="s">
        <v>166</v>
      </c>
      <c r="I365" s="1" t="s">
        <v>2242</v>
      </c>
      <c r="J365" s="1">
        <v>2023</v>
      </c>
      <c r="K365" s="1" t="s">
        <v>2243</v>
      </c>
      <c r="L365" s="1" t="s">
        <v>2243</v>
      </c>
      <c r="M365" s="1" t="s">
        <v>2244</v>
      </c>
      <c r="P365" s="1" t="s">
        <v>2245</v>
      </c>
      <c r="Q365" s="1" t="s">
        <v>264</v>
      </c>
      <c r="R365" s="1" t="str">
        <f>VLOOKUP(Tabla354[[#This Row],[COD_INE]],[1]CON_INE_2024!$A$5:$K$353,5,FALSE)</f>
        <v>Asturias</v>
      </c>
      <c r="S365" s="1" t="s">
        <v>784</v>
      </c>
      <c r="T365" s="1" t="s">
        <v>785</v>
      </c>
      <c r="U365" s="1">
        <v>2</v>
      </c>
      <c r="V365" s="1" t="s">
        <v>80</v>
      </c>
      <c r="W365" s="1" t="s">
        <v>2246</v>
      </c>
      <c r="Y365" s="10">
        <v>45802</v>
      </c>
      <c r="Z365" s="1">
        <v>2025</v>
      </c>
      <c r="AA365" s="2">
        <v>1254460</v>
      </c>
      <c r="AB365" s="2"/>
      <c r="AC365" s="2">
        <v>219530.5</v>
      </c>
      <c r="AD365" s="26">
        <v>3</v>
      </c>
      <c r="AE365" s="1">
        <v>0</v>
      </c>
      <c r="AG365" s="1" t="s">
        <v>56</v>
      </c>
      <c r="AI365" s="2">
        <v>219530.5</v>
      </c>
    </row>
    <row r="366" spans="1:38" ht="14.45" customHeight="1" x14ac:dyDescent="0.2">
      <c r="A366" s="1" t="s">
        <v>57</v>
      </c>
      <c r="B366" s="9" t="s">
        <v>38</v>
      </c>
      <c r="C366" s="1" t="s">
        <v>58</v>
      </c>
      <c r="D366" s="1" t="s">
        <v>59</v>
      </c>
      <c r="E366" s="1" t="s">
        <v>42</v>
      </c>
      <c r="F366" s="1" t="s">
        <v>2203</v>
      </c>
      <c r="G366" s="1" t="s">
        <v>60</v>
      </c>
      <c r="H366" s="1" t="s">
        <v>166</v>
      </c>
      <c r="I366" s="1" t="s">
        <v>2247</v>
      </c>
      <c r="J366" s="1">
        <v>2023</v>
      </c>
      <c r="K366" s="1" t="s">
        <v>2248</v>
      </c>
      <c r="L366" s="1" t="s">
        <v>2248</v>
      </c>
      <c r="M366" s="1" t="s">
        <v>2249</v>
      </c>
      <c r="P366" s="1" t="s">
        <v>2250</v>
      </c>
      <c r="Q366" s="1" t="s">
        <v>264</v>
      </c>
      <c r="R366" s="1" t="str">
        <f>VLOOKUP(Tabla354[[#This Row],[COD_INE]],[1]CON_INE_2024!$A$5:$K$353,5,FALSE)</f>
        <v>Asturias</v>
      </c>
      <c r="S366" s="1" t="s">
        <v>379</v>
      </c>
      <c r="T366" s="1" t="s">
        <v>380</v>
      </c>
      <c r="U366" s="1">
        <v>2</v>
      </c>
      <c r="V366" s="1" t="s">
        <v>268</v>
      </c>
      <c r="W366" s="1" t="s">
        <v>2251</v>
      </c>
      <c r="Y366" s="10">
        <v>45802</v>
      </c>
      <c r="Z366" s="1">
        <v>2025</v>
      </c>
      <c r="AA366" s="2">
        <v>17291553.920000002</v>
      </c>
      <c r="AB366" s="2"/>
      <c r="AC366" s="2">
        <v>1296866.54</v>
      </c>
      <c r="AD366" s="26">
        <v>19</v>
      </c>
      <c r="AE366" s="1">
        <v>0</v>
      </c>
      <c r="AG366" s="1" t="s">
        <v>56</v>
      </c>
      <c r="AI366" s="2">
        <v>1296866.54</v>
      </c>
    </row>
    <row r="367" spans="1:38" ht="14.45" customHeight="1" x14ac:dyDescent="0.2">
      <c r="A367" s="1" t="s">
        <v>57</v>
      </c>
      <c r="B367" s="9" t="s">
        <v>38</v>
      </c>
      <c r="C367" s="1" t="s">
        <v>58</v>
      </c>
      <c r="D367" s="1" t="s">
        <v>59</v>
      </c>
      <c r="E367" s="1" t="s">
        <v>42</v>
      </c>
      <c r="F367" s="1" t="s">
        <v>2203</v>
      </c>
      <c r="G367" s="1" t="s">
        <v>60</v>
      </c>
      <c r="H367" s="1" t="s">
        <v>166</v>
      </c>
      <c r="I367" s="1" t="s">
        <v>2252</v>
      </c>
      <c r="J367" s="1">
        <v>2023</v>
      </c>
      <c r="K367" s="1" t="s">
        <v>2253</v>
      </c>
      <c r="L367" s="1" t="s">
        <v>2253</v>
      </c>
      <c r="M367" s="1" t="s">
        <v>2254</v>
      </c>
      <c r="P367" s="1" t="s">
        <v>2255</v>
      </c>
      <c r="Q367" s="1" t="s">
        <v>264</v>
      </c>
      <c r="R367" s="1" t="str">
        <f>VLOOKUP(Tabla354[[#This Row],[COD_INE]],[1]CON_INE_2024!$A$5:$K$353,5,FALSE)</f>
        <v>Asturias</v>
      </c>
      <c r="S367" s="1" t="s">
        <v>673</v>
      </c>
      <c r="T367" s="1" t="s">
        <v>674</v>
      </c>
      <c r="U367" s="1">
        <v>2</v>
      </c>
      <c r="V367" s="1" t="s">
        <v>268</v>
      </c>
      <c r="W367" s="1" t="s">
        <v>2256</v>
      </c>
      <c r="Y367" s="10">
        <v>45802</v>
      </c>
      <c r="Z367" s="1">
        <v>2025</v>
      </c>
      <c r="AA367" s="2">
        <v>461121.5</v>
      </c>
      <c r="AB367" s="2"/>
      <c r="AC367" s="2">
        <v>80696.259999999995</v>
      </c>
      <c r="AD367" s="26">
        <v>8</v>
      </c>
      <c r="AE367" s="1">
        <v>7</v>
      </c>
      <c r="AG367" s="1" t="s">
        <v>56</v>
      </c>
      <c r="AI367" s="2">
        <v>80696.259999999995</v>
      </c>
    </row>
    <row r="368" spans="1:38" ht="14.45" customHeight="1" x14ac:dyDescent="0.2">
      <c r="A368" s="1" t="s">
        <v>57</v>
      </c>
      <c r="B368" s="9" t="s">
        <v>38</v>
      </c>
      <c r="C368" s="1" t="s">
        <v>58</v>
      </c>
      <c r="D368" s="1" t="s">
        <v>59</v>
      </c>
      <c r="E368" s="1" t="s">
        <v>42</v>
      </c>
      <c r="F368" s="1" t="s">
        <v>2203</v>
      </c>
      <c r="G368" s="1" t="s">
        <v>60</v>
      </c>
      <c r="H368" s="1" t="s">
        <v>166</v>
      </c>
      <c r="I368" s="1" t="s">
        <v>2257</v>
      </c>
      <c r="J368" s="1">
        <v>2023</v>
      </c>
      <c r="K368" s="1" t="s">
        <v>2258</v>
      </c>
      <c r="L368" s="1" t="s">
        <v>2258</v>
      </c>
      <c r="M368" s="1" t="s">
        <v>1240</v>
      </c>
      <c r="P368" s="1" t="s">
        <v>2259</v>
      </c>
      <c r="Q368" s="1" t="s">
        <v>264</v>
      </c>
      <c r="R368" s="1" t="str">
        <f>VLOOKUP(Tabla354[[#This Row],[COD_INE]],[1]CON_INE_2024!$A$5:$K$353,5,FALSE)</f>
        <v>Asturias</v>
      </c>
      <c r="S368" s="1" t="s">
        <v>266</v>
      </c>
      <c r="T368" s="1" t="s">
        <v>267</v>
      </c>
      <c r="U368" s="1">
        <v>2</v>
      </c>
      <c r="V368" s="1" t="s">
        <v>268</v>
      </c>
      <c r="W368" s="1" t="s">
        <v>2260</v>
      </c>
      <c r="Y368" s="10">
        <v>45802</v>
      </c>
      <c r="Z368" s="1">
        <v>2025</v>
      </c>
      <c r="AA368" s="2">
        <v>957721.48</v>
      </c>
      <c r="AB368" s="2"/>
      <c r="AC368" s="2">
        <v>167601.26</v>
      </c>
      <c r="AD368" s="26">
        <v>8</v>
      </c>
      <c r="AE368" s="1">
        <v>7</v>
      </c>
      <c r="AG368" s="1" t="s">
        <v>56</v>
      </c>
      <c r="AI368" s="2">
        <v>167601.26</v>
      </c>
    </row>
    <row r="369" spans="1:35" ht="14.45" customHeight="1" x14ac:dyDescent="0.2">
      <c r="A369" s="1" t="s">
        <v>57</v>
      </c>
      <c r="B369" s="9" t="s">
        <v>38</v>
      </c>
      <c r="C369" s="1" t="s">
        <v>58</v>
      </c>
      <c r="D369" s="1" t="s">
        <v>59</v>
      </c>
      <c r="E369" s="1" t="s">
        <v>42</v>
      </c>
      <c r="F369" s="1" t="s">
        <v>2203</v>
      </c>
      <c r="G369" s="1" t="s">
        <v>60</v>
      </c>
      <c r="H369" s="1" t="s">
        <v>166</v>
      </c>
      <c r="I369" s="1" t="s">
        <v>2261</v>
      </c>
      <c r="J369" s="1">
        <v>2023</v>
      </c>
      <c r="K369" s="1" t="s">
        <v>2262</v>
      </c>
      <c r="L369" s="1" t="s">
        <v>2262</v>
      </c>
      <c r="M369" s="1" t="s">
        <v>1240</v>
      </c>
      <c r="P369" s="1" t="s">
        <v>2263</v>
      </c>
      <c r="Q369" s="1" t="s">
        <v>264</v>
      </c>
      <c r="R369" s="1" t="str">
        <f>VLOOKUP(Tabla354[[#This Row],[COD_INE]],[1]CON_INE_2024!$A$5:$K$353,5,FALSE)</f>
        <v>Asturias</v>
      </c>
      <c r="S369" s="1" t="s">
        <v>266</v>
      </c>
      <c r="T369" s="1" t="s">
        <v>267</v>
      </c>
      <c r="U369" s="1">
        <v>2</v>
      </c>
      <c r="V369" s="1" t="s">
        <v>268</v>
      </c>
      <c r="W369" s="1" t="s">
        <v>2264</v>
      </c>
      <c r="Y369" s="10">
        <v>45802</v>
      </c>
      <c r="Z369" s="1">
        <v>2025</v>
      </c>
      <c r="AA369" s="2">
        <v>547273.25</v>
      </c>
      <c r="AB369" s="2"/>
      <c r="AC369" s="2">
        <v>95772.82</v>
      </c>
      <c r="AD369" s="26">
        <v>4</v>
      </c>
      <c r="AE369" s="1">
        <v>3</v>
      </c>
      <c r="AG369" s="1" t="s">
        <v>56</v>
      </c>
      <c r="AI369" s="2">
        <v>95772.82</v>
      </c>
    </row>
    <row r="370" spans="1:35" ht="14.45" customHeight="1" x14ac:dyDescent="0.2">
      <c r="A370" s="1" t="s">
        <v>57</v>
      </c>
      <c r="B370" s="9" t="s">
        <v>38</v>
      </c>
      <c r="C370" s="1" t="s">
        <v>58</v>
      </c>
      <c r="D370" s="1" t="s">
        <v>59</v>
      </c>
      <c r="E370" s="1" t="s">
        <v>42</v>
      </c>
      <c r="F370" s="1" t="s">
        <v>2203</v>
      </c>
      <c r="G370" s="1" t="s">
        <v>60</v>
      </c>
      <c r="H370" s="1" t="s">
        <v>166</v>
      </c>
      <c r="I370" s="1" t="s">
        <v>2265</v>
      </c>
      <c r="J370" s="1">
        <v>2023</v>
      </c>
      <c r="K370" s="1" t="s">
        <v>2266</v>
      </c>
      <c r="L370" s="1" t="s">
        <v>2266</v>
      </c>
      <c r="M370" s="1" t="s">
        <v>2267</v>
      </c>
      <c r="P370" s="1" t="s">
        <v>2268</v>
      </c>
      <c r="Q370" s="1" t="s">
        <v>264</v>
      </c>
      <c r="R370" s="1" t="str">
        <f>VLOOKUP(Tabla354[[#This Row],[COD_INE]],[1]CON_INE_2024!$A$5:$K$353,5,FALSE)</f>
        <v>Asturias</v>
      </c>
      <c r="S370" s="1" t="s">
        <v>784</v>
      </c>
      <c r="T370" s="1" t="s">
        <v>785</v>
      </c>
      <c r="U370" s="1">
        <v>2</v>
      </c>
      <c r="V370" s="1" t="s">
        <v>80</v>
      </c>
      <c r="W370" s="1" t="s">
        <v>2269</v>
      </c>
      <c r="Y370" s="10">
        <v>45802</v>
      </c>
      <c r="Z370" s="1">
        <v>2025</v>
      </c>
      <c r="AA370" s="2">
        <v>174450</v>
      </c>
      <c r="AB370" s="2"/>
      <c r="AC370" s="2">
        <v>30528.75</v>
      </c>
      <c r="AD370" s="26">
        <v>3</v>
      </c>
      <c r="AE370" s="1">
        <v>0</v>
      </c>
      <c r="AG370" s="1" t="s">
        <v>56</v>
      </c>
      <c r="AI370" s="2">
        <v>30528.75</v>
      </c>
    </row>
    <row r="371" spans="1:35" ht="14.45" customHeight="1" x14ac:dyDescent="0.2">
      <c r="A371" s="1" t="s">
        <v>57</v>
      </c>
      <c r="B371" s="9" t="s">
        <v>38</v>
      </c>
      <c r="C371" s="1" t="s">
        <v>58</v>
      </c>
      <c r="D371" s="1" t="s">
        <v>59</v>
      </c>
      <c r="E371" s="1" t="s">
        <v>42</v>
      </c>
      <c r="F371" s="1" t="s">
        <v>2203</v>
      </c>
      <c r="G371" s="1" t="s">
        <v>60</v>
      </c>
      <c r="H371" s="1" t="s">
        <v>166</v>
      </c>
      <c r="I371" s="1" t="s">
        <v>2270</v>
      </c>
      <c r="J371" s="1">
        <v>2023</v>
      </c>
      <c r="K371" s="1" t="s">
        <v>2271</v>
      </c>
      <c r="L371" s="1" t="s">
        <v>2271</v>
      </c>
      <c r="M371" s="1" t="s">
        <v>2272</v>
      </c>
      <c r="P371" s="1" t="s">
        <v>2273</v>
      </c>
      <c r="Q371" s="1" t="s">
        <v>264</v>
      </c>
      <c r="R371" s="1" t="str">
        <f>VLOOKUP(Tabla354[[#This Row],[COD_INE]],[1]CON_INE_2024!$A$5:$K$353,5,FALSE)</f>
        <v>Asturias</v>
      </c>
      <c r="S371" s="1" t="s">
        <v>350</v>
      </c>
      <c r="T371" s="1" t="s">
        <v>351</v>
      </c>
      <c r="U371" s="1">
        <v>1</v>
      </c>
      <c r="V371" s="1" t="s">
        <v>80</v>
      </c>
      <c r="W371" s="1" t="s">
        <v>2274</v>
      </c>
      <c r="Y371" s="10">
        <v>45802</v>
      </c>
      <c r="Z371" s="1">
        <v>2025</v>
      </c>
      <c r="AA371" s="2">
        <v>1219190.4099999999</v>
      </c>
      <c r="AB371" s="2"/>
      <c r="AC371" s="2">
        <v>304797.59999999998</v>
      </c>
      <c r="AD371" s="26">
        <v>5</v>
      </c>
      <c r="AE371" s="1">
        <v>1</v>
      </c>
      <c r="AG371" s="1" t="s">
        <v>56</v>
      </c>
      <c r="AI371" s="2">
        <v>304797.59999999998</v>
      </c>
    </row>
    <row r="372" spans="1:35" ht="14.45" customHeight="1" x14ac:dyDescent="0.2">
      <c r="A372" s="1" t="s">
        <v>57</v>
      </c>
      <c r="B372" s="9" t="s">
        <v>38</v>
      </c>
      <c r="C372" s="1" t="s">
        <v>58</v>
      </c>
      <c r="D372" s="1" t="s">
        <v>59</v>
      </c>
      <c r="E372" s="1" t="s">
        <v>42</v>
      </c>
      <c r="F372" s="1" t="s">
        <v>2203</v>
      </c>
      <c r="G372" s="1" t="s">
        <v>60</v>
      </c>
      <c r="H372" s="1" t="s">
        <v>166</v>
      </c>
      <c r="I372" s="1" t="s">
        <v>2275</v>
      </c>
      <c r="J372" s="1">
        <v>2023</v>
      </c>
      <c r="K372" s="1" t="s">
        <v>2276</v>
      </c>
      <c r="L372" s="1" t="s">
        <v>2276</v>
      </c>
      <c r="M372" s="1" t="s">
        <v>2277</v>
      </c>
      <c r="P372" s="1" t="s">
        <v>2278</v>
      </c>
      <c r="Q372" s="1" t="s">
        <v>264</v>
      </c>
      <c r="R372" s="1" t="str">
        <f>VLOOKUP(Tabla354[[#This Row],[COD_INE]],[1]CON_INE_2024!$A$5:$K$353,5,FALSE)</f>
        <v>Asturias</v>
      </c>
      <c r="S372" s="1" t="s">
        <v>266</v>
      </c>
      <c r="T372" s="1" t="s">
        <v>267</v>
      </c>
      <c r="U372" s="1">
        <v>2</v>
      </c>
      <c r="V372" s="1" t="s">
        <v>268</v>
      </c>
      <c r="W372" s="1" t="s">
        <v>2279</v>
      </c>
      <c r="Y372" s="10">
        <v>45802</v>
      </c>
      <c r="Z372" s="1">
        <v>2025</v>
      </c>
      <c r="AA372" s="2">
        <v>2039212.03</v>
      </c>
      <c r="AB372" s="2"/>
      <c r="AC372" s="2">
        <v>254901.5</v>
      </c>
      <c r="AD372" s="26">
        <v>14</v>
      </c>
      <c r="AE372" s="1">
        <v>7</v>
      </c>
      <c r="AG372" s="1" t="s">
        <v>56</v>
      </c>
      <c r="AI372" s="2">
        <v>254901.5</v>
      </c>
    </row>
    <row r="373" spans="1:35" ht="14.45" customHeight="1" x14ac:dyDescent="0.2">
      <c r="A373" s="1" t="s">
        <v>57</v>
      </c>
      <c r="B373" s="9" t="s">
        <v>38</v>
      </c>
      <c r="C373" s="1" t="s">
        <v>58</v>
      </c>
      <c r="D373" s="1" t="s">
        <v>59</v>
      </c>
      <c r="E373" s="1" t="s">
        <v>42</v>
      </c>
      <c r="F373" s="1" t="s">
        <v>2203</v>
      </c>
      <c r="G373" s="1" t="s">
        <v>60</v>
      </c>
      <c r="H373" s="1" t="s">
        <v>166</v>
      </c>
      <c r="I373" s="1" t="s">
        <v>2280</v>
      </c>
      <c r="J373" s="1">
        <v>2023</v>
      </c>
      <c r="K373" s="1" t="s">
        <v>2281</v>
      </c>
      <c r="L373" s="1" t="s">
        <v>2281</v>
      </c>
      <c r="M373" s="1" t="s">
        <v>1240</v>
      </c>
      <c r="P373" s="1" t="s">
        <v>2282</v>
      </c>
      <c r="Q373" s="1" t="s">
        <v>264</v>
      </c>
      <c r="R373" s="1" t="str">
        <f>VLOOKUP(Tabla354[[#This Row],[COD_INE]],[1]CON_INE_2024!$A$5:$K$353,5,FALSE)</f>
        <v>Asturias</v>
      </c>
      <c r="S373" s="1" t="s">
        <v>379</v>
      </c>
      <c r="T373" s="1" t="s">
        <v>380</v>
      </c>
      <c r="U373" s="1">
        <v>2</v>
      </c>
      <c r="V373" s="1" t="s">
        <v>268</v>
      </c>
      <c r="W373" s="1" t="s">
        <v>2283</v>
      </c>
      <c r="Y373" s="10">
        <v>45802</v>
      </c>
      <c r="Z373" s="1">
        <v>2025</v>
      </c>
      <c r="AA373" s="2">
        <v>587489.97</v>
      </c>
      <c r="AB373" s="2"/>
      <c r="AC373" s="2">
        <v>73436.25</v>
      </c>
      <c r="AD373" s="26">
        <v>3</v>
      </c>
      <c r="AE373" s="1">
        <v>0</v>
      </c>
      <c r="AG373" s="1" t="s">
        <v>56</v>
      </c>
      <c r="AI373" s="2">
        <v>73436.25</v>
      </c>
    </row>
    <row r="374" spans="1:35" ht="14.45" customHeight="1" x14ac:dyDescent="0.2">
      <c r="A374" s="1" t="s">
        <v>57</v>
      </c>
      <c r="B374" s="9" t="s">
        <v>38</v>
      </c>
      <c r="C374" s="1" t="s">
        <v>58</v>
      </c>
      <c r="D374" s="1" t="s">
        <v>59</v>
      </c>
      <c r="E374" s="1" t="s">
        <v>42</v>
      </c>
      <c r="F374" s="1" t="s">
        <v>2203</v>
      </c>
      <c r="G374" s="1" t="s">
        <v>60</v>
      </c>
      <c r="H374" s="1" t="s">
        <v>166</v>
      </c>
      <c r="I374" s="1" t="s">
        <v>2284</v>
      </c>
      <c r="J374" s="1">
        <v>2023</v>
      </c>
      <c r="K374" s="1" t="s">
        <v>2285</v>
      </c>
      <c r="L374" s="1" t="s">
        <v>2285</v>
      </c>
      <c r="M374" s="1" t="s">
        <v>2286</v>
      </c>
      <c r="P374" s="1" t="s">
        <v>2287</v>
      </c>
      <c r="Q374" s="1" t="s">
        <v>264</v>
      </c>
      <c r="R374" s="1" t="str">
        <f>VLOOKUP(Tabla354[[#This Row],[COD_INE]],[1]CON_INE_2024!$A$5:$K$353,5,FALSE)</f>
        <v>Asturias</v>
      </c>
      <c r="S374" s="1" t="s">
        <v>266</v>
      </c>
      <c r="T374" s="1" t="s">
        <v>267</v>
      </c>
      <c r="U374" s="1">
        <v>2</v>
      </c>
      <c r="V374" s="1" t="s">
        <v>268</v>
      </c>
      <c r="W374" s="1" t="s">
        <v>2288</v>
      </c>
      <c r="Y374" s="10">
        <v>45802</v>
      </c>
      <c r="Z374" s="1">
        <v>2025</v>
      </c>
      <c r="AA374" s="2">
        <v>1934039.05</v>
      </c>
      <c r="AB374" s="2"/>
      <c r="AC374" s="2">
        <v>225000</v>
      </c>
      <c r="AD374" s="26">
        <v>3</v>
      </c>
      <c r="AE374" s="1">
        <v>0</v>
      </c>
      <c r="AG374" s="1" t="s">
        <v>56</v>
      </c>
      <c r="AI374" s="2">
        <v>225000</v>
      </c>
    </row>
    <row r="375" spans="1:35" ht="14.45" customHeight="1" x14ac:dyDescent="0.2">
      <c r="A375" s="1" t="s">
        <v>57</v>
      </c>
      <c r="B375" s="9" t="s">
        <v>38</v>
      </c>
      <c r="C375" s="1" t="s">
        <v>58</v>
      </c>
      <c r="D375" s="1" t="s">
        <v>59</v>
      </c>
      <c r="E375" s="1" t="s">
        <v>42</v>
      </c>
      <c r="F375" s="1" t="s">
        <v>2203</v>
      </c>
      <c r="G375" s="1" t="s">
        <v>60</v>
      </c>
      <c r="H375" s="1" t="s">
        <v>166</v>
      </c>
      <c r="I375" s="1" t="s">
        <v>2289</v>
      </c>
      <c r="J375" s="1">
        <v>2023</v>
      </c>
      <c r="K375" s="1" t="s">
        <v>2290</v>
      </c>
      <c r="L375" s="1" t="s">
        <v>2290</v>
      </c>
      <c r="M375" s="1" t="s">
        <v>2291</v>
      </c>
      <c r="P375" s="1" t="s">
        <v>349</v>
      </c>
      <c r="Q375" s="1" t="s">
        <v>264</v>
      </c>
      <c r="R375" s="1" t="str">
        <f>VLOOKUP(Tabla354[[#This Row],[COD_INE]],[1]CON_INE_2024!$A$5:$K$353,5,FALSE)</f>
        <v>Asturias</v>
      </c>
      <c r="S375" s="1" t="s">
        <v>350</v>
      </c>
      <c r="T375" s="1" t="s">
        <v>351</v>
      </c>
      <c r="U375" s="1">
        <v>1</v>
      </c>
      <c r="V375" s="1" t="s">
        <v>80</v>
      </c>
      <c r="W375" s="1" t="s">
        <v>2292</v>
      </c>
      <c r="Y375" s="10">
        <v>45802</v>
      </c>
      <c r="Z375" s="1">
        <v>2025</v>
      </c>
      <c r="AA375" s="2">
        <v>586640</v>
      </c>
      <c r="AB375" s="2"/>
      <c r="AC375" s="2">
        <v>205324</v>
      </c>
      <c r="AD375" s="26">
        <v>6</v>
      </c>
      <c r="AE375" s="1">
        <v>6</v>
      </c>
      <c r="AG375" s="1" t="s">
        <v>56</v>
      </c>
      <c r="AI375" s="2">
        <v>205324</v>
      </c>
    </row>
    <row r="376" spans="1:35" ht="14.45" customHeight="1" x14ac:dyDescent="0.2">
      <c r="A376" s="1" t="s">
        <v>57</v>
      </c>
      <c r="B376" s="9" t="s">
        <v>38</v>
      </c>
      <c r="C376" s="1" t="s">
        <v>58</v>
      </c>
      <c r="D376" s="1" t="s">
        <v>59</v>
      </c>
      <c r="E376" s="1" t="s">
        <v>42</v>
      </c>
      <c r="F376" s="1" t="s">
        <v>2203</v>
      </c>
      <c r="G376" s="1" t="s">
        <v>60</v>
      </c>
      <c r="H376" s="1" t="s">
        <v>166</v>
      </c>
      <c r="I376" s="1" t="s">
        <v>2293</v>
      </c>
      <c r="J376" s="1">
        <v>2023</v>
      </c>
      <c r="K376" s="1" t="s">
        <v>2294</v>
      </c>
      <c r="L376" s="1" t="s">
        <v>2294</v>
      </c>
      <c r="M376" s="1" t="s">
        <v>2295</v>
      </c>
      <c r="P376" s="1" t="s">
        <v>2296</v>
      </c>
      <c r="Q376" s="1" t="s">
        <v>264</v>
      </c>
      <c r="R376" s="1" t="str">
        <f>VLOOKUP(Tabla354[[#This Row],[COD_INE]],[1]CON_INE_2024!$A$5:$K$353,5,FALSE)</f>
        <v>Asturias</v>
      </c>
      <c r="S376" s="1" t="s">
        <v>275</v>
      </c>
      <c r="T376" s="1" t="s">
        <v>276</v>
      </c>
      <c r="U376" s="1">
        <v>2</v>
      </c>
      <c r="V376" s="1" t="s">
        <v>80</v>
      </c>
      <c r="W376" s="1" t="s">
        <v>2297</v>
      </c>
      <c r="Y376" s="10">
        <v>45802</v>
      </c>
      <c r="Z376" s="1">
        <v>2025</v>
      </c>
      <c r="AA376" s="2">
        <v>2757281.25</v>
      </c>
      <c r="AB376" s="2"/>
      <c r="AC376" s="2">
        <v>482524.22</v>
      </c>
      <c r="AD376" s="26">
        <v>36.9</v>
      </c>
      <c r="AE376" s="1">
        <v>30</v>
      </c>
      <c r="AG376" s="1" t="s">
        <v>56</v>
      </c>
      <c r="AI376" s="2">
        <v>482524.22</v>
      </c>
    </row>
    <row r="377" spans="1:35" ht="12.6" customHeight="1" x14ac:dyDescent="0.2">
      <c r="A377" s="1" t="s">
        <v>57</v>
      </c>
      <c r="B377" s="9" t="s">
        <v>38</v>
      </c>
      <c r="C377" s="1" t="s">
        <v>58</v>
      </c>
      <c r="D377" s="1" t="s">
        <v>59</v>
      </c>
      <c r="E377" s="1" t="s">
        <v>42</v>
      </c>
      <c r="F377" s="1" t="s">
        <v>2203</v>
      </c>
      <c r="G377" s="1" t="s">
        <v>60</v>
      </c>
      <c r="H377" s="1" t="s">
        <v>166</v>
      </c>
      <c r="I377" s="1" t="s">
        <v>2298</v>
      </c>
      <c r="J377" s="1">
        <v>2023</v>
      </c>
      <c r="K377" s="1" t="s">
        <v>2299</v>
      </c>
      <c r="L377" s="1" t="s">
        <v>2299</v>
      </c>
      <c r="M377" s="1" t="s">
        <v>2300</v>
      </c>
      <c r="P377" s="1" t="s">
        <v>2301</v>
      </c>
      <c r="Q377" s="1" t="s">
        <v>264</v>
      </c>
      <c r="R377" s="1" t="str">
        <f>VLOOKUP(Tabla354[[#This Row],[COD_INE]],[1]CON_INE_2024!$A$5:$K$353,5,FALSE)</f>
        <v>Asturias</v>
      </c>
      <c r="S377" s="1" t="s">
        <v>379</v>
      </c>
      <c r="T377" s="1" t="s">
        <v>380</v>
      </c>
      <c r="U377" s="1">
        <v>2</v>
      </c>
      <c r="V377" s="1" t="s">
        <v>268</v>
      </c>
      <c r="W377" s="1" t="s">
        <v>2302</v>
      </c>
      <c r="Y377" s="10">
        <v>45802</v>
      </c>
      <c r="Z377" s="1">
        <v>2025</v>
      </c>
      <c r="AA377" s="2">
        <v>938131.7</v>
      </c>
      <c r="AB377" s="2"/>
      <c r="AC377" s="2">
        <v>164173.04999999999</v>
      </c>
      <c r="AD377" s="26">
        <v>4</v>
      </c>
      <c r="AE377" s="1">
        <v>2</v>
      </c>
      <c r="AG377" s="1" t="s">
        <v>56</v>
      </c>
      <c r="AI377" s="2">
        <v>164173.04999999999</v>
      </c>
    </row>
    <row r="378" spans="1:35" ht="14.45" customHeight="1" x14ac:dyDescent="0.2">
      <c r="A378" s="1" t="s">
        <v>57</v>
      </c>
      <c r="B378" s="9" t="s">
        <v>38</v>
      </c>
      <c r="C378" s="1" t="s">
        <v>58</v>
      </c>
      <c r="D378" s="1" t="s">
        <v>59</v>
      </c>
      <c r="E378" s="1" t="s">
        <v>42</v>
      </c>
      <c r="F378" s="1" t="s">
        <v>165</v>
      </c>
      <c r="G378" s="1" t="s">
        <v>88</v>
      </c>
      <c r="H378" s="1" t="s">
        <v>166</v>
      </c>
      <c r="I378" s="1" t="s">
        <v>2303</v>
      </c>
      <c r="J378" s="1">
        <v>2023</v>
      </c>
      <c r="K378" s="1" t="s">
        <v>2304</v>
      </c>
      <c r="L378" s="1" t="s">
        <v>2304</v>
      </c>
      <c r="M378" s="1" t="s">
        <v>2305</v>
      </c>
      <c r="P378" s="1" t="s">
        <v>2306</v>
      </c>
      <c r="Q378" s="1" t="s">
        <v>264</v>
      </c>
      <c r="R378" s="1" t="s">
        <v>265</v>
      </c>
      <c r="S378" s="1" t="s">
        <v>784</v>
      </c>
      <c r="T378" s="1" t="s">
        <v>785</v>
      </c>
      <c r="U378" s="1">
        <v>2</v>
      </c>
      <c r="V378" s="1" t="s">
        <v>80</v>
      </c>
      <c r="W378" s="1" t="s">
        <v>2307</v>
      </c>
      <c r="Y378" s="10">
        <v>45802</v>
      </c>
      <c r="Z378" s="1">
        <v>2025</v>
      </c>
      <c r="AA378" s="12">
        <v>135585</v>
      </c>
      <c r="AB378" s="2"/>
      <c r="AC378" s="12">
        <v>23727.38</v>
      </c>
      <c r="AD378" s="1">
        <v>0</v>
      </c>
      <c r="AE378" s="1">
        <v>0</v>
      </c>
      <c r="AG378" s="1" t="s">
        <v>56</v>
      </c>
      <c r="AI378" s="13">
        <v>23727.38</v>
      </c>
    </row>
    <row r="379" spans="1:35" ht="14.45" customHeight="1" x14ac:dyDescent="0.2">
      <c r="A379" s="1" t="s">
        <v>57</v>
      </c>
      <c r="B379" s="9" t="s">
        <v>38</v>
      </c>
      <c r="C379" s="1" t="s">
        <v>58</v>
      </c>
      <c r="D379" s="1" t="s">
        <v>59</v>
      </c>
      <c r="E379" s="1" t="s">
        <v>42</v>
      </c>
      <c r="F379" s="1" t="s">
        <v>165</v>
      </c>
      <c r="G379" s="1" t="s">
        <v>88</v>
      </c>
      <c r="H379" s="1" t="s">
        <v>166</v>
      </c>
      <c r="I379" s="1" t="s">
        <v>2308</v>
      </c>
      <c r="J379" s="1">
        <v>2023</v>
      </c>
      <c r="K379" s="1" t="s">
        <v>2309</v>
      </c>
      <c r="L379" s="1" t="s">
        <v>2309</v>
      </c>
      <c r="M379" s="1" t="s">
        <v>2310</v>
      </c>
      <c r="P379" s="1" t="s">
        <v>2311</v>
      </c>
      <c r="Q379" s="1" t="s">
        <v>264</v>
      </c>
      <c r="R379" s="1" t="s">
        <v>265</v>
      </c>
      <c r="S379" s="1" t="s">
        <v>299</v>
      </c>
      <c r="T379" s="1" t="s">
        <v>300</v>
      </c>
      <c r="U379" s="1">
        <v>2</v>
      </c>
      <c r="V379" s="1" t="str">
        <f>VLOOKUP(Tabla354[[#This Row],[Municipio]],[1]CON_INE_2024!$H$5:$K$353,3,FALSE)</f>
        <v>Caudal-Aboño</v>
      </c>
      <c r="W379" s="1" t="s">
        <v>2312</v>
      </c>
      <c r="Y379" s="10">
        <v>45802</v>
      </c>
      <c r="Z379" s="1">
        <v>2025</v>
      </c>
      <c r="AA379" s="12">
        <v>265997.21000000002</v>
      </c>
      <c r="AB379" s="2"/>
      <c r="AC379" s="12">
        <v>46549.51</v>
      </c>
      <c r="AD379" s="1">
        <v>0</v>
      </c>
      <c r="AE379" s="1">
        <v>0</v>
      </c>
      <c r="AG379" s="1" t="s">
        <v>56</v>
      </c>
      <c r="AI379" s="13">
        <v>46549.51</v>
      </c>
    </row>
    <row r="380" spans="1:35" ht="14.45" customHeight="1" x14ac:dyDescent="0.2">
      <c r="A380" s="1" t="s">
        <v>57</v>
      </c>
      <c r="B380" s="9" t="s">
        <v>38</v>
      </c>
      <c r="C380" s="1" t="s">
        <v>58</v>
      </c>
      <c r="D380" s="1" t="s">
        <v>59</v>
      </c>
      <c r="E380" s="1" t="s">
        <v>42</v>
      </c>
      <c r="F380" s="1" t="s">
        <v>165</v>
      </c>
      <c r="G380" s="1" t="s">
        <v>88</v>
      </c>
      <c r="H380" s="1" t="s">
        <v>166</v>
      </c>
      <c r="I380" s="1" t="s">
        <v>2313</v>
      </c>
      <c r="J380" s="1">
        <v>2023</v>
      </c>
      <c r="K380" s="1" t="s">
        <v>2314</v>
      </c>
      <c r="L380" s="1" t="s">
        <v>2314</v>
      </c>
      <c r="M380" s="1" t="s">
        <v>1240</v>
      </c>
      <c r="P380" s="1" t="s">
        <v>2315</v>
      </c>
      <c r="Q380" s="1" t="s">
        <v>264</v>
      </c>
      <c r="R380" s="1" t="s">
        <v>265</v>
      </c>
      <c r="S380" s="1" t="s">
        <v>275</v>
      </c>
      <c r="T380" s="2" t="s">
        <v>276</v>
      </c>
      <c r="U380" s="1">
        <v>2</v>
      </c>
      <c r="V380" s="1" t="s">
        <v>80</v>
      </c>
      <c r="W380" s="1" t="s">
        <v>2316</v>
      </c>
      <c r="Y380" s="10">
        <v>45802</v>
      </c>
      <c r="Z380" s="1">
        <v>2025</v>
      </c>
      <c r="AA380" s="12">
        <v>136795.22</v>
      </c>
      <c r="AB380" s="2"/>
      <c r="AC380" s="12">
        <v>23939.16</v>
      </c>
      <c r="AD380" s="1">
        <v>2</v>
      </c>
      <c r="AE380" s="1">
        <v>1</v>
      </c>
      <c r="AG380" s="1" t="s">
        <v>56</v>
      </c>
      <c r="AI380" s="13">
        <v>23939.16</v>
      </c>
    </row>
    <row r="381" spans="1:35" ht="14.45" customHeight="1" x14ac:dyDescent="0.2">
      <c r="A381" s="1" t="s">
        <v>57</v>
      </c>
      <c r="B381" s="9" t="s">
        <v>38</v>
      </c>
      <c r="C381" s="1" t="s">
        <v>58</v>
      </c>
      <c r="D381" s="1" t="s">
        <v>59</v>
      </c>
      <c r="E381" s="1" t="s">
        <v>42</v>
      </c>
      <c r="F381" s="1" t="s">
        <v>165</v>
      </c>
      <c r="G381" s="1" t="s">
        <v>88</v>
      </c>
      <c r="H381" s="1" t="s">
        <v>166</v>
      </c>
      <c r="I381" s="1" t="s">
        <v>2317</v>
      </c>
      <c r="J381" s="1">
        <v>2023</v>
      </c>
      <c r="K381" s="1" t="s">
        <v>2318</v>
      </c>
      <c r="L381" s="1" t="s">
        <v>2319</v>
      </c>
      <c r="M381" s="1" t="s">
        <v>2320</v>
      </c>
      <c r="P381" s="1" t="s">
        <v>2321</v>
      </c>
      <c r="Q381" s="1" t="s">
        <v>264</v>
      </c>
      <c r="R381" s="1" t="s">
        <v>265</v>
      </c>
      <c r="S381" s="1" t="s">
        <v>266</v>
      </c>
      <c r="T381" s="1" t="s">
        <v>267</v>
      </c>
      <c r="U381" s="1">
        <v>2</v>
      </c>
      <c r="V381" s="1" t="str">
        <f>VLOOKUP(Tabla354[[#This Row],[Municipio]],[1]CON_INE_2024!$H$5:$K$353,3,FALSE)</f>
        <v>Caudal-Aboño</v>
      </c>
      <c r="W381" s="1" t="s">
        <v>2322</v>
      </c>
      <c r="Y381" s="10">
        <v>45802</v>
      </c>
      <c r="Z381" s="1">
        <v>2025</v>
      </c>
      <c r="AA381" s="12">
        <v>194468</v>
      </c>
      <c r="AB381" s="2"/>
      <c r="AC381" s="12">
        <v>34031.9</v>
      </c>
      <c r="AD381" s="1">
        <v>0</v>
      </c>
      <c r="AE381" s="1">
        <v>0</v>
      </c>
      <c r="AG381" s="1" t="s">
        <v>56</v>
      </c>
      <c r="AI381" s="13">
        <v>34031.9</v>
      </c>
    </row>
    <row r="382" spans="1:35" ht="14.45" customHeight="1" x14ac:dyDescent="0.2">
      <c r="A382" s="1" t="s">
        <v>57</v>
      </c>
      <c r="B382" s="9" t="s">
        <v>38</v>
      </c>
      <c r="C382" s="1" t="s">
        <v>58</v>
      </c>
      <c r="D382" s="1" t="s">
        <v>59</v>
      </c>
      <c r="E382" s="1" t="s">
        <v>42</v>
      </c>
      <c r="F382" s="1" t="s">
        <v>165</v>
      </c>
      <c r="G382" s="1" t="s">
        <v>88</v>
      </c>
      <c r="H382" s="1" t="s">
        <v>166</v>
      </c>
      <c r="I382" s="1" t="s">
        <v>2323</v>
      </c>
      <c r="J382" s="1">
        <v>2023</v>
      </c>
      <c r="K382" s="1" t="s">
        <v>2324</v>
      </c>
      <c r="L382" s="1" t="s">
        <v>2324</v>
      </c>
      <c r="M382" s="1" t="s">
        <v>1240</v>
      </c>
      <c r="P382" s="1" t="s">
        <v>807</v>
      </c>
      <c r="Q382" s="1" t="s">
        <v>264</v>
      </c>
      <c r="R382" s="1" t="s">
        <v>265</v>
      </c>
      <c r="S382" s="1" t="s">
        <v>266</v>
      </c>
      <c r="T382" s="1" t="s">
        <v>267</v>
      </c>
      <c r="U382" s="1">
        <v>2</v>
      </c>
      <c r="V382" s="1" t="str">
        <f>VLOOKUP(Tabla354[[#This Row],[Municipio]],[1]CON_INE_2024!$H$5:$K$353,3,FALSE)</f>
        <v>Caudal-Aboño</v>
      </c>
      <c r="W382" s="1" t="s">
        <v>2325</v>
      </c>
      <c r="Y382" s="10">
        <v>45802</v>
      </c>
      <c r="Z382" s="1">
        <v>2025</v>
      </c>
      <c r="AA382" s="12">
        <v>40379.14</v>
      </c>
      <c r="AB382" s="2"/>
      <c r="AC382" s="12">
        <v>7066.35</v>
      </c>
      <c r="AD382" s="1">
        <v>0</v>
      </c>
      <c r="AE382" s="1">
        <v>0</v>
      </c>
      <c r="AG382" s="1" t="s">
        <v>56</v>
      </c>
      <c r="AI382" s="13">
        <v>7066.35</v>
      </c>
    </row>
    <row r="383" spans="1:35" ht="14.45" customHeight="1" x14ac:dyDescent="0.2">
      <c r="A383" s="1" t="s">
        <v>57</v>
      </c>
      <c r="B383" s="9" t="s">
        <v>38</v>
      </c>
      <c r="C383" s="1" t="s">
        <v>58</v>
      </c>
      <c r="D383" s="1" t="s">
        <v>59</v>
      </c>
      <c r="E383" s="1" t="s">
        <v>42</v>
      </c>
      <c r="F383" s="1" t="s">
        <v>165</v>
      </c>
      <c r="G383" s="1" t="s">
        <v>88</v>
      </c>
      <c r="H383" s="1" t="s">
        <v>166</v>
      </c>
      <c r="I383" s="1" t="s">
        <v>2326</v>
      </c>
      <c r="J383" s="1">
        <v>2023</v>
      </c>
      <c r="K383" s="1" t="s">
        <v>2327</v>
      </c>
      <c r="L383" s="1" t="s">
        <v>2327</v>
      </c>
      <c r="M383" s="1" t="s">
        <v>2328</v>
      </c>
      <c r="P383" s="1" t="s">
        <v>2329</v>
      </c>
      <c r="Q383" s="1" t="s">
        <v>264</v>
      </c>
      <c r="R383" s="1" t="s">
        <v>265</v>
      </c>
      <c r="S383" s="1" t="s">
        <v>740</v>
      </c>
      <c r="T383" s="2" t="s">
        <v>741</v>
      </c>
      <c r="U383" s="1">
        <v>1</v>
      </c>
      <c r="V383" s="1" t="str">
        <f>VLOOKUP(Tabla354[[#This Row],[Municipio]],[1]CON_INE_2024!$H$5:$K$353,3,FALSE)</f>
        <v>Nalón</v>
      </c>
      <c r="W383" s="1" t="s">
        <v>2330</v>
      </c>
      <c r="Y383" s="10">
        <v>45802</v>
      </c>
      <c r="Z383" s="1">
        <v>2025</v>
      </c>
      <c r="AA383" s="12">
        <v>30400</v>
      </c>
      <c r="AB383" s="2"/>
      <c r="AC383" s="12">
        <v>10640</v>
      </c>
      <c r="AD383" s="1">
        <v>1</v>
      </c>
      <c r="AE383" s="1">
        <v>0</v>
      </c>
      <c r="AG383" s="1" t="s">
        <v>56</v>
      </c>
      <c r="AI383" s="13">
        <v>10640</v>
      </c>
    </row>
    <row r="384" spans="1:35" ht="14.45" customHeight="1" x14ac:dyDescent="0.2">
      <c r="A384" s="1" t="s">
        <v>57</v>
      </c>
      <c r="B384" s="9" t="s">
        <v>38</v>
      </c>
      <c r="C384" s="1" t="s">
        <v>58</v>
      </c>
      <c r="D384" s="1" t="s">
        <v>59</v>
      </c>
      <c r="E384" s="1" t="s">
        <v>42</v>
      </c>
      <c r="F384" s="1" t="s">
        <v>165</v>
      </c>
      <c r="G384" s="1" t="s">
        <v>88</v>
      </c>
      <c r="H384" s="1" t="s">
        <v>166</v>
      </c>
      <c r="I384" s="1" t="s">
        <v>2331</v>
      </c>
      <c r="J384" s="1">
        <v>2023</v>
      </c>
      <c r="K384" s="1" t="s">
        <v>2332</v>
      </c>
      <c r="L384" s="1" t="s">
        <v>2332</v>
      </c>
      <c r="M384" s="1" t="s">
        <v>455</v>
      </c>
      <c r="P384" s="1" t="s">
        <v>2333</v>
      </c>
      <c r="Q384" s="1" t="s">
        <v>264</v>
      </c>
      <c r="R384" s="1" t="s">
        <v>265</v>
      </c>
      <c r="S384" s="1" t="s">
        <v>266</v>
      </c>
      <c r="T384" s="2" t="s">
        <v>267</v>
      </c>
      <c r="U384" s="1">
        <v>2</v>
      </c>
      <c r="V384" s="1" t="str">
        <f>VLOOKUP(Tabla354[[#This Row],[Municipio]],[1]CON_INE_2024!$H$5:$K$353,3,FALSE)</f>
        <v>Caudal-Aboño</v>
      </c>
      <c r="W384" s="1" t="s">
        <v>2334</v>
      </c>
      <c r="Y384" s="10">
        <v>45802</v>
      </c>
      <c r="Z384" s="1">
        <v>2025</v>
      </c>
      <c r="AA384" s="12">
        <v>438402</v>
      </c>
      <c r="AB384" s="2"/>
      <c r="AC384" s="12">
        <v>76720.350000000006</v>
      </c>
      <c r="AD384" s="1">
        <v>3</v>
      </c>
      <c r="AE384" s="1">
        <v>2</v>
      </c>
      <c r="AG384" s="1" t="s">
        <v>56</v>
      </c>
      <c r="AI384" s="13">
        <v>76720.350000000006</v>
      </c>
    </row>
    <row r="385" spans="1:35" ht="14.45" customHeight="1" x14ac:dyDescent="0.2">
      <c r="A385" s="1" t="s">
        <v>57</v>
      </c>
      <c r="B385" s="9" t="s">
        <v>38</v>
      </c>
      <c r="C385" s="1" t="s">
        <v>58</v>
      </c>
      <c r="D385" s="1" t="s">
        <v>59</v>
      </c>
      <c r="E385" s="1" t="s">
        <v>42</v>
      </c>
      <c r="F385" s="1" t="s">
        <v>165</v>
      </c>
      <c r="G385" s="1" t="s">
        <v>88</v>
      </c>
      <c r="H385" s="1" t="s">
        <v>166</v>
      </c>
      <c r="I385" s="1" t="s">
        <v>2335</v>
      </c>
      <c r="J385" s="1">
        <v>2023</v>
      </c>
      <c r="K385" s="1" t="s">
        <v>2336</v>
      </c>
      <c r="L385" s="1" t="s">
        <v>2336</v>
      </c>
      <c r="M385" s="1" t="s">
        <v>2337</v>
      </c>
      <c r="P385" s="1" t="s">
        <v>2338</v>
      </c>
      <c r="Q385" s="1" t="s">
        <v>264</v>
      </c>
      <c r="R385" s="1" t="s">
        <v>265</v>
      </c>
      <c r="S385" s="1" t="s">
        <v>266</v>
      </c>
      <c r="T385" s="1" t="s">
        <v>267</v>
      </c>
      <c r="U385" s="1">
        <v>2</v>
      </c>
      <c r="V385" s="1" t="str">
        <f>VLOOKUP(Tabla354[[#This Row],[Municipio]],[1]CON_INE_2024!$H$5:$K$353,3,FALSE)</f>
        <v>Caudal-Aboño</v>
      </c>
      <c r="W385" s="1" t="s">
        <v>2339</v>
      </c>
      <c r="Y385" s="10">
        <v>45802</v>
      </c>
      <c r="Z385" s="1">
        <v>2025</v>
      </c>
      <c r="AA385" s="12">
        <v>488500</v>
      </c>
      <c r="AB385" s="2"/>
      <c r="AC385" s="12">
        <v>85487.5</v>
      </c>
      <c r="AD385" s="1">
        <v>0</v>
      </c>
      <c r="AE385" s="1">
        <v>0</v>
      </c>
      <c r="AG385" s="1" t="s">
        <v>56</v>
      </c>
      <c r="AI385" s="13">
        <v>85487.5</v>
      </c>
    </row>
    <row r="386" spans="1:35" ht="14.45" customHeight="1" x14ac:dyDescent="0.2">
      <c r="A386" s="1" t="s">
        <v>57</v>
      </c>
      <c r="B386" s="9" t="s">
        <v>38</v>
      </c>
      <c r="C386" s="1" t="s">
        <v>58</v>
      </c>
      <c r="D386" s="1" t="s">
        <v>59</v>
      </c>
      <c r="E386" s="1" t="s">
        <v>42</v>
      </c>
      <c r="F386" s="1" t="s">
        <v>165</v>
      </c>
      <c r="G386" s="1" t="s">
        <v>88</v>
      </c>
      <c r="H386" s="1" t="s">
        <v>166</v>
      </c>
      <c r="I386" s="1" t="s">
        <v>2340</v>
      </c>
      <c r="J386" s="1">
        <v>2023</v>
      </c>
      <c r="K386" s="1" t="s">
        <v>2341</v>
      </c>
      <c r="L386" s="1" t="s">
        <v>2341</v>
      </c>
      <c r="M386" s="1" t="s">
        <v>2342</v>
      </c>
      <c r="P386" s="1" t="s">
        <v>320</v>
      </c>
      <c r="Q386" s="1" t="s">
        <v>264</v>
      </c>
      <c r="R386" s="1" t="s">
        <v>265</v>
      </c>
      <c r="S386" s="1" t="s">
        <v>275</v>
      </c>
      <c r="T386" s="2" t="s">
        <v>276</v>
      </c>
      <c r="U386" s="1">
        <v>2</v>
      </c>
      <c r="V386" s="1" t="s">
        <v>80</v>
      </c>
      <c r="W386" s="1" t="s">
        <v>2343</v>
      </c>
      <c r="Y386" s="10">
        <v>45802</v>
      </c>
      <c r="Z386" s="1">
        <v>2025</v>
      </c>
      <c r="AA386" s="12">
        <v>204411.36</v>
      </c>
      <c r="AB386" s="2"/>
      <c r="AC386" s="12">
        <v>51102.84</v>
      </c>
      <c r="AD386" s="1">
        <v>1</v>
      </c>
      <c r="AE386" s="1">
        <v>0</v>
      </c>
      <c r="AG386" s="1" t="s">
        <v>56</v>
      </c>
      <c r="AI386" s="13">
        <v>51102.84</v>
      </c>
    </row>
    <row r="387" spans="1:35" ht="14.45" customHeight="1" x14ac:dyDescent="0.2">
      <c r="A387" s="1" t="s">
        <v>57</v>
      </c>
      <c r="B387" s="9" t="s">
        <v>38</v>
      </c>
      <c r="C387" s="1" t="s">
        <v>58</v>
      </c>
      <c r="D387" s="1" t="s">
        <v>59</v>
      </c>
      <c r="E387" s="1" t="s">
        <v>42</v>
      </c>
      <c r="F387" s="1" t="s">
        <v>165</v>
      </c>
      <c r="G387" s="1" t="s">
        <v>88</v>
      </c>
      <c r="H387" s="1" t="s">
        <v>166</v>
      </c>
      <c r="I387" s="1" t="s">
        <v>2344</v>
      </c>
      <c r="J387" s="1">
        <v>2023</v>
      </c>
      <c r="K387" s="1" t="s">
        <v>2345</v>
      </c>
      <c r="L387" s="1" t="s">
        <v>2345</v>
      </c>
      <c r="M387" s="1" t="s">
        <v>2346</v>
      </c>
      <c r="P387" s="1" t="s">
        <v>2347</v>
      </c>
      <c r="Q387" s="1" t="s">
        <v>264</v>
      </c>
      <c r="R387" s="1" t="s">
        <v>265</v>
      </c>
      <c r="S387" s="1" t="s">
        <v>350</v>
      </c>
      <c r="T387" s="2" t="s">
        <v>351</v>
      </c>
      <c r="U387" s="1">
        <v>1</v>
      </c>
      <c r="V387" s="1" t="s">
        <v>80</v>
      </c>
      <c r="W387" s="1" t="s">
        <v>2348</v>
      </c>
      <c r="Y387" s="10">
        <v>45802</v>
      </c>
      <c r="Z387" s="1">
        <v>2025</v>
      </c>
      <c r="AA387" s="12">
        <v>495077.77</v>
      </c>
      <c r="AB387" s="2"/>
      <c r="AC387" s="12">
        <v>173277.22</v>
      </c>
      <c r="AD387" s="1">
        <v>2</v>
      </c>
      <c r="AE387" s="1">
        <v>0</v>
      </c>
      <c r="AG387" s="1" t="s">
        <v>56</v>
      </c>
      <c r="AI387" s="13">
        <v>173277.22</v>
      </c>
    </row>
    <row r="388" spans="1:35" ht="12.6" customHeight="1" x14ac:dyDescent="0.2">
      <c r="A388" s="1" t="s">
        <v>57</v>
      </c>
      <c r="B388" s="9" t="s">
        <v>38</v>
      </c>
      <c r="C388" s="1" t="s">
        <v>58</v>
      </c>
      <c r="D388" s="1" t="s">
        <v>59</v>
      </c>
      <c r="E388" s="1" t="s">
        <v>42</v>
      </c>
      <c r="F388" s="1" t="s">
        <v>165</v>
      </c>
      <c r="G388" s="1" t="s">
        <v>88</v>
      </c>
      <c r="H388" s="1" t="s">
        <v>166</v>
      </c>
      <c r="I388" s="1" t="s">
        <v>2349</v>
      </c>
      <c r="J388" s="1">
        <v>2023</v>
      </c>
      <c r="K388" s="1" t="s">
        <v>2350</v>
      </c>
      <c r="L388" s="1" t="s">
        <v>2350</v>
      </c>
      <c r="M388" s="1" t="s">
        <v>2351</v>
      </c>
      <c r="P388" s="1" t="s">
        <v>2352</v>
      </c>
      <c r="Q388" s="1" t="s">
        <v>264</v>
      </c>
      <c r="R388" s="1" t="s">
        <v>265</v>
      </c>
      <c r="S388" s="1" t="s">
        <v>275</v>
      </c>
      <c r="T388" s="2" t="s">
        <v>276</v>
      </c>
      <c r="U388" s="1">
        <v>2</v>
      </c>
      <c r="V388" s="1" t="s">
        <v>80</v>
      </c>
      <c r="W388" s="1" t="s">
        <v>2353</v>
      </c>
      <c r="Y388" s="10">
        <v>45802</v>
      </c>
      <c r="Z388" s="1">
        <v>2025</v>
      </c>
      <c r="AA388" s="12">
        <v>236828.47</v>
      </c>
      <c r="AB388" s="2"/>
      <c r="AC388" s="12">
        <v>41444.980000000003</v>
      </c>
      <c r="AD388" s="1">
        <v>4.5</v>
      </c>
      <c r="AE388" s="1">
        <v>3</v>
      </c>
      <c r="AG388" s="1" t="s">
        <v>56</v>
      </c>
      <c r="AI388" s="13">
        <v>41444.980000000003</v>
      </c>
    </row>
    <row r="389" spans="1:35" ht="14.45" customHeight="1" x14ac:dyDescent="0.2">
      <c r="A389" s="1" t="s">
        <v>57</v>
      </c>
      <c r="B389" s="9" t="s">
        <v>38</v>
      </c>
      <c r="C389" s="1" t="s">
        <v>58</v>
      </c>
      <c r="D389" s="1" t="s">
        <v>59</v>
      </c>
      <c r="E389" s="1" t="s">
        <v>42</v>
      </c>
      <c r="F389" s="1" t="s">
        <v>165</v>
      </c>
      <c r="G389" s="1" t="s">
        <v>88</v>
      </c>
      <c r="H389" s="1" t="s">
        <v>166</v>
      </c>
      <c r="I389" s="1" t="s">
        <v>2354</v>
      </c>
      <c r="J389" s="1">
        <v>2023</v>
      </c>
      <c r="K389" s="1" t="s">
        <v>2355</v>
      </c>
      <c r="L389" s="1" t="s">
        <v>2355</v>
      </c>
      <c r="M389" s="1" t="s">
        <v>2356</v>
      </c>
      <c r="P389" s="1" t="s">
        <v>2357</v>
      </c>
      <c r="Q389" s="1" t="s">
        <v>264</v>
      </c>
      <c r="R389" s="1" t="s">
        <v>265</v>
      </c>
      <c r="S389" s="1" t="s">
        <v>266</v>
      </c>
      <c r="T389" s="2" t="s">
        <v>267</v>
      </c>
      <c r="U389" s="1">
        <v>2</v>
      </c>
      <c r="V389" s="1" t="str">
        <f>VLOOKUP(Tabla354[[#This Row],[Municipio]],[1]CON_INE_2024!$H$5:$K$353,3,FALSE)</f>
        <v>Caudal-Aboño</v>
      </c>
      <c r="W389" s="1" t="s">
        <v>2358</v>
      </c>
      <c r="Y389" s="10">
        <v>45802</v>
      </c>
      <c r="Z389" s="1">
        <v>2025</v>
      </c>
      <c r="AA389" s="12">
        <v>145781.47</v>
      </c>
      <c r="AB389" s="2"/>
      <c r="AC389" s="12">
        <v>25511.759999999998</v>
      </c>
      <c r="AD389" s="1">
        <v>1</v>
      </c>
      <c r="AE389" s="1">
        <v>1</v>
      </c>
      <c r="AG389" s="1" t="s">
        <v>56</v>
      </c>
      <c r="AI389" s="13">
        <v>25511.759999999998</v>
      </c>
    </row>
    <row r="390" spans="1:35" ht="14.45" customHeight="1" x14ac:dyDescent="0.2">
      <c r="A390" s="1" t="s">
        <v>57</v>
      </c>
      <c r="B390" s="9" t="s">
        <v>38</v>
      </c>
      <c r="C390" s="1" t="s">
        <v>58</v>
      </c>
      <c r="D390" s="1" t="s">
        <v>59</v>
      </c>
      <c r="E390" s="1" t="s">
        <v>42</v>
      </c>
      <c r="F390" s="1" t="s">
        <v>165</v>
      </c>
      <c r="G390" s="1" t="s">
        <v>88</v>
      </c>
      <c r="H390" s="1" t="s">
        <v>166</v>
      </c>
      <c r="I390" s="1" t="s">
        <v>2359</v>
      </c>
      <c r="J390" s="1">
        <v>2023</v>
      </c>
      <c r="K390" s="1" t="s">
        <v>2327</v>
      </c>
      <c r="L390" s="1" t="s">
        <v>2327</v>
      </c>
      <c r="M390" s="1" t="s">
        <v>2360</v>
      </c>
      <c r="P390" s="1" t="s">
        <v>2361</v>
      </c>
      <c r="Q390" s="1" t="s">
        <v>264</v>
      </c>
      <c r="R390" s="1" t="s">
        <v>265</v>
      </c>
      <c r="S390" s="1" t="s">
        <v>275</v>
      </c>
      <c r="T390" s="1" t="s">
        <v>276</v>
      </c>
      <c r="U390" s="1">
        <v>2</v>
      </c>
      <c r="V390" s="1" t="s">
        <v>80</v>
      </c>
      <c r="W390" s="1" t="s">
        <v>2330</v>
      </c>
      <c r="Y390" s="10">
        <v>45802</v>
      </c>
      <c r="Z390" s="1">
        <v>2025</v>
      </c>
      <c r="AA390" s="12">
        <v>32475</v>
      </c>
      <c r="AB390" s="2"/>
      <c r="AC390" s="12">
        <v>5683.13</v>
      </c>
      <c r="AD390" s="1">
        <v>0</v>
      </c>
      <c r="AE390" s="1">
        <v>0</v>
      </c>
      <c r="AG390" s="1" t="s">
        <v>56</v>
      </c>
      <c r="AI390" s="13">
        <v>5683.13</v>
      </c>
    </row>
    <row r="391" spans="1:35" ht="14.45" customHeight="1" x14ac:dyDescent="0.2">
      <c r="A391" s="1" t="s">
        <v>57</v>
      </c>
      <c r="B391" s="9" t="s">
        <v>38</v>
      </c>
      <c r="C391" s="1" t="s">
        <v>58</v>
      </c>
      <c r="D391" s="1" t="s">
        <v>59</v>
      </c>
      <c r="E391" s="1" t="s">
        <v>42</v>
      </c>
      <c r="F391" s="1" t="s">
        <v>165</v>
      </c>
      <c r="G391" s="1" t="s">
        <v>88</v>
      </c>
      <c r="H391" s="1" t="s">
        <v>166</v>
      </c>
      <c r="I391" s="1" t="s">
        <v>2362</v>
      </c>
      <c r="J391" s="1">
        <v>2023</v>
      </c>
      <c r="K391" s="1" t="s">
        <v>2363</v>
      </c>
      <c r="L391" s="1" t="s">
        <v>2363</v>
      </c>
      <c r="M391" s="1" t="s">
        <v>2364</v>
      </c>
      <c r="P391" s="1" t="s">
        <v>2365</v>
      </c>
      <c r="Q391" s="1" t="s">
        <v>264</v>
      </c>
      <c r="R391" s="1" t="s">
        <v>265</v>
      </c>
      <c r="S391" s="1" t="s">
        <v>299</v>
      </c>
      <c r="T391" s="2" t="s">
        <v>300</v>
      </c>
      <c r="U391" s="1">
        <v>2</v>
      </c>
      <c r="V391" s="1" t="str">
        <f>VLOOKUP(Tabla354[[#This Row],[Municipio]],[1]CON_INE_2024!$H$5:$K$353,3,FALSE)</f>
        <v>Caudal-Aboño</v>
      </c>
      <c r="W391" s="1" t="s">
        <v>2366</v>
      </c>
      <c r="Y391" s="10">
        <v>45802</v>
      </c>
      <c r="Z391" s="1">
        <v>2025</v>
      </c>
      <c r="AA391" s="12">
        <v>31000</v>
      </c>
      <c r="AB391" s="2"/>
      <c r="AC391" s="12">
        <v>5425</v>
      </c>
      <c r="AD391" s="1">
        <v>2</v>
      </c>
      <c r="AE391" s="1">
        <v>0</v>
      </c>
      <c r="AG391" s="1" t="s">
        <v>56</v>
      </c>
      <c r="AI391" s="13">
        <v>5425</v>
      </c>
    </row>
    <row r="392" spans="1:35" ht="12.6" customHeight="1" x14ac:dyDescent="0.2">
      <c r="A392" s="1" t="s">
        <v>57</v>
      </c>
      <c r="B392" s="9" t="s">
        <v>38</v>
      </c>
      <c r="C392" s="1" t="s">
        <v>58</v>
      </c>
      <c r="D392" s="1" t="s">
        <v>59</v>
      </c>
      <c r="E392" s="1" t="s">
        <v>42</v>
      </c>
      <c r="F392" s="1" t="s">
        <v>165</v>
      </c>
      <c r="G392" s="1" t="s">
        <v>88</v>
      </c>
      <c r="H392" s="1" t="s">
        <v>166</v>
      </c>
      <c r="I392" s="1" t="s">
        <v>2367</v>
      </c>
      <c r="J392" s="1">
        <v>2023</v>
      </c>
      <c r="K392" s="1" t="s">
        <v>2368</v>
      </c>
      <c r="L392" s="1" t="s">
        <v>2368</v>
      </c>
      <c r="M392" s="1" t="s">
        <v>2369</v>
      </c>
      <c r="P392" s="1" t="s">
        <v>2370</v>
      </c>
      <c r="Q392" s="1" t="s">
        <v>264</v>
      </c>
      <c r="R392" s="1" t="s">
        <v>265</v>
      </c>
      <c r="S392" s="1" t="s">
        <v>350</v>
      </c>
      <c r="T392" s="2" t="s">
        <v>351</v>
      </c>
      <c r="U392" s="1">
        <v>1</v>
      </c>
      <c r="V392" s="1" t="s">
        <v>80</v>
      </c>
      <c r="W392" s="1" t="s">
        <v>2371</v>
      </c>
      <c r="Y392" s="10">
        <v>45802</v>
      </c>
      <c r="Z392" s="1">
        <v>2025</v>
      </c>
      <c r="AA392" s="12">
        <v>351741</v>
      </c>
      <c r="AB392" s="2"/>
      <c r="AC392" s="12">
        <v>115000</v>
      </c>
      <c r="AD392" s="1">
        <v>1</v>
      </c>
      <c r="AE392" s="1">
        <v>0</v>
      </c>
      <c r="AG392" s="1" t="s">
        <v>56</v>
      </c>
      <c r="AI392" s="13">
        <v>115000</v>
      </c>
    </row>
    <row r="393" spans="1:35" ht="12.6" customHeight="1" x14ac:dyDescent="0.2">
      <c r="A393" s="1" t="s">
        <v>57</v>
      </c>
      <c r="B393" s="9" t="s">
        <v>38</v>
      </c>
      <c r="C393" s="1" t="s">
        <v>58</v>
      </c>
      <c r="D393" s="1" t="s">
        <v>59</v>
      </c>
      <c r="E393" s="1" t="s">
        <v>42</v>
      </c>
      <c r="F393" s="1" t="s">
        <v>165</v>
      </c>
      <c r="G393" s="1" t="s">
        <v>88</v>
      </c>
      <c r="H393" s="1" t="s">
        <v>166</v>
      </c>
      <c r="I393" s="1" t="s">
        <v>2372</v>
      </c>
      <c r="J393" s="1">
        <v>2023</v>
      </c>
      <c r="K393" s="1" t="s">
        <v>2373</v>
      </c>
      <c r="L393" s="1" t="s">
        <v>2373</v>
      </c>
      <c r="M393" s="1" t="s">
        <v>1240</v>
      </c>
      <c r="P393" s="1" t="s">
        <v>2374</v>
      </c>
      <c r="Q393" s="1" t="s">
        <v>264</v>
      </c>
      <c r="R393" s="1" t="s">
        <v>265</v>
      </c>
      <c r="S393" s="1" t="s">
        <v>379</v>
      </c>
      <c r="T393" s="1" t="s">
        <v>380</v>
      </c>
      <c r="U393" s="1">
        <v>2</v>
      </c>
      <c r="V393" s="1" t="str">
        <f>VLOOKUP(Tabla354[[#This Row],[Municipio]],[1]CON_INE_2024!$H$5:$K$353,3,FALSE)</f>
        <v>Caudal-Aboño</v>
      </c>
      <c r="W393" s="1" t="s">
        <v>2375</v>
      </c>
      <c r="Y393" s="10">
        <v>45802</v>
      </c>
      <c r="Z393" s="1">
        <v>2025</v>
      </c>
      <c r="AA393" s="12">
        <v>433189.36</v>
      </c>
      <c r="AB393" s="2"/>
      <c r="AC393" s="12">
        <v>75808.14</v>
      </c>
      <c r="AD393" s="1">
        <v>1</v>
      </c>
      <c r="AE393" s="1">
        <v>1</v>
      </c>
      <c r="AG393" s="1" t="s">
        <v>56</v>
      </c>
      <c r="AI393" s="13">
        <v>75808.14</v>
      </c>
    </row>
    <row r="394" spans="1:35" ht="12.6" customHeight="1" x14ac:dyDescent="0.2">
      <c r="A394" s="1" t="s">
        <v>57</v>
      </c>
      <c r="B394" s="9" t="s">
        <v>38</v>
      </c>
      <c r="C394" s="1" t="s">
        <v>58</v>
      </c>
      <c r="D394" s="1" t="s">
        <v>59</v>
      </c>
      <c r="E394" s="1" t="s">
        <v>42</v>
      </c>
      <c r="F394" s="1" t="s">
        <v>165</v>
      </c>
      <c r="G394" s="1" t="s">
        <v>88</v>
      </c>
      <c r="H394" s="1" t="s">
        <v>166</v>
      </c>
      <c r="I394" s="1" t="s">
        <v>2376</v>
      </c>
      <c r="J394" s="1">
        <v>2023</v>
      </c>
      <c r="K394" s="1" t="s">
        <v>2377</v>
      </c>
      <c r="L394" s="1" t="s">
        <v>2377</v>
      </c>
      <c r="M394" s="1" t="s">
        <v>2378</v>
      </c>
      <c r="P394" s="1" t="s">
        <v>2379</v>
      </c>
      <c r="Q394" s="1" t="s">
        <v>264</v>
      </c>
      <c r="R394" s="1" t="s">
        <v>265</v>
      </c>
      <c r="S394" s="1" t="s">
        <v>350</v>
      </c>
      <c r="T394" s="2" t="s">
        <v>351</v>
      </c>
      <c r="U394" s="1">
        <v>1</v>
      </c>
      <c r="V394" s="1" t="s">
        <v>80</v>
      </c>
      <c r="W394" s="1" t="s">
        <v>2380</v>
      </c>
      <c r="Y394" s="10">
        <v>45802</v>
      </c>
      <c r="Z394" s="1">
        <v>2025</v>
      </c>
      <c r="AA394" s="12">
        <v>277943.89</v>
      </c>
      <c r="AB394" s="2"/>
      <c r="AC394" s="12">
        <v>97280.36</v>
      </c>
      <c r="AD394" s="1">
        <v>0</v>
      </c>
      <c r="AE394" s="1">
        <v>0</v>
      </c>
      <c r="AG394" s="1" t="s">
        <v>56</v>
      </c>
      <c r="AI394" s="13">
        <v>97280.36</v>
      </c>
    </row>
    <row r="395" spans="1:35" ht="12.6" customHeight="1" x14ac:dyDescent="0.2">
      <c r="A395" s="1" t="s">
        <v>57</v>
      </c>
      <c r="B395" s="9" t="s">
        <v>38</v>
      </c>
      <c r="C395" s="1" t="s">
        <v>58</v>
      </c>
      <c r="D395" s="1" t="s">
        <v>59</v>
      </c>
      <c r="E395" s="1" t="s">
        <v>42</v>
      </c>
      <c r="F395" s="1" t="s">
        <v>165</v>
      </c>
      <c r="G395" s="1" t="s">
        <v>88</v>
      </c>
      <c r="H395" s="1" t="s">
        <v>166</v>
      </c>
      <c r="I395" s="1" t="s">
        <v>2381</v>
      </c>
      <c r="J395" s="1">
        <v>2023</v>
      </c>
      <c r="K395" s="1" t="s">
        <v>2382</v>
      </c>
      <c r="L395" s="1" t="s">
        <v>2382</v>
      </c>
      <c r="M395" s="1" t="s">
        <v>2383</v>
      </c>
      <c r="P395" s="1" t="s">
        <v>934</v>
      </c>
      <c r="Q395" s="1" t="s">
        <v>264</v>
      </c>
      <c r="R395" s="1" t="s">
        <v>265</v>
      </c>
      <c r="S395" s="1" t="s">
        <v>935</v>
      </c>
      <c r="T395" s="2" t="s">
        <v>936</v>
      </c>
      <c r="U395" s="1">
        <v>1</v>
      </c>
      <c r="V395" s="1" t="s">
        <v>308</v>
      </c>
      <c r="W395" s="1" t="s">
        <v>2384</v>
      </c>
      <c r="Y395" s="10">
        <v>45802</v>
      </c>
      <c r="Z395" s="1">
        <v>2025</v>
      </c>
      <c r="AA395" s="12">
        <v>49800</v>
      </c>
      <c r="AB395" s="2"/>
      <c r="AC395" s="12">
        <v>17430</v>
      </c>
      <c r="AD395" s="1">
        <v>0</v>
      </c>
      <c r="AE395" s="1">
        <v>0</v>
      </c>
      <c r="AG395" s="1" t="s">
        <v>56</v>
      </c>
      <c r="AI395" s="13">
        <v>17430</v>
      </c>
    </row>
    <row r="396" spans="1:35" ht="12.6" customHeight="1" x14ac:dyDescent="0.2">
      <c r="A396" s="1" t="s">
        <v>57</v>
      </c>
      <c r="B396" s="9" t="s">
        <v>38</v>
      </c>
      <c r="C396" s="1" t="s">
        <v>58</v>
      </c>
      <c r="D396" s="1" t="s">
        <v>59</v>
      </c>
      <c r="E396" s="1" t="s">
        <v>42</v>
      </c>
      <c r="F396" s="1" t="s">
        <v>165</v>
      </c>
      <c r="G396" s="1" t="s">
        <v>88</v>
      </c>
      <c r="H396" s="1" t="s">
        <v>166</v>
      </c>
      <c r="I396" s="1" t="s">
        <v>2385</v>
      </c>
      <c r="J396" s="1">
        <v>2023</v>
      </c>
      <c r="K396" s="1" t="s">
        <v>2386</v>
      </c>
      <c r="L396" s="1" t="s">
        <v>2386</v>
      </c>
      <c r="M396" s="1" t="s">
        <v>1240</v>
      </c>
      <c r="P396" s="1" t="s">
        <v>2387</v>
      </c>
      <c r="Q396" s="1" t="s">
        <v>264</v>
      </c>
      <c r="R396" s="1" t="s">
        <v>265</v>
      </c>
      <c r="S396" s="1" t="s">
        <v>656</v>
      </c>
      <c r="T396" s="2" t="s">
        <v>657</v>
      </c>
      <c r="U396" s="1">
        <v>2</v>
      </c>
      <c r="V396" s="1" t="str">
        <f>VLOOKUP(Tabla354[[#This Row],[Municipio]],[1]CON_INE_2024!$H$5:$K$353,3,FALSE)</f>
        <v>Caudal-Aboño</v>
      </c>
      <c r="W396" s="1" t="s">
        <v>2388</v>
      </c>
      <c r="Y396" s="10">
        <v>45802</v>
      </c>
      <c r="Z396" s="1">
        <v>2025</v>
      </c>
      <c r="AA396" s="12">
        <v>123938.19</v>
      </c>
      <c r="AB396" s="2"/>
      <c r="AC396" s="12">
        <v>21689.18</v>
      </c>
      <c r="AD396" s="1">
        <v>1</v>
      </c>
      <c r="AE396" s="1">
        <v>0</v>
      </c>
      <c r="AG396" s="1" t="s">
        <v>56</v>
      </c>
      <c r="AI396" s="13">
        <v>21689.18</v>
      </c>
    </row>
    <row r="397" spans="1:35" ht="12.6" customHeight="1" x14ac:dyDescent="0.2">
      <c r="A397" s="1" t="s">
        <v>57</v>
      </c>
      <c r="B397" s="9" t="s">
        <v>38</v>
      </c>
      <c r="C397" s="1" t="s">
        <v>58</v>
      </c>
      <c r="D397" s="1" t="s">
        <v>59</v>
      </c>
      <c r="E397" s="1" t="s">
        <v>42</v>
      </c>
      <c r="F397" s="1" t="s">
        <v>165</v>
      </c>
      <c r="G397" s="1" t="s">
        <v>88</v>
      </c>
      <c r="H397" s="1" t="s">
        <v>166</v>
      </c>
      <c r="I397" s="1" t="s">
        <v>2389</v>
      </c>
      <c r="J397" s="1">
        <v>2023</v>
      </c>
      <c r="K397" s="1" t="s">
        <v>2390</v>
      </c>
      <c r="L397" s="1" t="s">
        <v>2390</v>
      </c>
      <c r="M397" s="1" t="s">
        <v>1240</v>
      </c>
      <c r="P397" s="1" t="s">
        <v>2391</v>
      </c>
      <c r="Q397" s="1" t="s">
        <v>264</v>
      </c>
      <c r="R397" s="1" t="s">
        <v>265</v>
      </c>
      <c r="S397" s="1" t="s">
        <v>275</v>
      </c>
      <c r="T397" s="2" t="s">
        <v>276</v>
      </c>
      <c r="U397" s="1">
        <v>2</v>
      </c>
      <c r="V397" s="1" t="s">
        <v>80</v>
      </c>
      <c r="W397" s="1" t="s">
        <v>2392</v>
      </c>
      <c r="Y397" s="10">
        <v>45802</v>
      </c>
      <c r="Z397" s="1">
        <v>2025</v>
      </c>
      <c r="AA397" s="12">
        <v>110532.15</v>
      </c>
      <c r="AB397" s="2"/>
      <c r="AC397" s="12">
        <v>19343.13</v>
      </c>
      <c r="AD397" s="1">
        <v>1</v>
      </c>
      <c r="AE397" s="1">
        <v>1</v>
      </c>
      <c r="AG397" s="1" t="s">
        <v>56</v>
      </c>
      <c r="AI397" s="13">
        <v>19343.13</v>
      </c>
    </row>
    <row r="398" spans="1:35" ht="12.6" customHeight="1" x14ac:dyDescent="0.2">
      <c r="A398" s="1" t="s">
        <v>57</v>
      </c>
      <c r="B398" s="9" t="s">
        <v>38</v>
      </c>
      <c r="C398" s="1" t="s">
        <v>58</v>
      </c>
      <c r="D398" s="1" t="s">
        <v>59</v>
      </c>
      <c r="E398" s="1" t="s">
        <v>42</v>
      </c>
      <c r="F398" s="1" t="s">
        <v>165</v>
      </c>
      <c r="G398" s="1" t="s">
        <v>88</v>
      </c>
      <c r="H398" s="1" t="s">
        <v>166</v>
      </c>
      <c r="I398" s="1" t="s">
        <v>2393</v>
      </c>
      <c r="J398" s="1">
        <v>2023</v>
      </c>
      <c r="K398" s="1" t="s">
        <v>2394</v>
      </c>
      <c r="L398" s="1" t="s">
        <v>2394</v>
      </c>
      <c r="M398" s="1" t="s">
        <v>2395</v>
      </c>
      <c r="P398" s="1" t="s">
        <v>2396</v>
      </c>
      <c r="Q398" s="1" t="s">
        <v>264</v>
      </c>
      <c r="R398" s="1" t="s">
        <v>265</v>
      </c>
      <c r="S398" s="1" t="s">
        <v>350</v>
      </c>
      <c r="T398" s="2" t="s">
        <v>351</v>
      </c>
      <c r="U398" s="1">
        <v>1</v>
      </c>
      <c r="V398" s="1" t="s">
        <v>80</v>
      </c>
      <c r="W398" s="1" t="s">
        <v>2397</v>
      </c>
      <c r="Y398" s="10">
        <v>45802</v>
      </c>
      <c r="Z398" s="1">
        <v>2025</v>
      </c>
      <c r="AA398" s="27">
        <v>227031.5</v>
      </c>
      <c r="AB398" s="2"/>
      <c r="AC398" s="27">
        <v>56757.88</v>
      </c>
      <c r="AD398" s="1">
        <v>2</v>
      </c>
      <c r="AE398" s="1">
        <v>1</v>
      </c>
      <c r="AG398" s="1" t="s">
        <v>56</v>
      </c>
      <c r="AI398" s="28">
        <v>56757.88</v>
      </c>
    </row>
    <row r="399" spans="1:35" ht="12.6" customHeight="1" x14ac:dyDescent="0.2">
      <c r="A399" s="1" t="s">
        <v>57</v>
      </c>
      <c r="B399" s="9" t="s">
        <v>38</v>
      </c>
      <c r="C399" s="1" t="s">
        <v>58</v>
      </c>
      <c r="D399" s="1" t="s">
        <v>59</v>
      </c>
      <c r="E399" s="1" t="s">
        <v>42</v>
      </c>
      <c r="F399" s="1" t="s">
        <v>165</v>
      </c>
      <c r="G399" s="1" t="s">
        <v>88</v>
      </c>
      <c r="H399" s="1" t="s">
        <v>166</v>
      </c>
      <c r="I399" s="1" t="s">
        <v>2398</v>
      </c>
      <c r="J399" s="1">
        <v>2023</v>
      </c>
      <c r="K399" s="1" t="s">
        <v>2399</v>
      </c>
      <c r="L399" s="1" t="s">
        <v>2399</v>
      </c>
      <c r="M399" s="1" t="s">
        <v>2400</v>
      </c>
      <c r="P399" s="1" t="s">
        <v>2401</v>
      </c>
      <c r="Q399" s="1" t="s">
        <v>264</v>
      </c>
      <c r="R399" s="1" t="s">
        <v>265</v>
      </c>
      <c r="S399" s="1" t="s">
        <v>275</v>
      </c>
      <c r="T399" s="2" t="s">
        <v>276</v>
      </c>
      <c r="U399" s="1">
        <v>2</v>
      </c>
      <c r="V399" s="1" t="s">
        <v>80</v>
      </c>
      <c r="W399" s="1" t="s">
        <v>2402</v>
      </c>
      <c r="Y399" s="10">
        <v>45802</v>
      </c>
      <c r="Z399" s="1">
        <v>2025</v>
      </c>
      <c r="AA399" s="12">
        <v>91140</v>
      </c>
      <c r="AB399" s="2"/>
      <c r="AC399" s="12">
        <v>15949.5</v>
      </c>
      <c r="AD399" s="1">
        <v>3</v>
      </c>
      <c r="AE399" s="1">
        <v>2</v>
      </c>
      <c r="AG399" s="1" t="s">
        <v>56</v>
      </c>
      <c r="AI399" s="13">
        <v>15949.5</v>
      </c>
    </row>
    <row r="400" spans="1:35" ht="12.6" customHeight="1" x14ac:dyDescent="0.2">
      <c r="A400" s="1" t="s">
        <v>57</v>
      </c>
      <c r="B400" s="9" t="s">
        <v>38</v>
      </c>
      <c r="C400" s="1" t="s">
        <v>58</v>
      </c>
      <c r="D400" s="1" t="s">
        <v>59</v>
      </c>
      <c r="E400" s="1" t="s">
        <v>42</v>
      </c>
      <c r="F400" s="1" t="s">
        <v>165</v>
      </c>
      <c r="G400" s="1" t="s">
        <v>88</v>
      </c>
      <c r="H400" s="1" t="s">
        <v>166</v>
      </c>
      <c r="I400" s="1" t="s">
        <v>2403</v>
      </c>
      <c r="J400" s="1">
        <v>2023</v>
      </c>
      <c r="K400" s="1" t="s">
        <v>2404</v>
      </c>
      <c r="L400" s="1" t="s">
        <v>2404</v>
      </c>
      <c r="M400" s="1" t="s">
        <v>2405</v>
      </c>
      <c r="P400" s="1" t="s">
        <v>2406</v>
      </c>
      <c r="Q400" s="1" t="s">
        <v>264</v>
      </c>
      <c r="R400" s="1" t="s">
        <v>265</v>
      </c>
      <c r="S400" s="1" t="s">
        <v>266</v>
      </c>
      <c r="T400" s="1" t="s">
        <v>267</v>
      </c>
      <c r="U400" s="1">
        <v>2</v>
      </c>
      <c r="V400" s="1" t="str">
        <f>VLOOKUP(Tabla354[[#This Row],[Municipio]],[1]CON_INE_2024!$H$5:$K$353,3,FALSE)</f>
        <v>Caudal-Aboño</v>
      </c>
      <c r="W400" s="1" t="s">
        <v>2407</v>
      </c>
      <c r="Y400" s="10">
        <v>45802</v>
      </c>
      <c r="Z400" s="1">
        <v>2025</v>
      </c>
      <c r="AA400" s="12">
        <v>99144.8</v>
      </c>
      <c r="AB400" s="2"/>
      <c r="AC400" s="12">
        <v>12393.1</v>
      </c>
      <c r="AD400" s="1">
        <v>0</v>
      </c>
      <c r="AE400" s="1">
        <v>0</v>
      </c>
      <c r="AG400" s="1" t="s">
        <v>56</v>
      </c>
      <c r="AI400" s="13">
        <v>12393.1</v>
      </c>
    </row>
    <row r="401" spans="1:35" ht="12.6" customHeight="1" x14ac:dyDescent="0.2">
      <c r="A401" s="1" t="s">
        <v>57</v>
      </c>
      <c r="B401" s="9" t="s">
        <v>38</v>
      </c>
      <c r="C401" s="1" t="s">
        <v>58</v>
      </c>
      <c r="D401" s="1" t="s">
        <v>59</v>
      </c>
      <c r="E401" s="1" t="s">
        <v>42</v>
      </c>
      <c r="F401" s="1" t="s">
        <v>165</v>
      </c>
      <c r="G401" s="1" t="s">
        <v>88</v>
      </c>
      <c r="H401" s="1" t="s">
        <v>166</v>
      </c>
      <c r="I401" s="1" t="s">
        <v>2408</v>
      </c>
      <c r="J401" s="1">
        <v>2023</v>
      </c>
      <c r="K401" s="1" t="s">
        <v>2409</v>
      </c>
      <c r="L401" s="1" t="s">
        <v>2409</v>
      </c>
      <c r="M401" s="1" t="s">
        <v>2410</v>
      </c>
      <c r="P401" s="1" t="s">
        <v>2411</v>
      </c>
      <c r="Q401" s="1" t="s">
        <v>264</v>
      </c>
      <c r="R401" s="1" t="s">
        <v>265</v>
      </c>
      <c r="S401" s="1" t="s">
        <v>533</v>
      </c>
      <c r="T401" s="2" t="s">
        <v>534</v>
      </c>
      <c r="U401" s="1">
        <v>1</v>
      </c>
      <c r="V401" s="1" t="str">
        <f>VLOOKUP(Tabla354[[#This Row],[Municipio]],[1]CON_INE_2024!$H$5:$K$353,3,FALSE)</f>
        <v>Nalón</v>
      </c>
      <c r="W401" s="1" t="s">
        <v>2412</v>
      </c>
      <c r="Y401" s="10">
        <v>45802</v>
      </c>
      <c r="Z401" s="1">
        <v>2025</v>
      </c>
      <c r="AA401" s="12">
        <v>63868</v>
      </c>
      <c r="AB401" s="2"/>
      <c r="AC401" s="12">
        <v>22353.8</v>
      </c>
      <c r="AD401" s="1">
        <v>0</v>
      </c>
      <c r="AE401" s="1">
        <v>0</v>
      </c>
      <c r="AG401" s="1" t="s">
        <v>56</v>
      </c>
      <c r="AI401" s="13">
        <v>22353.8</v>
      </c>
    </row>
    <row r="402" spans="1:35" ht="12.6" customHeight="1" x14ac:dyDescent="0.2">
      <c r="A402" s="1" t="s">
        <v>57</v>
      </c>
      <c r="B402" s="9" t="s">
        <v>38</v>
      </c>
      <c r="C402" s="1" t="s">
        <v>58</v>
      </c>
      <c r="D402" s="1" t="s">
        <v>59</v>
      </c>
      <c r="E402" s="1" t="s">
        <v>42</v>
      </c>
      <c r="F402" s="1" t="s">
        <v>165</v>
      </c>
      <c r="G402" s="1" t="s">
        <v>88</v>
      </c>
      <c r="H402" s="1" t="s">
        <v>166</v>
      </c>
      <c r="I402" s="1" t="s">
        <v>2413</v>
      </c>
      <c r="J402" s="1">
        <v>2023</v>
      </c>
      <c r="K402" s="1" t="s">
        <v>2414</v>
      </c>
      <c r="L402" s="1" t="s">
        <v>2414</v>
      </c>
      <c r="M402" s="1" t="s">
        <v>2415</v>
      </c>
      <c r="P402" s="1" t="s">
        <v>2416</v>
      </c>
      <c r="Q402" s="1" t="s">
        <v>264</v>
      </c>
      <c r="R402" s="1" t="s">
        <v>265</v>
      </c>
      <c r="S402" s="1" t="s">
        <v>379</v>
      </c>
      <c r="T402" s="2" t="s">
        <v>380</v>
      </c>
      <c r="U402" s="1">
        <v>2</v>
      </c>
      <c r="V402" s="1" t="str">
        <f>VLOOKUP(Tabla354[[#This Row],[Municipio]],[1]CON_INE_2024!$H$5:$K$353,3,FALSE)</f>
        <v>Caudal-Aboño</v>
      </c>
      <c r="W402" s="1" t="s">
        <v>2417</v>
      </c>
      <c r="Y402" s="10">
        <v>45802</v>
      </c>
      <c r="Z402" s="1">
        <v>2025</v>
      </c>
      <c r="AA402" s="12">
        <v>436644.86</v>
      </c>
      <c r="AB402" s="2"/>
      <c r="AC402" s="12">
        <v>54580.61</v>
      </c>
      <c r="AD402" s="1">
        <v>3</v>
      </c>
      <c r="AE402" s="1">
        <v>0</v>
      </c>
      <c r="AG402" s="1" t="s">
        <v>56</v>
      </c>
      <c r="AI402" s="13">
        <v>54580.61</v>
      </c>
    </row>
    <row r="403" spans="1:35" ht="12.6" customHeight="1" x14ac:dyDescent="0.2">
      <c r="A403" s="1" t="s">
        <v>57</v>
      </c>
      <c r="B403" s="9" t="s">
        <v>38</v>
      </c>
      <c r="C403" s="1" t="s">
        <v>58</v>
      </c>
      <c r="D403" s="1" t="s">
        <v>59</v>
      </c>
      <c r="E403" s="1" t="s">
        <v>42</v>
      </c>
      <c r="F403" s="1" t="s">
        <v>165</v>
      </c>
      <c r="G403" s="1" t="s">
        <v>88</v>
      </c>
      <c r="H403" s="1" t="s">
        <v>166</v>
      </c>
      <c r="I403" s="1" t="s">
        <v>2418</v>
      </c>
      <c r="J403" s="1">
        <v>2023</v>
      </c>
      <c r="K403" s="1" t="s">
        <v>2419</v>
      </c>
      <c r="L403" s="1" t="s">
        <v>2419</v>
      </c>
      <c r="M403" s="1" t="s">
        <v>2420</v>
      </c>
      <c r="P403" s="1" t="s">
        <v>2421</v>
      </c>
      <c r="Q403" s="1" t="s">
        <v>264</v>
      </c>
      <c r="R403" s="1" t="s">
        <v>265</v>
      </c>
      <c r="S403" s="1" t="s">
        <v>350</v>
      </c>
      <c r="T403" s="1" t="s">
        <v>351</v>
      </c>
      <c r="U403" s="1">
        <v>1</v>
      </c>
      <c r="V403" s="1" t="s">
        <v>80</v>
      </c>
      <c r="W403" s="1" t="s">
        <v>2422</v>
      </c>
      <c r="Y403" s="10">
        <v>45802</v>
      </c>
      <c r="Z403" s="1">
        <v>2025</v>
      </c>
      <c r="AA403" s="12">
        <v>415800</v>
      </c>
      <c r="AB403" s="2"/>
      <c r="AC403" s="12">
        <v>62370</v>
      </c>
      <c r="AD403" s="1">
        <v>0</v>
      </c>
      <c r="AE403" s="1">
        <v>0</v>
      </c>
      <c r="AG403" s="1" t="s">
        <v>56</v>
      </c>
      <c r="AI403" s="13">
        <v>62370</v>
      </c>
    </row>
    <row r="404" spans="1:35" ht="12.6" customHeight="1" x14ac:dyDescent="0.2">
      <c r="A404" s="1" t="s">
        <v>57</v>
      </c>
      <c r="B404" s="9" t="s">
        <v>38</v>
      </c>
      <c r="C404" s="1" t="s">
        <v>58</v>
      </c>
      <c r="D404" s="1" t="s">
        <v>59</v>
      </c>
      <c r="E404" s="1" t="s">
        <v>42</v>
      </c>
      <c r="F404" s="1" t="s">
        <v>165</v>
      </c>
      <c r="G404" s="1" t="s">
        <v>88</v>
      </c>
      <c r="H404" s="1" t="s">
        <v>166</v>
      </c>
      <c r="I404" s="1" t="s">
        <v>2423</v>
      </c>
      <c r="J404" s="1">
        <v>2023</v>
      </c>
      <c r="K404" s="1" t="s">
        <v>2304</v>
      </c>
      <c r="L404" s="1" t="s">
        <v>2304</v>
      </c>
      <c r="M404" s="1" t="s">
        <v>2424</v>
      </c>
      <c r="P404" s="1" t="s">
        <v>2425</v>
      </c>
      <c r="Q404" s="1" t="s">
        <v>264</v>
      </c>
      <c r="R404" s="1" t="s">
        <v>265</v>
      </c>
      <c r="S404" s="1" t="s">
        <v>533</v>
      </c>
      <c r="T404" s="2" t="s">
        <v>534</v>
      </c>
      <c r="U404" s="1">
        <v>1</v>
      </c>
      <c r="V404" s="1" t="str">
        <f>VLOOKUP(Tabla354[[#This Row],[Municipio]],[1]CON_INE_2024!$H$5:$K$353,3,FALSE)</f>
        <v>Nalón</v>
      </c>
      <c r="W404" s="1" t="s">
        <v>2307</v>
      </c>
      <c r="Y404" s="10">
        <v>45802</v>
      </c>
      <c r="Z404" s="1">
        <v>2025</v>
      </c>
      <c r="AA404" s="12">
        <v>302438.34000000003</v>
      </c>
      <c r="AB404" s="2"/>
      <c r="AC404" s="12">
        <v>75609.59</v>
      </c>
      <c r="AD404" s="1">
        <v>5</v>
      </c>
      <c r="AE404" s="1">
        <v>0</v>
      </c>
      <c r="AG404" s="1" t="s">
        <v>56</v>
      </c>
      <c r="AI404" s="13">
        <v>75609.59</v>
      </c>
    </row>
    <row r="405" spans="1:35" ht="12.6" customHeight="1" x14ac:dyDescent="0.2">
      <c r="A405" s="1" t="s">
        <v>57</v>
      </c>
      <c r="B405" s="9" t="s">
        <v>38</v>
      </c>
      <c r="C405" s="1" t="s">
        <v>58</v>
      </c>
      <c r="D405" s="1" t="s">
        <v>59</v>
      </c>
      <c r="E405" s="1" t="s">
        <v>42</v>
      </c>
      <c r="F405" s="1" t="s">
        <v>165</v>
      </c>
      <c r="G405" s="1" t="s">
        <v>88</v>
      </c>
      <c r="H405" s="1" t="s">
        <v>166</v>
      </c>
      <c r="I405" s="1" t="s">
        <v>2426</v>
      </c>
      <c r="J405" s="1">
        <v>2023</v>
      </c>
      <c r="K405" s="1" t="s">
        <v>2427</v>
      </c>
      <c r="L405" s="1" t="s">
        <v>2427</v>
      </c>
      <c r="M405" s="1" t="s">
        <v>2428</v>
      </c>
      <c r="P405" s="1" t="s">
        <v>2429</v>
      </c>
      <c r="Q405" s="1" t="s">
        <v>264</v>
      </c>
      <c r="R405" s="1" t="s">
        <v>265</v>
      </c>
      <c r="S405" s="1" t="s">
        <v>2430</v>
      </c>
      <c r="T405" s="2" t="s">
        <v>2431</v>
      </c>
      <c r="U405" s="1">
        <v>2</v>
      </c>
      <c r="V405" s="1" t="s">
        <v>80</v>
      </c>
      <c r="W405" s="1" t="s">
        <v>2432</v>
      </c>
      <c r="Y405" s="10">
        <v>45802</v>
      </c>
      <c r="Z405" s="1">
        <v>2025</v>
      </c>
      <c r="AA405" s="12">
        <v>129597.1</v>
      </c>
      <c r="AB405" s="2"/>
      <c r="AC405" s="12">
        <v>16199.64</v>
      </c>
      <c r="AD405" s="1">
        <v>1</v>
      </c>
      <c r="AE405" s="1">
        <v>0</v>
      </c>
      <c r="AG405" s="1" t="s">
        <v>56</v>
      </c>
      <c r="AI405" s="13">
        <v>16199.64</v>
      </c>
    </row>
    <row r="406" spans="1:35" ht="12.6" customHeight="1" x14ac:dyDescent="0.2">
      <c r="A406" s="1" t="s">
        <v>57</v>
      </c>
      <c r="B406" s="9" t="s">
        <v>38</v>
      </c>
      <c r="C406" s="1" t="s">
        <v>58</v>
      </c>
      <c r="D406" s="1" t="s">
        <v>59</v>
      </c>
      <c r="E406" s="1" t="s">
        <v>42</v>
      </c>
      <c r="F406" s="1" t="s">
        <v>165</v>
      </c>
      <c r="G406" s="1" t="s">
        <v>88</v>
      </c>
      <c r="H406" s="1" t="s">
        <v>166</v>
      </c>
      <c r="I406" s="1" t="s">
        <v>2433</v>
      </c>
      <c r="J406" s="1">
        <v>2023</v>
      </c>
      <c r="K406" s="1" t="s">
        <v>2434</v>
      </c>
      <c r="L406" s="1" t="s">
        <v>2434</v>
      </c>
      <c r="M406" s="1" t="s">
        <v>2435</v>
      </c>
      <c r="P406" s="1" t="s">
        <v>716</v>
      </c>
      <c r="Q406" s="1" t="s">
        <v>264</v>
      </c>
      <c r="R406" s="1" t="s">
        <v>265</v>
      </c>
      <c r="S406" s="1" t="s">
        <v>717</v>
      </c>
      <c r="T406" s="2" t="s">
        <v>718</v>
      </c>
      <c r="U406" s="1">
        <v>1</v>
      </c>
      <c r="V406" s="1" t="str">
        <f>VLOOKUP(Tabla354[[#This Row],[Municipio]],[1]CON_INE_2024!$H$5:$K$353,3,FALSE)</f>
        <v>Nalón</v>
      </c>
      <c r="W406" s="1" t="s">
        <v>2436</v>
      </c>
      <c r="Y406" s="10">
        <v>45802</v>
      </c>
      <c r="Z406" s="1">
        <v>2025</v>
      </c>
      <c r="AA406" s="12">
        <v>421000</v>
      </c>
      <c r="AB406" s="2"/>
      <c r="AC406" s="12">
        <v>105250</v>
      </c>
      <c r="AD406" s="1">
        <v>4</v>
      </c>
      <c r="AE406" s="1">
        <v>0</v>
      </c>
      <c r="AG406" s="1" t="s">
        <v>56</v>
      </c>
      <c r="AI406" s="13">
        <v>105250</v>
      </c>
    </row>
    <row r="407" spans="1:35" ht="12.6" customHeight="1" x14ac:dyDescent="0.2">
      <c r="A407" s="1" t="s">
        <v>57</v>
      </c>
      <c r="B407" s="9" t="s">
        <v>38</v>
      </c>
      <c r="C407" s="1" t="s">
        <v>58</v>
      </c>
      <c r="D407" s="1" t="s">
        <v>59</v>
      </c>
      <c r="E407" s="1" t="s">
        <v>42</v>
      </c>
      <c r="F407" s="1" t="s">
        <v>165</v>
      </c>
      <c r="G407" s="1" t="s">
        <v>88</v>
      </c>
      <c r="H407" s="1" t="s">
        <v>166</v>
      </c>
      <c r="I407" s="1" t="s">
        <v>2437</v>
      </c>
      <c r="J407" s="1">
        <v>2023</v>
      </c>
      <c r="K407" s="1" t="s">
        <v>2327</v>
      </c>
      <c r="L407" s="1" t="s">
        <v>2327</v>
      </c>
      <c r="M407" s="1" t="s">
        <v>1240</v>
      </c>
      <c r="P407" s="1" t="s">
        <v>2438</v>
      </c>
      <c r="Q407" s="1" t="s">
        <v>264</v>
      </c>
      <c r="R407" s="1" t="s">
        <v>265</v>
      </c>
      <c r="S407" s="1" t="s">
        <v>350</v>
      </c>
      <c r="T407" s="2" t="s">
        <v>351</v>
      </c>
      <c r="U407" s="1">
        <v>1</v>
      </c>
      <c r="V407" s="1" t="s">
        <v>80</v>
      </c>
      <c r="W407" s="1" t="s">
        <v>2330</v>
      </c>
      <c r="Y407" s="10">
        <v>45802</v>
      </c>
      <c r="Z407" s="1">
        <v>2025</v>
      </c>
      <c r="AA407" s="12">
        <v>79245.2</v>
      </c>
      <c r="AB407" s="2"/>
      <c r="AC407" s="12">
        <v>27735.82</v>
      </c>
      <c r="AD407" s="1">
        <v>1.5</v>
      </c>
      <c r="AE407" s="1">
        <v>1</v>
      </c>
      <c r="AG407" s="1" t="s">
        <v>56</v>
      </c>
      <c r="AI407" s="13">
        <v>27735.82</v>
      </c>
    </row>
    <row r="408" spans="1:35" ht="12.6" customHeight="1" x14ac:dyDescent="0.2">
      <c r="A408" s="1" t="s">
        <v>57</v>
      </c>
      <c r="B408" s="9" t="s">
        <v>38</v>
      </c>
      <c r="C408" s="1" t="s">
        <v>58</v>
      </c>
      <c r="D408" s="1" t="s">
        <v>59</v>
      </c>
      <c r="E408" s="1" t="s">
        <v>42</v>
      </c>
      <c r="F408" s="1" t="s">
        <v>165</v>
      </c>
      <c r="G408" s="1" t="s">
        <v>88</v>
      </c>
      <c r="H408" s="1" t="s">
        <v>166</v>
      </c>
      <c r="I408" s="1" t="s">
        <v>2439</v>
      </c>
      <c r="J408" s="1">
        <v>2023</v>
      </c>
      <c r="K408" s="1" t="s">
        <v>2440</v>
      </c>
      <c r="L408" s="1" t="s">
        <v>2440</v>
      </c>
      <c r="M408" s="1" t="s">
        <v>2441</v>
      </c>
      <c r="P408" s="1" t="s">
        <v>2442</v>
      </c>
      <c r="Q408" s="1" t="s">
        <v>264</v>
      </c>
      <c r="R408" s="1" t="s">
        <v>265</v>
      </c>
      <c r="S408" s="1" t="s">
        <v>266</v>
      </c>
      <c r="T408" s="2" t="s">
        <v>267</v>
      </c>
      <c r="U408" s="1">
        <v>2</v>
      </c>
      <c r="V408" s="1" t="str">
        <f>VLOOKUP(Tabla354[[#This Row],[Municipio]],[1]CON_INE_2024!$H$5:$K$353,3,FALSE)</f>
        <v>Caudal-Aboño</v>
      </c>
      <c r="W408" s="1" t="s">
        <v>2443</v>
      </c>
      <c r="Y408" s="10">
        <v>45802</v>
      </c>
      <c r="Z408" s="1">
        <v>2025</v>
      </c>
      <c r="AA408" s="12">
        <v>214461.96</v>
      </c>
      <c r="AB408" s="2"/>
      <c r="AC408" s="12">
        <v>37530.839999999997</v>
      </c>
      <c r="AD408" s="1">
        <v>2</v>
      </c>
      <c r="AE408" s="1">
        <v>1</v>
      </c>
      <c r="AG408" s="1" t="s">
        <v>56</v>
      </c>
      <c r="AI408" s="13">
        <v>37530.839999999997</v>
      </c>
    </row>
    <row r="409" spans="1:35" ht="12.6" customHeight="1" x14ac:dyDescent="0.2">
      <c r="A409" s="1" t="s">
        <v>57</v>
      </c>
      <c r="B409" s="9" t="s">
        <v>38</v>
      </c>
      <c r="C409" s="1" t="s">
        <v>58</v>
      </c>
      <c r="D409" s="1" t="s">
        <v>59</v>
      </c>
      <c r="E409" s="1" t="s">
        <v>42</v>
      </c>
      <c r="F409" s="1" t="s">
        <v>165</v>
      </c>
      <c r="G409" s="1" t="s">
        <v>88</v>
      </c>
      <c r="H409" s="1" t="s">
        <v>166</v>
      </c>
      <c r="I409" s="1" t="s">
        <v>2444</v>
      </c>
      <c r="J409" s="1">
        <v>2023</v>
      </c>
      <c r="K409" s="1" t="s">
        <v>2445</v>
      </c>
      <c r="L409" s="1" t="s">
        <v>2445</v>
      </c>
      <c r="M409" s="1" t="s">
        <v>2446</v>
      </c>
      <c r="P409" s="1" t="s">
        <v>2447</v>
      </c>
      <c r="Q409" s="1" t="s">
        <v>264</v>
      </c>
      <c r="R409" s="1" t="s">
        <v>265</v>
      </c>
      <c r="S409" s="1" t="s">
        <v>784</v>
      </c>
      <c r="T409" s="2" t="s">
        <v>785</v>
      </c>
      <c r="U409" s="1">
        <v>2</v>
      </c>
      <c r="V409" s="1" t="s">
        <v>80</v>
      </c>
      <c r="W409" s="1" t="s">
        <v>2448</v>
      </c>
      <c r="Y409" s="10">
        <v>45802</v>
      </c>
      <c r="Z409" s="1">
        <v>2025</v>
      </c>
      <c r="AA409" s="12">
        <v>442478</v>
      </c>
      <c r="AB409" s="2"/>
      <c r="AC409" s="12">
        <v>77433.649999999994</v>
      </c>
      <c r="AD409" s="1">
        <v>1</v>
      </c>
      <c r="AE409" s="1">
        <v>0</v>
      </c>
      <c r="AG409" s="1" t="s">
        <v>56</v>
      </c>
      <c r="AI409" s="13">
        <v>77433.649999999994</v>
      </c>
    </row>
    <row r="410" spans="1:35" ht="12.6" customHeight="1" x14ac:dyDescent="0.2">
      <c r="A410" s="1" t="s">
        <v>57</v>
      </c>
      <c r="B410" s="9" t="s">
        <v>38</v>
      </c>
      <c r="C410" s="1" t="s">
        <v>58</v>
      </c>
      <c r="D410" s="1" t="s">
        <v>59</v>
      </c>
      <c r="E410" s="1" t="s">
        <v>42</v>
      </c>
      <c r="F410" s="1" t="s">
        <v>165</v>
      </c>
      <c r="G410" s="1" t="s">
        <v>88</v>
      </c>
      <c r="H410" s="1" t="s">
        <v>166</v>
      </c>
      <c r="I410" s="1" t="s">
        <v>2449</v>
      </c>
      <c r="J410" s="1">
        <v>2023</v>
      </c>
      <c r="K410" s="1" t="s">
        <v>2450</v>
      </c>
      <c r="L410" s="1" t="s">
        <v>2450</v>
      </c>
      <c r="M410" s="1" t="s">
        <v>1240</v>
      </c>
      <c r="P410" s="1" t="s">
        <v>2451</v>
      </c>
      <c r="Q410" s="1" t="s">
        <v>264</v>
      </c>
      <c r="R410" s="1" t="s">
        <v>265</v>
      </c>
      <c r="S410" s="1" t="s">
        <v>450</v>
      </c>
      <c r="T410" s="1" t="s">
        <v>451</v>
      </c>
      <c r="U410" s="1">
        <v>2</v>
      </c>
      <c r="V410" s="1" t="s">
        <v>80</v>
      </c>
      <c r="W410" s="1" t="s">
        <v>2452</v>
      </c>
      <c r="Y410" s="10">
        <v>45802</v>
      </c>
      <c r="Z410" s="1">
        <v>2025</v>
      </c>
      <c r="AA410" s="12">
        <v>416400.4</v>
      </c>
      <c r="AB410" s="2"/>
      <c r="AC410" s="12">
        <v>52050.05</v>
      </c>
      <c r="AD410" s="1">
        <v>3</v>
      </c>
      <c r="AE410" s="1">
        <v>0</v>
      </c>
      <c r="AG410" s="1" t="s">
        <v>56</v>
      </c>
      <c r="AI410" s="13">
        <v>52050.05</v>
      </c>
    </row>
    <row r="411" spans="1:35" ht="12.6" customHeight="1" x14ac:dyDescent="0.2">
      <c r="A411" s="1" t="s">
        <v>57</v>
      </c>
      <c r="B411" s="9" t="s">
        <v>38</v>
      </c>
      <c r="C411" s="1" t="s">
        <v>58</v>
      </c>
      <c r="D411" s="1" t="s">
        <v>59</v>
      </c>
      <c r="E411" s="1" t="s">
        <v>42</v>
      </c>
      <c r="F411" s="1" t="s">
        <v>165</v>
      </c>
      <c r="G411" s="1" t="s">
        <v>88</v>
      </c>
      <c r="H411" s="1" t="s">
        <v>166</v>
      </c>
      <c r="I411" s="1" t="s">
        <v>2453</v>
      </c>
      <c r="J411" s="1">
        <v>2023</v>
      </c>
      <c r="K411" s="1" t="s">
        <v>2454</v>
      </c>
      <c r="L411" s="1" t="s">
        <v>2454</v>
      </c>
      <c r="M411" s="1" t="s">
        <v>1240</v>
      </c>
      <c r="P411" s="1" t="s">
        <v>2455</v>
      </c>
      <c r="Q411" s="1" t="s">
        <v>264</v>
      </c>
      <c r="R411" s="1" t="s">
        <v>265</v>
      </c>
      <c r="S411" s="1" t="s">
        <v>656</v>
      </c>
      <c r="T411" s="2" t="s">
        <v>657</v>
      </c>
      <c r="U411" s="1">
        <v>2</v>
      </c>
      <c r="V411" s="1" t="str">
        <f>VLOOKUP(Tabla354[[#This Row],[Municipio]],[1]CON_INE_2024!$H$5:$K$353,3,FALSE)</f>
        <v>Caudal-Aboño</v>
      </c>
      <c r="W411" s="1" t="s">
        <v>2456</v>
      </c>
      <c r="Y411" s="10">
        <v>45802</v>
      </c>
      <c r="Z411" s="1">
        <v>2025</v>
      </c>
      <c r="AA411" s="12">
        <v>180972.59</v>
      </c>
      <c r="AB411" s="2"/>
      <c r="AC411" s="12">
        <v>31670.2</v>
      </c>
      <c r="AD411" s="1">
        <v>2</v>
      </c>
      <c r="AE411" s="1">
        <v>0</v>
      </c>
      <c r="AG411" s="1" t="s">
        <v>56</v>
      </c>
      <c r="AI411" s="13">
        <v>31670.2</v>
      </c>
    </row>
    <row r="412" spans="1:35" ht="12.6" customHeight="1" x14ac:dyDescent="0.2">
      <c r="A412" s="1" t="s">
        <v>57</v>
      </c>
      <c r="B412" s="9" t="s">
        <v>38</v>
      </c>
      <c r="C412" s="1" t="s">
        <v>58</v>
      </c>
      <c r="D412" s="1" t="s">
        <v>59</v>
      </c>
      <c r="E412" s="1" t="s">
        <v>42</v>
      </c>
      <c r="F412" s="1" t="s">
        <v>165</v>
      </c>
      <c r="G412" s="1" t="s">
        <v>88</v>
      </c>
      <c r="H412" s="1" t="s">
        <v>166</v>
      </c>
      <c r="I412" s="1" t="s">
        <v>2457</v>
      </c>
      <c r="J412" s="1">
        <v>2023</v>
      </c>
      <c r="K412" s="1" t="s">
        <v>2458</v>
      </c>
      <c r="L412" s="1" t="s">
        <v>2458</v>
      </c>
      <c r="M412" s="1" t="s">
        <v>2459</v>
      </c>
      <c r="P412" s="1" t="s">
        <v>2460</v>
      </c>
      <c r="Q412" s="1" t="s">
        <v>264</v>
      </c>
      <c r="R412" s="1" t="s">
        <v>265</v>
      </c>
      <c r="S412" s="1" t="s">
        <v>275</v>
      </c>
      <c r="T412" s="1" t="s">
        <v>276</v>
      </c>
      <c r="U412" s="1">
        <v>2</v>
      </c>
      <c r="V412" s="1" t="s">
        <v>80</v>
      </c>
      <c r="W412" s="1" t="s">
        <v>2461</v>
      </c>
      <c r="Y412" s="10">
        <v>45802</v>
      </c>
      <c r="Z412" s="1">
        <v>2025</v>
      </c>
      <c r="AA412" s="12">
        <v>498796</v>
      </c>
      <c r="AB412" s="2"/>
      <c r="AC412" s="12">
        <v>37409.699999999997</v>
      </c>
      <c r="AD412" s="1">
        <v>0</v>
      </c>
      <c r="AE412" s="1">
        <v>0</v>
      </c>
      <c r="AG412" s="1" t="s">
        <v>56</v>
      </c>
      <c r="AI412" s="13">
        <v>37409.699999999997</v>
      </c>
    </row>
    <row r="413" spans="1:35" ht="12.6" customHeight="1" x14ac:dyDescent="0.2">
      <c r="A413" s="1" t="s">
        <v>57</v>
      </c>
      <c r="B413" s="9" t="s">
        <v>38</v>
      </c>
      <c r="C413" s="1" t="s">
        <v>58</v>
      </c>
      <c r="D413" s="1" t="s">
        <v>59</v>
      </c>
      <c r="E413" s="1" t="s">
        <v>42</v>
      </c>
      <c r="F413" s="1" t="s">
        <v>165</v>
      </c>
      <c r="G413" s="1" t="s">
        <v>88</v>
      </c>
      <c r="H413" s="1" t="s">
        <v>166</v>
      </c>
      <c r="I413" s="1" t="s">
        <v>2462</v>
      </c>
      <c r="J413" s="1">
        <v>2023</v>
      </c>
      <c r="K413" s="1" t="s">
        <v>2463</v>
      </c>
      <c r="L413" s="1" t="s">
        <v>2463</v>
      </c>
      <c r="M413" s="1" t="s">
        <v>1240</v>
      </c>
      <c r="P413" s="1" t="s">
        <v>2464</v>
      </c>
      <c r="Q413" s="1" t="s">
        <v>264</v>
      </c>
      <c r="R413" s="1" t="s">
        <v>265</v>
      </c>
      <c r="S413" s="1" t="s">
        <v>2465</v>
      </c>
      <c r="T413" s="2" t="s">
        <v>2466</v>
      </c>
      <c r="U413" s="1">
        <v>2</v>
      </c>
      <c r="V413" s="1" t="s">
        <v>80</v>
      </c>
      <c r="W413" s="1" t="s">
        <v>2467</v>
      </c>
      <c r="Y413" s="10">
        <v>45802</v>
      </c>
      <c r="Z413" s="1">
        <v>2025</v>
      </c>
      <c r="AA413" s="12">
        <v>260194.32</v>
      </c>
      <c r="AB413" s="2"/>
      <c r="AC413" s="12">
        <v>45534.01</v>
      </c>
      <c r="AD413" s="1">
        <v>2</v>
      </c>
      <c r="AE413" s="1">
        <v>1</v>
      </c>
      <c r="AG413" s="1" t="s">
        <v>56</v>
      </c>
      <c r="AI413" s="13">
        <v>45534.01</v>
      </c>
    </row>
    <row r="414" spans="1:35" ht="12.6" customHeight="1" x14ac:dyDescent="0.2">
      <c r="A414" s="1" t="s">
        <v>57</v>
      </c>
      <c r="B414" s="9" t="s">
        <v>38</v>
      </c>
      <c r="C414" s="1" t="s">
        <v>58</v>
      </c>
      <c r="D414" s="1" t="s">
        <v>59</v>
      </c>
      <c r="E414" s="1" t="s">
        <v>42</v>
      </c>
      <c r="F414" s="1" t="s">
        <v>165</v>
      </c>
      <c r="G414" s="1" t="s">
        <v>88</v>
      </c>
      <c r="H414" s="1" t="s">
        <v>166</v>
      </c>
      <c r="I414" s="1" t="s">
        <v>2468</v>
      </c>
      <c r="J414" s="1">
        <v>2023</v>
      </c>
      <c r="K414" s="1" t="s">
        <v>2469</v>
      </c>
      <c r="L414" s="1" t="s">
        <v>2469</v>
      </c>
      <c r="M414" s="1" t="s">
        <v>1240</v>
      </c>
      <c r="P414" s="1" t="s">
        <v>2470</v>
      </c>
      <c r="Q414" s="1" t="s">
        <v>264</v>
      </c>
      <c r="R414" s="1" t="s">
        <v>265</v>
      </c>
      <c r="S414" s="1" t="s">
        <v>275</v>
      </c>
      <c r="T414" s="2" t="s">
        <v>276</v>
      </c>
      <c r="U414" s="1">
        <v>2</v>
      </c>
      <c r="V414" s="1" t="s">
        <v>80</v>
      </c>
      <c r="W414" s="1" t="s">
        <v>2471</v>
      </c>
      <c r="Y414" s="10">
        <v>45802</v>
      </c>
      <c r="Z414" s="1">
        <v>2025</v>
      </c>
      <c r="AA414" s="12">
        <v>297283.94</v>
      </c>
      <c r="AB414" s="2"/>
      <c r="AC414" s="12">
        <v>52024.69</v>
      </c>
      <c r="AD414" s="1">
        <v>8.5</v>
      </c>
      <c r="AE414" s="1">
        <v>7</v>
      </c>
      <c r="AG414" s="1" t="s">
        <v>56</v>
      </c>
      <c r="AI414" s="13">
        <v>52024.69</v>
      </c>
    </row>
    <row r="415" spans="1:35" ht="12.6" customHeight="1" x14ac:dyDescent="0.2">
      <c r="A415" s="1" t="s">
        <v>57</v>
      </c>
      <c r="B415" s="9" t="s">
        <v>38</v>
      </c>
      <c r="C415" s="1" t="s">
        <v>58</v>
      </c>
      <c r="D415" s="1" t="s">
        <v>59</v>
      </c>
      <c r="E415" s="1" t="s">
        <v>42</v>
      </c>
      <c r="F415" s="1" t="s">
        <v>165</v>
      </c>
      <c r="G415" s="1" t="s">
        <v>88</v>
      </c>
      <c r="H415" s="1" t="s">
        <v>166</v>
      </c>
      <c r="I415" s="1" t="s">
        <v>2472</v>
      </c>
      <c r="J415" s="1">
        <v>2023</v>
      </c>
      <c r="K415" s="1" t="s">
        <v>2473</v>
      </c>
      <c r="L415" s="1" t="s">
        <v>2473</v>
      </c>
      <c r="M415" s="1" t="s">
        <v>2474</v>
      </c>
      <c r="P415" s="1" t="s">
        <v>2475</v>
      </c>
      <c r="Q415" s="1" t="s">
        <v>264</v>
      </c>
      <c r="R415" s="1" t="s">
        <v>265</v>
      </c>
      <c r="S415" s="1" t="s">
        <v>275</v>
      </c>
      <c r="T415" s="2" t="s">
        <v>276</v>
      </c>
      <c r="U415" s="1">
        <v>2</v>
      </c>
      <c r="V415" s="1" t="s">
        <v>80</v>
      </c>
      <c r="W415" s="1" t="s">
        <v>2476</v>
      </c>
      <c r="Y415" s="10">
        <v>45802</v>
      </c>
      <c r="Z415" s="1">
        <v>2025</v>
      </c>
      <c r="AA415" s="12">
        <v>148152.79999999999</v>
      </c>
      <c r="AB415" s="2"/>
      <c r="AC415" s="12">
        <v>25926.74</v>
      </c>
      <c r="AD415" s="1">
        <v>1</v>
      </c>
      <c r="AE415" s="1">
        <v>1</v>
      </c>
      <c r="AG415" s="1" t="s">
        <v>56</v>
      </c>
      <c r="AI415" s="13">
        <v>25926.74</v>
      </c>
    </row>
    <row r="416" spans="1:35" ht="12.6" customHeight="1" x14ac:dyDescent="0.2">
      <c r="A416" s="1" t="s">
        <v>57</v>
      </c>
      <c r="B416" s="9" t="s">
        <v>38</v>
      </c>
      <c r="C416" s="1" t="s">
        <v>58</v>
      </c>
      <c r="D416" s="1" t="s">
        <v>59</v>
      </c>
      <c r="E416" s="1" t="s">
        <v>42</v>
      </c>
      <c r="F416" s="1" t="s">
        <v>2203</v>
      </c>
      <c r="G416" s="1" t="s">
        <v>60</v>
      </c>
      <c r="H416" s="1" t="s">
        <v>166</v>
      </c>
      <c r="I416" s="1" t="s">
        <v>2477</v>
      </c>
      <c r="J416" s="1">
        <v>2023</v>
      </c>
      <c r="K416" s="1" t="s">
        <v>2478</v>
      </c>
      <c r="L416" s="29" t="s">
        <v>2479</v>
      </c>
      <c r="M416" s="1" t="s">
        <v>2480</v>
      </c>
      <c r="P416" s="1" t="s">
        <v>2481</v>
      </c>
      <c r="Q416" s="1" t="s">
        <v>101</v>
      </c>
      <c r="R416" s="1" t="str">
        <f>VLOOKUP(Tabla354[[#This Row],[COD_INE]],[1]CON_INE_2024!$A$5:$K$353,5,FALSE)</f>
        <v>Zaragoza</v>
      </c>
      <c r="S416" s="1" t="s">
        <v>340</v>
      </c>
      <c r="T416" s="1" t="s">
        <v>341</v>
      </c>
      <c r="U416" s="1">
        <v>1</v>
      </c>
      <c r="V416" s="1" t="s">
        <v>80</v>
      </c>
      <c r="W416" s="1" t="s">
        <v>2482</v>
      </c>
      <c r="Y416" s="10">
        <v>45802</v>
      </c>
      <c r="Z416" s="1">
        <v>2025</v>
      </c>
      <c r="AA416" s="2">
        <v>4431490.49</v>
      </c>
      <c r="AB416" s="2"/>
      <c r="AC416" s="2">
        <v>915000</v>
      </c>
      <c r="AD416" s="26">
        <v>9</v>
      </c>
      <c r="AE416" s="1">
        <v>2</v>
      </c>
      <c r="AG416" s="1" t="s">
        <v>56</v>
      </c>
      <c r="AI416" s="2">
        <v>915000</v>
      </c>
    </row>
    <row r="417" spans="1:38" ht="12.6" customHeight="1" x14ac:dyDescent="0.2">
      <c r="A417" s="1" t="s">
        <v>57</v>
      </c>
      <c r="B417" s="9" t="s">
        <v>38</v>
      </c>
      <c r="C417" s="1" t="s">
        <v>58</v>
      </c>
      <c r="D417" s="1" t="s">
        <v>59</v>
      </c>
      <c r="E417" s="1" t="s">
        <v>42</v>
      </c>
      <c r="F417" s="1" t="s">
        <v>2203</v>
      </c>
      <c r="G417" s="1" t="s">
        <v>60</v>
      </c>
      <c r="H417" s="1" t="s">
        <v>166</v>
      </c>
      <c r="I417" s="1" t="s">
        <v>2483</v>
      </c>
      <c r="J417" s="1">
        <v>2023</v>
      </c>
      <c r="K417" s="1" t="s">
        <v>999</v>
      </c>
      <c r="L417" s="29" t="s">
        <v>2484</v>
      </c>
      <c r="M417" s="1" t="s">
        <v>2485</v>
      </c>
      <c r="P417" s="1" t="s">
        <v>2486</v>
      </c>
      <c r="Q417" s="1" t="s">
        <v>101</v>
      </c>
      <c r="R417" s="1" t="str">
        <f>VLOOKUP(Tabla354[[#This Row],[COD_INE]],[1]CON_INE_2024!$A$5:$K$353,5,FALSE)</f>
        <v>Huesca</v>
      </c>
      <c r="S417" s="1" t="s">
        <v>361</v>
      </c>
      <c r="T417" s="1" t="s">
        <v>362</v>
      </c>
      <c r="U417" s="1">
        <v>2</v>
      </c>
      <c r="V417" s="1" t="s">
        <v>80</v>
      </c>
      <c r="W417" s="1" t="s">
        <v>2487</v>
      </c>
      <c r="Y417" s="10">
        <v>45802</v>
      </c>
      <c r="Z417" s="1">
        <v>2025</v>
      </c>
      <c r="AA417" s="2">
        <v>1582126.7</v>
      </c>
      <c r="AB417" s="2"/>
      <c r="AC417" s="2">
        <v>197765.84</v>
      </c>
      <c r="AD417" s="26">
        <v>3</v>
      </c>
      <c r="AE417" s="1">
        <v>3</v>
      </c>
      <c r="AG417" s="1" t="s">
        <v>56</v>
      </c>
      <c r="AI417" s="2">
        <v>197765.84</v>
      </c>
    </row>
    <row r="418" spans="1:38" ht="12.6" customHeight="1" x14ac:dyDescent="0.2">
      <c r="A418" s="1" t="s">
        <v>57</v>
      </c>
      <c r="B418" s="9" t="s">
        <v>38</v>
      </c>
      <c r="C418" s="1" t="s">
        <v>58</v>
      </c>
      <c r="D418" s="1" t="s">
        <v>59</v>
      </c>
      <c r="E418" s="1" t="s">
        <v>42</v>
      </c>
      <c r="F418" s="1" t="s">
        <v>2203</v>
      </c>
      <c r="G418" s="1" t="s">
        <v>60</v>
      </c>
      <c r="H418" s="1" t="s">
        <v>166</v>
      </c>
      <c r="I418" s="1" t="s">
        <v>2488</v>
      </c>
      <c r="J418" s="1">
        <v>2023</v>
      </c>
      <c r="K418" s="1" t="s">
        <v>2489</v>
      </c>
      <c r="L418" s="29" t="s">
        <v>2489</v>
      </c>
      <c r="M418" s="1" t="s">
        <v>1240</v>
      </c>
      <c r="P418" s="1" t="s">
        <v>2490</v>
      </c>
      <c r="Q418" s="1" t="s">
        <v>101</v>
      </c>
      <c r="R418" s="1" t="str">
        <f>VLOOKUP(Tabla354[[#This Row],[COD_INE]],[1]CON_INE_2024!$A$5:$K$353,5,FALSE)</f>
        <v>Teruel</v>
      </c>
      <c r="S418" s="1" t="s">
        <v>523</v>
      </c>
      <c r="T418" s="1" t="s">
        <v>524</v>
      </c>
      <c r="U418" s="1">
        <v>1</v>
      </c>
      <c r="V418" s="1" t="s">
        <v>101</v>
      </c>
      <c r="W418" s="1" t="s">
        <v>2491</v>
      </c>
      <c r="Y418" s="10">
        <v>45802</v>
      </c>
      <c r="Z418" s="1">
        <v>2025</v>
      </c>
      <c r="AA418" s="2">
        <v>741108.04</v>
      </c>
      <c r="AB418" s="2"/>
      <c r="AC418" s="2">
        <v>296443.21999999997</v>
      </c>
      <c r="AD418" s="26">
        <v>6</v>
      </c>
      <c r="AE418" s="1">
        <v>2</v>
      </c>
      <c r="AG418" s="1" t="s">
        <v>56</v>
      </c>
      <c r="AI418" s="2">
        <v>296443.21999999997</v>
      </c>
    </row>
    <row r="419" spans="1:38" ht="12.6" customHeight="1" x14ac:dyDescent="0.2">
      <c r="A419" s="1" t="s">
        <v>57</v>
      </c>
      <c r="B419" s="9" t="s">
        <v>38</v>
      </c>
      <c r="C419" s="1" t="s">
        <v>58</v>
      </c>
      <c r="D419" s="1" t="s">
        <v>59</v>
      </c>
      <c r="E419" s="1" t="s">
        <v>42</v>
      </c>
      <c r="F419" s="1" t="s">
        <v>2203</v>
      </c>
      <c r="G419" s="1" t="s">
        <v>60</v>
      </c>
      <c r="H419" s="1" t="s">
        <v>166</v>
      </c>
      <c r="I419" s="1" t="s">
        <v>2492</v>
      </c>
      <c r="J419" s="1">
        <v>2023</v>
      </c>
      <c r="K419" s="1" t="s">
        <v>2493</v>
      </c>
      <c r="L419" s="29" t="s">
        <v>2494</v>
      </c>
      <c r="M419" s="1" t="s">
        <v>2495</v>
      </c>
      <c r="P419" s="1" t="s">
        <v>2496</v>
      </c>
      <c r="Q419" s="1" t="s">
        <v>101</v>
      </c>
      <c r="R419" s="1" t="str">
        <f>VLOOKUP(Tabla354[[#This Row],[COD_INE]],[1]CON_INE_2024!$A$5:$K$353,5,FALSE)</f>
        <v>Teruel</v>
      </c>
      <c r="S419" s="1" t="s">
        <v>523</v>
      </c>
      <c r="T419" s="1" t="s">
        <v>524</v>
      </c>
      <c r="U419" s="1">
        <v>1</v>
      </c>
      <c r="V419" s="1" t="s">
        <v>101</v>
      </c>
      <c r="W419" s="1" t="s">
        <v>2497</v>
      </c>
      <c r="Y419" s="10">
        <v>45802</v>
      </c>
      <c r="Z419" s="1">
        <v>2025</v>
      </c>
      <c r="AA419" s="2">
        <v>801964.55</v>
      </c>
      <c r="AB419" s="2"/>
      <c r="AC419" s="2">
        <v>265000</v>
      </c>
      <c r="AD419" s="26">
        <v>3</v>
      </c>
      <c r="AE419" s="1">
        <v>0</v>
      </c>
      <c r="AG419" s="1" t="s">
        <v>56</v>
      </c>
      <c r="AI419" s="2">
        <v>265000</v>
      </c>
    </row>
    <row r="420" spans="1:38" ht="12.6" customHeight="1" x14ac:dyDescent="0.2">
      <c r="A420" s="1" t="s">
        <v>57</v>
      </c>
      <c r="B420" s="9" t="s">
        <v>38</v>
      </c>
      <c r="C420" s="1" t="s">
        <v>58</v>
      </c>
      <c r="D420" s="1" t="s">
        <v>59</v>
      </c>
      <c r="E420" s="1" t="s">
        <v>42</v>
      </c>
      <c r="F420" s="1" t="s">
        <v>2203</v>
      </c>
      <c r="G420" s="1" t="s">
        <v>60</v>
      </c>
      <c r="H420" s="1" t="s">
        <v>166</v>
      </c>
      <c r="I420" s="1" t="s">
        <v>2498</v>
      </c>
      <c r="J420" s="1">
        <v>2023</v>
      </c>
      <c r="K420" s="1" t="s">
        <v>2499</v>
      </c>
      <c r="L420" s="29" t="s">
        <v>2500</v>
      </c>
      <c r="M420" s="1" t="s">
        <v>795</v>
      </c>
      <c r="P420" s="1" t="s">
        <v>797</v>
      </c>
      <c r="Q420" s="1" t="s">
        <v>101</v>
      </c>
      <c r="R420" s="1" t="str">
        <f>VLOOKUP(Tabla354[[#This Row],[COD_INE]],[1]CON_INE_2024!$A$5:$K$353,5,FALSE)</f>
        <v>Teruel</v>
      </c>
      <c r="S420" s="1" t="s">
        <v>523</v>
      </c>
      <c r="T420" s="1" t="s">
        <v>524</v>
      </c>
      <c r="U420" s="1">
        <v>1</v>
      </c>
      <c r="V420" s="1" t="s">
        <v>101</v>
      </c>
      <c r="W420" s="1" t="s">
        <v>2501</v>
      </c>
      <c r="Y420" s="10">
        <v>45802</v>
      </c>
      <c r="Z420" s="1">
        <v>2025</v>
      </c>
      <c r="AA420" s="2">
        <v>4889747.4000000004</v>
      </c>
      <c r="AB420" s="2"/>
      <c r="AC420" s="2">
        <v>495000</v>
      </c>
      <c r="AD420" s="26">
        <v>5</v>
      </c>
      <c r="AE420" s="1">
        <v>2</v>
      </c>
      <c r="AG420" s="1" t="s">
        <v>56</v>
      </c>
      <c r="AI420" s="2">
        <v>495000</v>
      </c>
    </row>
    <row r="421" spans="1:38" ht="12.6" customHeight="1" x14ac:dyDescent="0.2">
      <c r="A421" s="1" t="s">
        <v>57</v>
      </c>
      <c r="B421" s="9" t="s">
        <v>38</v>
      </c>
      <c r="C421" s="1" t="s">
        <v>58</v>
      </c>
      <c r="D421" s="1" t="s">
        <v>59</v>
      </c>
      <c r="E421" s="1" t="s">
        <v>42</v>
      </c>
      <c r="F421" s="1" t="s">
        <v>2203</v>
      </c>
      <c r="G421" s="1" t="s">
        <v>60</v>
      </c>
      <c r="H421" s="1" t="s">
        <v>166</v>
      </c>
      <c r="I421" s="1" t="s">
        <v>2502</v>
      </c>
      <c r="J421" s="1">
        <v>2023</v>
      </c>
      <c r="K421" s="1" t="s">
        <v>2503</v>
      </c>
      <c r="L421" s="1" t="s">
        <v>2503</v>
      </c>
      <c r="M421" s="1" t="s">
        <v>2504</v>
      </c>
      <c r="P421" s="1" t="s">
        <v>2505</v>
      </c>
      <c r="Q421" s="1" t="s">
        <v>101</v>
      </c>
      <c r="R421" s="1" t="str">
        <f>VLOOKUP(Tabla354[[#This Row],[COD_INE]],[1]CON_INE_2024!$A$5:$K$353,5,FALSE)</f>
        <v>Teruel</v>
      </c>
      <c r="S421" s="1" t="s">
        <v>637</v>
      </c>
      <c r="T421" s="1" t="s">
        <v>638</v>
      </c>
      <c r="U421" s="1">
        <v>1</v>
      </c>
      <c r="V421" s="1" t="s">
        <v>101</v>
      </c>
      <c r="W421" s="1" t="s">
        <v>2506</v>
      </c>
      <c r="Y421" s="10">
        <v>45802</v>
      </c>
      <c r="Z421" s="1">
        <v>2025</v>
      </c>
      <c r="AA421" s="2">
        <v>1678500</v>
      </c>
      <c r="AB421" s="2"/>
      <c r="AC421" s="2">
        <v>345000</v>
      </c>
      <c r="AD421" s="26">
        <v>3</v>
      </c>
      <c r="AE421" s="1">
        <v>1</v>
      </c>
      <c r="AG421" s="1" t="s">
        <v>56</v>
      </c>
      <c r="AI421" s="2">
        <v>345000</v>
      </c>
    </row>
    <row r="422" spans="1:38" ht="12.6" customHeight="1" x14ac:dyDescent="0.2">
      <c r="A422" s="1" t="s">
        <v>57</v>
      </c>
      <c r="B422" s="9" t="s">
        <v>38</v>
      </c>
      <c r="C422" s="1" t="s">
        <v>58</v>
      </c>
      <c r="D422" s="1" t="s">
        <v>59</v>
      </c>
      <c r="E422" s="1" t="s">
        <v>42</v>
      </c>
      <c r="F422" s="1" t="s">
        <v>2203</v>
      </c>
      <c r="G422" s="1" t="s">
        <v>60</v>
      </c>
      <c r="H422" s="1" t="s">
        <v>166</v>
      </c>
      <c r="I422" s="1" t="s">
        <v>2507</v>
      </c>
      <c r="J422" s="1">
        <v>2023</v>
      </c>
      <c r="K422" s="1" t="s">
        <v>2508</v>
      </c>
      <c r="L422" s="1" t="s">
        <v>2508</v>
      </c>
      <c r="M422" s="1" t="s">
        <v>1240</v>
      </c>
      <c r="P422" s="1" t="s">
        <v>2509</v>
      </c>
      <c r="Q422" s="1" t="s">
        <v>101</v>
      </c>
      <c r="R422" s="1" t="str">
        <f>VLOOKUP(Tabla354[[#This Row],[COD_INE]],[1]CON_INE_2024!$A$5:$K$353,5,FALSE)</f>
        <v>Huesca</v>
      </c>
      <c r="S422" s="1" t="s">
        <v>327</v>
      </c>
      <c r="T422" s="1" t="s">
        <v>328</v>
      </c>
      <c r="U422" s="1">
        <v>2</v>
      </c>
      <c r="V422" s="1" t="s">
        <v>80</v>
      </c>
      <c r="W422" s="1" t="s">
        <v>2510</v>
      </c>
      <c r="Y422" s="10">
        <v>45802</v>
      </c>
      <c r="Z422" s="1">
        <v>2025</v>
      </c>
      <c r="AA422" s="2">
        <v>1970820</v>
      </c>
      <c r="AB422" s="2"/>
      <c r="AC422" s="2">
        <v>246352.5</v>
      </c>
      <c r="AD422" s="26">
        <v>4</v>
      </c>
      <c r="AE422" s="1">
        <v>4</v>
      </c>
      <c r="AG422" s="1" t="s">
        <v>56</v>
      </c>
      <c r="AI422" s="2">
        <v>246352.5</v>
      </c>
    </row>
    <row r="423" spans="1:38" ht="12.6" customHeight="1" x14ac:dyDescent="0.2">
      <c r="A423" s="1" t="s">
        <v>57</v>
      </c>
      <c r="B423" s="9" t="s">
        <v>38</v>
      </c>
      <c r="C423" s="1" t="s">
        <v>58</v>
      </c>
      <c r="D423" s="1" t="s">
        <v>59</v>
      </c>
      <c r="E423" s="1" t="s">
        <v>42</v>
      </c>
      <c r="F423" s="1" t="s">
        <v>2203</v>
      </c>
      <c r="G423" s="1" t="s">
        <v>60</v>
      </c>
      <c r="H423" s="1" t="s">
        <v>166</v>
      </c>
      <c r="I423" s="1" t="s">
        <v>2511</v>
      </c>
      <c r="J423" s="1">
        <v>2023</v>
      </c>
      <c r="K423" s="1" t="s">
        <v>2512</v>
      </c>
      <c r="L423" s="29" t="s">
        <v>2513</v>
      </c>
      <c r="M423" s="1" t="s">
        <v>2514</v>
      </c>
      <c r="P423" s="1" t="s">
        <v>2515</v>
      </c>
      <c r="Q423" s="1" t="s">
        <v>101</v>
      </c>
      <c r="R423" s="1" t="str">
        <f>VLOOKUP(Tabla354[[#This Row],[COD_INE]],[1]CON_INE_2024!$A$5:$K$353,5,FALSE)</f>
        <v>Teruel</v>
      </c>
      <c r="S423" s="1" t="s">
        <v>255</v>
      </c>
      <c r="T423" s="1" t="s">
        <v>256</v>
      </c>
      <c r="U423" s="1">
        <v>1</v>
      </c>
      <c r="V423" s="1" t="s">
        <v>101</v>
      </c>
      <c r="W423" s="1" t="s">
        <v>2516</v>
      </c>
      <c r="Y423" s="10">
        <v>45802</v>
      </c>
      <c r="Z423" s="1">
        <v>2025</v>
      </c>
      <c r="AA423" s="2">
        <v>6124683</v>
      </c>
      <c r="AB423" s="2"/>
      <c r="AC423" s="2">
        <v>1335000</v>
      </c>
      <c r="AD423" s="26">
        <v>13</v>
      </c>
      <c r="AE423" s="1">
        <v>3</v>
      </c>
      <c r="AG423" s="1" t="s">
        <v>56</v>
      </c>
      <c r="AI423" s="2">
        <v>1335000</v>
      </c>
    </row>
    <row r="424" spans="1:38" ht="12.6" customHeight="1" x14ac:dyDescent="0.2">
      <c r="A424" s="1" t="s">
        <v>57</v>
      </c>
      <c r="B424" s="9" t="s">
        <v>38</v>
      </c>
      <c r="C424" s="1" t="s">
        <v>58</v>
      </c>
      <c r="D424" s="1" t="s">
        <v>1409</v>
      </c>
      <c r="E424" s="1" t="s">
        <v>42</v>
      </c>
      <c r="F424" s="1" t="s">
        <v>2145</v>
      </c>
      <c r="G424" s="1" t="s">
        <v>2146</v>
      </c>
      <c r="H424" s="1" t="s">
        <v>2147</v>
      </c>
      <c r="I424" s="1" t="s">
        <v>2517</v>
      </c>
      <c r="J424" s="1">
        <v>2021</v>
      </c>
      <c r="K424" s="1" t="s">
        <v>2518</v>
      </c>
      <c r="L424" s="1" t="s">
        <v>2518</v>
      </c>
      <c r="M424" s="1" t="s">
        <v>2150</v>
      </c>
      <c r="P424" s="1" t="s">
        <v>2151</v>
      </c>
      <c r="Q424" s="1" t="s">
        <v>50</v>
      </c>
      <c r="R424" s="1" t="s">
        <v>68</v>
      </c>
      <c r="S424" s="1" t="s">
        <v>2519</v>
      </c>
      <c r="T424" s="1" t="s">
        <v>2520</v>
      </c>
      <c r="U424" s="1">
        <v>1</v>
      </c>
      <c r="V424" s="1" t="s">
        <v>71</v>
      </c>
      <c r="W424" s="1" t="s">
        <v>2521</v>
      </c>
      <c r="Y424" s="10">
        <v>44363</v>
      </c>
      <c r="Z424" s="1">
        <v>2021</v>
      </c>
      <c r="AA424" s="2">
        <v>2102325.92</v>
      </c>
      <c r="AB424" s="2"/>
      <c r="AC424" s="2">
        <v>2102325.92</v>
      </c>
      <c r="AG424" s="1" t="s">
        <v>56</v>
      </c>
      <c r="AI424" s="2">
        <v>2102325.92</v>
      </c>
      <c r="AJ424" s="2">
        <v>25.76</v>
      </c>
      <c r="AL424" s="1" t="s">
        <v>2522</v>
      </c>
    </row>
    <row r="425" spans="1:38" ht="12.6" customHeight="1" x14ac:dyDescent="0.2">
      <c r="A425" s="1" t="s">
        <v>57</v>
      </c>
      <c r="B425" s="9" t="s">
        <v>38</v>
      </c>
      <c r="C425" s="1" t="s">
        <v>58</v>
      </c>
      <c r="D425" s="1" t="s">
        <v>1409</v>
      </c>
      <c r="E425" s="1" t="s">
        <v>42</v>
      </c>
      <c r="F425" s="1" t="s">
        <v>2145</v>
      </c>
      <c r="G425" s="1" t="s">
        <v>2146</v>
      </c>
      <c r="H425" s="1" t="s">
        <v>2147</v>
      </c>
      <c r="I425" s="1" t="s">
        <v>2523</v>
      </c>
      <c r="J425" s="1">
        <v>2021</v>
      </c>
      <c r="K425" s="1" t="s">
        <v>2524</v>
      </c>
      <c r="L425" s="1" t="s">
        <v>2524</v>
      </c>
      <c r="P425" s="1" t="s">
        <v>2151</v>
      </c>
      <c r="Q425" s="1" t="s">
        <v>50</v>
      </c>
      <c r="R425" s="1" t="s">
        <v>68</v>
      </c>
      <c r="S425" s="1" t="s">
        <v>430</v>
      </c>
      <c r="T425" s="1" t="s">
        <v>431</v>
      </c>
      <c r="U425" s="1">
        <v>1</v>
      </c>
      <c r="V425" s="1" t="s">
        <v>71</v>
      </c>
      <c r="W425" s="1" t="s">
        <v>2525</v>
      </c>
      <c r="Y425" s="10">
        <v>44363</v>
      </c>
      <c r="Z425" s="1">
        <v>2021</v>
      </c>
      <c r="AA425" s="2">
        <v>1066888.01</v>
      </c>
      <c r="AB425" s="2"/>
      <c r="AC425" s="2">
        <v>1066888.01</v>
      </c>
      <c r="AG425" s="1" t="s">
        <v>56</v>
      </c>
      <c r="AI425" s="2">
        <v>1066888.01</v>
      </c>
      <c r="AJ425" s="2"/>
      <c r="AL425" s="1" t="s">
        <v>2526</v>
      </c>
    </row>
    <row r="426" spans="1:38" ht="12.6" customHeight="1" x14ac:dyDescent="0.2">
      <c r="A426" s="1" t="s">
        <v>57</v>
      </c>
      <c r="B426" s="9" t="s">
        <v>38</v>
      </c>
      <c r="C426" s="1" t="s">
        <v>58</v>
      </c>
      <c r="D426" s="1" t="s">
        <v>1409</v>
      </c>
      <c r="E426" s="1" t="s">
        <v>42</v>
      </c>
      <c r="F426" s="1" t="s">
        <v>2145</v>
      </c>
      <c r="G426" s="1" t="s">
        <v>2146</v>
      </c>
      <c r="H426" s="1" t="s">
        <v>2147</v>
      </c>
      <c r="I426" s="1" t="s">
        <v>2527</v>
      </c>
      <c r="J426" s="1">
        <v>2021</v>
      </c>
      <c r="K426" s="1" t="s">
        <v>2528</v>
      </c>
      <c r="L426" s="1" t="s">
        <v>2528</v>
      </c>
      <c r="M426" s="1" t="s">
        <v>2529</v>
      </c>
      <c r="P426" s="1" t="s">
        <v>2151</v>
      </c>
      <c r="Q426" s="1" t="s">
        <v>50</v>
      </c>
      <c r="R426" s="1" t="s">
        <v>77</v>
      </c>
      <c r="S426" s="11" t="s">
        <v>1212</v>
      </c>
      <c r="T426" s="1" t="s">
        <v>1213</v>
      </c>
      <c r="U426" s="1">
        <v>1</v>
      </c>
      <c r="V426" s="1" t="s">
        <v>186</v>
      </c>
      <c r="W426" s="1" t="s">
        <v>2530</v>
      </c>
      <c r="Y426" s="10">
        <v>44363</v>
      </c>
      <c r="Z426" s="1">
        <v>2021</v>
      </c>
      <c r="AA426" s="2">
        <v>408000</v>
      </c>
      <c r="AB426" s="2"/>
      <c r="AC426" s="2">
        <v>408000</v>
      </c>
      <c r="AG426" s="1" t="s">
        <v>2153</v>
      </c>
      <c r="AI426" s="2">
        <v>408000</v>
      </c>
      <c r="AJ426" s="2">
        <v>6.99</v>
      </c>
      <c r="AL426" s="1" t="s">
        <v>2531</v>
      </c>
    </row>
    <row r="427" spans="1:38" ht="12.6" customHeight="1" x14ac:dyDescent="0.2">
      <c r="A427" s="1" t="s">
        <v>57</v>
      </c>
      <c r="B427" s="9" t="s">
        <v>38</v>
      </c>
      <c r="C427" s="1" t="s">
        <v>58</v>
      </c>
      <c r="D427" s="1" t="s">
        <v>59</v>
      </c>
      <c r="E427" s="1" t="s">
        <v>42</v>
      </c>
      <c r="F427" s="1" t="s">
        <v>165</v>
      </c>
      <c r="G427" s="1" t="s">
        <v>88</v>
      </c>
      <c r="H427" s="1" t="s">
        <v>166</v>
      </c>
      <c r="I427" s="1" t="s">
        <v>2532</v>
      </c>
      <c r="J427" s="1">
        <v>2023</v>
      </c>
      <c r="K427" s="1" t="s">
        <v>2533</v>
      </c>
      <c r="L427" s="1" t="s">
        <v>2533</v>
      </c>
      <c r="P427" s="1" t="s">
        <v>551</v>
      </c>
      <c r="Q427" s="1" t="s">
        <v>101</v>
      </c>
      <c r="R427" s="1" t="s">
        <v>339</v>
      </c>
      <c r="S427" s="1" t="s">
        <v>340</v>
      </c>
      <c r="T427" s="2" t="s">
        <v>341</v>
      </c>
      <c r="U427" s="1">
        <v>1</v>
      </c>
      <c r="V427" s="1" t="s">
        <v>80</v>
      </c>
      <c r="W427" s="1" t="s">
        <v>2534</v>
      </c>
      <c r="Y427" s="10">
        <v>45802</v>
      </c>
      <c r="Z427" s="1">
        <v>2025</v>
      </c>
      <c r="AA427" s="12">
        <v>474209.98</v>
      </c>
      <c r="AB427" s="2"/>
      <c r="AC427" s="12">
        <v>165973.49</v>
      </c>
      <c r="AD427" s="1">
        <v>1.7</v>
      </c>
      <c r="AE427" s="1">
        <v>1</v>
      </c>
      <c r="AG427" s="1" t="s">
        <v>56</v>
      </c>
      <c r="AI427" s="13">
        <v>165973.49</v>
      </c>
    </row>
    <row r="428" spans="1:38" ht="12.6" customHeight="1" x14ac:dyDescent="0.2">
      <c r="A428" s="1" t="s">
        <v>57</v>
      </c>
      <c r="B428" s="9" t="s">
        <v>38</v>
      </c>
      <c r="C428" s="1" t="s">
        <v>58</v>
      </c>
      <c r="D428" s="1" t="s">
        <v>59</v>
      </c>
      <c r="E428" s="1" t="s">
        <v>42</v>
      </c>
      <c r="F428" s="1" t="s">
        <v>165</v>
      </c>
      <c r="G428" s="1" t="s">
        <v>88</v>
      </c>
      <c r="H428" s="1" t="s">
        <v>166</v>
      </c>
      <c r="I428" s="1" t="s">
        <v>2535</v>
      </c>
      <c r="J428" s="1">
        <v>2023</v>
      </c>
      <c r="K428" s="1" t="s">
        <v>2533</v>
      </c>
      <c r="L428" s="29" t="s">
        <v>2536</v>
      </c>
      <c r="M428" s="1" t="s">
        <v>2537</v>
      </c>
      <c r="P428" s="1" t="s">
        <v>2538</v>
      </c>
      <c r="Q428" s="1" t="s">
        <v>101</v>
      </c>
      <c r="R428" s="1" t="s">
        <v>102</v>
      </c>
      <c r="S428" s="1" t="s">
        <v>255</v>
      </c>
      <c r="T428" s="2" t="s">
        <v>256</v>
      </c>
      <c r="U428" s="1">
        <v>1</v>
      </c>
      <c r="V428" s="1" t="str">
        <f>VLOOKUP(Tabla354[[#This Row],[Municipio]],[1]CON_INE_2024!$H$5:$K$353,3,FALSE)</f>
        <v>Aragón</v>
      </c>
      <c r="W428" s="1" t="s">
        <v>2539</v>
      </c>
      <c r="Y428" s="10">
        <v>45802</v>
      </c>
      <c r="Z428" s="1">
        <v>2025</v>
      </c>
      <c r="AA428" s="12">
        <v>306719</v>
      </c>
      <c r="AB428" s="2"/>
      <c r="AC428" s="12">
        <v>122687.6</v>
      </c>
      <c r="AD428" s="1">
        <v>0</v>
      </c>
      <c r="AE428" s="1">
        <v>0</v>
      </c>
      <c r="AG428" s="1" t="s">
        <v>56</v>
      </c>
      <c r="AI428" s="13">
        <v>122687.6</v>
      </c>
    </row>
    <row r="429" spans="1:38" ht="12.6" customHeight="1" x14ac:dyDescent="0.2">
      <c r="A429" s="1" t="s">
        <v>57</v>
      </c>
      <c r="B429" s="9" t="s">
        <v>38</v>
      </c>
      <c r="C429" s="1" t="s">
        <v>58</v>
      </c>
      <c r="D429" s="1" t="s">
        <v>1409</v>
      </c>
      <c r="E429" s="1" t="s">
        <v>42</v>
      </c>
      <c r="F429" s="1" t="s">
        <v>2145</v>
      </c>
      <c r="G429" s="1" t="s">
        <v>2146</v>
      </c>
      <c r="H429" s="1" t="s">
        <v>2147</v>
      </c>
      <c r="I429" s="1" t="s">
        <v>2540</v>
      </c>
      <c r="J429" s="1">
        <v>2021</v>
      </c>
      <c r="K429" s="1" t="s">
        <v>2541</v>
      </c>
      <c r="L429" s="1" t="s">
        <v>2541</v>
      </c>
      <c r="M429" s="1" t="s">
        <v>2529</v>
      </c>
      <c r="P429" s="1" t="s">
        <v>2151</v>
      </c>
      <c r="Q429" s="1" t="s">
        <v>50</v>
      </c>
      <c r="R429" s="1" t="s">
        <v>77</v>
      </c>
      <c r="S429" s="1" t="s">
        <v>184</v>
      </c>
      <c r="T429" s="1" t="s">
        <v>185</v>
      </c>
      <c r="U429" s="1">
        <v>1</v>
      </c>
      <c r="V429" s="1" t="s">
        <v>186</v>
      </c>
      <c r="W429" s="1" t="s">
        <v>2542</v>
      </c>
      <c r="Y429" s="10">
        <v>44363</v>
      </c>
      <c r="Z429" s="1">
        <v>2021</v>
      </c>
      <c r="AA429" s="2">
        <v>2740687.54</v>
      </c>
      <c r="AB429" s="2"/>
      <c r="AC429" s="2">
        <v>2740687.54</v>
      </c>
      <c r="AG429" s="1" t="s">
        <v>2153</v>
      </c>
      <c r="AI429" s="2">
        <v>2740687.54</v>
      </c>
      <c r="AJ429" s="2">
        <v>21.18</v>
      </c>
      <c r="AL429" s="1" t="s">
        <v>2543</v>
      </c>
    </row>
    <row r="430" spans="1:38" ht="12.6" customHeight="1" x14ac:dyDescent="0.2">
      <c r="A430" s="1" t="s">
        <v>57</v>
      </c>
      <c r="B430" s="9" t="s">
        <v>38</v>
      </c>
      <c r="C430" s="1" t="s">
        <v>58</v>
      </c>
      <c r="D430" s="1" t="s">
        <v>59</v>
      </c>
      <c r="E430" s="1" t="s">
        <v>42</v>
      </c>
      <c r="F430" s="1" t="s">
        <v>165</v>
      </c>
      <c r="G430" s="1" t="s">
        <v>88</v>
      </c>
      <c r="H430" s="1" t="s">
        <v>166</v>
      </c>
      <c r="I430" s="1" t="s">
        <v>2544</v>
      </c>
      <c r="J430" s="1">
        <v>2023</v>
      </c>
      <c r="K430" s="1" t="s">
        <v>2545</v>
      </c>
      <c r="L430" s="29" t="s">
        <v>2546</v>
      </c>
      <c r="M430" s="1" t="s">
        <v>1240</v>
      </c>
      <c r="P430" s="1" t="s">
        <v>2547</v>
      </c>
      <c r="Q430" s="1" t="s">
        <v>101</v>
      </c>
      <c r="R430" s="1" t="s">
        <v>102</v>
      </c>
      <c r="S430" s="1" t="s">
        <v>637</v>
      </c>
      <c r="T430" s="2" t="s">
        <v>638</v>
      </c>
      <c r="U430" s="1">
        <v>1</v>
      </c>
      <c r="V430" s="1" t="str">
        <f>VLOOKUP(Tabla354[[#This Row],[Municipio]],[1]CON_INE_2024!$H$5:$K$353,3,FALSE)</f>
        <v>Aragón</v>
      </c>
      <c r="W430" s="1" t="s">
        <v>2548</v>
      </c>
      <c r="Y430" s="10">
        <v>45802</v>
      </c>
      <c r="Z430" s="1">
        <v>2025</v>
      </c>
      <c r="AA430" s="12">
        <v>194155.47</v>
      </c>
      <c r="AB430" s="2"/>
      <c r="AC430" s="12">
        <v>75000</v>
      </c>
      <c r="AD430" s="1">
        <v>1</v>
      </c>
      <c r="AE430" s="1">
        <v>0</v>
      </c>
      <c r="AG430" s="1" t="s">
        <v>56</v>
      </c>
      <c r="AI430" s="13">
        <v>75000</v>
      </c>
    </row>
    <row r="431" spans="1:38" ht="12.6" customHeight="1" x14ac:dyDescent="0.2">
      <c r="A431" s="1" t="s">
        <v>57</v>
      </c>
      <c r="B431" s="9" t="s">
        <v>38</v>
      </c>
      <c r="C431" s="1" t="s">
        <v>58</v>
      </c>
      <c r="D431" s="1" t="s">
        <v>59</v>
      </c>
      <c r="E431" s="1" t="s">
        <v>42</v>
      </c>
      <c r="F431" s="1" t="s">
        <v>165</v>
      </c>
      <c r="G431" s="1" t="s">
        <v>88</v>
      </c>
      <c r="H431" s="1" t="s">
        <v>166</v>
      </c>
      <c r="I431" s="1" t="s">
        <v>2549</v>
      </c>
      <c r="J431" s="1">
        <v>2023</v>
      </c>
      <c r="K431" s="1" t="s">
        <v>2550</v>
      </c>
      <c r="L431" s="29" t="s">
        <v>2551</v>
      </c>
      <c r="M431" s="1" t="s">
        <v>2552</v>
      </c>
      <c r="P431" s="1" t="s">
        <v>2553</v>
      </c>
      <c r="Q431" s="1" t="s">
        <v>101</v>
      </c>
      <c r="R431" s="1" t="s">
        <v>326</v>
      </c>
      <c r="S431" s="1" t="s">
        <v>327</v>
      </c>
      <c r="T431" s="1" t="s">
        <v>328</v>
      </c>
      <c r="U431" s="1">
        <v>2</v>
      </c>
      <c r="V431" s="1" t="s">
        <v>80</v>
      </c>
      <c r="W431" s="1" t="s">
        <v>2554</v>
      </c>
      <c r="Y431" s="10">
        <v>45802</v>
      </c>
      <c r="Z431" s="1">
        <v>2025</v>
      </c>
      <c r="AA431" s="12">
        <v>444911.06</v>
      </c>
      <c r="AB431" s="2"/>
      <c r="AC431" s="12">
        <v>75000</v>
      </c>
      <c r="AD431" s="1">
        <v>1</v>
      </c>
      <c r="AE431" s="1">
        <v>0</v>
      </c>
      <c r="AG431" s="1" t="s">
        <v>56</v>
      </c>
      <c r="AI431" s="13">
        <v>75000</v>
      </c>
    </row>
    <row r="432" spans="1:38" ht="12.6" customHeight="1" x14ac:dyDescent="0.2">
      <c r="A432" s="1" t="s">
        <v>57</v>
      </c>
      <c r="B432" s="9" t="s">
        <v>38</v>
      </c>
      <c r="C432" s="1" t="s">
        <v>58</v>
      </c>
      <c r="D432" s="1" t="s">
        <v>1409</v>
      </c>
      <c r="E432" s="1" t="s">
        <v>42</v>
      </c>
      <c r="F432" s="1" t="s">
        <v>2145</v>
      </c>
      <c r="G432" s="1" t="s">
        <v>2146</v>
      </c>
      <c r="H432" s="1" t="s">
        <v>2147</v>
      </c>
      <c r="I432" s="1" t="s">
        <v>2555</v>
      </c>
      <c r="J432" s="1">
        <v>2021</v>
      </c>
      <c r="K432" s="1" t="s">
        <v>2541</v>
      </c>
      <c r="L432" s="1" t="s">
        <v>2541</v>
      </c>
      <c r="M432" s="1" t="s">
        <v>2529</v>
      </c>
      <c r="P432" s="1" t="s">
        <v>2151</v>
      </c>
      <c r="Q432" s="1" t="s">
        <v>50</v>
      </c>
      <c r="R432" s="1" t="s">
        <v>77</v>
      </c>
      <c r="S432" s="1" t="s">
        <v>184</v>
      </c>
      <c r="T432" s="1" t="s">
        <v>185</v>
      </c>
      <c r="U432" s="1">
        <v>1</v>
      </c>
      <c r="V432" s="1" t="s">
        <v>186</v>
      </c>
      <c r="W432" s="1" t="s">
        <v>2556</v>
      </c>
      <c r="Y432" s="10">
        <v>44363</v>
      </c>
      <c r="Z432" s="1">
        <v>2021</v>
      </c>
      <c r="AA432" s="2">
        <v>408000</v>
      </c>
      <c r="AB432" s="2"/>
      <c r="AC432" s="2">
        <v>408000</v>
      </c>
      <c r="AG432" s="1" t="s">
        <v>2153</v>
      </c>
      <c r="AI432" s="2">
        <v>408000</v>
      </c>
      <c r="AJ432" s="2">
        <v>3.16</v>
      </c>
      <c r="AL432" s="1" t="s">
        <v>2557</v>
      </c>
    </row>
    <row r="433" spans="1:38" ht="12.6" customHeight="1" x14ac:dyDescent="0.2">
      <c r="A433" s="1" t="s">
        <v>57</v>
      </c>
      <c r="B433" s="9" t="s">
        <v>38</v>
      </c>
      <c r="C433" s="1" t="s">
        <v>58</v>
      </c>
      <c r="D433" s="1" t="s">
        <v>1409</v>
      </c>
      <c r="E433" s="1" t="s">
        <v>42</v>
      </c>
      <c r="F433" s="1" t="s">
        <v>2145</v>
      </c>
      <c r="G433" s="1" t="s">
        <v>2146</v>
      </c>
      <c r="H433" s="1" t="s">
        <v>2147</v>
      </c>
      <c r="I433" s="1" t="s">
        <v>2558</v>
      </c>
      <c r="J433" s="1">
        <v>2021</v>
      </c>
      <c r="K433" s="1" t="s">
        <v>2559</v>
      </c>
      <c r="L433" s="1" t="s">
        <v>2559</v>
      </c>
      <c r="M433" s="1" t="s">
        <v>2529</v>
      </c>
      <c r="P433" s="1" t="s">
        <v>2151</v>
      </c>
      <c r="Q433" s="1" t="s">
        <v>50</v>
      </c>
      <c r="R433" s="1" t="s">
        <v>77</v>
      </c>
      <c r="S433" s="11" t="s">
        <v>407</v>
      </c>
      <c r="T433" s="1" t="s">
        <v>408</v>
      </c>
      <c r="U433" s="1">
        <v>1</v>
      </c>
      <c r="V433" s="1" t="s">
        <v>186</v>
      </c>
      <c r="W433" s="1" t="s">
        <v>2560</v>
      </c>
      <c r="Y433" s="10">
        <v>44363</v>
      </c>
      <c r="Z433" s="1">
        <v>2021</v>
      </c>
      <c r="AA433" s="2">
        <v>306000</v>
      </c>
      <c r="AB433" s="2"/>
      <c r="AC433" s="2">
        <v>306000</v>
      </c>
      <c r="AG433" s="1" t="s">
        <v>2153</v>
      </c>
      <c r="AI433" s="2">
        <v>306000</v>
      </c>
      <c r="AJ433" s="2">
        <v>2.08</v>
      </c>
      <c r="AL433" s="1" t="s">
        <v>2561</v>
      </c>
    </row>
    <row r="434" spans="1:38" ht="12.6" customHeight="1" x14ac:dyDescent="0.2">
      <c r="A434" s="1" t="s">
        <v>57</v>
      </c>
      <c r="B434" s="9" t="s">
        <v>38</v>
      </c>
      <c r="C434" s="1" t="s">
        <v>58</v>
      </c>
      <c r="D434" s="1" t="s">
        <v>59</v>
      </c>
      <c r="E434" s="1" t="s">
        <v>42</v>
      </c>
      <c r="F434" s="1" t="s">
        <v>165</v>
      </c>
      <c r="G434" s="1" t="s">
        <v>88</v>
      </c>
      <c r="H434" s="1" t="s">
        <v>166</v>
      </c>
      <c r="I434" s="1" t="s">
        <v>2562</v>
      </c>
      <c r="J434" s="1">
        <v>2023</v>
      </c>
      <c r="K434" s="1" t="s">
        <v>2563</v>
      </c>
      <c r="L434" s="29" t="s">
        <v>2564</v>
      </c>
      <c r="M434" s="1" t="s">
        <v>1240</v>
      </c>
      <c r="P434" s="1" t="s">
        <v>2565</v>
      </c>
      <c r="Q434" s="1" t="s">
        <v>101</v>
      </c>
      <c r="R434" s="1" t="s">
        <v>102</v>
      </c>
      <c r="S434" s="1" t="s">
        <v>562</v>
      </c>
      <c r="T434" s="2" t="s">
        <v>563</v>
      </c>
      <c r="U434" s="1">
        <v>1</v>
      </c>
      <c r="V434" s="1" t="str">
        <f>VLOOKUP(Tabla354[[#This Row],[Municipio]],[1]CON_INE_2024!$H$5:$K$353,3,FALSE)</f>
        <v>Aragón</v>
      </c>
      <c r="W434" s="1" t="s">
        <v>2566</v>
      </c>
      <c r="Y434" s="10">
        <v>45802</v>
      </c>
      <c r="Z434" s="1">
        <v>2025</v>
      </c>
      <c r="AA434" s="12">
        <v>254377.21</v>
      </c>
      <c r="AB434" s="2"/>
      <c r="AC434" s="12">
        <v>101750.88</v>
      </c>
      <c r="AD434" s="1">
        <v>4</v>
      </c>
      <c r="AE434" s="1">
        <v>2</v>
      </c>
      <c r="AG434" s="1" t="s">
        <v>56</v>
      </c>
      <c r="AI434" s="13">
        <v>101750.88</v>
      </c>
    </row>
    <row r="435" spans="1:38" ht="12.6" customHeight="1" x14ac:dyDescent="0.2">
      <c r="A435" s="1" t="s">
        <v>57</v>
      </c>
      <c r="B435" s="9" t="s">
        <v>38</v>
      </c>
      <c r="C435" s="1" t="s">
        <v>58</v>
      </c>
      <c r="D435" s="1" t="s">
        <v>1409</v>
      </c>
      <c r="E435" s="1" t="s">
        <v>42</v>
      </c>
      <c r="F435" s="1" t="s">
        <v>2145</v>
      </c>
      <c r="G435" s="1" t="s">
        <v>2146</v>
      </c>
      <c r="H435" s="1" t="s">
        <v>2147</v>
      </c>
      <c r="I435" s="1" t="s">
        <v>2567</v>
      </c>
      <c r="J435" s="1">
        <v>2021</v>
      </c>
      <c r="K435" s="1" t="s">
        <v>2149</v>
      </c>
      <c r="L435" s="1" t="s">
        <v>2149</v>
      </c>
      <c r="M435" s="1" t="s">
        <v>2150</v>
      </c>
      <c r="P435" s="1" t="s">
        <v>2151</v>
      </c>
      <c r="Q435" s="1" t="s">
        <v>50</v>
      </c>
      <c r="R435" s="1" t="s">
        <v>68</v>
      </c>
      <c r="S435" s="1" t="s">
        <v>1360</v>
      </c>
      <c r="T435" s="1" t="s">
        <v>1361</v>
      </c>
      <c r="U435" s="1">
        <v>1</v>
      </c>
      <c r="V435" s="1" t="s">
        <v>71</v>
      </c>
      <c r="W435" s="1" t="s">
        <v>2568</v>
      </c>
      <c r="Y435" s="10">
        <v>44363</v>
      </c>
      <c r="Z435" s="1">
        <v>2021</v>
      </c>
      <c r="AA435" s="2">
        <v>1074189.8799999999</v>
      </c>
      <c r="AB435" s="2"/>
      <c r="AC435" s="2">
        <v>1074189.8799999999</v>
      </c>
      <c r="AG435" s="1" t="s">
        <v>2153</v>
      </c>
      <c r="AI435" s="2">
        <v>1074189.8799999999</v>
      </c>
      <c r="AJ435" s="2">
        <v>3.08</v>
      </c>
      <c r="AL435" s="1" t="s">
        <v>2569</v>
      </c>
    </row>
    <row r="436" spans="1:38" ht="12.6" customHeight="1" x14ac:dyDescent="0.2">
      <c r="A436" s="1" t="s">
        <v>57</v>
      </c>
      <c r="B436" s="9" t="s">
        <v>38</v>
      </c>
      <c r="C436" s="1" t="s">
        <v>58</v>
      </c>
      <c r="D436" s="1" t="s">
        <v>59</v>
      </c>
      <c r="E436" s="1" t="s">
        <v>42</v>
      </c>
      <c r="F436" s="1" t="s">
        <v>165</v>
      </c>
      <c r="G436" s="1" t="s">
        <v>88</v>
      </c>
      <c r="H436" s="1" t="s">
        <v>166</v>
      </c>
      <c r="I436" s="1" t="s">
        <v>2570</v>
      </c>
      <c r="J436" s="1">
        <v>2023</v>
      </c>
      <c r="K436" s="1" t="s">
        <v>2571</v>
      </c>
      <c r="L436" s="1" t="s">
        <v>2571</v>
      </c>
      <c r="M436" s="1" t="s">
        <v>1240</v>
      </c>
      <c r="P436" s="1" t="s">
        <v>2572</v>
      </c>
      <c r="Q436" s="1" t="s">
        <v>101</v>
      </c>
      <c r="R436" s="1" t="s">
        <v>326</v>
      </c>
      <c r="S436" s="1" t="s">
        <v>361</v>
      </c>
      <c r="T436" s="2" t="s">
        <v>362</v>
      </c>
      <c r="U436" s="1">
        <v>2</v>
      </c>
      <c r="V436" s="1" t="s">
        <v>80</v>
      </c>
      <c r="W436" s="1" t="s">
        <v>2573</v>
      </c>
      <c r="Y436" s="10">
        <v>45802</v>
      </c>
      <c r="Z436" s="1">
        <v>2025</v>
      </c>
      <c r="AA436" s="12">
        <v>222553.94</v>
      </c>
      <c r="AB436" s="2"/>
      <c r="AC436" s="12">
        <v>38946.94</v>
      </c>
      <c r="AD436" s="1">
        <v>1</v>
      </c>
      <c r="AE436" s="1">
        <v>1</v>
      </c>
      <c r="AG436" s="1" t="s">
        <v>56</v>
      </c>
      <c r="AI436" s="13">
        <v>38946.94</v>
      </c>
    </row>
    <row r="437" spans="1:38" ht="12.6" customHeight="1" x14ac:dyDescent="0.2">
      <c r="A437" s="1" t="s">
        <v>57</v>
      </c>
      <c r="B437" s="9" t="s">
        <v>38</v>
      </c>
      <c r="C437" s="1" t="s">
        <v>58</v>
      </c>
      <c r="D437" s="1" t="s">
        <v>59</v>
      </c>
      <c r="E437" s="1" t="s">
        <v>42</v>
      </c>
      <c r="F437" s="1" t="s">
        <v>165</v>
      </c>
      <c r="G437" s="1" t="s">
        <v>88</v>
      </c>
      <c r="H437" s="1" t="s">
        <v>166</v>
      </c>
      <c r="I437" s="1" t="s">
        <v>2574</v>
      </c>
      <c r="J437" s="1">
        <v>2023</v>
      </c>
      <c r="K437" s="1" t="s">
        <v>2575</v>
      </c>
      <c r="L437" s="1" t="s">
        <v>2576</v>
      </c>
      <c r="M437" s="1" t="s">
        <v>2577</v>
      </c>
      <c r="P437" s="1" t="s">
        <v>2578</v>
      </c>
      <c r="Q437" s="1" t="s">
        <v>110</v>
      </c>
      <c r="R437" s="1" t="s">
        <v>605</v>
      </c>
      <c r="S437" s="1" t="s">
        <v>606</v>
      </c>
      <c r="T437" s="2" t="s">
        <v>607</v>
      </c>
      <c r="U437" s="1">
        <v>1</v>
      </c>
      <c r="V437" s="1" t="s">
        <v>80</v>
      </c>
      <c r="W437" s="1" t="s">
        <v>2579</v>
      </c>
      <c r="Y437" s="10">
        <v>45802</v>
      </c>
      <c r="Z437" s="1">
        <v>2025</v>
      </c>
      <c r="AA437" s="12">
        <v>201456.57</v>
      </c>
      <c r="AB437" s="2"/>
      <c r="AC437" s="12">
        <v>100728.29</v>
      </c>
      <c r="AD437" s="1">
        <v>1</v>
      </c>
      <c r="AE437" s="1">
        <v>1</v>
      </c>
      <c r="AG437" s="1" t="s">
        <v>56</v>
      </c>
      <c r="AI437" s="13">
        <v>100728.29</v>
      </c>
    </row>
    <row r="438" spans="1:38" ht="12.6" customHeight="1" x14ac:dyDescent="0.2">
      <c r="A438" s="1" t="s">
        <v>57</v>
      </c>
      <c r="B438" s="9" t="s">
        <v>38</v>
      </c>
      <c r="C438" s="1" t="s">
        <v>58</v>
      </c>
      <c r="D438" s="1" t="s">
        <v>59</v>
      </c>
      <c r="E438" s="1" t="s">
        <v>42</v>
      </c>
      <c r="F438" s="1" t="s">
        <v>165</v>
      </c>
      <c r="G438" s="1" t="s">
        <v>88</v>
      </c>
      <c r="H438" s="1" t="s">
        <v>166</v>
      </c>
      <c r="I438" s="1" t="s">
        <v>2580</v>
      </c>
      <c r="J438" s="1">
        <v>2023</v>
      </c>
      <c r="K438" s="1" t="s">
        <v>2581</v>
      </c>
      <c r="L438" s="1" t="s">
        <v>2582</v>
      </c>
      <c r="M438" s="1" t="s">
        <v>2583</v>
      </c>
      <c r="P438" s="1" t="s">
        <v>2584</v>
      </c>
      <c r="Q438" s="1" t="s">
        <v>110</v>
      </c>
      <c r="R438" s="1" t="s">
        <v>605</v>
      </c>
      <c r="S438" s="1" t="s">
        <v>606</v>
      </c>
      <c r="T438" s="2" t="s">
        <v>607</v>
      </c>
      <c r="U438" s="1">
        <v>1</v>
      </c>
      <c r="V438" s="1" t="s">
        <v>80</v>
      </c>
      <c r="W438" s="1" t="s">
        <v>2585</v>
      </c>
      <c r="Y438" s="10">
        <v>45802</v>
      </c>
      <c r="Z438" s="1">
        <v>2025</v>
      </c>
      <c r="AA438" s="12">
        <v>294119.5</v>
      </c>
      <c r="AB438" s="2"/>
      <c r="AC438" s="12">
        <v>117647.8</v>
      </c>
      <c r="AD438" s="1">
        <v>7</v>
      </c>
      <c r="AE438" s="1">
        <v>1</v>
      </c>
      <c r="AG438" s="1" t="s">
        <v>56</v>
      </c>
      <c r="AI438" s="13">
        <v>117647.8</v>
      </c>
    </row>
    <row r="439" spans="1:38" ht="12.6" customHeight="1" x14ac:dyDescent="0.2">
      <c r="A439" s="1" t="s">
        <v>57</v>
      </c>
      <c r="B439" s="9" t="s">
        <v>38</v>
      </c>
      <c r="C439" s="1" t="s">
        <v>58</v>
      </c>
      <c r="D439" s="1" t="s">
        <v>59</v>
      </c>
      <c r="E439" s="1" t="s">
        <v>42</v>
      </c>
      <c r="F439" s="1" t="s">
        <v>165</v>
      </c>
      <c r="G439" s="1" t="s">
        <v>88</v>
      </c>
      <c r="H439" s="1" t="s">
        <v>166</v>
      </c>
      <c r="I439" s="1" t="s">
        <v>2586</v>
      </c>
      <c r="J439" s="1">
        <v>2023</v>
      </c>
      <c r="K439" s="1" t="s">
        <v>2587</v>
      </c>
      <c r="L439" s="1" t="s">
        <v>2587</v>
      </c>
      <c r="M439" s="1" t="s">
        <v>1240</v>
      </c>
      <c r="P439" s="1" t="s">
        <v>2588</v>
      </c>
      <c r="Q439" s="1" t="s">
        <v>101</v>
      </c>
      <c r="R439" s="1" t="s">
        <v>102</v>
      </c>
      <c r="S439" s="1" t="s">
        <v>562</v>
      </c>
      <c r="T439" s="2" t="s">
        <v>563</v>
      </c>
      <c r="U439" s="1">
        <v>1</v>
      </c>
      <c r="V439" s="1" t="str">
        <f>VLOOKUP(Tabla354[[#This Row],[Municipio]],[1]CON_INE_2024!$H$5:$K$353,3,FALSE)</f>
        <v>Aragón</v>
      </c>
      <c r="W439" s="1" t="s">
        <v>2589</v>
      </c>
      <c r="Y439" s="10">
        <v>45802</v>
      </c>
      <c r="Z439" s="1">
        <v>2025</v>
      </c>
      <c r="AA439" s="12">
        <v>35504.93</v>
      </c>
      <c r="AB439" s="2"/>
      <c r="AC439" s="12">
        <v>14201.97</v>
      </c>
      <c r="AD439" s="1">
        <v>2</v>
      </c>
      <c r="AE439" s="1">
        <v>1</v>
      </c>
      <c r="AG439" s="1" t="s">
        <v>56</v>
      </c>
      <c r="AI439" s="13">
        <v>14201.97</v>
      </c>
    </row>
    <row r="440" spans="1:38" ht="12.6" customHeight="1" x14ac:dyDescent="0.2">
      <c r="A440" s="1" t="s">
        <v>57</v>
      </c>
      <c r="B440" s="9" t="s">
        <v>38</v>
      </c>
      <c r="C440" s="1" t="s">
        <v>58</v>
      </c>
      <c r="D440" s="1" t="s">
        <v>1409</v>
      </c>
      <c r="E440" s="1" t="s">
        <v>42</v>
      </c>
      <c r="F440" s="1" t="s">
        <v>2145</v>
      </c>
      <c r="G440" s="1" t="s">
        <v>2146</v>
      </c>
      <c r="H440" s="1" t="s">
        <v>2147</v>
      </c>
      <c r="I440" s="1" t="s">
        <v>2590</v>
      </c>
      <c r="J440" s="1">
        <v>2021</v>
      </c>
      <c r="K440" s="1" t="s">
        <v>2559</v>
      </c>
      <c r="L440" s="1" t="s">
        <v>2559</v>
      </c>
      <c r="M440" s="1" t="s">
        <v>2529</v>
      </c>
      <c r="P440" s="1" t="s">
        <v>2151</v>
      </c>
      <c r="Q440" s="1" t="s">
        <v>50</v>
      </c>
      <c r="R440" s="1" t="s">
        <v>77</v>
      </c>
      <c r="S440" s="11" t="s">
        <v>407</v>
      </c>
      <c r="T440" s="1" t="s">
        <v>408</v>
      </c>
      <c r="U440" s="1">
        <v>1</v>
      </c>
      <c r="V440" s="1" t="s">
        <v>186</v>
      </c>
      <c r="W440" s="1" t="s">
        <v>2591</v>
      </c>
      <c r="Y440" s="10">
        <v>44363</v>
      </c>
      <c r="Z440" s="1">
        <v>2021</v>
      </c>
      <c r="AA440" s="2">
        <v>1278639</v>
      </c>
      <c r="AB440" s="2"/>
      <c r="AC440" s="2">
        <v>1278639</v>
      </c>
      <c r="AG440" s="1" t="s">
        <v>2153</v>
      </c>
      <c r="AI440" s="2">
        <v>1278639</v>
      </c>
      <c r="AJ440" s="2">
        <v>18.89</v>
      </c>
      <c r="AL440" s="1" t="s">
        <v>2592</v>
      </c>
    </row>
    <row r="441" spans="1:38" ht="12.6" customHeight="1" x14ac:dyDescent="0.2">
      <c r="A441" s="1" t="s">
        <v>57</v>
      </c>
      <c r="B441" s="9" t="s">
        <v>38</v>
      </c>
      <c r="C441" s="1" t="s">
        <v>58</v>
      </c>
      <c r="D441" s="1" t="s">
        <v>1409</v>
      </c>
      <c r="E441" s="1" t="s">
        <v>42</v>
      </c>
      <c r="F441" s="1" t="s">
        <v>2145</v>
      </c>
      <c r="G441" s="1" t="s">
        <v>2146</v>
      </c>
      <c r="H441" s="1" t="s">
        <v>2147</v>
      </c>
      <c r="I441" s="1" t="s">
        <v>2593</v>
      </c>
      <c r="J441" s="1">
        <v>2021</v>
      </c>
      <c r="K441" s="1" t="s">
        <v>2149</v>
      </c>
      <c r="L441" s="1" t="s">
        <v>2149</v>
      </c>
      <c r="M441" s="1" t="s">
        <v>2150</v>
      </c>
      <c r="P441" s="1" t="s">
        <v>2151</v>
      </c>
      <c r="Q441" s="1" t="s">
        <v>50</v>
      </c>
      <c r="R441" s="1" t="s">
        <v>68</v>
      </c>
      <c r="S441" s="1" t="s">
        <v>1360</v>
      </c>
      <c r="T441" s="1" t="s">
        <v>1361</v>
      </c>
      <c r="U441" s="1">
        <v>1</v>
      </c>
      <c r="V441" s="1" t="s">
        <v>71</v>
      </c>
      <c r="W441" s="1" t="s">
        <v>2594</v>
      </c>
      <c r="Y441" s="10">
        <v>44363</v>
      </c>
      <c r="Z441" s="1">
        <v>2021</v>
      </c>
      <c r="AA441" s="2">
        <v>738706.65</v>
      </c>
      <c r="AB441" s="2"/>
      <c r="AC441" s="2">
        <v>738706.65</v>
      </c>
      <c r="AG441" s="1" t="s">
        <v>2153</v>
      </c>
      <c r="AI441" s="2">
        <v>738706.65</v>
      </c>
      <c r="AJ441" s="2">
        <v>8.58</v>
      </c>
      <c r="AL441" s="1" t="s">
        <v>2569</v>
      </c>
    </row>
    <row r="442" spans="1:38" ht="12.6" customHeight="1" x14ac:dyDescent="0.2">
      <c r="A442" s="1" t="s">
        <v>57</v>
      </c>
      <c r="B442" s="9" t="s">
        <v>38</v>
      </c>
      <c r="C442" s="1" t="s">
        <v>58</v>
      </c>
      <c r="D442" s="1" t="s">
        <v>59</v>
      </c>
      <c r="E442" s="1" t="s">
        <v>42</v>
      </c>
      <c r="F442" s="1" t="s">
        <v>165</v>
      </c>
      <c r="G442" s="1" t="s">
        <v>88</v>
      </c>
      <c r="H442" s="1" t="s">
        <v>166</v>
      </c>
      <c r="I442" s="1" t="s">
        <v>2595</v>
      </c>
      <c r="J442" s="1">
        <v>2023</v>
      </c>
      <c r="K442" s="1" t="s">
        <v>2596</v>
      </c>
      <c r="L442" s="29" t="s">
        <v>2597</v>
      </c>
      <c r="M442" s="1" t="s">
        <v>2598</v>
      </c>
      <c r="P442" s="1" t="s">
        <v>2020</v>
      </c>
      <c r="Q442" s="1" t="s">
        <v>101</v>
      </c>
      <c r="R442" s="1" t="s">
        <v>102</v>
      </c>
      <c r="S442" s="1" t="s">
        <v>637</v>
      </c>
      <c r="T442" s="2" t="s">
        <v>638</v>
      </c>
      <c r="U442" s="1">
        <v>1</v>
      </c>
      <c r="V442" s="1" t="str">
        <f>VLOOKUP(Tabla354[[#This Row],[Municipio]],[1]CON_INE_2024!$H$5:$K$353,3,FALSE)</f>
        <v>Aragón</v>
      </c>
      <c r="W442" s="1" t="s">
        <v>2599</v>
      </c>
      <c r="Y442" s="10">
        <v>45802</v>
      </c>
      <c r="Z442" s="1">
        <v>2025</v>
      </c>
      <c r="AA442" s="12">
        <v>52207.21</v>
      </c>
      <c r="AB442" s="2"/>
      <c r="AC442" s="12">
        <v>20882.88</v>
      </c>
      <c r="AD442" s="1">
        <v>0</v>
      </c>
      <c r="AE442" s="1">
        <v>0</v>
      </c>
      <c r="AG442" s="1" t="s">
        <v>56</v>
      </c>
      <c r="AI442" s="13">
        <v>20882.88</v>
      </c>
    </row>
    <row r="443" spans="1:38" ht="12.6" customHeight="1" x14ac:dyDescent="0.2">
      <c r="A443" s="1" t="s">
        <v>57</v>
      </c>
      <c r="B443" s="9" t="s">
        <v>38</v>
      </c>
      <c r="C443" s="1" t="s">
        <v>58</v>
      </c>
      <c r="D443" s="1" t="s">
        <v>59</v>
      </c>
      <c r="E443" s="1" t="s">
        <v>42</v>
      </c>
      <c r="F443" s="1" t="s">
        <v>165</v>
      </c>
      <c r="G443" s="1" t="s">
        <v>88</v>
      </c>
      <c r="H443" s="1" t="s">
        <v>166</v>
      </c>
      <c r="I443" s="1" t="s">
        <v>2600</v>
      </c>
      <c r="J443" s="1">
        <v>2023</v>
      </c>
      <c r="K443" s="1" t="s">
        <v>2601</v>
      </c>
      <c r="L443" s="1" t="s">
        <v>2601</v>
      </c>
      <c r="M443" s="1" t="s">
        <v>2602</v>
      </c>
      <c r="P443" s="1" t="s">
        <v>2603</v>
      </c>
      <c r="Q443" s="1" t="s">
        <v>101</v>
      </c>
      <c r="R443" s="1" t="s">
        <v>102</v>
      </c>
      <c r="S443" s="1" t="s">
        <v>255</v>
      </c>
      <c r="T443" s="2" t="s">
        <v>256</v>
      </c>
      <c r="U443" s="1">
        <v>1</v>
      </c>
      <c r="V443" s="1" t="str">
        <f>VLOOKUP(Tabla354[[#This Row],[Municipio]],[1]CON_INE_2024!$H$5:$K$353,3,FALSE)</f>
        <v>Aragón</v>
      </c>
      <c r="W443" s="1" t="s">
        <v>2604</v>
      </c>
      <c r="Y443" s="10">
        <v>45802</v>
      </c>
      <c r="Z443" s="1">
        <v>2025</v>
      </c>
      <c r="AA443" s="12">
        <v>457617.16</v>
      </c>
      <c r="AB443" s="2"/>
      <c r="AC443" s="12">
        <v>137285.15</v>
      </c>
      <c r="AD443" s="1">
        <v>2</v>
      </c>
      <c r="AE443" s="1">
        <v>0</v>
      </c>
      <c r="AG443" s="1" t="s">
        <v>56</v>
      </c>
      <c r="AI443" s="13">
        <v>137285.15</v>
      </c>
    </row>
    <row r="444" spans="1:38" ht="12.6" customHeight="1" x14ac:dyDescent="0.25">
      <c r="A444" s="1" t="s">
        <v>57</v>
      </c>
      <c r="B444" s="9" t="s">
        <v>38</v>
      </c>
      <c r="C444" s="1" t="s">
        <v>58</v>
      </c>
      <c r="D444" s="1" t="s">
        <v>59</v>
      </c>
      <c r="E444" s="1" t="s">
        <v>42</v>
      </c>
      <c r="G444" s="1" t="s">
        <v>105</v>
      </c>
      <c r="H444" s="1" t="s">
        <v>1893</v>
      </c>
      <c r="I444" s="1" t="s">
        <v>2605</v>
      </c>
      <c r="J444" s="1">
        <v>2023</v>
      </c>
      <c r="K444" s="1" t="s">
        <v>2606</v>
      </c>
      <c r="L444" s="1" t="s">
        <v>2607</v>
      </c>
      <c r="M444" s="1" t="s">
        <v>2608</v>
      </c>
      <c r="P444" s="1" t="s">
        <v>2609</v>
      </c>
      <c r="Q444" s="1" t="s">
        <v>842</v>
      </c>
      <c r="R444" s="1" t="s">
        <v>1177</v>
      </c>
      <c r="S444" s="16" t="s">
        <v>1178</v>
      </c>
      <c r="T444" s="1" t="s">
        <v>1179</v>
      </c>
      <c r="V444" s="1" t="s">
        <v>1178</v>
      </c>
      <c r="W444" s="1" t="s">
        <v>2606</v>
      </c>
      <c r="Y444" s="10">
        <v>45462</v>
      </c>
      <c r="Z444" s="1">
        <v>2024</v>
      </c>
      <c r="AA444" s="2">
        <v>460378.97</v>
      </c>
      <c r="AB444" s="2"/>
      <c r="AC444" s="2">
        <v>141303.88</v>
      </c>
      <c r="AD444" s="1">
        <v>8</v>
      </c>
      <c r="AE444" s="1">
        <v>7</v>
      </c>
      <c r="AG444" s="1" t="s">
        <v>56</v>
      </c>
      <c r="AI444" s="2">
        <v>141303.88</v>
      </c>
    </row>
    <row r="445" spans="1:38" ht="14.45" customHeight="1" x14ac:dyDescent="0.2">
      <c r="A445" s="1" t="s">
        <v>57</v>
      </c>
      <c r="B445" s="9" t="s">
        <v>38</v>
      </c>
      <c r="C445" s="1" t="s">
        <v>58</v>
      </c>
      <c r="D445" s="1" t="s">
        <v>59</v>
      </c>
      <c r="E445" s="1" t="s">
        <v>42</v>
      </c>
      <c r="G445" s="1" t="s">
        <v>105</v>
      </c>
      <c r="H445" s="1" t="s">
        <v>1893</v>
      </c>
      <c r="I445" s="1" t="s">
        <v>2610</v>
      </c>
      <c r="J445" s="1">
        <v>2023</v>
      </c>
      <c r="K445" s="1" t="s">
        <v>2611</v>
      </c>
      <c r="L445" s="1" t="s">
        <v>2612</v>
      </c>
      <c r="M445" s="1" t="s">
        <v>2613</v>
      </c>
      <c r="P445" s="1" t="s">
        <v>2614</v>
      </c>
      <c r="Q445" s="1" t="s">
        <v>842</v>
      </c>
      <c r="R445" s="1" t="s">
        <v>884</v>
      </c>
      <c r="S445" s="1" t="s">
        <v>885</v>
      </c>
      <c r="T445" s="1" t="s">
        <v>886</v>
      </c>
      <c r="V445" s="1" t="s">
        <v>887</v>
      </c>
      <c r="W445" s="1" t="s">
        <v>2611</v>
      </c>
      <c r="Y445" s="10">
        <v>45462</v>
      </c>
      <c r="Z445" s="1">
        <v>2024</v>
      </c>
      <c r="AA445" s="2">
        <v>2081958.6</v>
      </c>
      <c r="AB445" s="2"/>
      <c r="AC445" s="2">
        <v>984587.58</v>
      </c>
      <c r="AD445" s="1">
        <v>26</v>
      </c>
      <c r="AE445" s="1">
        <v>8</v>
      </c>
      <c r="AG445" s="1" t="s">
        <v>56</v>
      </c>
      <c r="AI445" s="2">
        <v>984587.58</v>
      </c>
    </row>
    <row r="446" spans="1:38" ht="14.45" customHeight="1" x14ac:dyDescent="0.25">
      <c r="A446" s="1" t="s">
        <v>57</v>
      </c>
      <c r="B446" s="9" t="s">
        <v>38</v>
      </c>
      <c r="C446" s="1" t="s">
        <v>58</v>
      </c>
      <c r="D446" s="1" t="s">
        <v>146</v>
      </c>
      <c r="E446" s="1" t="s">
        <v>42</v>
      </c>
      <c r="G446" s="1" t="s">
        <v>155</v>
      </c>
      <c r="H446" s="1" t="s">
        <v>156</v>
      </c>
      <c r="I446" s="1" t="s">
        <v>2615</v>
      </c>
      <c r="J446" s="1">
        <v>2022</v>
      </c>
      <c r="K446" s="1" t="s">
        <v>2616</v>
      </c>
      <c r="L446" s="1" t="s">
        <v>2617</v>
      </c>
      <c r="P446" s="1" t="s">
        <v>2618</v>
      </c>
      <c r="Q446" s="1" t="s">
        <v>50</v>
      </c>
      <c r="R446" s="1" t="s">
        <v>51</v>
      </c>
      <c r="S446" s="16" t="s">
        <v>2619</v>
      </c>
      <c r="T446" s="1" t="s">
        <v>2620</v>
      </c>
      <c r="V446" s="1" t="s">
        <v>54</v>
      </c>
      <c r="W446" s="1" t="s">
        <v>2621</v>
      </c>
      <c r="Y446" s="10">
        <v>45112</v>
      </c>
      <c r="Z446" s="1">
        <v>2023</v>
      </c>
      <c r="AA446" s="2">
        <v>413107.6</v>
      </c>
      <c r="AB446" s="2"/>
      <c r="AC446" s="2">
        <v>413107.6</v>
      </c>
      <c r="AG446" s="1" t="s">
        <v>56</v>
      </c>
      <c r="AI446" s="2">
        <v>413107.6</v>
      </c>
    </row>
    <row r="447" spans="1:38" ht="14.45" customHeight="1" x14ac:dyDescent="0.2">
      <c r="A447" s="1" t="s">
        <v>57</v>
      </c>
      <c r="B447" s="9" t="s">
        <v>38</v>
      </c>
      <c r="C447" s="1" t="s">
        <v>58</v>
      </c>
      <c r="D447" s="1" t="s">
        <v>146</v>
      </c>
      <c r="E447" s="1" t="s">
        <v>42</v>
      </c>
      <c r="G447" s="1" t="s">
        <v>155</v>
      </c>
      <c r="H447" s="1" t="s">
        <v>156</v>
      </c>
      <c r="I447" s="1" t="s">
        <v>2622</v>
      </c>
      <c r="J447" s="1">
        <v>2022</v>
      </c>
      <c r="K447" s="1" t="s">
        <v>2623</v>
      </c>
      <c r="L447" s="1" t="s">
        <v>2624</v>
      </c>
      <c r="P447" s="1" t="s">
        <v>1534</v>
      </c>
      <c r="Q447" s="1" t="s">
        <v>1149</v>
      </c>
      <c r="R447" s="1" t="s">
        <v>1150</v>
      </c>
      <c r="S447" s="1" t="s">
        <v>1535</v>
      </c>
      <c r="T447" s="1" t="s">
        <v>1536</v>
      </c>
      <c r="V447" s="1" t="s">
        <v>1537</v>
      </c>
      <c r="W447" s="1" t="s">
        <v>2625</v>
      </c>
      <c r="Y447" s="10">
        <v>45112</v>
      </c>
      <c r="Z447" s="1">
        <v>2023</v>
      </c>
      <c r="AA447" s="2">
        <v>498393.68</v>
      </c>
      <c r="AB447" s="2"/>
      <c r="AC447" s="2">
        <v>498393.68</v>
      </c>
      <c r="AG447" s="1" t="s">
        <v>56</v>
      </c>
      <c r="AI447" s="2">
        <v>498393.68</v>
      </c>
    </row>
    <row r="448" spans="1:38" ht="14.45" customHeight="1" x14ac:dyDescent="0.2">
      <c r="A448" s="1" t="s">
        <v>57</v>
      </c>
      <c r="B448" s="9" t="s">
        <v>38</v>
      </c>
      <c r="C448" s="1" t="s">
        <v>58</v>
      </c>
      <c r="D448" s="1" t="s">
        <v>59</v>
      </c>
      <c r="E448" s="1" t="s">
        <v>42</v>
      </c>
      <c r="G448" s="1" t="s">
        <v>105</v>
      </c>
      <c r="H448" s="1" t="s">
        <v>1893</v>
      </c>
      <c r="I448" s="1" t="s">
        <v>2626</v>
      </c>
      <c r="J448" s="1">
        <v>2023</v>
      </c>
      <c r="K448" s="1" t="s">
        <v>2627</v>
      </c>
      <c r="L448" s="1" t="s">
        <v>2628</v>
      </c>
      <c r="M448" s="1" t="s">
        <v>882</v>
      </c>
      <c r="P448" s="1" t="s">
        <v>2629</v>
      </c>
      <c r="Q448" s="1" t="s">
        <v>842</v>
      </c>
      <c r="R448" s="1" t="s">
        <v>884</v>
      </c>
      <c r="S448" s="1" t="s">
        <v>1011</v>
      </c>
      <c r="T448" s="1" t="s">
        <v>1012</v>
      </c>
      <c r="V448" s="1" t="s">
        <v>887</v>
      </c>
      <c r="W448" s="1" t="s">
        <v>2627</v>
      </c>
      <c r="Y448" s="10">
        <v>45462</v>
      </c>
      <c r="Z448" s="1">
        <v>2024</v>
      </c>
      <c r="AA448" s="2">
        <v>1614743.9</v>
      </c>
      <c r="AB448" s="2"/>
      <c r="AC448" s="2">
        <v>529423.16</v>
      </c>
      <c r="AD448" s="1">
        <v>3</v>
      </c>
      <c r="AE448" s="1">
        <v>1</v>
      </c>
      <c r="AG448" s="1" t="s">
        <v>56</v>
      </c>
      <c r="AI448" s="2">
        <v>529423.16</v>
      </c>
    </row>
    <row r="449" spans="1:35" ht="14.45" customHeight="1" x14ac:dyDescent="0.2">
      <c r="A449" s="1" t="s">
        <v>57</v>
      </c>
      <c r="B449" s="9" t="s">
        <v>38</v>
      </c>
      <c r="C449" s="1" t="s">
        <v>58</v>
      </c>
      <c r="D449" s="1" t="s">
        <v>59</v>
      </c>
      <c r="E449" s="1" t="s">
        <v>42</v>
      </c>
      <c r="G449" s="1" t="s">
        <v>105</v>
      </c>
      <c r="H449" s="1" t="s">
        <v>1893</v>
      </c>
      <c r="I449" s="1" t="s">
        <v>2630</v>
      </c>
      <c r="J449" s="1">
        <v>2023</v>
      </c>
      <c r="K449" s="1" t="s">
        <v>2631</v>
      </c>
      <c r="L449" s="1" t="s">
        <v>2632</v>
      </c>
      <c r="P449" s="1" t="s">
        <v>2633</v>
      </c>
      <c r="Q449" s="1" t="s">
        <v>1149</v>
      </c>
      <c r="R449" s="1" t="s">
        <v>1150</v>
      </c>
      <c r="S449" s="1" t="s">
        <v>1151</v>
      </c>
      <c r="T449" s="1" t="s">
        <v>1152</v>
      </c>
      <c r="V449" s="1" t="s">
        <v>1153</v>
      </c>
      <c r="W449" s="1" t="s">
        <v>2634</v>
      </c>
      <c r="Y449" s="10">
        <v>45594</v>
      </c>
      <c r="Z449" s="1">
        <v>2024</v>
      </c>
      <c r="AA449" s="2">
        <v>1948628.5</v>
      </c>
      <c r="AB449" s="2"/>
      <c r="AC449" s="2">
        <v>378509.99</v>
      </c>
      <c r="AD449" s="1">
        <v>5</v>
      </c>
      <c r="AE449" s="1">
        <v>0</v>
      </c>
      <c r="AG449" s="1" t="s">
        <v>56</v>
      </c>
      <c r="AI449" s="2">
        <v>378509.99</v>
      </c>
    </row>
    <row r="450" spans="1:35" ht="14.45" customHeight="1" x14ac:dyDescent="0.25">
      <c r="A450" s="1" t="s">
        <v>57</v>
      </c>
      <c r="B450" s="9" t="s">
        <v>39</v>
      </c>
      <c r="C450" s="1" t="s">
        <v>58</v>
      </c>
      <c r="D450" s="1" t="s">
        <v>146</v>
      </c>
      <c r="E450" s="1" t="s">
        <v>42</v>
      </c>
      <c r="G450" s="1" t="s">
        <v>155</v>
      </c>
      <c r="H450" s="1" t="s">
        <v>156</v>
      </c>
      <c r="I450" s="1" t="s">
        <v>2635</v>
      </c>
      <c r="J450" s="1">
        <v>2022</v>
      </c>
      <c r="K450" s="14" t="s">
        <v>2636</v>
      </c>
      <c r="P450" s="1" t="s">
        <v>2637</v>
      </c>
      <c r="Q450" s="1" t="s">
        <v>50</v>
      </c>
      <c r="R450" s="1" t="s">
        <v>77</v>
      </c>
      <c r="S450" s="16" t="s">
        <v>2638</v>
      </c>
      <c r="T450" s="1" t="s">
        <v>2639</v>
      </c>
      <c r="U450" s="1">
        <v>1</v>
      </c>
      <c r="V450" s="1" t="s">
        <v>186</v>
      </c>
      <c r="W450" s="1" t="s">
        <v>2640</v>
      </c>
      <c r="Y450" s="10">
        <v>45174</v>
      </c>
      <c r="Z450" s="1">
        <v>2023</v>
      </c>
      <c r="AA450" s="2">
        <v>1333513.6499999999</v>
      </c>
      <c r="AB450" s="2"/>
      <c r="AC450" s="2">
        <v>1333513.6499999999</v>
      </c>
      <c r="AG450" s="1" t="s">
        <v>432</v>
      </c>
      <c r="AH450" s="1" t="s">
        <v>492</v>
      </c>
      <c r="AI450" s="2">
        <v>0</v>
      </c>
    </row>
    <row r="451" spans="1:35" ht="14.45" customHeight="1" x14ac:dyDescent="0.2">
      <c r="A451" s="1" t="s">
        <v>57</v>
      </c>
      <c r="B451" s="9" t="s">
        <v>38</v>
      </c>
      <c r="C451" s="1" t="s">
        <v>58</v>
      </c>
      <c r="D451" s="1" t="s">
        <v>146</v>
      </c>
      <c r="E451" s="1" t="s">
        <v>42</v>
      </c>
      <c r="G451" s="1" t="s">
        <v>155</v>
      </c>
      <c r="H451" s="1" t="s">
        <v>156</v>
      </c>
      <c r="I451" s="1" t="s">
        <v>2641</v>
      </c>
      <c r="J451" s="1">
        <v>2022</v>
      </c>
      <c r="K451" s="1" t="s">
        <v>1497</v>
      </c>
      <c r="L451" s="1" t="s">
        <v>1498</v>
      </c>
      <c r="P451" s="1" t="s">
        <v>2642</v>
      </c>
      <c r="Q451" s="1" t="s">
        <v>101</v>
      </c>
      <c r="R451" s="1" t="s">
        <v>102</v>
      </c>
      <c r="S451" s="1" t="s">
        <v>1272</v>
      </c>
      <c r="T451" s="1" t="s">
        <v>1273</v>
      </c>
      <c r="U451" s="1">
        <v>2</v>
      </c>
      <c r="V451" s="1" t="s">
        <v>101</v>
      </c>
      <c r="W451" s="1" t="s">
        <v>2643</v>
      </c>
      <c r="Y451" s="10">
        <v>45112</v>
      </c>
      <c r="Z451" s="1">
        <v>2023</v>
      </c>
      <c r="AA451" s="2">
        <v>378020.31</v>
      </c>
      <c r="AB451" s="2"/>
      <c r="AC451" s="2">
        <v>378020.31</v>
      </c>
      <c r="AG451" s="1" t="s">
        <v>56</v>
      </c>
      <c r="AI451" s="2">
        <v>378020.31</v>
      </c>
    </row>
    <row r="452" spans="1:35" ht="14.45" customHeight="1" x14ac:dyDescent="0.2">
      <c r="A452" s="1" t="s">
        <v>57</v>
      </c>
      <c r="B452" s="9" t="s">
        <v>38</v>
      </c>
      <c r="C452" s="1" t="s">
        <v>58</v>
      </c>
      <c r="D452" s="1" t="s">
        <v>59</v>
      </c>
      <c r="E452" s="1" t="s">
        <v>42</v>
      </c>
      <c r="G452" s="1" t="s">
        <v>105</v>
      </c>
      <c r="H452" s="1" t="s">
        <v>1893</v>
      </c>
      <c r="I452" s="1" t="s">
        <v>2644</v>
      </c>
      <c r="J452" s="1">
        <v>2023</v>
      </c>
      <c r="K452" s="1" t="s">
        <v>2645</v>
      </c>
      <c r="L452" s="1" t="s">
        <v>2646</v>
      </c>
      <c r="M452" s="1" t="s">
        <v>882</v>
      </c>
      <c r="P452" s="1" t="s">
        <v>2647</v>
      </c>
      <c r="Q452" s="1" t="s">
        <v>842</v>
      </c>
      <c r="R452" s="1" t="s">
        <v>884</v>
      </c>
      <c r="S452" s="1" t="s">
        <v>885</v>
      </c>
      <c r="T452" s="1" t="s">
        <v>886</v>
      </c>
      <c r="V452" s="1" t="s">
        <v>887</v>
      </c>
      <c r="W452" s="1" t="s">
        <v>2645</v>
      </c>
      <c r="Y452" s="10">
        <v>45462</v>
      </c>
      <c r="Z452" s="1">
        <v>2024</v>
      </c>
      <c r="AA452" s="2">
        <v>10272618.32</v>
      </c>
      <c r="AB452" s="2"/>
      <c r="AC452" s="2">
        <v>3000000</v>
      </c>
      <c r="AD452" s="1">
        <v>11</v>
      </c>
      <c r="AE452" s="1">
        <v>7</v>
      </c>
      <c r="AG452" s="1" t="s">
        <v>56</v>
      </c>
      <c r="AI452" s="2">
        <v>3000000</v>
      </c>
    </row>
    <row r="453" spans="1:35" ht="14.45" customHeight="1" x14ac:dyDescent="0.2">
      <c r="A453" s="1" t="s">
        <v>57</v>
      </c>
      <c r="B453" s="9" t="s">
        <v>38</v>
      </c>
      <c r="C453" s="1" t="s">
        <v>58</v>
      </c>
      <c r="D453" s="1" t="s">
        <v>59</v>
      </c>
      <c r="E453" s="1" t="s">
        <v>42</v>
      </c>
      <c r="G453" s="1" t="s">
        <v>105</v>
      </c>
      <c r="H453" s="1" t="s">
        <v>1893</v>
      </c>
      <c r="I453" s="1" t="s">
        <v>2648</v>
      </c>
      <c r="J453" s="1">
        <v>2023</v>
      </c>
      <c r="K453" s="1" t="s">
        <v>2649</v>
      </c>
      <c r="L453" s="1" t="s">
        <v>2650</v>
      </c>
      <c r="M453" s="1" t="s">
        <v>882</v>
      </c>
      <c r="P453" s="1" t="s">
        <v>2651</v>
      </c>
      <c r="Q453" s="1" t="s">
        <v>842</v>
      </c>
      <c r="R453" s="1" t="s">
        <v>884</v>
      </c>
      <c r="S453" s="1" t="s">
        <v>885</v>
      </c>
      <c r="T453" s="1" t="s">
        <v>886</v>
      </c>
      <c r="V453" s="1" t="s">
        <v>887</v>
      </c>
      <c r="W453" s="1" t="s">
        <v>2649</v>
      </c>
      <c r="Y453" s="10">
        <v>45462</v>
      </c>
      <c r="Z453" s="1">
        <v>2024</v>
      </c>
      <c r="AA453" s="2">
        <v>1703832.6</v>
      </c>
      <c r="AB453" s="2"/>
      <c r="AC453" s="2">
        <v>571149.78</v>
      </c>
      <c r="AD453" s="1">
        <v>4</v>
      </c>
      <c r="AE453" s="1">
        <v>2</v>
      </c>
      <c r="AG453" s="1" t="s">
        <v>56</v>
      </c>
      <c r="AI453" s="2">
        <v>571149.78</v>
      </c>
    </row>
    <row r="454" spans="1:35" ht="12.6" customHeight="1" x14ac:dyDescent="0.2">
      <c r="A454" s="1" t="s">
        <v>57</v>
      </c>
      <c r="B454" s="9" t="s">
        <v>38</v>
      </c>
      <c r="C454" s="1" t="s">
        <v>58</v>
      </c>
      <c r="D454" s="1" t="s">
        <v>146</v>
      </c>
      <c r="E454" s="1" t="s">
        <v>42</v>
      </c>
      <c r="G454" s="1" t="s">
        <v>155</v>
      </c>
      <c r="H454" s="1" t="s">
        <v>156</v>
      </c>
      <c r="I454" s="1" t="s">
        <v>2652</v>
      </c>
      <c r="J454" s="1">
        <v>2022</v>
      </c>
      <c r="K454" s="1" t="s">
        <v>2653</v>
      </c>
      <c r="L454" s="1" t="s">
        <v>2654</v>
      </c>
      <c r="P454" s="1" t="s">
        <v>2655</v>
      </c>
      <c r="Q454" s="1" t="s">
        <v>264</v>
      </c>
      <c r="R454" s="1" t="s">
        <v>265</v>
      </c>
      <c r="S454" s="1" t="s">
        <v>923</v>
      </c>
      <c r="T454" s="1" t="s">
        <v>924</v>
      </c>
      <c r="U454" s="1">
        <v>1</v>
      </c>
      <c r="V454" s="1" t="s">
        <v>268</v>
      </c>
      <c r="W454" s="1" t="s">
        <v>2656</v>
      </c>
      <c r="Y454" s="10">
        <v>45112</v>
      </c>
      <c r="Z454" s="1">
        <v>2023</v>
      </c>
      <c r="AA454" s="2">
        <v>498986.03</v>
      </c>
      <c r="AB454" s="2"/>
      <c r="AC454" s="2">
        <v>498986.03</v>
      </c>
      <c r="AG454" s="1" t="s">
        <v>56</v>
      </c>
      <c r="AI454" s="2">
        <v>498986.03</v>
      </c>
    </row>
    <row r="455" spans="1:35" ht="14.45" customHeight="1" x14ac:dyDescent="0.2">
      <c r="A455" s="1" t="s">
        <v>57</v>
      </c>
      <c r="B455" s="9" t="s">
        <v>38</v>
      </c>
      <c r="C455" s="1" t="s">
        <v>58</v>
      </c>
      <c r="D455" s="1" t="s">
        <v>59</v>
      </c>
      <c r="E455" s="1" t="s">
        <v>42</v>
      </c>
      <c r="G455" s="1" t="s">
        <v>122</v>
      </c>
      <c r="H455" s="1" t="s">
        <v>1893</v>
      </c>
      <c r="I455" s="1" t="s">
        <v>2657</v>
      </c>
      <c r="J455" s="1">
        <v>2023</v>
      </c>
      <c r="K455" s="1" t="s">
        <v>2658</v>
      </c>
      <c r="L455" s="1" t="s">
        <v>2659</v>
      </c>
      <c r="P455" s="1" t="s">
        <v>2660</v>
      </c>
      <c r="Q455" s="1" t="s">
        <v>842</v>
      </c>
      <c r="R455" s="1" t="s">
        <v>884</v>
      </c>
      <c r="S455" s="1" t="s">
        <v>885</v>
      </c>
      <c r="T455" s="1" t="s">
        <v>886</v>
      </c>
      <c r="V455" s="1" t="s">
        <v>887</v>
      </c>
      <c r="W455" s="1" t="s">
        <v>2658</v>
      </c>
      <c r="Y455" s="10">
        <v>45478</v>
      </c>
      <c r="Z455" s="1">
        <v>2024</v>
      </c>
      <c r="AA455" s="2">
        <v>50010.73</v>
      </c>
      <c r="AB455" s="2"/>
      <c r="AC455" s="2">
        <v>12502.68</v>
      </c>
      <c r="AD455" s="1">
        <v>0</v>
      </c>
      <c r="AG455" s="1" t="s">
        <v>56</v>
      </c>
      <c r="AI455" s="2">
        <v>12502.68</v>
      </c>
    </row>
    <row r="456" spans="1:35" ht="14.45" customHeight="1" x14ac:dyDescent="0.2">
      <c r="A456" s="1" t="s">
        <v>57</v>
      </c>
      <c r="B456" s="9" t="s">
        <v>38</v>
      </c>
      <c r="C456" s="1" t="s">
        <v>58</v>
      </c>
      <c r="D456" s="1" t="s">
        <v>59</v>
      </c>
      <c r="E456" s="1" t="s">
        <v>42</v>
      </c>
      <c r="G456" s="1" t="s">
        <v>122</v>
      </c>
      <c r="H456" s="1" t="s">
        <v>1893</v>
      </c>
      <c r="I456" s="1" t="s">
        <v>2661</v>
      </c>
      <c r="J456" s="1">
        <v>2023</v>
      </c>
      <c r="K456" s="1" t="s">
        <v>2662</v>
      </c>
      <c r="L456" s="1" t="s">
        <v>2663</v>
      </c>
      <c r="P456" s="1" t="s">
        <v>2664</v>
      </c>
      <c r="Q456" s="1" t="s">
        <v>842</v>
      </c>
      <c r="R456" s="1" t="s">
        <v>884</v>
      </c>
      <c r="S456" s="1" t="s">
        <v>1011</v>
      </c>
      <c r="T456" s="1" t="s">
        <v>1012</v>
      </c>
      <c r="V456" s="1" t="s">
        <v>887</v>
      </c>
      <c r="W456" s="1" t="s">
        <v>2662</v>
      </c>
      <c r="Y456" s="10">
        <v>45478</v>
      </c>
      <c r="Z456" s="1">
        <v>2024</v>
      </c>
      <c r="AA456" s="2">
        <v>63032.31</v>
      </c>
      <c r="AB456" s="2"/>
      <c r="AC456" s="2">
        <v>31516.16</v>
      </c>
      <c r="AD456" s="1">
        <v>2</v>
      </c>
      <c r="AE456" s="1">
        <v>1</v>
      </c>
      <c r="AG456" s="1" t="s">
        <v>56</v>
      </c>
      <c r="AI456" s="2">
        <v>31516.16</v>
      </c>
    </row>
    <row r="457" spans="1:35" ht="14.45" customHeight="1" x14ac:dyDescent="0.2">
      <c r="A457" s="1" t="s">
        <v>57</v>
      </c>
      <c r="B457" s="9" t="s">
        <v>38</v>
      </c>
      <c r="C457" s="1" t="s">
        <v>58</v>
      </c>
      <c r="D457" s="1" t="s">
        <v>59</v>
      </c>
      <c r="E457" s="1" t="s">
        <v>42</v>
      </c>
      <c r="G457" s="1" t="s">
        <v>122</v>
      </c>
      <c r="H457" s="1" t="s">
        <v>1893</v>
      </c>
      <c r="I457" s="1" t="s">
        <v>2665</v>
      </c>
      <c r="J457" s="1">
        <v>2023</v>
      </c>
      <c r="K457" s="1" t="s">
        <v>2666</v>
      </c>
      <c r="L457" s="1" t="s">
        <v>2667</v>
      </c>
      <c r="P457" s="1" t="s">
        <v>2668</v>
      </c>
      <c r="Q457" s="1" t="s">
        <v>842</v>
      </c>
      <c r="R457" s="1" t="s">
        <v>884</v>
      </c>
      <c r="S457" s="1" t="s">
        <v>2669</v>
      </c>
      <c r="T457" s="1" t="s">
        <v>2670</v>
      </c>
      <c r="V457" s="1" t="s">
        <v>887</v>
      </c>
      <c r="W457" s="1" t="s">
        <v>2666</v>
      </c>
      <c r="Y457" s="10">
        <v>45478</v>
      </c>
      <c r="Z457" s="1">
        <v>2024</v>
      </c>
      <c r="AA457" s="2">
        <v>33226.39</v>
      </c>
      <c r="AB457" s="2"/>
      <c r="AC457" s="2">
        <v>8306.6</v>
      </c>
      <c r="AD457" s="1">
        <v>0</v>
      </c>
      <c r="AG457" s="1" t="s">
        <v>56</v>
      </c>
      <c r="AI457" s="2">
        <v>8306.6</v>
      </c>
    </row>
    <row r="458" spans="1:35" ht="14.45" customHeight="1" x14ac:dyDescent="0.2">
      <c r="A458" s="1" t="s">
        <v>57</v>
      </c>
      <c r="B458" s="9" t="s">
        <v>38</v>
      </c>
      <c r="C458" s="1" t="s">
        <v>58</v>
      </c>
      <c r="D458" s="1" t="s">
        <v>59</v>
      </c>
      <c r="E458" s="1" t="s">
        <v>42</v>
      </c>
      <c r="G458" s="1" t="s">
        <v>105</v>
      </c>
      <c r="H458" s="1" t="s">
        <v>1893</v>
      </c>
      <c r="I458" s="1" t="s">
        <v>2671</v>
      </c>
      <c r="J458" s="1">
        <v>2023</v>
      </c>
      <c r="K458" s="1" t="s">
        <v>2672</v>
      </c>
      <c r="L458" s="1" t="s">
        <v>2673</v>
      </c>
      <c r="P458" s="1" t="s">
        <v>2674</v>
      </c>
      <c r="Q458" s="1" t="s">
        <v>264</v>
      </c>
      <c r="R458" s="1" t="s">
        <v>265</v>
      </c>
      <c r="S458" s="1" t="s">
        <v>266</v>
      </c>
      <c r="T458" s="1" t="s">
        <v>267</v>
      </c>
      <c r="U458" s="1">
        <v>2</v>
      </c>
      <c r="V458" s="1" t="s">
        <v>268</v>
      </c>
      <c r="W458" s="1" t="s">
        <v>2675</v>
      </c>
      <c r="Y458" s="10">
        <v>45462</v>
      </c>
      <c r="Z458" s="1">
        <v>2024</v>
      </c>
      <c r="AA458" s="2">
        <v>537203</v>
      </c>
      <c r="AB458" s="2"/>
      <c r="AC458" s="2">
        <v>188021.05</v>
      </c>
      <c r="AD458" s="1">
        <v>10</v>
      </c>
      <c r="AE458" s="1">
        <v>3</v>
      </c>
      <c r="AG458" s="1" t="s">
        <v>56</v>
      </c>
      <c r="AI458" s="2">
        <v>188021.05</v>
      </c>
    </row>
    <row r="459" spans="1:35" ht="14.45" customHeight="1" x14ac:dyDescent="0.2">
      <c r="A459" s="1" t="s">
        <v>57</v>
      </c>
      <c r="B459" s="9" t="s">
        <v>38</v>
      </c>
      <c r="C459" s="1" t="s">
        <v>58</v>
      </c>
      <c r="D459" s="1" t="s">
        <v>59</v>
      </c>
      <c r="E459" s="1" t="s">
        <v>42</v>
      </c>
      <c r="G459" s="1" t="s">
        <v>105</v>
      </c>
      <c r="H459" s="1" t="s">
        <v>1893</v>
      </c>
      <c r="I459" s="1" t="s">
        <v>2676</v>
      </c>
      <c r="J459" s="1">
        <v>2023</v>
      </c>
      <c r="K459" s="1" t="s">
        <v>2677</v>
      </c>
      <c r="L459" s="1" t="s">
        <v>2678</v>
      </c>
      <c r="P459" s="1" t="s">
        <v>2679</v>
      </c>
      <c r="Q459" s="1" t="s">
        <v>264</v>
      </c>
      <c r="R459" s="1" t="s">
        <v>265</v>
      </c>
      <c r="S459" s="1" t="s">
        <v>2680</v>
      </c>
      <c r="T459" s="1" t="s">
        <v>2681</v>
      </c>
      <c r="U459" s="1">
        <v>1</v>
      </c>
      <c r="V459" s="1" t="s">
        <v>308</v>
      </c>
      <c r="W459" s="1" t="s">
        <v>2682</v>
      </c>
      <c r="Y459" s="10">
        <v>45462</v>
      </c>
      <c r="Z459" s="1">
        <v>2024</v>
      </c>
      <c r="AA459" s="2">
        <v>3843821.25</v>
      </c>
      <c r="AB459" s="2"/>
      <c r="AC459" s="2">
        <v>927668.72</v>
      </c>
      <c r="AD459" s="1">
        <v>17</v>
      </c>
      <c r="AE459" s="1">
        <v>3</v>
      </c>
      <c r="AG459" s="1" t="s">
        <v>56</v>
      </c>
      <c r="AI459" s="2">
        <v>927668.72</v>
      </c>
    </row>
    <row r="460" spans="1:35" ht="14.45" customHeight="1" x14ac:dyDescent="0.2">
      <c r="A460" s="1" t="s">
        <v>57</v>
      </c>
      <c r="B460" s="9" t="s">
        <v>38</v>
      </c>
      <c r="C460" s="1" t="s">
        <v>58</v>
      </c>
      <c r="D460" s="1" t="s">
        <v>59</v>
      </c>
      <c r="E460" s="1" t="s">
        <v>42</v>
      </c>
      <c r="G460" s="1" t="s">
        <v>105</v>
      </c>
      <c r="H460" s="1" t="s">
        <v>1893</v>
      </c>
      <c r="I460" s="1" t="s">
        <v>2683</v>
      </c>
      <c r="J460" s="1">
        <v>2023</v>
      </c>
      <c r="K460" s="1" t="s">
        <v>2684</v>
      </c>
      <c r="L460" s="1" t="s">
        <v>2685</v>
      </c>
      <c r="P460" s="1" t="s">
        <v>2686</v>
      </c>
      <c r="Q460" s="1" t="s">
        <v>264</v>
      </c>
      <c r="R460" s="1" t="s">
        <v>265</v>
      </c>
      <c r="S460" s="1" t="s">
        <v>2680</v>
      </c>
      <c r="T460" s="1" t="s">
        <v>2681</v>
      </c>
      <c r="U460" s="1">
        <v>1</v>
      </c>
      <c r="V460" s="1" t="s">
        <v>308</v>
      </c>
      <c r="W460" s="1" t="s">
        <v>2687</v>
      </c>
      <c r="Y460" s="10">
        <v>45462</v>
      </c>
      <c r="Z460" s="1">
        <v>2024</v>
      </c>
      <c r="AA460" s="2">
        <v>3241330</v>
      </c>
      <c r="AB460" s="2"/>
      <c r="AC460" s="2">
        <v>619732.75</v>
      </c>
      <c r="AD460" s="1">
        <v>4</v>
      </c>
      <c r="AE460" s="1">
        <v>1</v>
      </c>
      <c r="AG460" s="1" t="s">
        <v>56</v>
      </c>
      <c r="AI460" s="2">
        <v>619732.75</v>
      </c>
    </row>
    <row r="461" spans="1:35" ht="14.45" customHeight="1" x14ac:dyDescent="0.2">
      <c r="A461" s="1" t="s">
        <v>57</v>
      </c>
      <c r="B461" s="9" t="s">
        <v>38</v>
      </c>
      <c r="C461" s="1" t="s">
        <v>58</v>
      </c>
      <c r="D461" s="1" t="s">
        <v>59</v>
      </c>
      <c r="E461" s="1" t="s">
        <v>42</v>
      </c>
      <c r="G461" s="1" t="s">
        <v>105</v>
      </c>
      <c r="H461" s="1" t="s">
        <v>1893</v>
      </c>
      <c r="I461" s="1" t="s">
        <v>2688</v>
      </c>
      <c r="J461" s="1">
        <v>2023</v>
      </c>
      <c r="K461" s="1" t="s">
        <v>2689</v>
      </c>
      <c r="L461" s="1" t="s">
        <v>2690</v>
      </c>
      <c r="P461" s="1" t="s">
        <v>2691</v>
      </c>
      <c r="Q461" s="1" t="s">
        <v>264</v>
      </c>
      <c r="R461" s="1" t="s">
        <v>265</v>
      </c>
      <c r="S461" s="1" t="s">
        <v>935</v>
      </c>
      <c r="T461" s="1" t="s">
        <v>936</v>
      </c>
      <c r="U461" s="1">
        <v>1</v>
      </c>
      <c r="V461" s="1" t="s">
        <v>308</v>
      </c>
      <c r="W461" s="1" t="s">
        <v>2692</v>
      </c>
      <c r="Y461" s="10">
        <v>45462</v>
      </c>
      <c r="Z461" s="1">
        <v>2024</v>
      </c>
      <c r="AA461" s="2">
        <v>1390307.55</v>
      </c>
      <c r="AB461" s="2"/>
      <c r="AC461" s="2">
        <v>318303.82</v>
      </c>
      <c r="AD461" s="1">
        <v>5</v>
      </c>
      <c r="AE461" s="1">
        <v>2</v>
      </c>
      <c r="AG461" s="1" t="s">
        <v>56</v>
      </c>
      <c r="AI461" s="2">
        <v>318303.82</v>
      </c>
    </row>
    <row r="462" spans="1:35" ht="14.45" customHeight="1" x14ac:dyDescent="0.2">
      <c r="A462" s="1" t="s">
        <v>57</v>
      </c>
      <c r="B462" s="9" t="s">
        <v>38</v>
      </c>
      <c r="C462" s="1" t="s">
        <v>58</v>
      </c>
      <c r="D462" s="1" t="s">
        <v>59</v>
      </c>
      <c r="E462" s="1" t="s">
        <v>42</v>
      </c>
      <c r="G462" s="1" t="s">
        <v>122</v>
      </c>
      <c r="H462" s="1" t="s">
        <v>1893</v>
      </c>
      <c r="I462" s="1" t="s">
        <v>2693</v>
      </c>
      <c r="J462" s="1">
        <v>2023</v>
      </c>
      <c r="K462" s="1" t="s">
        <v>2694</v>
      </c>
      <c r="L462" s="1" t="s">
        <v>2695</v>
      </c>
      <c r="P462" s="1" t="s">
        <v>2696</v>
      </c>
      <c r="Q462" s="1" t="s">
        <v>842</v>
      </c>
      <c r="R462" s="1" t="s">
        <v>884</v>
      </c>
      <c r="S462" s="1" t="s">
        <v>1011</v>
      </c>
      <c r="T462" s="1" t="s">
        <v>1012</v>
      </c>
      <c r="V462" s="1" t="s">
        <v>887</v>
      </c>
      <c r="W462" s="1" t="s">
        <v>2697</v>
      </c>
      <c r="Y462" s="10">
        <v>45478</v>
      </c>
      <c r="Z462" s="1">
        <v>2024</v>
      </c>
      <c r="AA462" s="2">
        <v>153626.17000000001</v>
      </c>
      <c r="AB462" s="2"/>
      <c r="AC462" s="2">
        <v>68406.539999999994</v>
      </c>
      <c r="AD462" s="1">
        <v>1</v>
      </c>
      <c r="AE462" s="1">
        <v>1</v>
      </c>
      <c r="AG462" s="1" t="s">
        <v>56</v>
      </c>
      <c r="AI462" s="2">
        <v>68406.539999999994</v>
      </c>
    </row>
    <row r="463" spans="1:35" ht="14.45" customHeight="1" x14ac:dyDescent="0.2">
      <c r="A463" s="1" t="s">
        <v>57</v>
      </c>
      <c r="B463" s="9" t="s">
        <v>38</v>
      </c>
      <c r="C463" s="1" t="s">
        <v>58</v>
      </c>
      <c r="D463" s="1" t="s">
        <v>59</v>
      </c>
      <c r="E463" s="1" t="s">
        <v>42</v>
      </c>
      <c r="G463" s="1" t="s">
        <v>122</v>
      </c>
      <c r="H463" s="1" t="s">
        <v>1893</v>
      </c>
      <c r="I463" s="1" t="s">
        <v>2698</v>
      </c>
      <c r="J463" s="1">
        <v>2023</v>
      </c>
      <c r="K463" s="1" t="s">
        <v>2699</v>
      </c>
      <c r="L463" s="1" t="s">
        <v>2700</v>
      </c>
      <c r="P463" s="1" t="s">
        <v>2701</v>
      </c>
      <c r="Q463" s="1" t="s">
        <v>842</v>
      </c>
      <c r="R463" s="1" t="s">
        <v>884</v>
      </c>
      <c r="S463" s="1" t="s">
        <v>1011</v>
      </c>
      <c r="T463" s="1" t="s">
        <v>1012</v>
      </c>
      <c r="V463" s="1" t="s">
        <v>887</v>
      </c>
      <c r="W463" s="1" t="s">
        <v>2699</v>
      </c>
      <c r="Y463" s="10">
        <v>45478</v>
      </c>
      <c r="Z463" s="1">
        <v>2024</v>
      </c>
      <c r="AA463" s="2">
        <v>64198.559999999998</v>
      </c>
      <c r="AB463" s="2"/>
      <c r="AC463" s="2">
        <v>31049.64</v>
      </c>
      <c r="AD463" s="1">
        <v>1</v>
      </c>
      <c r="AG463" s="1" t="s">
        <v>56</v>
      </c>
      <c r="AI463" s="2">
        <v>31049.64</v>
      </c>
    </row>
    <row r="464" spans="1:35" ht="14.45" customHeight="1" x14ac:dyDescent="0.2">
      <c r="A464" s="1" t="s">
        <v>57</v>
      </c>
      <c r="B464" s="9" t="s">
        <v>38</v>
      </c>
      <c r="C464" s="1" t="s">
        <v>58</v>
      </c>
      <c r="D464" s="1" t="s">
        <v>59</v>
      </c>
      <c r="E464" s="1" t="s">
        <v>42</v>
      </c>
      <c r="G464" s="1" t="s">
        <v>122</v>
      </c>
      <c r="H464" s="1" t="s">
        <v>1893</v>
      </c>
      <c r="I464" s="1" t="s">
        <v>2702</v>
      </c>
      <c r="J464" s="1">
        <v>2023</v>
      </c>
      <c r="K464" s="1" t="s">
        <v>2703</v>
      </c>
      <c r="L464" s="1" t="s">
        <v>2704</v>
      </c>
      <c r="M464" s="1" t="s">
        <v>2705</v>
      </c>
      <c r="P464" s="1" t="s">
        <v>2706</v>
      </c>
      <c r="Q464" s="1" t="s">
        <v>842</v>
      </c>
      <c r="R464" s="1" t="s">
        <v>843</v>
      </c>
      <c r="S464" s="1" t="s">
        <v>2707</v>
      </c>
      <c r="T464" s="1" t="s">
        <v>2708</v>
      </c>
      <c r="V464" s="1" t="s">
        <v>846</v>
      </c>
      <c r="W464" s="1" t="s">
        <v>2703</v>
      </c>
      <c r="Y464" s="10">
        <v>45478</v>
      </c>
      <c r="Z464" s="1">
        <v>2024</v>
      </c>
      <c r="AA464" s="2">
        <v>92795.07</v>
      </c>
      <c r="AB464" s="2"/>
      <c r="AC464" s="2">
        <v>46397.54</v>
      </c>
      <c r="AD464" s="1">
        <v>2</v>
      </c>
      <c r="AG464" s="1" t="s">
        <v>56</v>
      </c>
      <c r="AI464" s="2">
        <v>46397.54</v>
      </c>
    </row>
    <row r="465" spans="1:38" ht="14.45" customHeight="1" x14ac:dyDescent="0.2">
      <c r="A465" s="1" t="s">
        <v>57</v>
      </c>
      <c r="B465" s="9" t="s">
        <v>38</v>
      </c>
      <c r="C465" s="1" t="s">
        <v>58</v>
      </c>
      <c r="D465" s="1" t="s">
        <v>59</v>
      </c>
      <c r="E465" s="1" t="s">
        <v>42</v>
      </c>
      <c r="G465" s="1" t="s">
        <v>122</v>
      </c>
      <c r="H465" s="1" t="s">
        <v>1893</v>
      </c>
      <c r="I465" s="1" t="s">
        <v>2709</v>
      </c>
      <c r="J465" s="1">
        <v>2023</v>
      </c>
      <c r="K465" s="1" t="s">
        <v>2710</v>
      </c>
      <c r="L465" s="1" t="s">
        <v>2711</v>
      </c>
      <c r="N465" s="1" t="s">
        <v>2712</v>
      </c>
      <c r="O465" s="1" t="s">
        <v>2713</v>
      </c>
      <c r="P465" s="1" t="s">
        <v>2714</v>
      </c>
      <c r="Q465" s="1" t="s">
        <v>842</v>
      </c>
      <c r="R465" s="1" t="s">
        <v>843</v>
      </c>
      <c r="S465" s="1" t="s">
        <v>844</v>
      </c>
      <c r="T465" s="1" t="s">
        <v>845</v>
      </c>
      <c r="V465" s="1" t="s">
        <v>846</v>
      </c>
      <c r="W465" s="1" t="s">
        <v>2710</v>
      </c>
      <c r="Y465" s="10">
        <v>45478</v>
      </c>
      <c r="Z465" s="1">
        <v>2024</v>
      </c>
      <c r="AA465" s="2">
        <v>137088.54999999999</v>
      </c>
      <c r="AB465" s="2"/>
      <c r="AC465" s="2">
        <v>64272.14</v>
      </c>
      <c r="AD465" s="1">
        <v>1</v>
      </c>
      <c r="AG465" s="1" t="s">
        <v>56</v>
      </c>
      <c r="AI465" s="2">
        <v>64272.14</v>
      </c>
    </row>
    <row r="466" spans="1:38" ht="14.45" customHeight="1" x14ac:dyDescent="0.2">
      <c r="A466" s="1" t="s">
        <v>57</v>
      </c>
      <c r="B466" s="9" t="s">
        <v>38</v>
      </c>
      <c r="C466" s="1" t="s">
        <v>58</v>
      </c>
      <c r="D466" s="1" t="s">
        <v>59</v>
      </c>
      <c r="E466" s="1" t="s">
        <v>42</v>
      </c>
      <c r="G466" s="1" t="s">
        <v>122</v>
      </c>
      <c r="H466" s="1" t="s">
        <v>1893</v>
      </c>
      <c r="I466" s="1" t="s">
        <v>2715</v>
      </c>
      <c r="J466" s="1">
        <v>2023</v>
      </c>
      <c r="K466" s="1" t="s">
        <v>2716</v>
      </c>
      <c r="L466" s="1" t="s">
        <v>2717</v>
      </c>
      <c r="M466" s="1" t="s">
        <v>2718</v>
      </c>
      <c r="N466" s="1" t="s">
        <v>2719</v>
      </c>
      <c r="O466" s="1" t="s">
        <v>2720</v>
      </c>
      <c r="P466" s="1" t="s">
        <v>2721</v>
      </c>
      <c r="Q466" s="1" t="s">
        <v>842</v>
      </c>
      <c r="R466" s="1" t="s">
        <v>843</v>
      </c>
      <c r="S466" s="1" t="s">
        <v>844</v>
      </c>
      <c r="T466" s="1" t="s">
        <v>845</v>
      </c>
      <c r="V466" s="1" t="s">
        <v>846</v>
      </c>
      <c r="W466" s="1" t="s">
        <v>2716</v>
      </c>
      <c r="Y466" s="10">
        <v>45478</v>
      </c>
      <c r="Z466" s="1">
        <v>2024</v>
      </c>
      <c r="AA466" s="2">
        <v>426490.6</v>
      </c>
      <c r="AB466" s="2"/>
      <c r="AC466" s="2">
        <v>200000</v>
      </c>
      <c r="AD466" s="1">
        <v>4</v>
      </c>
      <c r="AE466" s="1">
        <v>3</v>
      </c>
      <c r="AG466" s="1" t="s">
        <v>56</v>
      </c>
      <c r="AI466" s="2">
        <v>200000</v>
      </c>
    </row>
    <row r="467" spans="1:38" ht="14.45" customHeight="1" x14ac:dyDescent="0.2">
      <c r="A467" s="1" t="s">
        <v>57</v>
      </c>
      <c r="B467" s="9" t="s">
        <v>38</v>
      </c>
      <c r="C467" s="1" t="s">
        <v>58</v>
      </c>
      <c r="D467" s="1" t="s">
        <v>59</v>
      </c>
      <c r="E467" s="1" t="s">
        <v>42</v>
      </c>
      <c r="G467" s="1" t="s">
        <v>122</v>
      </c>
      <c r="H467" s="1" t="s">
        <v>1893</v>
      </c>
      <c r="I467" s="1" t="s">
        <v>2722</v>
      </c>
      <c r="J467" s="1">
        <v>2023</v>
      </c>
      <c r="K467" s="1" t="s">
        <v>2723</v>
      </c>
      <c r="L467" s="1" t="s">
        <v>2724</v>
      </c>
      <c r="P467" s="1" t="s">
        <v>2725</v>
      </c>
      <c r="Q467" s="1" t="s">
        <v>842</v>
      </c>
      <c r="R467" s="1" t="s">
        <v>884</v>
      </c>
      <c r="S467" s="1" t="s">
        <v>2669</v>
      </c>
      <c r="T467" s="1" t="s">
        <v>2670</v>
      </c>
      <c r="V467" s="1" t="s">
        <v>887</v>
      </c>
      <c r="W467" s="1" t="s">
        <v>2723</v>
      </c>
      <c r="Y467" s="10">
        <v>45478</v>
      </c>
      <c r="Z467" s="1">
        <v>2024</v>
      </c>
      <c r="AA467" s="2">
        <v>287206.99</v>
      </c>
      <c r="AB467" s="2"/>
      <c r="AC467" s="2">
        <v>131801.75</v>
      </c>
      <c r="AD467" s="1">
        <v>2</v>
      </c>
      <c r="AE467" s="1">
        <v>2</v>
      </c>
      <c r="AG467" s="1" t="s">
        <v>56</v>
      </c>
      <c r="AI467" s="2">
        <v>131801.75</v>
      </c>
    </row>
    <row r="468" spans="1:38" ht="14.45" customHeight="1" x14ac:dyDescent="0.2">
      <c r="A468" s="1" t="s">
        <v>57</v>
      </c>
      <c r="B468" s="9" t="s">
        <v>38</v>
      </c>
      <c r="C468" s="1" t="s">
        <v>58</v>
      </c>
      <c r="D468" s="1" t="s">
        <v>1409</v>
      </c>
      <c r="E468" s="1" t="s">
        <v>42</v>
      </c>
      <c r="F468" s="1" t="s">
        <v>2145</v>
      </c>
      <c r="G468" s="1" t="s">
        <v>2146</v>
      </c>
      <c r="H468" s="1" t="s">
        <v>2147</v>
      </c>
      <c r="I468" s="1" t="s">
        <v>2726</v>
      </c>
      <c r="J468" s="1">
        <v>2021</v>
      </c>
      <c r="K468" s="1" t="s">
        <v>2149</v>
      </c>
      <c r="L468" s="1" t="s">
        <v>2149</v>
      </c>
      <c r="M468" s="1" t="s">
        <v>2150</v>
      </c>
      <c r="P468" s="1" t="s">
        <v>2151</v>
      </c>
      <c r="Q468" s="1" t="s">
        <v>50</v>
      </c>
      <c r="R468" s="1" t="s">
        <v>68</v>
      </c>
      <c r="S468" s="1" t="s">
        <v>1360</v>
      </c>
      <c r="T468" s="1" t="s">
        <v>1361</v>
      </c>
      <c r="U468" s="1">
        <v>1</v>
      </c>
      <c r="V468" s="1" t="s">
        <v>71</v>
      </c>
      <c r="W468" s="1" t="s">
        <v>2727</v>
      </c>
      <c r="Y468" s="10">
        <v>44363</v>
      </c>
      <c r="Z468" s="1">
        <v>2021</v>
      </c>
      <c r="AA468" s="2">
        <v>1513475.69</v>
      </c>
      <c r="AB468" s="2"/>
      <c r="AC468" s="2">
        <v>1513475.69</v>
      </c>
      <c r="AG468" s="1" t="s">
        <v>2153</v>
      </c>
      <c r="AI468" s="2">
        <v>1513475.69</v>
      </c>
      <c r="AJ468" s="2">
        <v>8.58</v>
      </c>
      <c r="AL468" s="1" t="s">
        <v>2569</v>
      </c>
    </row>
    <row r="469" spans="1:38" ht="14.45" customHeight="1" x14ac:dyDescent="0.2">
      <c r="A469" s="1" t="s">
        <v>57</v>
      </c>
      <c r="B469" s="9" t="s">
        <v>38</v>
      </c>
      <c r="C469" s="1" t="s">
        <v>58</v>
      </c>
      <c r="D469" s="1" t="s">
        <v>59</v>
      </c>
      <c r="E469" s="1" t="s">
        <v>42</v>
      </c>
      <c r="G469" s="1" t="s">
        <v>122</v>
      </c>
      <c r="H469" s="1" t="s">
        <v>1893</v>
      </c>
      <c r="I469" s="1" t="s">
        <v>2728</v>
      </c>
      <c r="J469" s="1">
        <v>2023</v>
      </c>
      <c r="K469" s="1" t="s">
        <v>2729</v>
      </c>
      <c r="L469" s="1" t="s">
        <v>2730</v>
      </c>
      <c r="P469" s="1" t="s">
        <v>2731</v>
      </c>
      <c r="Q469" s="1" t="s">
        <v>1149</v>
      </c>
      <c r="R469" s="1" t="s">
        <v>1150</v>
      </c>
      <c r="S469" s="1" t="s">
        <v>1218</v>
      </c>
      <c r="T469" s="1" t="s">
        <v>1219</v>
      </c>
      <c r="V469" s="1" t="s">
        <v>1153</v>
      </c>
      <c r="W469" s="1" t="s">
        <v>2729</v>
      </c>
      <c r="Y469" s="10">
        <v>45478</v>
      </c>
      <c r="Z469" s="1">
        <v>2024</v>
      </c>
      <c r="AA469" s="2">
        <v>334140.74</v>
      </c>
      <c r="AB469" s="2"/>
      <c r="AC469" s="2">
        <v>167070.37</v>
      </c>
      <c r="AD469" s="1">
        <v>3</v>
      </c>
      <c r="AE469" s="1">
        <v>3</v>
      </c>
      <c r="AG469" s="1" t="s">
        <v>56</v>
      </c>
      <c r="AI469" s="2">
        <v>167070.37</v>
      </c>
    </row>
    <row r="470" spans="1:38" ht="14.45" customHeight="1" x14ac:dyDescent="0.2">
      <c r="A470" s="1" t="s">
        <v>57</v>
      </c>
      <c r="B470" s="9" t="s">
        <v>38</v>
      </c>
      <c r="C470" s="1" t="s">
        <v>58</v>
      </c>
      <c r="D470" s="1" t="s">
        <v>59</v>
      </c>
      <c r="E470" s="1" t="s">
        <v>42</v>
      </c>
      <c r="G470" s="1" t="s">
        <v>122</v>
      </c>
      <c r="H470" s="1" t="s">
        <v>1893</v>
      </c>
      <c r="I470" s="1" t="s">
        <v>2732</v>
      </c>
      <c r="J470" s="1">
        <v>2023</v>
      </c>
      <c r="K470" s="1" t="s">
        <v>2733</v>
      </c>
      <c r="L470" s="1" t="s">
        <v>2734</v>
      </c>
      <c r="P470" s="1" t="s">
        <v>2735</v>
      </c>
      <c r="Q470" s="1" t="s">
        <v>842</v>
      </c>
      <c r="R470" s="1" t="s">
        <v>843</v>
      </c>
      <c r="S470" s="1" t="s">
        <v>844</v>
      </c>
      <c r="T470" s="1" t="s">
        <v>845</v>
      </c>
      <c r="V470" s="1" t="s">
        <v>846</v>
      </c>
      <c r="W470" s="1" t="s">
        <v>2733</v>
      </c>
      <c r="Y470" s="10">
        <v>45478</v>
      </c>
      <c r="Z470" s="1">
        <v>2024</v>
      </c>
      <c r="AA470" s="2">
        <v>206174.17</v>
      </c>
      <c r="AB470" s="2"/>
      <c r="AC470" s="2">
        <v>51543.54</v>
      </c>
      <c r="AD470" s="1">
        <v>0</v>
      </c>
      <c r="AG470" s="1" t="s">
        <v>56</v>
      </c>
      <c r="AI470" s="2">
        <v>51543.54</v>
      </c>
    </row>
    <row r="471" spans="1:38" ht="14.45" customHeight="1" x14ac:dyDescent="0.2">
      <c r="A471" s="1" t="s">
        <v>57</v>
      </c>
      <c r="B471" s="9" t="s">
        <v>38</v>
      </c>
      <c r="C471" s="1" t="s">
        <v>58</v>
      </c>
      <c r="D471" s="1" t="s">
        <v>59</v>
      </c>
      <c r="E471" s="1" t="s">
        <v>42</v>
      </c>
      <c r="G471" s="1" t="s">
        <v>122</v>
      </c>
      <c r="H471" s="1" t="s">
        <v>1893</v>
      </c>
      <c r="I471" s="1" t="s">
        <v>2736</v>
      </c>
      <c r="J471" s="1">
        <v>2023</v>
      </c>
      <c r="K471" s="1" t="s">
        <v>2737</v>
      </c>
      <c r="L471" s="1" t="s">
        <v>2738</v>
      </c>
      <c r="M471" s="1" t="s">
        <v>2739</v>
      </c>
      <c r="P471" s="1" t="s">
        <v>1965</v>
      </c>
      <c r="Q471" s="1" t="s">
        <v>842</v>
      </c>
      <c r="R471" s="1" t="s">
        <v>884</v>
      </c>
      <c r="S471" s="1" t="s">
        <v>1011</v>
      </c>
      <c r="T471" s="1" t="s">
        <v>1012</v>
      </c>
      <c r="V471" s="1" t="s">
        <v>887</v>
      </c>
      <c r="W471" s="1" t="s">
        <v>2737</v>
      </c>
      <c r="Y471" s="10">
        <v>45478</v>
      </c>
      <c r="Z471" s="1">
        <v>2024</v>
      </c>
      <c r="AA471" s="2">
        <v>257541.42</v>
      </c>
      <c r="AB471" s="2"/>
      <c r="AC471" s="2">
        <v>128770.71</v>
      </c>
      <c r="AD471" s="1">
        <v>6</v>
      </c>
      <c r="AE471" s="1">
        <v>2</v>
      </c>
      <c r="AG471" s="1" t="s">
        <v>56</v>
      </c>
      <c r="AI471" s="2">
        <v>128770.71</v>
      </c>
    </row>
    <row r="472" spans="1:38" ht="14.45" customHeight="1" x14ac:dyDescent="0.2">
      <c r="A472" s="1" t="s">
        <v>57</v>
      </c>
      <c r="B472" s="9" t="s">
        <v>38</v>
      </c>
      <c r="C472" s="1" t="s">
        <v>58</v>
      </c>
      <c r="D472" s="1" t="s">
        <v>1409</v>
      </c>
      <c r="E472" s="1" t="s">
        <v>42</v>
      </c>
      <c r="F472" s="1" t="s">
        <v>2145</v>
      </c>
      <c r="G472" s="1" t="s">
        <v>2146</v>
      </c>
      <c r="H472" s="1" t="s">
        <v>2147</v>
      </c>
      <c r="I472" s="1" t="s">
        <v>2740</v>
      </c>
      <c r="J472" s="1">
        <v>2021</v>
      </c>
      <c r="K472" s="1" t="s">
        <v>2741</v>
      </c>
      <c r="L472" s="1" t="s">
        <v>2741</v>
      </c>
      <c r="M472" s="1" t="s">
        <v>2529</v>
      </c>
      <c r="P472" s="1" t="s">
        <v>2151</v>
      </c>
      <c r="Q472" s="1" t="s">
        <v>50</v>
      </c>
      <c r="R472" s="1" t="s">
        <v>77</v>
      </c>
      <c r="S472" s="1" t="s">
        <v>2742</v>
      </c>
      <c r="T472" s="1" t="s">
        <v>2639</v>
      </c>
      <c r="U472" s="1">
        <v>1</v>
      </c>
      <c r="V472" s="1" t="s">
        <v>186</v>
      </c>
      <c r="W472" s="1" t="s">
        <v>2743</v>
      </c>
      <c r="Y472" s="10">
        <v>44363</v>
      </c>
      <c r="Z472" s="1">
        <v>2021</v>
      </c>
      <c r="AA472" s="2">
        <v>2571480.5099999998</v>
      </c>
      <c r="AB472" s="2"/>
      <c r="AC472" s="2">
        <v>2571480.5099999998</v>
      </c>
      <c r="AG472" s="1" t="s">
        <v>2153</v>
      </c>
      <c r="AI472" s="2">
        <v>2571480.5099999998</v>
      </c>
      <c r="AJ472" s="2">
        <v>25.59</v>
      </c>
      <c r="AL472" s="1" t="s">
        <v>2744</v>
      </c>
    </row>
    <row r="473" spans="1:38" ht="14.45" customHeight="1" x14ac:dyDescent="0.2">
      <c r="A473" s="1" t="s">
        <v>57</v>
      </c>
      <c r="B473" s="9" t="s">
        <v>38</v>
      </c>
      <c r="C473" s="1" t="s">
        <v>58</v>
      </c>
      <c r="D473" s="1" t="s">
        <v>59</v>
      </c>
      <c r="E473" s="1" t="s">
        <v>42</v>
      </c>
      <c r="G473" s="1" t="s">
        <v>122</v>
      </c>
      <c r="H473" s="1" t="s">
        <v>1893</v>
      </c>
      <c r="I473" s="1" t="s">
        <v>2745</v>
      </c>
      <c r="J473" s="1">
        <v>2023</v>
      </c>
      <c r="K473" s="1" t="s">
        <v>2746</v>
      </c>
      <c r="L473" s="1" t="s">
        <v>2747</v>
      </c>
      <c r="P473" s="1" t="s">
        <v>2748</v>
      </c>
      <c r="Q473" s="1" t="s">
        <v>1149</v>
      </c>
      <c r="R473" s="1" t="s">
        <v>1150</v>
      </c>
      <c r="S473" s="1" t="s">
        <v>2749</v>
      </c>
      <c r="T473" s="1" t="s">
        <v>2750</v>
      </c>
      <c r="V473" s="1" t="s">
        <v>1537</v>
      </c>
      <c r="W473" s="1" t="s">
        <v>2746</v>
      </c>
      <c r="Y473" s="10">
        <v>45478</v>
      </c>
      <c r="Z473" s="1">
        <v>2024</v>
      </c>
      <c r="AA473" s="2">
        <v>303481.13</v>
      </c>
      <c r="AB473" s="2"/>
      <c r="AC473" s="2">
        <v>120870.28</v>
      </c>
      <c r="AD473" s="1">
        <v>3</v>
      </c>
      <c r="AG473" s="1" t="s">
        <v>56</v>
      </c>
      <c r="AI473" s="2">
        <v>120870.28</v>
      </c>
      <c r="AL473" s="1" t="s">
        <v>2751</v>
      </c>
    </row>
    <row r="474" spans="1:38" ht="14.45" customHeight="1" x14ac:dyDescent="0.2">
      <c r="A474" s="1" t="s">
        <v>57</v>
      </c>
      <c r="B474" s="9" t="s">
        <v>38</v>
      </c>
      <c r="C474" s="1" t="s">
        <v>58</v>
      </c>
      <c r="D474" s="1" t="s">
        <v>59</v>
      </c>
      <c r="E474" s="1" t="s">
        <v>42</v>
      </c>
      <c r="G474" s="1" t="s">
        <v>122</v>
      </c>
      <c r="H474" s="1" t="s">
        <v>1893</v>
      </c>
      <c r="I474" s="1" t="s">
        <v>2752</v>
      </c>
      <c r="J474" s="1">
        <v>2023</v>
      </c>
      <c r="K474" s="1" t="s">
        <v>2753</v>
      </c>
      <c r="L474" s="1" t="s">
        <v>2754</v>
      </c>
      <c r="P474" s="1" t="s">
        <v>2755</v>
      </c>
      <c r="Q474" s="1" t="s">
        <v>1149</v>
      </c>
      <c r="R474" s="1" t="s">
        <v>1150</v>
      </c>
      <c r="S474" s="1" t="s">
        <v>1535</v>
      </c>
      <c r="T474" s="1" t="s">
        <v>1536</v>
      </c>
      <c r="V474" s="1" t="s">
        <v>1537</v>
      </c>
      <c r="W474" s="1" t="s">
        <v>2753</v>
      </c>
      <c r="Y474" s="10">
        <v>45478</v>
      </c>
      <c r="Z474" s="1">
        <v>2024</v>
      </c>
      <c r="AA474" s="2">
        <v>241000</v>
      </c>
      <c r="AB474" s="2"/>
      <c r="AC474" s="2">
        <v>105250</v>
      </c>
      <c r="AD474" s="1">
        <v>2</v>
      </c>
      <c r="AE474" s="1">
        <v>1</v>
      </c>
      <c r="AG474" s="1" t="s">
        <v>56</v>
      </c>
      <c r="AI474" s="2">
        <v>105250</v>
      </c>
      <c r="AL474" s="1" t="s">
        <v>2751</v>
      </c>
    </row>
    <row r="475" spans="1:38" ht="14.45" customHeight="1" x14ac:dyDescent="0.2">
      <c r="A475" s="1" t="s">
        <v>57</v>
      </c>
      <c r="B475" s="9" t="s">
        <v>38</v>
      </c>
      <c r="C475" s="1" t="s">
        <v>58</v>
      </c>
      <c r="D475" s="1" t="s">
        <v>1409</v>
      </c>
      <c r="E475" s="1" t="s">
        <v>42</v>
      </c>
      <c r="F475" s="1" t="s">
        <v>2145</v>
      </c>
      <c r="G475" s="1" t="s">
        <v>2146</v>
      </c>
      <c r="H475" s="1" t="s">
        <v>2147</v>
      </c>
      <c r="I475" s="1" t="s">
        <v>2756</v>
      </c>
      <c r="J475" s="1">
        <v>2021</v>
      </c>
      <c r="K475" s="1" t="s">
        <v>2757</v>
      </c>
      <c r="L475" s="1" t="s">
        <v>2757</v>
      </c>
      <c r="M475" s="1" t="s">
        <v>2150</v>
      </c>
      <c r="P475" s="1" t="s">
        <v>2151</v>
      </c>
      <c r="Q475" s="1" t="s">
        <v>50</v>
      </c>
      <c r="R475" s="1" t="s">
        <v>68</v>
      </c>
      <c r="S475" s="1" t="s">
        <v>2758</v>
      </c>
      <c r="T475" s="1" t="s">
        <v>2759</v>
      </c>
      <c r="U475" s="1">
        <v>1</v>
      </c>
      <c r="V475" s="1" t="s">
        <v>71</v>
      </c>
      <c r="W475" s="1" t="s">
        <v>2760</v>
      </c>
      <c r="Y475" s="10">
        <v>44363</v>
      </c>
      <c r="Z475" s="1">
        <v>2021</v>
      </c>
      <c r="AA475" s="2">
        <v>1042437.31</v>
      </c>
      <c r="AB475" s="2"/>
      <c r="AC475" s="2">
        <v>1042437.31</v>
      </c>
      <c r="AG475" s="1" t="s">
        <v>2153</v>
      </c>
      <c r="AI475" s="2">
        <v>1042437.31</v>
      </c>
      <c r="AJ475" s="2">
        <v>15.87</v>
      </c>
      <c r="AL475" s="1" t="s">
        <v>2569</v>
      </c>
    </row>
    <row r="476" spans="1:38" ht="14.45" customHeight="1" x14ac:dyDescent="0.2">
      <c r="A476" s="1" t="s">
        <v>57</v>
      </c>
      <c r="B476" s="9" t="s">
        <v>38</v>
      </c>
      <c r="C476" s="1" t="s">
        <v>58</v>
      </c>
      <c r="D476" s="1" t="s">
        <v>59</v>
      </c>
      <c r="E476" s="1" t="s">
        <v>42</v>
      </c>
      <c r="G476" s="1" t="s">
        <v>122</v>
      </c>
      <c r="H476" s="1" t="s">
        <v>61</v>
      </c>
      <c r="I476" s="1" t="s">
        <v>2761</v>
      </c>
      <c r="J476" s="1">
        <v>2023</v>
      </c>
      <c r="K476" s="1" t="s">
        <v>2762</v>
      </c>
      <c r="L476" s="1" t="s">
        <v>2763</v>
      </c>
      <c r="N476" s="1" t="s">
        <v>2764</v>
      </c>
      <c r="P476" s="1" t="s">
        <v>2765</v>
      </c>
      <c r="Q476" s="1" t="s">
        <v>101</v>
      </c>
      <c r="R476" s="1" t="s">
        <v>102</v>
      </c>
      <c r="S476" s="1" t="s">
        <v>103</v>
      </c>
      <c r="T476" s="1" t="s">
        <v>104</v>
      </c>
      <c r="U476" s="1">
        <v>1</v>
      </c>
      <c r="V476" s="1" t="s">
        <v>101</v>
      </c>
      <c r="W476" s="1" t="s">
        <v>2762</v>
      </c>
      <c r="Y476" s="10">
        <v>45478</v>
      </c>
      <c r="Z476" s="1">
        <v>2024</v>
      </c>
      <c r="AA476" s="2">
        <v>118094.83</v>
      </c>
      <c r="AB476" s="2"/>
      <c r="AC476" s="2">
        <v>59047.42</v>
      </c>
      <c r="AD476" s="1">
        <v>6</v>
      </c>
      <c r="AE476" s="1">
        <v>3</v>
      </c>
      <c r="AG476" s="1" t="s">
        <v>56</v>
      </c>
      <c r="AI476" s="2">
        <v>59047.42</v>
      </c>
    </row>
    <row r="477" spans="1:38" ht="14.45" customHeight="1" x14ac:dyDescent="0.2">
      <c r="A477" s="1" t="s">
        <v>57</v>
      </c>
      <c r="B477" s="9" t="s">
        <v>38</v>
      </c>
      <c r="C477" s="1" t="s">
        <v>58</v>
      </c>
      <c r="D477" s="1" t="s">
        <v>59</v>
      </c>
      <c r="E477" s="1" t="s">
        <v>42</v>
      </c>
      <c r="G477" s="1" t="s">
        <v>122</v>
      </c>
      <c r="H477" s="1" t="s">
        <v>1893</v>
      </c>
      <c r="I477" s="1" t="s">
        <v>2766</v>
      </c>
      <c r="J477" s="1">
        <v>2023</v>
      </c>
      <c r="K477" s="1" t="s">
        <v>2767</v>
      </c>
      <c r="L477" s="1" t="s">
        <v>2768</v>
      </c>
      <c r="P477" s="1" t="s">
        <v>2769</v>
      </c>
      <c r="Q477" s="1" t="s">
        <v>1149</v>
      </c>
      <c r="R477" s="1" t="s">
        <v>1150</v>
      </c>
      <c r="S477" s="1" t="s">
        <v>1535</v>
      </c>
      <c r="T477" s="1" t="s">
        <v>1536</v>
      </c>
      <c r="V477" s="1" t="s">
        <v>1537</v>
      </c>
      <c r="W477" s="1" t="s">
        <v>2770</v>
      </c>
      <c r="Y477" s="10">
        <v>45478</v>
      </c>
      <c r="Z477" s="1">
        <v>2024</v>
      </c>
      <c r="AA477" s="2">
        <v>366866</v>
      </c>
      <c r="AB477" s="2"/>
      <c r="AC477" s="2">
        <v>136716.5</v>
      </c>
      <c r="AD477" s="1">
        <v>2</v>
      </c>
      <c r="AG477" s="1" t="s">
        <v>56</v>
      </c>
      <c r="AI477" s="2">
        <v>136716.5</v>
      </c>
      <c r="AL477" s="1" t="s">
        <v>2771</v>
      </c>
    </row>
    <row r="478" spans="1:38" ht="14.45" customHeight="1" x14ac:dyDescent="0.2">
      <c r="A478" s="1" t="s">
        <v>57</v>
      </c>
      <c r="B478" s="9" t="s">
        <v>38</v>
      </c>
      <c r="C478" s="1" t="s">
        <v>58</v>
      </c>
      <c r="D478" s="1" t="s">
        <v>59</v>
      </c>
      <c r="E478" s="1" t="s">
        <v>42</v>
      </c>
      <c r="G478" s="1" t="s">
        <v>122</v>
      </c>
      <c r="H478" s="1" t="s">
        <v>61</v>
      </c>
      <c r="I478" s="1" t="s">
        <v>2772</v>
      </c>
      <c r="J478" s="1">
        <v>2023</v>
      </c>
      <c r="K478" s="1" t="s">
        <v>2773</v>
      </c>
      <c r="L478" s="1" t="s">
        <v>2774</v>
      </c>
      <c r="N478" s="1" t="s">
        <v>2775</v>
      </c>
      <c r="P478" s="1" t="s">
        <v>2776</v>
      </c>
      <c r="Q478" s="1" t="s">
        <v>1109</v>
      </c>
      <c r="R478" s="1" t="s">
        <v>1110</v>
      </c>
      <c r="S478" s="1" t="s">
        <v>1111</v>
      </c>
      <c r="T478" s="1" t="s">
        <v>1112</v>
      </c>
      <c r="V478" s="1" t="s">
        <v>54</v>
      </c>
      <c r="W478" s="1" t="s">
        <v>2773</v>
      </c>
      <c r="Y478" s="10">
        <v>45478</v>
      </c>
      <c r="Z478" s="1">
        <v>2024</v>
      </c>
      <c r="AA478" s="2">
        <v>49667.7</v>
      </c>
      <c r="AB478" s="2"/>
      <c r="AC478" s="2">
        <v>24833.85</v>
      </c>
      <c r="AD478" s="1">
        <v>3</v>
      </c>
      <c r="AE478" s="1">
        <v>3</v>
      </c>
      <c r="AG478" s="1" t="s">
        <v>56</v>
      </c>
      <c r="AI478" s="2">
        <v>24833.85</v>
      </c>
    </row>
    <row r="479" spans="1:38" ht="12.6" customHeight="1" x14ac:dyDescent="0.2">
      <c r="A479" s="1" t="s">
        <v>57</v>
      </c>
      <c r="B479" s="9" t="s">
        <v>38</v>
      </c>
      <c r="C479" s="1" t="s">
        <v>58</v>
      </c>
      <c r="D479" s="1" t="s">
        <v>59</v>
      </c>
      <c r="E479" s="1" t="s">
        <v>42</v>
      </c>
      <c r="G479" s="1" t="s">
        <v>122</v>
      </c>
      <c r="H479" s="1" t="s">
        <v>1893</v>
      </c>
      <c r="I479" s="1" t="s">
        <v>2777</v>
      </c>
      <c r="J479" s="1">
        <v>2023</v>
      </c>
      <c r="K479" s="1" t="s">
        <v>2778</v>
      </c>
      <c r="L479" s="1" t="s">
        <v>2779</v>
      </c>
      <c r="M479" s="1" t="s">
        <v>2780</v>
      </c>
      <c r="P479" s="1" t="s">
        <v>807</v>
      </c>
      <c r="Q479" s="1" t="s">
        <v>264</v>
      </c>
      <c r="R479" s="1" t="s">
        <v>265</v>
      </c>
      <c r="S479" s="1" t="s">
        <v>266</v>
      </c>
      <c r="T479" s="1" t="s">
        <v>267</v>
      </c>
      <c r="U479" s="1">
        <v>2</v>
      </c>
      <c r="V479" s="1" t="s">
        <v>268</v>
      </c>
      <c r="W479" s="1" t="s">
        <v>2779</v>
      </c>
      <c r="Y479" s="10">
        <v>45478</v>
      </c>
      <c r="Z479" s="1">
        <v>2024</v>
      </c>
      <c r="AA479" s="2">
        <v>126764.36</v>
      </c>
      <c r="AB479" s="2"/>
      <c r="AC479" s="2">
        <v>31691.09</v>
      </c>
      <c r="AD479" s="1">
        <v>0</v>
      </c>
      <c r="AG479" s="1" t="s">
        <v>56</v>
      </c>
      <c r="AI479" s="2">
        <v>31691.09</v>
      </c>
    </row>
    <row r="480" spans="1:38" ht="14.45" customHeight="1" x14ac:dyDescent="0.2">
      <c r="A480" s="1" t="s">
        <v>57</v>
      </c>
      <c r="B480" s="9" t="s">
        <v>38</v>
      </c>
      <c r="C480" s="1" t="s">
        <v>58</v>
      </c>
      <c r="D480" s="1" t="s">
        <v>59</v>
      </c>
      <c r="E480" s="1" t="s">
        <v>42</v>
      </c>
      <c r="G480" s="1" t="s">
        <v>122</v>
      </c>
      <c r="H480" s="1" t="s">
        <v>1893</v>
      </c>
      <c r="I480" s="1" t="s">
        <v>2781</v>
      </c>
      <c r="J480" s="1">
        <v>2023</v>
      </c>
      <c r="K480" s="1" t="s">
        <v>2782</v>
      </c>
      <c r="L480" s="1" t="s">
        <v>2783</v>
      </c>
      <c r="P480" s="1" t="s">
        <v>2784</v>
      </c>
      <c r="Q480" s="1" t="s">
        <v>264</v>
      </c>
      <c r="R480" s="1" t="s">
        <v>265</v>
      </c>
      <c r="S480" s="1" t="s">
        <v>717</v>
      </c>
      <c r="T480" s="1" t="s">
        <v>718</v>
      </c>
      <c r="U480" s="1">
        <v>1</v>
      </c>
      <c r="V480" s="1" t="s">
        <v>535</v>
      </c>
      <c r="W480" s="1" t="s">
        <v>2783</v>
      </c>
      <c r="Y480" s="10">
        <v>45478</v>
      </c>
      <c r="Z480" s="1">
        <v>2024</v>
      </c>
      <c r="AA480" s="2">
        <v>87663.82</v>
      </c>
      <c r="AB480" s="2"/>
      <c r="AC480" s="2">
        <v>21915.96</v>
      </c>
      <c r="AD480" s="1">
        <v>0</v>
      </c>
      <c r="AG480" s="1" t="s">
        <v>56</v>
      </c>
      <c r="AI480" s="2">
        <v>21915.96</v>
      </c>
    </row>
    <row r="481" spans="1:38" ht="14.45" customHeight="1" x14ac:dyDescent="0.2">
      <c r="A481" s="1" t="s">
        <v>57</v>
      </c>
      <c r="B481" s="9" t="s">
        <v>38</v>
      </c>
      <c r="C481" s="1" t="s">
        <v>58</v>
      </c>
      <c r="D481" s="1" t="s">
        <v>59</v>
      </c>
      <c r="E481" s="1" t="s">
        <v>42</v>
      </c>
      <c r="G481" s="1" t="s">
        <v>122</v>
      </c>
      <c r="H481" s="1" t="s">
        <v>1893</v>
      </c>
      <c r="I481" s="1" t="s">
        <v>2785</v>
      </c>
      <c r="J481" s="1">
        <v>2023</v>
      </c>
      <c r="K481" s="1" t="s">
        <v>1075</v>
      </c>
      <c r="L481" s="1" t="s">
        <v>2786</v>
      </c>
      <c r="P481" s="1" t="s">
        <v>2787</v>
      </c>
      <c r="Q481" s="1" t="s">
        <v>264</v>
      </c>
      <c r="R481" s="1" t="s">
        <v>265</v>
      </c>
      <c r="S481" s="1" t="s">
        <v>299</v>
      </c>
      <c r="T481" s="1" t="s">
        <v>300</v>
      </c>
      <c r="U481" s="1">
        <v>2</v>
      </c>
      <c r="V481" s="1" t="s">
        <v>268</v>
      </c>
      <c r="W481" s="1" t="s">
        <v>2788</v>
      </c>
      <c r="Y481" s="10">
        <v>45478</v>
      </c>
      <c r="Z481" s="1">
        <v>2024</v>
      </c>
      <c r="AA481" s="2">
        <v>499994</v>
      </c>
      <c r="AB481" s="2"/>
      <c r="AC481" s="2">
        <v>130000</v>
      </c>
      <c r="AD481" s="1">
        <v>1</v>
      </c>
      <c r="AG481" s="1" t="s">
        <v>56</v>
      </c>
      <c r="AI481" s="2">
        <v>130000</v>
      </c>
    </row>
    <row r="482" spans="1:38" ht="14.45" customHeight="1" x14ac:dyDescent="0.2">
      <c r="A482" s="1" t="s">
        <v>57</v>
      </c>
      <c r="B482" s="9" t="s">
        <v>38</v>
      </c>
      <c r="C482" s="1" t="s">
        <v>58</v>
      </c>
      <c r="D482" s="1" t="s">
        <v>59</v>
      </c>
      <c r="E482" s="1" t="s">
        <v>42</v>
      </c>
      <c r="G482" s="1" t="s">
        <v>122</v>
      </c>
      <c r="H482" s="1" t="s">
        <v>1893</v>
      </c>
      <c r="I482" s="1" t="s">
        <v>2789</v>
      </c>
      <c r="J482" s="1">
        <v>2023</v>
      </c>
      <c r="K482" s="1" t="s">
        <v>2790</v>
      </c>
      <c r="L482" s="1" t="s">
        <v>2791</v>
      </c>
      <c r="P482" s="1" t="s">
        <v>2792</v>
      </c>
      <c r="Q482" s="1" t="s">
        <v>264</v>
      </c>
      <c r="R482" s="1" t="s">
        <v>265</v>
      </c>
      <c r="S482" s="1" t="s">
        <v>266</v>
      </c>
      <c r="T482" s="1" t="s">
        <v>267</v>
      </c>
      <c r="U482" s="1">
        <v>2</v>
      </c>
      <c r="V482" s="1" t="s">
        <v>268</v>
      </c>
      <c r="W482" s="1" t="s">
        <v>2791</v>
      </c>
      <c r="Y482" s="10">
        <v>45478</v>
      </c>
      <c r="Z482" s="1">
        <v>2024</v>
      </c>
      <c r="AA482" s="2">
        <v>119000</v>
      </c>
      <c r="AB482" s="2"/>
      <c r="AC482" s="2">
        <v>29750</v>
      </c>
      <c r="AD482" s="1">
        <v>0</v>
      </c>
      <c r="AG482" s="1" t="s">
        <v>56</v>
      </c>
      <c r="AI482" s="2">
        <v>29750</v>
      </c>
    </row>
    <row r="483" spans="1:38" ht="14.45" customHeight="1" x14ac:dyDescent="0.2">
      <c r="A483" s="1" t="s">
        <v>57</v>
      </c>
      <c r="B483" s="9" t="s">
        <v>38</v>
      </c>
      <c r="C483" s="1" t="s">
        <v>58</v>
      </c>
      <c r="D483" s="1" t="s">
        <v>1409</v>
      </c>
      <c r="E483" s="1" t="s">
        <v>42</v>
      </c>
      <c r="F483" s="1" t="s">
        <v>2145</v>
      </c>
      <c r="G483" s="1" t="s">
        <v>2146</v>
      </c>
      <c r="H483" s="1" t="s">
        <v>2147</v>
      </c>
      <c r="I483" s="1" t="s">
        <v>2793</v>
      </c>
      <c r="J483" s="1">
        <v>2021</v>
      </c>
      <c r="K483" s="1" t="s">
        <v>2757</v>
      </c>
      <c r="L483" s="1" t="s">
        <v>2757</v>
      </c>
      <c r="M483" s="1" t="s">
        <v>2150</v>
      </c>
      <c r="P483" s="1" t="s">
        <v>2151</v>
      </c>
      <c r="Q483" s="1" t="s">
        <v>50</v>
      </c>
      <c r="R483" s="1" t="s">
        <v>68</v>
      </c>
      <c r="S483" s="1" t="s">
        <v>2758</v>
      </c>
      <c r="T483" s="1" t="s">
        <v>2759</v>
      </c>
      <c r="U483" s="1">
        <v>1</v>
      </c>
      <c r="V483" s="1" t="s">
        <v>71</v>
      </c>
      <c r="W483" s="1" t="s">
        <v>2794</v>
      </c>
      <c r="Y483" s="10">
        <v>44363</v>
      </c>
      <c r="Z483" s="1">
        <v>2021</v>
      </c>
      <c r="AA483" s="2">
        <v>893911.1</v>
      </c>
      <c r="AB483" s="2"/>
      <c r="AC483" s="2">
        <v>893911.1</v>
      </c>
      <c r="AG483" s="1" t="s">
        <v>2153</v>
      </c>
      <c r="AI483" s="2">
        <v>893911.1</v>
      </c>
      <c r="AJ483" s="2">
        <v>19.510000000000002</v>
      </c>
      <c r="AL483" s="1" t="s">
        <v>2569</v>
      </c>
    </row>
    <row r="484" spans="1:38" ht="14.45" customHeight="1" x14ac:dyDescent="0.2">
      <c r="A484" s="1" t="s">
        <v>57</v>
      </c>
      <c r="B484" s="9" t="s">
        <v>38</v>
      </c>
      <c r="C484" s="1" t="s">
        <v>58</v>
      </c>
      <c r="D484" s="1" t="s">
        <v>59</v>
      </c>
      <c r="E484" s="1" t="s">
        <v>42</v>
      </c>
      <c r="G484" s="1" t="s">
        <v>122</v>
      </c>
      <c r="H484" s="1" t="s">
        <v>1893</v>
      </c>
      <c r="I484" s="1" t="s">
        <v>2795</v>
      </c>
      <c r="J484" s="1">
        <v>2023</v>
      </c>
      <c r="K484" s="1" t="s">
        <v>2796</v>
      </c>
      <c r="L484" s="1" t="s">
        <v>2797</v>
      </c>
      <c r="P484" s="1" t="s">
        <v>835</v>
      </c>
      <c r="Q484" s="1" t="s">
        <v>264</v>
      </c>
      <c r="R484" s="1" t="s">
        <v>265</v>
      </c>
      <c r="S484" s="1" t="s">
        <v>533</v>
      </c>
      <c r="T484" s="1" t="s">
        <v>534</v>
      </c>
      <c r="U484" s="1">
        <v>1</v>
      </c>
      <c r="V484" s="1" t="s">
        <v>535</v>
      </c>
      <c r="W484" s="1" t="s">
        <v>2798</v>
      </c>
      <c r="Y484" s="10">
        <v>45478</v>
      </c>
      <c r="Z484" s="1">
        <v>2024</v>
      </c>
      <c r="AA484" s="2">
        <v>215000</v>
      </c>
      <c r="AB484" s="2"/>
      <c r="AC484" s="2">
        <v>83750</v>
      </c>
      <c r="AD484" s="1">
        <v>2</v>
      </c>
      <c r="AG484" s="1" t="s">
        <v>56</v>
      </c>
      <c r="AI484" s="2">
        <v>83750</v>
      </c>
    </row>
    <row r="485" spans="1:38" ht="14.45" customHeight="1" x14ac:dyDescent="0.2">
      <c r="A485" s="1" t="s">
        <v>57</v>
      </c>
      <c r="B485" s="9" t="s">
        <v>38</v>
      </c>
      <c r="C485" s="1" t="s">
        <v>58</v>
      </c>
      <c r="D485" s="1" t="s">
        <v>59</v>
      </c>
      <c r="E485" s="1" t="s">
        <v>42</v>
      </c>
      <c r="G485" s="1" t="s">
        <v>122</v>
      </c>
      <c r="H485" s="1" t="s">
        <v>1893</v>
      </c>
      <c r="I485" s="1" t="s">
        <v>2799</v>
      </c>
      <c r="J485" s="1">
        <v>2023</v>
      </c>
      <c r="K485" s="1" t="s">
        <v>2800</v>
      </c>
      <c r="L485" s="1" t="s">
        <v>2801</v>
      </c>
      <c r="M485" s="1" t="s">
        <v>2802</v>
      </c>
      <c r="P485" s="1" t="s">
        <v>2803</v>
      </c>
      <c r="Q485" s="1" t="s">
        <v>264</v>
      </c>
      <c r="R485" s="1" t="s">
        <v>265</v>
      </c>
      <c r="S485" s="1" t="s">
        <v>379</v>
      </c>
      <c r="T485" s="1" t="s">
        <v>380</v>
      </c>
      <c r="U485" s="1">
        <v>2</v>
      </c>
      <c r="V485" s="1" t="s">
        <v>268</v>
      </c>
      <c r="W485" s="1" t="s">
        <v>2804</v>
      </c>
      <c r="Y485" s="10">
        <v>45478</v>
      </c>
      <c r="Z485" s="1">
        <v>2024</v>
      </c>
      <c r="AA485" s="2">
        <v>125354.89</v>
      </c>
      <c r="AB485" s="2"/>
      <c r="AC485" s="2">
        <v>61338.720000000001</v>
      </c>
      <c r="AD485" s="1">
        <v>1</v>
      </c>
      <c r="AE485" s="1">
        <v>1</v>
      </c>
      <c r="AG485" s="1" t="s">
        <v>56</v>
      </c>
      <c r="AI485" s="2">
        <v>61338.720000000001</v>
      </c>
    </row>
    <row r="486" spans="1:38" ht="14.45" customHeight="1" x14ac:dyDescent="0.2">
      <c r="A486" s="1" t="s">
        <v>57</v>
      </c>
      <c r="B486" s="9" t="s">
        <v>38</v>
      </c>
      <c r="C486" s="1" t="s">
        <v>58</v>
      </c>
      <c r="D486" s="1" t="s">
        <v>59</v>
      </c>
      <c r="E486" s="1" t="s">
        <v>42</v>
      </c>
      <c r="G486" s="1" t="s">
        <v>122</v>
      </c>
      <c r="H486" s="1" t="s">
        <v>1893</v>
      </c>
      <c r="I486" s="1" t="s">
        <v>2805</v>
      </c>
      <c r="J486" s="1">
        <v>2023</v>
      </c>
      <c r="K486" s="1" t="s">
        <v>2806</v>
      </c>
      <c r="L486" s="1" t="s">
        <v>2807</v>
      </c>
      <c r="P486" s="1" t="s">
        <v>2808</v>
      </c>
      <c r="Q486" s="1" t="s">
        <v>1149</v>
      </c>
      <c r="R486" s="1" t="s">
        <v>1150</v>
      </c>
      <c r="S486" s="1" t="s">
        <v>1218</v>
      </c>
      <c r="T486" s="1" t="s">
        <v>1219</v>
      </c>
      <c r="V486" s="1" t="s">
        <v>1153</v>
      </c>
      <c r="W486" s="1" t="s">
        <v>2809</v>
      </c>
      <c r="Y486" s="10">
        <v>45478</v>
      </c>
      <c r="Z486" s="1">
        <v>2024</v>
      </c>
      <c r="AA486" s="2">
        <v>262983.45</v>
      </c>
      <c r="AB486" s="2"/>
      <c r="AC486" s="2">
        <v>95745.86</v>
      </c>
      <c r="AD486" s="1">
        <v>1</v>
      </c>
      <c r="AE486" s="1">
        <v>1</v>
      </c>
      <c r="AG486" s="1" t="s">
        <v>56</v>
      </c>
      <c r="AI486" s="2">
        <v>95745.86</v>
      </c>
    </row>
    <row r="487" spans="1:38" ht="14.45" customHeight="1" x14ac:dyDescent="0.2">
      <c r="A487" s="1" t="s">
        <v>57</v>
      </c>
      <c r="B487" s="9" t="s">
        <v>38</v>
      </c>
      <c r="C487" s="1" t="s">
        <v>58</v>
      </c>
      <c r="D487" s="1" t="s">
        <v>59</v>
      </c>
      <c r="E487" s="1" t="s">
        <v>42</v>
      </c>
      <c r="G487" s="1" t="s">
        <v>122</v>
      </c>
      <c r="H487" s="1" t="s">
        <v>1893</v>
      </c>
      <c r="I487" s="1" t="s">
        <v>2810</v>
      </c>
      <c r="J487" s="1">
        <v>2023</v>
      </c>
      <c r="K487" s="1" t="s">
        <v>2811</v>
      </c>
      <c r="L487" s="1" t="s">
        <v>2812</v>
      </c>
      <c r="P487" s="1" t="s">
        <v>2813</v>
      </c>
      <c r="Q487" s="1" t="s">
        <v>264</v>
      </c>
      <c r="R487" s="1" t="s">
        <v>265</v>
      </c>
      <c r="S487" s="1" t="s">
        <v>266</v>
      </c>
      <c r="T487" s="1" t="s">
        <v>267</v>
      </c>
      <c r="U487" s="1">
        <v>2</v>
      </c>
      <c r="V487" s="1" t="s">
        <v>268</v>
      </c>
      <c r="W487" s="1" t="s">
        <v>2814</v>
      </c>
      <c r="Y487" s="10">
        <v>45478</v>
      </c>
      <c r="Z487" s="1">
        <v>2024</v>
      </c>
      <c r="AA487" s="2">
        <v>133139.82999999999</v>
      </c>
      <c r="AB487" s="2"/>
      <c r="AC487" s="2">
        <v>48284.959999999999</v>
      </c>
      <c r="AD487" s="1">
        <v>0.5</v>
      </c>
      <c r="AE487" s="1">
        <v>0.5</v>
      </c>
      <c r="AG487" s="1" t="s">
        <v>56</v>
      </c>
      <c r="AI487" s="2">
        <v>48284.959999999999</v>
      </c>
    </row>
    <row r="488" spans="1:38" ht="14.45" customHeight="1" x14ac:dyDescent="0.2">
      <c r="A488" s="1" t="s">
        <v>57</v>
      </c>
      <c r="B488" s="9" t="s">
        <v>38</v>
      </c>
      <c r="C488" s="1" t="s">
        <v>58</v>
      </c>
      <c r="D488" s="1" t="s">
        <v>59</v>
      </c>
      <c r="E488" s="1" t="s">
        <v>42</v>
      </c>
      <c r="G488" s="1" t="s">
        <v>122</v>
      </c>
      <c r="H488" s="1" t="s">
        <v>1893</v>
      </c>
      <c r="I488" s="1" t="s">
        <v>2815</v>
      </c>
      <c r="J488" s="1">
        <v>2023</v>
      </c>
      <c r="K488" s="1" t="s">
        <v>2816</v>
      </c>
      <c r="L488" s="1" t="s">
        <v>2817</v>
      </c>
      <c r="P488" s="1" t="s">
        <v>2818</v>
      </c>
      <c r="Q488" s="1" t="s">
        <v>264</v>
      </c>
      <c r="R488" s="1" t="s">
        <v>265</v>
      </c>
      <c r="S488" s="1" t="s">
        <v>299</v>
      </c>
      <c r="T488" s="1" t="s">
        <v>300</v>
      </c>
      <c r="U488" s="1">
        <v>2</v>
      </c>
      <c r="V488" s="1" t="s">
        <v>268</v>
      </c>
      <c r="W488" s="1" t="s">
        <v>2819</v>
      </c>
      <c r="Y488" s="10">
        <v>45478</v>
      </c>
      <c r="Z488" s="1">
        <v>2024</v>
      </c>
      <c r="AA488" s="2">
        <v>148447.5</v>
      </c>
      <c r="AB488" s="2"/>
      <c r="AC488" s="2">
        <v>74223.75</v>
      </c>
      <c r="AD488" s="1">
        <v>5</v>
      </c>
      <c r="AG488" s="1" t="s">
        <v>56</v>
      </c>
      <c r="AI488" s="2">
        <v>74223.75</v>
      </c>
    </row>
    <row r="489" spans="1:38" ht="14.45" customHeight="1" x14ac:dyDescent="0.2">
      <c r="A489" s="1" t="s">
        <v>57</v>
      </c>
      <c r="B489" s="9" t="s">
        <v>38</v>
      </c>
      <c r="C489" s="1" t="s">
        <v>58</v>
      </c>
      <c r="D489" s="1" t="s">
        <v>59</v>
      </c>
      <c r="E489" s="1" t="s">
        <v>42</v>
      </c>
      <c r="G489" s="1" t="s">
        <v>122</v>
      </c>
      <c r="H489" s="1" t="s">
        <v>1893</v>
      </c>
      <c r="I489" s="1" t="s">
        <v>2820</v>
      </c>
      <c r="J489" s="1">
        <v>2023</v>
      </c>
      <c r="K489" s="1" t="s">
        <v>2821</v>
      </c>
      <c r="L489" s="1" t="s">
        <v>2822</v>
      </c>
      <c r="M489" s="1" t="s">
        <v>2823</v>
      </c>
      <c r="P489" s="1" t="s">
        <v>2824</v>
      </c>
      <c r="Q489" s="1" t="s">
        <v>264</v>
      </c>
      <c r="R489" s="1" t="s">
        <v>265</v>
      </c>
      <c r="S489" s="1" t="s">
        <v>299</v>
      </c>
      <c r="T489" s="1" t="s">
        <v>300</v>
      </c>
      <c r="U489" s="1">
        <v>2</v>
      </c>
      <c r="V489" s="1" t="s">
        <v>268</v>
      </c>
      <c r="W489" s="1" t="s">
        <v>1075</v>
      </c>
      <c r="Y489" s="10">
        <v>45478</v>
      </c>
      <c r="Z489" s="1">
        <v>2024</v>
      </c>
      <c r="AA489" s="2">
        <v>447584</v>
      </c>
      <c r="AB489" s="2"/>
      <c r="AC489" s="2">
        <v>104396</v>
      </c>
      <c r="AD489" s="1">
        <v>6</v>
      </c>
      <c r="AG489" s="1" t="s">
        <v>56</v>
      </c>
      <c r="AI489" s="2">
        <v>104396</v>
      </c>
    </row>
    <row r="490" spans="1:38" ht="14.45" customHeight="1" x14ac:dyDescent="0.25">
      <c r="A490" s="1" t="s">
        <v>57</v>
      </c>
      <c r="B490" s="9" t="s">
        <v>38</v>
      </c>
      <c r="C490" s="1" t="s">
        <v>58</v>
      </c>
      <c r="D490" s="1" t="s">
        <v>59</v>
      </c>
      <c r="E490" s="1" t="s">
        <v>42</v>
      </c>
      <c r="G490" s="1" t="s">
        <v>122</v>
      </c>
      <c r="H490" s="1" t="s">
        <v>1893</v>
      </c>
      <c r="I490" s="1" t="s">
        <v>2825</v>
      </c>
      <c r="J490" s="1">
        <v>2023</v>
      </c>
      <c r="K490" s="1" t="s">
        <v>2826</v>
      </c>
      <c r="L490" s="1" t="s">
        <v>2827</v>
      </c>
      <c r="P490" s="1" t="s">
        <v>2429</v>
      </c>
      <c r="Q490" s="1" t="s">
        <v>264</v>
      </c>
      <c r="R490" s="1" t="s">
        <v>265</v>
      </c>
      <c r="S490" s="16" t="s">
        <v>306</v>
      </c>
      <c r="T490" s="1" t="s">
        <v>307</v>
      </c>
      <c r="U490" s="1">
        <v>1</v>
      </c>
      <c r="V490" s="1" t="s">
        <v>308</v>
      </c>
      <c r="W490" s="1" t="s">
        <v>2828</v>
      </c>
      <c r="Y490" s="10">
        <v>45478</v>
      </c>
      <c r="Z490" s="1">
        <v>2024</v>
      </c>
      <c r="AA490" s="2">
        <v>317997.53999999998</v>
      </c>
      <c r="AB490" s="2"/>
      <c r="AC490" s="2">
        <v>127199.01</v>
      </c>
      <c r="AD490" s="1">
        <v>3</v>
      </c>
      <c r="AE490" s="1">
        <v>2</v>
      </c>
      <c r="AG490" s="1" t="s">
        <v>56</v>
      </c>
      <c r="AI490" s="2">
        <v>127199.01</v>
      </c>
    </row>
    <row r="491" spans="1:38" ht="14.45" customHeight="1" x14ac:dyDescent="0.2">
      <c r="A491" s="1" t="s">
        <v>57</v>
      </c>
      <c r="B491" s="9" t="s">
        <v>38</v>
      </c>
      <c r="C491" s="1" t="s">
        <v>58</v>
      </c>
      <c r="D491" s="1" t="s">
        <v>59</v>
      </c>
      <c r="E491" s="1" t="s">
        <v>42</v>
      </c>
      <c r="G491" s="1" t="s">
        <v>122</v>
      </c>
      <c r="H491" s="1" t="s">
        <v>1893</v>
      </c>
      <c r="I491" s="1" t="s">
        <v>2829</v>
      </c>
      <c r="J491" s="1">
        <v>2023</v>
      </c>
      <c r="K491" s="1" t="s">
        <v>2830</v>
      </c>
      <c r="L491" s="1" t="s">
        <v>2831</v>
      </c>
      <c r="P491" s="1" t="s">
        <v>2832</v>
      </c>
      <c r="Q491" s="1" t="s">
        <v>264</v>
      </c>
      <c r="R491" s="1" t="s">
        <v>265</v>
      </c>
      <c r="S491" s="1" t="s">
        <v>935</v>
      </c>
      <c r="T491" s="1" t="s">
        <v>936</v>
      </c>
      <c r="U491" s="1">
        <v>1</v>
      </c>
      <c r="V491" s="1" t="s">
        <v>308</v>
      </c>
      <c r="W491" s="1" t="s">
        <v>2833</v>
      </c>
      <c r="Y491" s="10">
        <v>45478</v>
      </c>
      <c r="Z491" s="1">
        <v>2024</v>
      </c>
      <c r="AA491" s="2">
        <v>64185.01</v>
      </c>
      <c r="AB491" s="2"/>
      <c r="AC491" s="2">
        <v>31046.25</v>
      </c>
      <c r="AD491" s="1">
        <v>1</v>
      </c>
      <c r="AG491" s="1" t="s">
        <v>56</v>
      </c>
      <c r="AI491" s="2">
        <v>31046.25</v>
      </c>
    </row>
    <row r="492" spans="1:38" ht="14.45" customHeight="1" x14ac:dyDescent="0.2">
      <c r="A492" s="1" t="s">
        <v>57</v>
      </c>
      <c r="B492" s="9" t="s">
        <v>38</v>
      </c>
      <c r="C492" s="1" t="s">
        <v>58</v>
      </c>
      <c r="D492" s="1" t="s">
        <v>59</v>
      </c>
      <c r="E492" s="1" t="s">
        <v>42</v>
      </c>
      <c r="G492" s="1" t="s">
        <v>122</v>
      </c>
      <c r="H492" s="1" t="s">
        <v>1893</v>
      </c>
      <c r="I492" s="1" t="s">
        <v>2834</v>
      </c>
      <c r="J492" s="1">
        <v>2023</v>
      </c>
      <c r="K492" s="1" t="s">
        <v>2835</v>
      </c>
      <c r="L492" s="1" t="s">
        <v>2836</v>
      </c>
      <c r="P492" s="1" t="s">
        <v>2837</v>
      </c>
      <c r="Q492" s="1" t="s">
        <v>264</v>
      </c>
      <c r="R492" s="1" t="s">
        <v>265</v>
      </c>
      <c r="S492" s="1" t="s">
        <v>266</v>
      </c>
      <c r="T492" s="1" t="s">
        <v>267</v>
      </c>
      <c r="U492" s="1">
        <v>2</v>
      </c>
      <c r="V492" s="1" t="s">
        <v>268</v>
      </c>
      <c r="W492" s="1" t="s">
        <v>2838</v>
      </c>
      <c r="Y492" s="10">
        <v>45478</v>
      </c>
      <c r="Z492" s="1">
        <v>2024</v>
      </c>
      <c r="AA492" s="2">
        <v>469250</v>
      </c>
      <c r="AB492" s="2"/>
      <c r="AC492" s="2">
        <v>100000</v>
      </c>
      <c r="AD492" s="1">
        <v>0</v>
      </c>
      <c r="AG492" s="1" t="s">
        <v>56</v>
      </c>
      <c r="AI492" s="2">
        <v>100000</v>
      </c>
    </row>
    <row r="493" spans="1:38" ht="14.45" customHeight="1" x14ac:dyDescent="0.2">
      <c r="A493" s="1" t="s">
        <v>57</v>
      </c>
      <c r="B493" s="9" t="s">
        <v>38</v>
      </c>
      <c r="C493" s="1" t="s">
        <v>58</v>
      </c>
      <c r="D493" s="1" t="s">
        <v>59</v>
      </c>
      <c r="E493" s="1" t="s">
        <v>42</v>
      </c>
      <c r="G493" s="1" t="s">
        <v>122</v>
      </c>
      <c r="H493" s="1" t="s">
        <v>1893</v>
      </c>
      <c r="I493" s="1" t="s">
        <v>2839</v>
      </c>
      <c r="J493" s="1">
        <v>2023</v>
      </c>
      <c r="K493" s="1" t="s">
        <v>2840</v>
      </c>
      <c r="L493" s="1" t="s">
        <v>2841</v>
      </c>
      <c r="P493" s="1" t="s">
        <v>2842</v>
      </c>
      <c r="Q493" s="1" t="s">
        <v>264</v>
      </c>
      <c r="R493" s="1" t="s">
        <v>265</v>
      </c>
      <c r="S493" s="1" t="s">
        <v>266</v>
      </c>
      <c r="T493" s="1" t="s">
        <v>267</v>
      </c>
      <c r="U493" s="1">
        <v>2</v>
      </c>
      <c r="V493" s="1" t="s">
        <v>268</v>
      </c>
      <c r="W493" s="1" t="s">
        <v>2843</v>
      </c>
      <c r="Y493" s="10">
        <v>45478</v>
      </c>
      <c r="Z493" s="1">
        <v>2024</v>
      </c>
      <c r="AA493" s="2">
        <v>280341.59999999998</v>
      </c>
      <c r="AB493" s="2"/>
      <c r="AC493" s="2">
        <v>70085.399999999994</v>
      </c>
      <c r="AD493" s="1">
        <v>0</v>
      </c>
      <c r="AG493" s="1" t="s">
        <v>56</v>
      </c>
      <c r="AI493" s="2">
        <v>70085.399999999994</v>
      </c>
    </row>
    <row r="494" spans="1:38" ht="14.45" customHeight="1" x14ac:dyDescent="0.25">
      <c r="A494" s="1" t="s">
        <v>57</v>
      </c>
      <c r="B494" s="9" t="s">
        <v>38</v>
      </c>
      <c r="C494" s="1" t="s">
        <v>58</v>
      </c>
      <c r="D494" s="1" t="s">
        <v>59</v>
      </c>
      <c r="E494" s="1" t="s">
        <v>42</v>
      </c>
      <c r="G494" s="1" t="s">
        <v>122</v>
      </c>
      <c r="H494" s="1" t="s">
        <v>1893</v>
      </c>
      <c r="I494" s="1" t="s">
        <v>2844</v>
      </c>
      <c r="J494" s="1">
        <v>2023</v>
      </c>
      <c r="K494" s="1" t="s">
        <v>2845</v>
      </c>
      <c r="L494" s="1" t="s">
        <v>2846</v>
      </c>
      <c r="P494" s="1" t="s">
        <v>2847</v>
      </c>
      <c r="Q494" s="1" t="s">
        <v>264</v>
      </c>
      <c r="R494" s="1" t="s">
        <v>265</v>
      </c>
      <c r="S494" s="16" t="s">
        <v>306</v>
      </c>
      <c r="T494" s="1" t="s">
        <v>307</v>
      </c>
      <c r="U494" s="1">
        <v>1</v>
      </c>
      <c r="V494" s="1" t="s">
        <v>308</v>
      </c>
      <c r="W494" s="1" t="s">
        <v>2848</v>
      </c>
      <c r="Y494" s="10">
        <v>45478</v>
      </c>
      <c r="Z494" s="1">
        <v>2024</v>
      </c>
      <c r="AA494" s="2">
        <v>33405.4</v>
      </c>
      <c r="AB494" s="2"/>
      <c r="AC494" s="2">
        <v>8351.35</v>
      </c>
      <c r="AD494" s="1">
        <v>0</v>
      </c>
      <c r="AG494" s="1" t="s">
        <v>56</v>
      </c>
      <c r="AI494" s="2">
        <v>8351.35</v>
      </c>
    </row>
    <row r="495" spans="1:38" ht="14.45" customHeight="1" x14ac:dyDescent="0.2">
      <c r="A495" s="1" t="s">
        <v>57</v>
      </c>
      <c r="B495" s="9" t="s">
        <v>38</v>
      </c>
      <c r="C495" s="1" t="s">
        <v>58</v>
      </c>
      <c r="D495" s="1" t="s">
        <v>59</v>
      </c>
      <c r="E495" s="1" t="s">
        <v>42</v>
      </c>
      <c r="G495" s="1" t="s">
        <v>122</v>
      </c>
      <c r="H495" s="1" t="s">
        <v>1893</v>
      </c>
      <c r="I495" s="1" t="s">
        <v>2849</v>
      </c>
      <c r="J495" s="1">
        <v>2023</v>
      </c>
      <c r="K495" s="1" t="s">
        <v>2850</v>
      </c>
      <c r="L495" s="1" t="s">
        <v>2851</v>
      </c>
      <c r="N495" s="1" t="s">
        <v>2852</v>
      </c>
      <c r="P495" s="1" t="s">
        <v>2853</v>
      </c>
      <c r="Q495" s="1" t="s">
        <v>101</v>
      </c>
      <c r="R495" s="1" t="s">
        <v>102</v>
      </c>
      <c r="S495" s="1" t="s">
        <v>637</v>
      </c>
      <c r="T495" s="1" t="s">
        <v>638</v>
      </c>
      <c r="U495" s="1">
        <v>1</v>
      </c>
      <c r="V495" s="1" t="s">
        <v>101</v>
      </c>
      <c r="W495" s="1" t="s">
        <v>2854</v>
      </c>
      <c r="Y495" s="10">
        <v>45478</v>
      </c>
      <c r="Z495" s="1">
        <v>2024</v>
      </c>
      <c r="AA495" s="2">
        <v>79347.19</v>
      </c>
      <c r="AB495" s="2"/>
      <c r="AC495" s="2">
        <v>39673.599999999999</v>
      </c>
      <c r="AD495" s="1">
        <v>4.5</v>
      </c>
      <c r="AG495" s="1" t="s">
        <v>56</v>
      </c>
      <c r="AI495" s="2">
        <v>39673.599999999999</v>
      </c>
    </row>
    <row r="496" spans="1:38" ht="14.45" customHeight="1" x14ac:dyDescent="0.2">
      <c r="A496" s="1" t="s">
        <v>57</v>
      </c>
      <c r="B496" s="9" t="s">
        <v>38</v>
      </c>
      <c r="C496" s="1" t="s">
        <v>58</v>
      </c>
      <c r="D496" s="1" t="s">
        <v>59</v>
      </c>
      <c r="E496" s="1" t="s">
        <v>42</v>
      </c>
      <c r="G496" s="1" t="s">
        <v>122</v>
      </c>
      <c r="H496" s="1" t="s">
        <v>1893</v>
      </c>
      <c r="I496" s="1" t="s">
        <v>2855</v>
      </c>
      <c r="J496" s="1">
        <v>2023</v>
      </c>
      <c r="K496" s="1" t="s">
        <v>2856</v>
      </c>
      <c r="L496" s="1" t="s">
        <v>2857</v>
      </c>
      <c r="P496" s="1" t="s">
        <v>2858</v>
      </c>
      <c r="Q496" s="1" t="s">
        <v>50</v>
      </c>
      <c r="R496" s="1" t="s">
        <v>68</v>
      </c>
      <c r="S496" s="1" t="s">
        <v>2056</v>
      </c>
      <c r="T496" s="1" t="s">
        <v>2057</v>
      </c>
      <c r="U496" s="1">
        <v>1</v>
      </c>
      <c r="V496" s="1" t="s">
        <v>195</v>
      </c>
      <c r="W496" s="1" t="s">
        <v>2856</v>
      </c>
      <c r="Y496" s="10">
        <v>45478</v>
      </c>
      <c r="Z496" s="1">
        <v>2024</v>
      </c>
      <c r="AA496" s="2">
        <v>216245.1</v>
      </c>
      <c r="AB496" s="2"/>
      <c r="AC496" s="2">
        <v>108122.55</v>
      </c>
      <c r="AD496" s="1">
        <v>2.75</v>
      </c>
      <c r="AE496" s="1">
        <v>2</v>
      </c>
      <c r="AG496" s="1" t="s">
        <v>56</v>
      </c>
      <c r="AI496" s="2">
        <v>108122.55</v>
      </c>
    </row>
    <row r="497" spans="1:38" ht="14.45" customHeight="1" x14ac:dyDescent="0.2">
      <c r="A497" s="1" t="s">
        <v>57</v>
      </c>
      <c r="B497" s="9" t="s">
        <v>38</v>
      </c>
      <c r="C497" s="1" t="s">
        <v>58</v>
      </c>
      <c r="D497" s="1" t="s">
        <v>59</v>
      </c>
      <c r="E497" s="1" t="s">
        <v>42</v>
      </c>
      <c r="G497" s="1" t="s">
        <v>122</v>
      </c>
      <c r="H497" s="1" t="s">
        <v>1893</v>
      </c>
      <c r="I497" s="1" t="s">
        <v>2859</v>
      </c>
      <c r="J497" s="1">
        <v>2023</v>
      </c>
      <c r="K497" s="1" t="s">
        <v>2860</v>
      </c>
      <c r="L497" s="1" t="s">
        <v>2861</v>
      </c>
      <c r="P497" s="1" t="s">
        <v>2862</v>
      </c>
      <c r="Q497" s="1" t="s">
        <v>264</v>
      </c>
      <c r="R497" s="1" t="s">
        <v>265</v>
      </c>
      <c r="S497" s="1" t="s">
        <v>266</v>
      </c>
      <c r="T497" s="1" t="s">
        <v>267</v>
      </c>
      <c r="U497" s="1">
        <v>2</v>
      </c>
      <c r="V497" s="1" t="s">
        <v>268</v>
      </c>
      <c r="W497" s="1" t="s">
        <v>2863</v>
      </c>
      <c r="Y497" s="10">
        <v>45478</v>
      </c>
      <c r="Z497" s="1">
        <v>2024</v>
      </c>
      <c r="AA497" s="2">
        <v>196212.32</v>
      </c>
      <c r="AB497" s="2"/>
      <c r="AC497" s="2">
        <v>49053.08</v>
      </c>
      <c r="AD497" s="1">
        <v>0</v>
      </c>
      <c r="AG497" s="1" t="s">
        <v>56</v>
      </c>
      <c r="AI497" s="2">
        <v>49053.08</v>
      </c>
    </row>
    <row r="498" spans="1:38" ht="14.45" customHeight="1" x14ac:dyDescent="0.2">
      <c r="A498" s="1" t="s">
        <v>57</v>
      </c>
      <c r="B498" s="9" t="s">
        <v>38</v>
      </c>
      <c r="C498" s="1" t="s">
        <v>58</v>
      </c>
      <c r="D498" s="1" t="s">
        <v>59</v>
      </c>
      <c r="E498" s="1" t="s">
        <v>42</v>
      </c>
      <c r="G498" s="1" t="s">
        <v>122</v>
      </c>
      <c r="H498" s="1" t="s">
        <v>1893</v>
      </c>
      <c r="I498" s="1" t="s">
        <v>2864</v>
      </c>
      <c r="J498" s="1">
        <v>2023</v>
      </c>
      <c r="K498" s="1" t="s">
        <v>2865</v>
      </c>
      <c r="L498" s="1" t="s">
        <v>2866</v>
      </c>
      <c r="P498" s="1" t="s">
        <v>2867</v>
      </c>
      <c r="Q498" s="1" t="s">
        <v>264</v>
      </c>
      <c r="R498" s="1" t="s">
        <v>265</v>
      </c>
      <c r="S498" s="1" t="s">
        <v>717</v>
      </c>
      <c r="T498" s="1" t="s">
        <v>718</v>
      </c>
      <c r="U498" s="1">
        <v>1</v>
      </c>
      <c r="V498" s="1" t="s">
        <v>535</v>
      </c>
      <c r="W498" s="1" t="s">
        <v>2868</v>
      </c>
      <c r="Y498" s="10">
        <v>45478</v>
      </c>
      <c r="Z498" s="1">
        <v>2024</v>
      </c>
      <c r="AA498" s="2">
        <v>422416.29</v>
      </c>
      <c r="AB498" s="2"/>
      <c r="AC498" s="2">
        <v>190000</v>
      </c>
      <c r="AD498" s="1">
        <v>6</v>
      </c>
      <c r="AG498" s="1" t="s">
        <v>56</v>
      </c>
      <c r="AI498" s="2">
        <v>190000</v>
      </c>
    </row>
    <row r="499" spans="1:38" ht="14.45" customHeight="1" x14ac:dyDescent="0.2">
      <c r="A499" s="1" t="s">
        <v>57</v>
      </c>
      <c r="B499" s="9" t="s">
        <v>38</v>
      </c>
      <c r="C499" s="1" t="s">
        <v>58</v>
      </c>
      <c r="D499" s="1" t="s">
        <v>59</v>
      </c>
      <c r="E499" s="1" t="s">
        <v>42</v>
      </c>
      <c r="G499" s="1" t="s">
        <v>122</v>
      </c>
      <c r="H499" s="1" t="s">
        <v>1893</v>
      </c>
      <c r="I499" s="1" t="s">
        <v>2869</v>
      </c>
      <c r="J499" s="1">
        <v>2023</v>
      </c>
      <c r="K499" s="1" t="s">
        <v>2870</v>
      </c>
      <c r="L499" s="1" t="s">
        <v>2871</v>
      </c>
      <c r="P499" s="1" t="s">
        <v>2872</v>
      </c>
      <c r="Q499" s="1" t="s">
        <v>264</v>
      </c>
      <c r="R499" s="1" t="s">
        <v>265</v>
      </c>
      <c r="S499" s="1" t="s">
        <v>855</v>
      </c>
      <c r="T499" s="1" t="s">
        <v>856</v>
      </c>
      <c r="U499" s="1">
        <v>2</v>
      </c>
      <c r="V499" s="1" t="s">
        <v>308</v>
      </c>
      <c r="W499" s="1" t="s">
        <v>2873</v>
      </c>
      <c r="Y499" s="10">
        <v>45478</v>
      </c>
      <c r="Z499" s="1">
        <v>2024</v>
      </c>
      <c r="AA499" s="2">
        <v>32620.116300000002</v>
      </c>
      <c r="AB499" s="2"/>
      <c r="AC499" s="2">
        <v>16310.06</v>
      </c>
      <c r="AD499" s="1">
        <v>3</v>
      </c>
      <c r="AE499" s="1">
        <v>2</v>
      </c>
      <c r="AG499" s="1" t="s">
        <v>56</v>
      </c>
      <c r="AI499" s="2">
        <v>16310.06</v>
      </c>
    </row>
    <row r="500" spans="1:38" ht="14.45" customHeight="1" x14ac:dyDescent="0.2">
      <c r="A500" s="1" t="s">
        <v>57</v>
      </c>
      <c r="B500" s="9" t="s">
        <v>38</v>
      </c>
      <c r="C500" s="1" t="s">
        <v>58</v>
      </c>
      <c r="D500" s="1" t="s">
        <v>59</v>
      </c>
      <c r="E500" s="1" t="s">
        <v>42</v>
      </c>
      <c r="G500" s="1" t="s">
        <v>122</v>
      </c>
      <c r="H500" s="1" t="s">
        <v>1893</v>
      </c>
      <c r="I500" s="1" t="s">
        <v>2874</v>
      </c>
      <c r="J500" s="1">
        <v>2023</v>
      </c>
      <c r="K500" s="1" t="s">
        <v>2875</v>
      </c>
      <c r="L500" s="1" t="s">
        <v>2876</v>
      </c>
      <c r="P500" s="1" t="s">
        <v>2877</v>
      </c>
      <c r="Q500" s="1" t="s">
        <v>264</v>
      </c>
      <c r="R500" s="1" t="s">
        <v>265</v>
      </c>
      <c r="S500" s="1" t="s">
        <v>855</v>
      </c>
      <c r="T500" s="1" t="s">
        <v>856</v>
      </c>
      <c r="U500" s="1">
        <v>2</v>
      </c>
      <c r="V500" s="1" t="s">
        <v>308</v>
      </c>
      <c r="W500" s="1" t="s">
        <v>2878</v>
      </c>
      <c r="Y500" s="10">
        <v>45478</v>
      </c>
      <c r="Z500" s="1">
        <v>2024</v>
      </c>
      <c r="AA500" s="2">
        <v>386833.85</v>
      </c>
      <c r="AB500" s="2"/>
      <c r="AC500" s="2">
        <v>171708.46</v>
      </c>
      <c r="AD500" s="1">
        <v>3</v>
      </c>
      <c r="AE500" s="1">
        <v>1</v>
      </c>
      <c r="AG500" s="1" t="s">
        <v>56</v>
      </c>
      <c r="AI500" s="2">
        <v>171708.46</v>
      </c>
    </row>
    <row r="501" spans="1:38" ht="14.45" customHeight="1" x14ac:dyDescent="0.2">
      <c r="A501" s="1" t="s">
        <v>57</v>
      </c>
      <c r="B501" s="9" t="s">
        <v>38</v>
      </c>
      <c r="C501" s="1" t="s">
        <v>58</v>
      </c>
      <c r="D501" s="1" t="s">
        <v>59</v>
      </c>
      <c r="E501" s="1" t="s">
        <v>42</v>
      </c>
      <c r="G501" s="1" t="s">
        <v>122</v>
      </c>
      <c r="H501" s="1" t="s">
        <v>1893</v>
      </c>
      <c r="I501" s="1" t="s">
        <v>2879</v>
      </c>
      <c r="J501" s="1">
        <v>2023</v>
      </c>
      <c r="K501" s="1" t="s">
        <v>2880</v>
      </c>
      <c r="L501" s="1" t="s">
        <v>2881</v>
      </c>
      <c r="P501" s="1" t="s">
        <v>2882</v>
      </c>
      <c r="Q501" s="1" t="s">
        <v>264</v>
      </c>
      <c r="R501" s="1" t="s">
        <v>265</v>
      </c>
      <c r="S501" s="1" t="s">
        <v>290</v>
      </c>
      <c r="T501" s="1" t="s">
        <v>291</v>
      </c>
      <c r="U501" s="1">
        <v>1</v>
      </c>
      <c r="V501" s="1" t="s">
        <v>268</v>
      </c>
      <c r="W501" s="1" t="s">
        <v>2883</v>
      </c>
      <c r="Y501" s="10">
        <v>45478</v>
      </c>
      <c r="Z501" s="1">
        <v>2024</v>
      </c>
      <c r="AA501" s="2">
        <v>488976.2</v>
      </c>
      <c r="AB501" s="2"/>
      <c r="AC501" s="2">
        <v>130000</v>
      </c>
      <c r="AD501" s="1">
        <v>1</v>
      </c>
      <c r="AG501" s="1" t="s">
        <v>56</v>
      </c>
      <c r="AI501" s="2">
        <v>130000</v>
      </c>
    </row>
    <row r="502" spans="1:38" ht="14.45" customHeight="1" x14ac:dyDescent="0.2">
      <c r="A502" s="1" t="s">
        <v>57</v>
      </c>
      <c r="B502" s="9" t="s">
        <v>38</v>
      </c>
      <c r="C502" s="1" t="s">
        <v>58</v>
      </c>
      <c r="D502" s="1" t="s">
        <v>146</v>
      </c>
      <c r="E502" s="1" t="s">
        <v>42</v>
      </c>
      <c r="G502" s="1" t="s">
        <v>147</v>
      </c>
      <c r="H502" s="1" t="s">
        <v>148</v>
      </c>
      <c r="I502" s="1" t="s">
        <v>2884</v>
      </c>
      <c r="J502" s="1">
        <v>2020</v>
      </c>
      <c r="K502" s="1" t="s">
        <v>2885</v>
      </c>
      <c r="L502" s="1" t="s">
        <v>2886</v>
      </c>
      <c r="P502" s="1" t="s">
        <v>2887</v>
      </c>
      <c r="Q502" s="1" t="s">
        <v>50</v>
      </c>
      <c r="R502" s="1" t="s">
        <v>68</v>
      </c>
      <c r="S502" s="1" t="s">
        <v>2888</v>
      </c>
      <c r="T502" s="1" t="s">
        <v>2889</v>
      </c>
      <c r="U502" s="1">
        <v>1</v>
      </c>
      <c r="V502" s="1" t="s">
        <v>71</v>
      </c>
      <c r="W502" s="1" t="s">
        <v>2886</v>
      </c>
      <c r="X502" s="1" t="s">
        <v>153</v>
      </c>
      <c r="Y502" s="10">
        <v>44127</v>
      </c>
      <c r="Z502" s="1">
        <v>2020</v>
      </c>
      <c r="AA502" s="2">
        <v>105521</v>
      </c>
      <c r="AB502" s="2"/>
      <c r="AC502" s="2">
        <v>79140.75</v>
      </c>
      <c r="AD502" s="1">
        <v>0</v>
      </c>
      <c r="AG502" s="1" t="s">
        <v>56</v>
      </c>
      <c r="AH502" s="1" t="s">
        <v>1458</v>
      </c>
      <c r="AI502" s="2">
        <v>79140.75</v>
      </c>
      <c r="AL502" s="1" t="s">
        <v>1744</v>
      </c>
    </row>
    <row r="503" spans="1:38" ht="14.45" customHeight="1" x14ac:dyDescent="0.2">
      <c r="A503" s="1" t="s">
        <v>57</v>
      </c>
      <c r="B503" s="9" t="s">
        <v>38</v>
      </c>
      <c r="C503" s="1" t="s">
        <v>58</v>
      </c>
      <c r="D503" s="1" t="s">
        <v>59</v>
      </c>
      <c r="E503" s="1" t="s">
        <v>42</v>
      </c>
      <c r="G503" s="1" t="s">
        <v>122</v>
      </c>
      <c r="H503" s="1" t="s">
        <v>1893</v>
      </c>
      <c r="I503" s="1" t="s">
        <v>2890</v>
      </c>
      <c r="J503" s="1">
        <v>2023</v>
      </c>
      <c r="K503" s="1" t="s">
        <v>2891</v>
      </c>
      <c r="L503" s="1" t="s">
        <v>2892</v>
      </c>
      <c r="P503" s="1" t="s">
        <v>2893</v>
      </c>
      <c r="Q503" s="1" t="s">
        <v>264</v>
      </c>
      <c r="R503" s="1" t="s">
        <v>265</v>
      </c>
      <c r="S503" s="1" t="s">
        <v>266</v>
      </c>
      <c r="T503" s="1" t="s">
        <v>267</v>
      </c>
      <c r="U503" s="1">
        <v>2</v>
      </c>
      <c r="V503" s="1" t="s">
        <v>268</v>
      </c>
      <c r="W503" s="1" t="s">
        <v>2894</v>
      </c>
      <c r="Y503" s="10">
        <v>45478</v>
      </c>
      <c r="Z503" s="1">
        <v>2024</v>
      </c>
      <c r="AA503" s="2">
        <v>412879.14</v>
      </c>
      <c r="AB503" s="2"/>
      <c r="AC503" s="2">
        <v>200000</v>
      </c>
      <c r="AD503" s="1">
        <v>5</v>
      </c>
      <c r="AG503" s="1" t="s">
        <v>56</v>
      </c>
      <c r="AI503" s="2">
        <v>200000</v>
      </c>
    </row>
    <row r="504" spans="1:38" ht="14.45" customHeight="1" x14ac:dyDescent="0.2">
      <c r="A504" s="1" t="s">
        <v>57</v>
      </c>
      <c r="B504" s="9" t="s">
        <v>38</v>
      </c>
      <c r="C504" s="1" t="s">
        <v>58</v>
      </c>
      <c r="D504" s="1" t="s">
        <v>59</v>
      </c>
      <c r="E504" s="1" t="s">
        <v>42</v>
      </c>
      <c r="G504" s="1" t="s">
        <v>122</v>
      </c>
      <c r="H504" s="1" t="s">
        <v>1893</v>
      </c>
      <c r="I504" s="1" t="s">
        <v>2895</v>
      </c>
      <c r="J504" s="1">
        <v>2023</v>
      </c>
      <c r="K504" s="1" t="s">
        <v>2896</v>
      </c>
      <c r="L504" s="1" t="s">
        <v>2897</v>
      </c>
      <c r="P504" s="1" t="s">
        <v>2898</v>
      </c>
      <c r="Q504" s="1" t="s">
        <v>264</v>
      </c>
      <c r="R504" s="1" t="s">
        <v>265</v>
      </c>
      <c r="S504" s="1" t="s">
        <v>266</v>
      </c>
      <c r="T504" s="1" t="s">
        <v>267</v>
      </c>
      <c r="U504" s="1">
        <v>2</v>
      </c>
      <c r="V504" s="1" t="s">
        <v>268</v>
      </c>
      <c r="W504" s="1" t="s">
        <v>2899</v>
      </c>
      <c r="Y504" s="10">
        <v>45478</v>
      </c>
      <c r="Z504" s="1">
        <v>2024</v>
      </c>
      <c r="AA504" s="2">
        <v>77532.2</v>
      </c>
      <c r="AB504" s="2"/>
      <c r="AC504" s="2">
        <v>19383.05</v>
      </c>
      <c r="AD504" s="1">
        <v>0</v>
      </c>
      <c r="AG504" s="1" t="s">
        <v>56</v>
      </c>
      <c r="AI504" s="2">
        <v>19383.05</v>
      </c>
    </row>
    <row r="505" spans="1:38" ht="14.45" customHeight="1" x14ac:dyDescent="0.2">
      <c r="A505" s="1" t="s">
        <v>57</v>
      </c>
      <c r="B505" s="9" t="s">
        <v>38</v>
      </c>
      <c r="C505" s="1" t="s">
        <v>58</v>
      </c>
      <c r="D505" s="1" t="s">
        <v>59</v>
      </c>
      <c r="E505" s="1" t="s">
        <v>42</v>
      </c>
      <c r="G505" s="1" t="s">
        <v>122</v>
      </c>
      <c r="H505" s="1" t="s">
        <v>1893</v>
      </c>
      <c r="I505" s="1" t="s">
        <v>2900</v>
      </c>
      <c r="J505" s="1">
        <v>2023</v>
      </c>
      <c r="K505" s="1" t="s">
        <v>2901</v>
      </c>
      <c r="L505" s="1" t="s">
        <v>2902</v>
      </c>
      <c r="P505" s="1" t="s">
        <v>2903</v>
      </c>
      <c r="Q505" s="1" t="s">
        <v>264</v>
      </c>
      <c r="R505" s="1" t="s">
        <v>265</v>
      </c>
      <c r="S505" s="1" t="s">
        <v>717</v>
      </c>
      <c r="T505" s="1" t="s">
        <v>718</v>
      </c>
      <c r="U505" s="1">
        <v>1</v>
      </c>
      <c r="V505" s="1" t="s">
        <v>535</v>
      </c>
      <c r="W505" s="1" t="s">
        <v>2904</v>
      </c>
      <c r="Y505" s="10">
        <v>45478</v>
      </c>
      <c r="Z505" s="1">
        <v>2024</v>
      </c>
      <c r="AA505" s="2">
        <v>39322.5</v>
      </c>
      <c r="AB505" s="2"/>
      <c r="AC505" s="2">
        <v>9830.6299999999992</v>
      </c>
      <c r="AD505" s="1">
        <v>0</v>
      </c>
      <c r="AG505" s="1" t="s">
        <v>56</v>
      </c>
      <c r="AI505" s="2">
        <v>9830.6299999999992</v>
      </c>
    </row>
    <row r="506" spans="1:38" ht="14.45" customHeight="1" x14ac:dyDescent="0.2">
      <c r="A506" s="1" t="s">
        <v>57</v>
      </c>
      <c r="B506" s="9" t="s">
        <v>38</v>
      </c>
      <c r="C506" s="1" t="s">
        <v>58</v>
      </c>
      <c r="D506" s="1" t="s">
        <v>59</v>
      </c>
      <c r="E506" s="1" t="s">
        <v>42</v>
      </c>
      <c r="G506" s="1" t="s">
        <v>122</v>
      </c>
      <c r="H506" s="1" t="s">
        <v>1893</v>
      </c>
      <c r="I506" s="1" t="s">
        <v>2905</v>
      </c>
      <c r="J506" s="1">
        <v>2023</v>
      </c>
      <c r="K506" s="1" t="s">
        <v>2906</v>
      </c>
      <c r="L506" s="1" t="s">
        <v>2907</v>
      </c>
      <c r="M506" s="1" t="s">
        <v>2908</v>
      </c>
      <c r="P506" s="1" t="s">
        <v>2909</v>
      </c>
      <c r="Q506" s="1" t="s">
        <v>264</v>
      </c>
      <c r="R506" s="1" t="s">
        <v>265</v>
      </c>
      <c r="S506" s="1" t="s">
        <v>266</v>
      </c>
      <c r="T506" s="1" t="s">
        <v>267</v>
      </c>
      <c r="U506" s="1">
        <v>2</v>
      </c>
      <c r="V506" s="1" t="s">
        <v>268</v>
      </c>
      <c r="W506" s="1" t="s">
        <v>2910</v>
      </c>
      <c r="Y506" s="10">
        <v>45478</v>
      </c>
      <c r="Z506" s="1">
        <v>2024</v>
      </c>
      <c r="AA506" s="2">
        <v>455334.54</v>
      </c>
      <c r="AB506" s="2"/>
      <c r="AC506" s="2">
        <v>160000</v>
      </c>
      <c r="AD506" s="1">
        <v>2</v>
      </c>
      <c r="AE506" s="1">
        <v>2</v>
      </c>
      <c r="AG506" s="1" t="s">
        <v>56</v>
      </c>
      <c r="AI506" s="2">
        <v>160000</v>
      </c>
    </row>
    <row r="507" spans="1:38" ht="14.45" customHeight="1" x14ac:dyDescent="0.2">
      <c r="A507" s="1" t="s">
        <v>57</v>
      </c>
      <c r="B507" s="9" t="s">
        <v>38</v>
      </c>
      <c r="C507" s="1" t="s">
        <v>58</v>
      </c>
      <c r="D507" s="1" t="s">
        <v>59</v>
      </c>
      <c r="E507" s="1" t="s">
        <v>42</v>
      </c>
      <c r="G507" s="1" t="s">
        <v>122</v>
      </c>
      <c r="H507" s="1" t="s">
        <v>1893</v>
      </c>
      <c r="I507" s="1" t="s">
        <v>2911</v>
      </c>
      <c r="J507" s="1">
        <v>2023</v>
      </c>
      <c r="K507" s="1" t="s">
        <v>2912</v>
      </c>
      <c r="L507" s="1" t="s">
        <v>2913</v>
      </c>
      <c r="P507" s="1" t="s">
        <v>2914</v>
      </c>
      <c r="Q507" s="1" t="s">
        <v>264</v>
      </c>
      <c r="R507" s="1" t="s">
        <v>265</v>
      </c>
      <c r="S507" s="1" t="s">
        <v>717</v>
      </c>
      <c r="T507" s="1" t="s">
        <v>718</v>
      </c>
      <c r="U507" s="1">
        <v>1</v>
      </c>
      <c r="V507" s="1" t="s">
        <v>535</v>
      </c>
      <c r="W507" s="1" t="s">
        <v>2915</v>
      </c>
      <c r="Y507" s="10">
        <v>45478</v>
      </c>
      <c r="Z507" s="1">
        <v>2024</v>
      </c>
      <c r="AA507" s="2">
        <v>453000</v>
      </c>
      <c r="AB507" s="2"/>
      <c r="AC507" s="2">
        <v>145000</v>
      </c>
      <c r="AD507" s="1">
        <v>3</v>
      </c>
      <c r="AG507" s="1" t="s">
        <v>56</v>
      </c>
      <c r="AI507" s="2">
        <v>145000</v>
      </c>
    </row>
    <row r="508" spans="1:38" ht="14.45" customHeight="1" x14ac:dyDescent="0.2">
      <c r="A508" s="1" t="s">
        <v>57</v>
      </c>
      <c r="B508" s="9" t="s">
        <v>38</v>
      </c>
      <c r="C508" s="1" t="s">
        <v>58</v>
      </c>
      <c r="D508" s="1" t="s">
        <v>59</v>
      </c>
      <c r="E508" s="1" t="s">
        <v>42</v>
      </c>
      <c r="G508" s="1" t="s">
        <v>122</v>
      </c>
      <c r="H508" s="1" t="s">
        <v>1893</v>
      </c>
      <c r="I508" s="1" t="s">
        <v>2916</v>
      </c>
      <c r="J508" s="1">
        <v>2023</v>
      </c>
      <c r="K508" s="1" t="s">
        <v>2917</v>
      </c>
      <c r="L508" s="1" t="s">
        <v>2918</v>
      </c>
      <c r="P508" s="1" t="s">
        <v>892</v>
      </c>
      <c r="Q508" s="1" t="s">
        <v>264</v>
      </c>
      <c r="R508" s="1" t="s">
        <v>265</v>
      </c>
      <c r="S508" s="1" t="s">
        <v>542</v>
      </c>
      <c r="T508" s="1" t="s">
        <v>543</v>
      </c>
      <c r="U508" s="1">
        <v>1</v>
      </c>
      <c r="V508" s="1" t="s">
        <v>268</v>
      </c>
      <c r="W508" s="1" t="s">
        <v>2919</v>
      </c>
      <c r="Y508" s="10">
        <v>45478</v>
      </c>
      <c r="Z508" s="1">
        <v>2024</v>
      </c>
      <c r="AA508" s="2">
        <v>100146.65</v>
      </c>
      <c r="AB508" s="2"/>
      <c r="AC508" s="2">
        <v>40036.660000000003</v>
      </c>
      <c r="AD508" s="1">
        <v>1</v>
      </c>
      <c r="AG508" s="1" t="s">
        <v>56</v>
      </c>
      <c r="AI508" s="2">
        <v>40036.660000000003</v>
      </c>
    </row>
    <row r="509" spans="1:38" ht="14.45" customHeight="1" x14ac:dyDescent="0.2">
      <c r="A509" s="1" t="s">
        <v>57</v>
      </c>
      <c r="B509" s="9" t="s">
        <v>38</v>
      </c>
      <c r="C509" s="1" t="s">
        <v>58</v>
      </c>
      <c r="D509" s="1" t="s">
        <v>59</v>
      </c>
      <c r="E509" s="1" t="s">
        <v>42</v>
      </c>
      <c r="G509" s="1" t="s">
        <v>122</v>
      </c>
      <c r="H509" s="1" t="s">
        <v>1893</v>
      </c>
      <c r="I509" s="1" t="s">
        <v>2920</v>
      </c>
      <c r="J509" s="1">
        <v>2023</v>
      </c>
      <c r="K509" s="1" t="s">
        <v>2921</v>
      </c>
      <c r="L509" s="1" t="s">
        <v>2922</v>
      </c>
      <c r="M509" s="1" t="s">
        <v>2923</v>
      </c>
      <c r="P509" s="1" t="s">
        <v>2924</v>
      </c>
      <c r="Q509" s="1" t="s">
        <v>264</v>
      </c>
      <c r="R509" s="1" t="s">
        <v>265</v>
      </c>
      <c r="S509" s="1" t="s">
        <v>656</v>
      </c>
      <c r="T509" s="1" t="s">
        <v>657</v>
      </c>
      <c r="U509" s="1">
        <v>2</v>
      </c>
      <c r="V509" s="1" t="s">
        <v>268</v>
      </c>
      <c r="W509" s="1" t="s">
        <v>2925</v>
      </c>
      <c r="Y509" s="10">
        <v>45478</v>
      </c>
      <c r="Z509" s="1">
        <v>2024</v>
      </c>
      <c r="AA509" s="2">
        <v>498352.75</v>
      </c>
      <c r="AB509" s="2"/>
      <c r="AC509" s="2">
        <v>130000</v>
      </c>
      <c r="AD509" s="1">
        <v>2</v>
      </c>
      <c r="AE509" s="1">
        <v>1</v>
      </c>
      <c r="AG509" s="1" t="s">
        <v>56</v>
      </c>
      <c r="AI509" s="2">
        <v>130000</v>
      </c>
    </row>
    <row r="510" spans="1:38" ht="14.45" customHeight="1" x14ac:dyDescent="0.2">
      <c r="A510" s="1" t="s">
        <v>57</v>
      </c>
      <c r="B510" s="9" t="s">
        <v>38</v>
      </c>
      <c r="C510" s="1" t="s">
        <v>58</v>
      </c>
      <c r="D510" s="1" t="s">
        <v>59</v>
      </c>
      <c r="E510" s="1" t="s">
        <v>42</v>
      </c>
      <c r="G510" s="1" t="s">
        <v>122</v>
      </c>
      <c r="H510" s="1" t="s">
        <v>1893</v>
      </c>
      <c r="I510" s="1" t="s">
        <v>2926</v>
      </c>
      <c r="J510" s="1">
        <v>2023</v>
      </c>
      <c r="K510" s="1" t="s">
        <v>2927</v>
      </c>
      <c r="L510" s="1" t="s">
        <v>2928</v>
      </c>
      <c r="P510" s="1" t="s">
        <v>2929</v>
      </c>
      <c r="Q510" s="1" t="s">
        <v>264</v>
      </c>
      <c r="R510" s="1" t="s">
        <v>265</v>
      </c>
      <c r="S510" s="1" t="s">
        <v>299</v>
      </c>
      <c r="T510" s="1" t="s">
        <v>300</v>
      </c>
      <c r="U510" s="1">
        <v>2</v>
      </c>
      <c r="V510" s="1" t="s">
        <v>268</v>
      </c>
      <c r="W510" s="1" t="s">
        <v>2930</v>
      </c>
      <c r="Y510" s="10">
        <v>45478</v>
      </c>
      <c r="Z510" s="1">
        <v>2024</v>
      </c>
      <c r="AA510" s="2">
        <v>44512</v>
      </c>
      <c r="AB510" s="2"/>
      <c r="AC510" s="2">
        <v>22256</v>
      </c>
      <c r="AD510" s="1">
        <v>2</v>
      </c>
      <c r="AE510" s="1">
        <v>1</v>
      </c>
      <c r="AG510" s="1" t="s">
        <v>56</v>
      </c>
      <c r="AI510" s="2">
        <v>22256</v>
      </c>
    </row>
    <row r="511" spans="1:38" ht="14.45" customHeight="1" x14ac:dyDescent="0.2">
      <c r="A511" s="1" t="s">
        <v>57</v>
      </c>
      <c r="B511" s="9" t="s">
        <v>38</v>
      </c>
      <c r="C511" s="1" t="s">
        <v>58</v>
      </c>
      <c r="D511" s="1" t="s">
        <v>59</v>
      </c>
      <c r="E511" s="1" t="s">
        <v>42</v>
      </c>
      <c r="G511" s="1" t="s">
        <v>122</v>
      </c>
      <c r="H511" s="1" t="s">
        <v>1893</v>
      </c>
      <c r="I511" s="1" t="s">
        <v>2931</v>
      </c>
      <c r="J511" s="1">
        <v>2023</v>
      </c>
      <c r="K511" s="1" t="s">
        <v>2932</v>
      </c>
      <c r="L511" s="1" t="s">
        <v>2933</v>
      </c>
      <c r="P511" s="1" t="s">
        <v>2934</v>
      </c>
      <c r="Q511" s="1" t="s">
        <v>264</v>
      </c>
      <c r="R511" s="1" t="s">
        <v>265</v>
      </c>
      <c r="S511" s="1" t="s">
        <v>656</v>
      </c>
      <c r="T511" s="1" t="s">
        <v>657</v>
      </c>
      <c r="U511" s="1">
        <v>2</v>
      </c>
      <c r="V511" s="1" t="s">
        <v>268</v>
      </c>
      <c r="W511" s="1" t="s">
        <v>2935</v>
      </c>
      <c r="Y511" s="10">
        <v>45478</v>
      </c>
      <c r="Z511" s="1">
        <v>2024</v>
      </c>
      <c r="AA511" s="2">
        <v>210132.21</v>
      </c>
      <c r="AB511" s="2"/>
      <c r="AC511" s="2">
        <v>67533.05</v>
      </c>
      <c r="AD511" s="1">
        <v>1</v>
      </c>
      <c r="AG511" s="1" t="s">
        <v>56</v>
      </c>
      <c r="AI511" s="2">
        <v>67533.05</v>
      </c>
    </row>
    <row r="512" spans="1:38" ht="14.45" customHeight="1" x14ac:dyDescent="0.2">
      <c r="A512" s="1" t="s">
        <v>57</v>
      </c>
      <c r="B512" s="9" t="s">
        <v>38</v>
      </c>
      <c r="C512" s="1" t="s">
        <v>58</v>
      </c>
      <c r="D512" s="1" t="s">
        <v>59</v>
      </c>
      <c r="E512" s="1" t="s">
        <v>42</v>
      </c>
      <c r="G512" s="1" t="s">
        <v>122</v>
      </c>
      <c r="H512" s="1" t="s">
        <v>1893</v>
      </c>
      <c r="I512" s="1" t="s">
        <v>2936</v>
      </c>
      <c r="J512" s="1">
        <v>2023</v>
      </c>
      <c r="K512" s="1" t="s">
        <v>2937</v>
      </c>
      <c r="L512" s="1" t="s">
        <v>2938</v>
      </c>
      <c r="M512" s="1" t="s">
        <v>2939</v>
      </c>
      <c r="P512" s="1" t="s">
        <v>2940</v>
      </c>
      <c r="Q512" s="1" t="s">
        <v>264</v>
      </c>
      <c r="R512" s="1" t="s">
        <v>265</v>
      </c>
      <c r="S512" s="1" t="s">
        <v>299</v>
      </c>
      <c r="T512" s="1" t="s">
        <v>300</v>
      </c>
      <c r="U512" s="1">
        <v>2</v>
      </c>
      <c r="V512" s="1" t="s">
        <v>268</v>
      </c>
      <c r="W512" s="1" t="s">
        <v>2941</v>
      </c>
      <c r="Y512" s="10">
        <v>45478</v>
      </c>
      <c r="Z512" s="1">
        <v>2024</v>
      </c>
      <c r="AA512" s="2">
        <v>366304.82</v>
      </c>
      <c r="AB512" s="2"/>
      <c r="AC512" s="2">
        <v>181576.21</v>
      </c>
      <c r="AD512" s="1">
        <v>3</v>
      </c>
      <c r="AE512" s="1">
        <v>2</v>
      </c>
      <c r="AG512" s="1" t="s">
        <v>56</v>
      </c>
      <c r="AI512" s="2">
        <v>181576.21</v>
      </c>
    </row>
    <row r="513" spans="1:35" ht="14.45" customHeight="1" x14ac:dyDescent="0.2">
      <c r="A513" s="1" t="s">
        <v>57</v>
      </c>
      <c r="B513" s="9" t="s">
        <v>38</v>
      </c>
      <c r="C513" s="1" t="s">
        <v>58</v>
      </c>
      <c r="D513" s="1" t="s">
        <v>59</v>
      </c>
      <c r="E513" s="1" t="s">
        <v>42</v>
      </c>
      <c r="G513" s="1" t="s">
        <v>122</v>
      </c>
      <c r="H513" s="1" t="s">
        <v>1893</v>
      </c>
      <c r="I513" s="1" t="s">
        <v>2942</v>
      </c>
      <c r="J513" s="1">
        <v>2023</v>
      </c>
      <c r="K513" s="1" t="s">
        <v>2943</v>
      </c>
      <c r="L513" s="1" t="s">
        <v>2944</v>
      </c>
      <c r="P513" s="1" t="s">
        <v>2945</v>
      </c>
      <c r="Q513" s="1" t="s">
        <v>264</v>
      </c>
      <c r="R513" s="1" t="s">
        <v>265</v>
      </c>
      <c r="S513" s="1" t="s">
        <v>656</v>
      </c>
      <c r="T513" s="1" t="s">
        <v>657</v>
      </c>
      <c r="U513" s="1">
        <v>2</v>
      </c>
      <c r="V513" s="1" t="s">
        <v>268</v>
      </c>
      <c r="W513" s="1" t="s">
        <v>2946</v>
      </c>
      <c r="Y513" s="10">
        <v>45478</v>
      </c>
      <c r="Z513" s="1">
        <v>2024</v>
      </c>
      <c r="AA513" s="2">
        <v>379518.08</v>
      </c>
      <c r="AB513" s="2"/>
      <c r="AC513" s="2">
        <v>189759.04</v>
      </c>
      <c r="AD513" s="1">
        <v>7</v>
      </c>
      <c r="AE513" s="1">
        <v>2.4</v>
      </c>
      <c r="AG513" s="1" t="s">
        <v>56</v>
      </c>
      <c r="AI513" s="2">
        <v>189759.04</v>
      </c>
    </row>
    <row r="514" spans="1:35" x14ac:dyDescent="0.2">
      <c r="A514" s="1" t="s">
        <v>57</v>
      </c>
      <c r="B514" s="9" t="s">
        <v>38</v>
      </c>
      <c r="C514" s="1" t="s">
        <v>58</v>
      </c>
      <c r="D514" s="1" t="s">
        <v>59</v>
      </c>
      <c r="E514" s="1" t="s">
        <v>42</v>
      </c>
      <c r="G514" s="1" t="s">
        <v>122</v>
      </c>
      <c r="H514" s="1" t="s">
        <v>1893</v>
      </c>
      <c r="I514" s="1" t="s">
        <v>2947</v>
      </c>
      <c r="J514" s="1">
        <v>2023</v>
      </c>
      <c r="K514" s="1" t="s">
        <v>2948</v>
      </c>
      <c r="L514" s="1" t="s">
        <v>2949</v>
      </c>
      <c r="P514" s="1" t="s">
        <v>2950</v>
      </c>
      <c r="Q514" s="1" t="s">
        <v>264</v>
      </c>
      <c r="R514" s="1" t="s">
        <v>265</v>
      </c>
      <c r="S514" s="1" t="s">
        <v>935</v>
      </c>
      <c r="T514" s="1" t="s">
        <v>936</v>
      </c>
      <c r="U514" s="1">
        <v>1</v>
      </c>
      <c r="V514" s="1" t="s">
        <v>308</v>
      </c>
      <c r="W514" s="1" t="s">
        <v>2951</v>
      </c>
      <c r="Y514" s="10">
        <v>45478</v>
      </c>
      <c r="Z514" s="1">
        <v>2024</v>
      </c>
      <c r="AA514" s="2">
        <v>480876.24</v>
      </c>
      <c r="AB514" s="2"/>
      <c r="AC514" s="2">
        <v>130000</v>
      </c>
      <c r="AD514" s="1">
        <v>1</v>
      </c>
      <c r="AE514" s="1">
        <v>1</v>
      </c>
      <c r="AG514" s="1" t="s">
        <v>56</v>
      </c>
      <c r="AI514" s="2">
        <v>130000</v>
      </c>
    </row>
    <row r="515" spans="1:35" ht="14.45" customHeight="1" x14ac:dyDescent="0.2">
      <c r="A515" s="1" t="s">
        <v>57</v>
      </c>
      <c r="B515" s="9" t="s">
        <v>38</v>
      </c>
      <c r="C515" s="1" t="s">
        <v>58</v>
      </c>
      <c r="D515" s="1" t="s">
        <v>59</v>
      </c>
      <c r="E515" s="1" t="s">
        <v>42</v>
      </c>
      <c r="G515" s="1" t="s">
        <v>122</v>
      </c>
      <c r="H515" s="1" t="s">
        <v>1893</v>
      </c>
      <c r="I515" s="1" t="s">
        <v>2952</v>
      </c>
      <c r="J515" s="1">
        <v>2023</v>
      </c>
      <c r="K515" s="1" t="s">
        <v>2953</v>
      </c>
      <c r="L515" s="1" t="s">
        <v>2954</v>
      </c>
      <c r="P515" s="1" t="s">
        <v>1266</v>
      </c>
      <c r="Q515" s="1" t="s">
        <v>264</v>
      </c>
      <c r="R515" s="1" t="s">
        <v>265</v>
      </c>
      <c r="S515" s="1" t="s">
        <v>379</v>
      </c>
      <c r="T515" s="1" t="s">
        <v>380</v>
      </c>
      <c r="U515" s="1">
        <v>2</v>
      </c>
      <c r="V515" s="1" t="s">
        <v>268</v>
      </c>
      <c r="W515" s="1" t="s">
        <v>2955</v>
      </c>
      <c r="Y515" s="10">
        <v>45478</v>
      </c>
      <c r="Z515" s="1">
        <v>2024</v>
      </c>
      <c r="AA515" s="2">
        <v>87940.23</v>
      </c>
      <c r="AB515" s="2"/>
      <c r="AC515" s="2">
        <v>21985.06</v>
      </c>
      <c r="AD515" s="1">
        <v>0</v>
      </c>
      <c r="AG515" s="1" t="s">
        <v>56</v>
      </c>
      <c r="AI515" s="2">
        <v>21985.06</v>
      </c>
    </row>
    <row r="516" spans="1:35" ht="14.45" customHeight="1" x14ac:dyDescent="0.2">
      <c r="A516" s="1" t="s">
        <v>57</v>
      </c>
      <c r="B516" s="9" t="s">
        <v>38</v>
      </c>
      <c r="C516" s="1" t="s">
        <v>58</v>
      </c>
      <c r="D516" s="1" t="s">
        <v>59</v>
      </c>
      <c r="E516" s="1" t="s">
        <v>42</v>
      </c>
      <c r="G516" s="1" t="s">
        <v>122</v>
      </c>
      <c r="H516" s="1" t="s">
        <v>1893</v>
      </c>
      <c r="I516" s="1" t="s">
        <v>2956</v>
      </c>
      <c r="J516" s="1">
        <v>2023</v>
      </c>
      <c r="K516" s="1" t="s">
        <v>2957</v>
      </c>
      <c r="L516" s="1" t="s">
        <v>2958</v>
      </c>
      <c r="P516" s="1" t="s">
        <v>2959</v>
      </c>
      <c r="Q516" s="1" t="s">
        <v>264</v>
      </c>
      <c r="R516" s="1" t="s">
        <v>265</v>
      </c>
      <c r="S516" s="1" t="s">
        <v>673</v>
      </c>
      <c r="T516" s="1" t="s">
        <v>674</v>
      </c>
      <c r="U516" s="1">
        <v>2</v>
      </c>
      <c r="V516" s="1" t="s">
        <v>268</v>
      </c>
      <c r="W516" s="1" t="s">
        <v>2960</v>
      </c>
      <c r="Y516" s="10">
        <v>45478</v>
      </c>
      <c r="Z516" s="1">
        <v>2024</v>
      </c>
      <c r="AA516" s="2">
        <v>142919.9</v>
      </c>
      <c r="AB516" s="2"/>
      <c r="AC516" s="2">
        <v>35729.980000000003</v>
      </c>
      <c r="AD516" s="1">
        <v>0</v>
      </c>
      <c r="AG516" s="1" t="s">
        <v>56</v>
      </c>
      <c r="AI516" s="2">
        <v>35729.980000000003</v>
      </c>
    </row>
    <row r="517" spans="1:35" ht="14.45" customHeight="1" x14ac:dyDescent="0.2">
      <c r="A517" s="1" t="s">
        <v>57</v>
      </c>
      <c r="B517" s="9" t="s">
        <v>38</v>
      </c>
      <c r="C517" s="1" t="s">
        <v>58</v>
      </c>
      <c r="D517" s="1" t="s">
        <v>59</v>
      </c>
      <c r="E517" s="1" t="s">
        <v>42</v>
      </c>
      <c r="G517" s="1" t="s">
        <v>122</v>
      </c>
      <c r="H517" s="1" t="s">
        <v>1893</v>
      </c>
      <c r="I517" s="1" t="s">
        <v>2961</v>
      </c>
      <c r="J517" s="1">
        <v>2023</v>
      </c>
      <c r="K517" s="1" t="s">
        <v>2962</v>
      </c>
      <c r="L517" s="1" t="s">
        <v>2963</v>
      </c>
      <c r="P517" s="1" t="s">
        <v>2964</v>
      </c>
      <c r="Q517" s="1" t="s">
        <v>264</v>
      </c>
      <c r="R517" s="1" t="s">
        <v>265</v>
      </c>
      <c r="S517" s="1" t="s">
        <v>533</v>
      </c>
      <c r="T517" s="1" t="s">
        <v>534</v>
      </c>
      <c r="U517" s="1">
        <v>1</v>
      </c>
      <c r="V517" s="1" t="s">
        <v>535</v>
      </c>
      <c r="W517" s="1" t="s">
        <v>2965</v>
      </c>
      <c r="Y517" s="10">
        <v>45478</v>
      </c>
      <c r="Z517" s="1">
        <v>2024</v>
      </c>
      <c r="AA517" s="2">
        <v>82629.919999999998</v>
      </c>
      <c r="AB517" s="2"/>
      <c r="AC517" s="2">
        <v>41314.959999999999</v>
      </c>
      <c r="AD517" s="1">
        <v>3</v>
      </c>
      <c r="AG517" s="1" t="s">
        <v>56</v>
      </c>
      <c r="AI517" s="2">
        <v>41314.959999999999</v>
      </c>
    </row>
    <row r="518" spans="1:35" ht="14.45" customHeight="1" x14ac:dyDescent="0.2">
      <c r="A518" s="1" t="s">
        <v>57</v>
      </c>
      <c r="B518" s="9" t="s">
        <v>38</v>
      </c>
      <c r="C518" s="1" t="s">
        <v>58</v>
      </c>
      <c r="D518" s="1" t="s">
        <v>59</v>
      </c>
      <c r="E518" s="1" t="s">
        <v>42</v>
      </c>
      <c r="G518" s="1" t="s">
        <v>122</v>
      </c>
      <c r="H518" s="1" t="s">
        <v>1893</v>
      </c>
      <c r="I518" s="1" t="s">
        <v>2966</v>
      </c>
      <c r="J518" s="1">
        <v>2023</v>
      </c>
      <c r="K518" s="1" t="s">
        <v>2967</v>
      </c>
      <c r="L518" s="1" t="s">
        <v>2968</v>
      </c>
      <c r="P518" s="1" t="s">
        <v>2969</v>
      </c>
      <c r="Q518" s="1" t="s">
        <v>264</v>
      </c>
      <c r="R518" s="1" t="s">
        <v>265</v>
      </c>
      <c r="S518" s="1" t="s">
        <v>656</v>
      </c>
      <c r="T518" s="1" t="s">
        <v>657</v>
      </c>
      <c r="U518" s="1">
        <v>2</v>
      </c>
      <c r="V518" s="1" t="s">
        <v>268</v>
      </c>
      <c r="W518" s="1" t="s">
        <v>2968</v>
      </c>
      <c r="Y518" s="10">
        <v>45478</v>
      </c>
      <c r="Z518" s="1">
        <v>2024</v>
      </c>
      <c r="AA518" s="2">
        <v>338109.03</v>
      </c>
      <c r="AB518" s="2"/>
      <c r="AC518" s="2">
        <v>99527.26</v>
      </c>
      <c r="AD518" s="1">
        <v>0.5</v>
      </c>
      <c r="AE518" s="1">
        <v>0.5</v>
      </c>
      <c r="AG518" s="1" t="s">
        <v>56</v>
      </c>
      <c r="AI518" s="2">
        <v>99527.26</v>
      </c>
    </row>
    <row r="519" spans="1:35" ht="14.45" customHeight="1" x14ac:dyDescent="0.25">
      <c r="A519" s="1" t="s">
        <v>57</v>
      </c>
      <c r="B519" s="9" t="s">
        <v>38</v>
      </c>
      <c r="C519" s="1" t="s">
        <v>58</v>
      </c>
      <c r="D519" s="1" t="s">
        <v>59</v>
      </c>
      <c r="E519" s="1" t="s">
        <v>42</v>
      </c>
      <c r="G519" s="1" t="s">
        <v>122</v>
      </c>
      <c r="H519" s="1" t="s">
        <v>1893</v>
      </c>
      <c r="I519" s="1" t="s">
        <v>2970</v>
      </c>
      <c r="J519" s="1">
        <v>2023</v>
      </c>
      <c r="K519" s="1" t="s">
        <v>2845</v>
      </c>
      <c r="L519" s="1" t="s">
        <v>2971</v>
      </c>
      <c r="P519" s="1" t="s">
        <v>2972</v>
      </c>
      <c r="Q519" s="1" t="s">
        <v>264</v>
      </c>
      <c r="R519" s="1" t="s">
        <v>265</v>
      </c>
      <c r="S519" s="16" t="s">
        <v>306</v>
      </c>
      <c r="T519" s="1" t="s">
        <v>307</v>
      </c>
      <c r="U519" s="1">
        <v>1</v>
      </c>
      <c r="V519" s="1" t="s">
        <v>308</v>
      </c>
      <c r="W519" s="1" t="s">
        <v>2973</v>
      </c>
      <c r="Y519" s="10">
        <v>45478</v>
      </c>
      <c r="Z519" s="1">
        <v>2024</v>
      </c>
      <c r="AA519" s="2">
        <v>348238.97</v>
      </c>
      <c r="AB519" s="2"/>
      <c r="AC519" s="2">
        <v>117059.74</v>
      </c>
      <c r="AD519" s="1">
        <v>1</v>
      </c>
      <c r="AE519" s="1">
        <v>1</v>
      </c>
      <c r="AG519" s="1" t="s">
        <v>56</v>
      </c>
      <c r="AI519" s="2">
        <v>117059.74</v>
      </c>
    </row>
    <row r="520" spans="1:35" ht="12.6" customHeight="1" x14ac:dyDescent="0.2">
      <c r="A520" s="1" t="s">
        <v>57</v>
      </c>
      <c r="B520" s="9" t="s">
        <v>38</v>
      </c>
      <c r="C520" s="1" t="s">
        <v>58</v>
      </c>
      <c r="D520" s="1" t="s">
        <v>59</v>
      </c>
      <c r="E520" s="1" t="s">
        <v>42</v>
      </c>
      <c r="G520" s="1" t="s">
        <v>122</v>
      </c>
      <c r="H520" s="1" t="s">
        <v>1893</v>
      </c>
      <c r="I520" s="1" t="s">
        <v>2974</v>
      </c>
      <c r="J520" s="1">
        <v>2023</v>
      </c>
      <c r="K520" s="1" t="s">
        <v>2975</v>
      </c>
      <c r="L520" s="1" t="s">
        <v>2976</v>
      </c>
      <c r="N520" s="1" t="s">
        <v>2977</v>
      </c>
      <c r="P520" s="1" t="s">
        <v>2978</v>
      </c>
      <c r="Q520" s="1" t="s">
        <v>1149</v>
      </c>
      <c r="R520" s="1" t="s">
        <v>1150</v>
      </c>
      <c r="S520" s="1" t="s">
        <v>2979</v>
      </c>
      <c r="T520" s="1" t="s">
        <v>2980</v>
      </c>
      <c r="V520" s="1" t="s">
        <v>1537</v>
      </c>
      <c r="W520" s="1" t="s">
        <v>2975</v>
      </c>
      <c r="Y520" s="10">
        <v>45478</v>
      </c>
      <c r="Z520" s="1">
        <v>2024</v>
      </c>
      <c r="AA520" s="2">
        <v>499709.89</v>
      </c>
      <c r="AB520" s="2"/>
      <c r="AC520" s="2">
        <v>129941.98</v>
      </c>
      <c r="AD520" s="1">
        <v>2</v>
      </c>
      <c r="AG520" s="1" t="s">
        <v>56</v>
      </c>
      <c r="AI520" s="2">
        <v>129941.98</v>
      </c>
    </row>
    <row r="521" spans="1:35" ht="14.45" customHeight="1" x14ac:dyDescent="0.2">
      <c r="A521" s="1" t="s">
        <v>57</v>
      </c>
      <c r="B521" s="9" t="s">
        <v>38</v>
      </c>
      <c r="C521" s="1" t="s">
        <v>58</v>
      </c>
      <c r="D521" s="1" t="s">
        <v>59</v>
      </c>
      <c r="E521" s="1" t="s">
        <v>42</v>
      </c>
      <c r="G521" s="1" t="s">
        <v>122</v>
      </c>
      <c r="H521" s="1" t="s">
        <v>61</v>
      </c>
      <c r="I521" s="1" t="s">
        <v>2981</v>
      </c>
      <c r="J521" s="1">
        <v>2023</v>
      </c>
      <c r="K521" s="1" t="s">
        <v>2982</v>
      </c>
      <c r="L521" s="1" t="s">
        <v>2983</v>
      </c>
      <c r="N521" s="1" t="s">
        <v>2984</v>
      </c>
      <c r="P521" s="1" t="s">
        <v>2985</v>
      </c>
      <c r="Q521" s="1" t="s">
        <v>50</v>
      </c>
      <c r="R521" s="1" t="s">
        <v>68</v>
      </c>
      <c r="S521" s="1" t="s">
        <v>2986</v>
      </c>
      <c r="T521" s="1" t="s">
        <v>2987</v>
      </c>
      <c r="U521" s="1">
        <v>2</v>
      </c>
      <c r="V521" s="1" t="s">
        <v>195</v>
      </c>
      <c r="W521" s="1" t="s">
        <v>2988</v>
      </c>
      <c r="Y521" s="10">
        <v>45478</v>
      </c>
      <c r="Z521" s="1">
        <v>2024</v>
      </c>
      <c r="AA521" s="2">
        <v>289780.25</v>
      </c>
      <c r="AB521" s="2"/>
      <c r="AC521" s="2">
        <v>132445.06</v>
      </c>
      <c r="AD521" s="1">
        <v>2</v>
      </c>
      <c r="AE521" s="1">
        <v>1</v>
      </c>
      <c r="AG521" s="1" t="s">
        <v>56</v>
      </c>
      <c r="AI521" s="2">
        <v>132445.06</v>
      </c>
    </row>
    <row r="522" spans="1:35" ht="14.45" customHeight="1" x14ac:dyDescent="0.2">
      <c r="A522" s="1" t="s">
        <v>57</v>
      </c>
      <c r="B522" s="9" t="s">
        <v>38</v>
      </c>
      <c r="C522" s="1" t="s">
        <v>58</v>
      </c>
      <c r="D522" s="1" t="s">
        <v>59</v>
      </c>
      <c r="E522" s="1" t="s">
        <v>42</v>
      </c>
      <c r="G522" s="1" t="s">
        <v>122</v>
      </c>
      <c r="H522" s="1" t="s">
        <v>1893</v>
      </c>
      <c r="I522" s="1" t="s">
        <v>2989</v>
      </c>
      <c r="J522" s="1">
        <v>2023</v>
      </c>
      <c r="K522" s="1" t="s">
        <v>2990</v>
      </c>
      <c r="L522" s="1" t="s">
        <v>2990</v>
      </c>
      <c r="M522" s="1" t="s">
        <v>2991</v>
      </c>
      <c r="N522" s="1" t="s">
        <v>2992</v>
      </c>
      <c r="P522" s="1" t="s">
        <v>2993</v>
      </c>
      <c r="Q522" s="1" t="s">
        <v>50</v>
      </c>
      <c r="R522" s="1" t="s">
        <v>68</v>
      </c>
      <c r="S522" s="1" t="s">
        <v>425</v>
      </c>
      <c r="T522" s="1" t="s">
        <v>426</v>
      </c>
      <c r="U522" s="1">
        <v>1</v>
      </c>
      <c r="V522" s="1" t="s">
        <v>195</v>
      </c>
      <c r="W522" s="1" t="s">
        <v>2990</v>
      </c>
      <c r="Y522" s="10">
        <v>45478</v>
      </c>
      <c r="Z522" s="1">
        <v>2024</v>
      </c>
      <c r="AA522" s="2">
        <v>101812.22</v>
      </c>
      <c r="AB522" s="2"/>
      <c r="AC522" s="2">
        <v>50906.11</v>
      </c>
      <c r="AD522" s="1">
        <v>2</v>
      </c>
      <c r="AE522" s="1">
        <v>1</v>
      </c>
      <c r="AG522" s="1" t="s">
        <v>56</v>
      </c>
      <c r="AI522" s="2">
        <v>50906.11</v>
      </c>
    </row>
    <row r="523" spans="1:35" ht="14.45" customHeight="1" x14ac:dyDescent="0.2">
      <c r="A523" s="1" t="s">
        <v>57</v>
      </c>
      <c r="B523" s="9" t="s">
        <v>38</v>
      </c>
      <c r="C523" s="1" t="s">
        <v>58</v>
      </c>
      <c r="D523" s="1" t="s">
        <v>59</v>
      </c>
      <c r="E523" s="1" t="s">
        <v>42</v>
      </c>
      <c r="G523" s="1" t="s">
        <v>105</v>
      </c>
      <c r="H523" s="1" t="s">
        <v>1893</v>
      </c>
      <c r="I523" s="1" t="s">
        <v>2994</v>
      </c>
      <c r="J523" s="1">
        <v>2023</v>
      </c>
      <c r="K523" s="1" t="s">
        <v>2995</v>
      </c>
      <c r="L523" s="1" t="s">
        <v>2996</v>
      </c>
      <c r="P523" s="1" t="s">
        <v>2997</v>
      </c>
      <c r="Q523" s="1" t="s">
        <v>101</v>
      </c>
      <c r="R523" s="1" t="s">
        <v>102</v>
      </c>
      <c r="S523" s="1" t="s">
        <v>2998</v>
      </c>
      <c r="T523" s="1" t="s">
        <v>2999</v>
      </c>
      <c r="U523" s="1">
        <v>2</v>
      </c>
      <c r="V523" s="1" t="s">
        <v>101</v>
      </c>
      <c r="W523" s="1" t="s">
        <v>3000</v>
      </c>
      <c r="Y523" s="10">
        <v>45462</v>
      </c>
      <c r="Z523" s="1">
        <v>2024</v>
      </c>
      <c r="AA523" s="2">
        <v>318162.36</v>
      </c>
      <c r="AB523" s="2"/>
      <c r="AC523" s="2">
        <v>108632.47</v>
      </c>
      <c r="AD523" s="1">
        <v>3</v>
      </c>
      <c r="AE523" s="1">
        <v>3</v>
      </c>
      <c r="AG523" s="1" t="s">
        <v>56</v>
      </c>
      <c r="AI523" s="2">
        <v>108632.47</v>
      </c>
    </row>
    <row r="524" spans="1:35" ht="14.45" customHeight="1" x14ac:dyDescent="0.2">
      <c r="A524" s="1" t="s">
        <v>57</v>
      </c>
      <c r="B524" s="9" t="s">
        <v>38</v>
      </c>
      <c r="C524" s="1" t="s">
        <v>58</v>
      </c>
      <c r="D524" s="1" t="s">
        <v>59</v>
      </c>
      <c r="E524" s="1" t="s">
        <v>42</v>
      </c>
      <c r="G524" s="1" t="s">
        <v>105</v>
      </c>
      <c r="H524" s="1" t="s">
        <v>1893</v>
      </c>
      <c r="I524" s="1" t="s">
        <v>3001</v>
      </c>
      <c r="J524" s="1">
        <v>2023</v>
      </c>
      <c r="K524" s="1" t="s">
        <v>3002</v>
      </c>
      <c r="L524" s="1" t="s">
        <v>3003</v>
      </c>
      <c r="P524" s="1" t="s">
        <v>2505</v>
      </c>
      <c r="Q524" s="1" t="s">
        <v>101</v>
      </c>
      <c r="R524" s="1" t="s">
        <v>102</v>
      </c>
      <c r="S524" s="1" t="s">
        <v>637</v>
      </c>
      <c r="T524" s="1" t="s">
        <v>638</v>
      </c>
      <c r="U524" s="1">
        <v>1</v>
      </c>
      <c r="V524" s="1" t="s">
        <v>101</v>
      </c>
      <c r="W524" s="1" t="s">
        <v>3002</v>
      </c>
      <c r="Y524" s="10">
        <v>45462</v>
      </c>
      <c r="Z524" s="1">
        <v>2024</v>
      </c>
      <c r="AA524" s="2">
        <v>1275000</v>
      </c>
      <c r="AB524" s="2"/>
      <c r="AC524" s="2">
        <v>360000</v>
      </c>
      <c r="AD524" s="1">
        <v>7</v>
      </c>
      <c r="AE524" s="1">
        <v>1</v>
      </c>
      <c r="AG524" s="1" t="s">
        <v>56</v>
      </c>
      <c r="AI524" s="2">
        <v>360000</v>
      </c>
    </row>
    <row r="525" spans="1:35" ht="14.45" customHeight="1" x14ac:dyDescent="0.2">
      <c r="A525" s="1" t="s">
        <v>57</v>
      </c>
      <c r="B525" s="9" t="s">
        <v>38</v>
      </c>
      <c r="C525" s="1" t="s">
        <v>58</v>
      </c>
      <c r="D525" s="1" t="s">
        <v>59</v>
      </c>
      <c r="E525" s="1" t="s">
        <v>42</v>
      </c>
      <c r="G525" s="1" t="s">
        <v>122</v>
      </c>
      <c r="H525" s="1" t="s">
        <v>1893</v>
      </c>
      <c r="I525" s="1" t="s">
        <v>3004</v>
      </c>
      <c r="J525" s="1">
        <v>2023</v>
      </c>
      <c r="K525" s="1" t="s">
        <v>3005</v>
      </c>
      <c r="L525" s="1" t="s">
        <v>3006</v>
      </c>
      <c r="P525" s="1" t="s">
        <v>3007</v>
      </c>
      <c r="Q525" s="1" t="s">
        <v>101</v>
      </c>
      <c r="R525" s="1" t="s">
        <v>102</v>
      </c>
      <c r="S525" s="1" t="s">
        <v>562</v>
      </c>
      <c r="T525" s="1" t="s">
        <v>563</v>
      </c>
      <c r="U525" s="1">
        <v>1</v>
      </c>
      <c r="V525" s="1" t="s">
        <v>101</v>
      </c>
      <c r="W525" s="1" t="s">
        <v>3005</v>
      </c>
      <c r="Y525" s="10">
        <v>45478</v>
      </c>
      <c r="Z525" s="1">
        <v>2024</v>
      </c>
      <c r="AA525" s="2">
        <v>182791.06</v>
      </c>
      <c r="AB525" s="2"/>
      <c r="AC525" s="2">
        <v>45697.77</v>
      </c>
      <c r="AD525" s="1">
        <v>0</v>
      </c>
      <c r="AG525" s="1" t="s">
        <v>56</v>
      </c>
      <c r="AI525" s="2">
        <v>45697.77</v>
      </c>
    </row>
    <row r="526" spans="1:35" ht="14.45" customHeight="1" x14ac:dyDescent="0.25">
      <c r="A526" s="1" t="s">
        <v>57</v>
      </c>
      <c r="B526" s="20" t="s">
        <v>38</v>
      </c>
      <c r="C526" s="3" t="s">
        <v>58</v>
      </c>
      <c r="D526" s="1" t="s">
        <v>146</v>
      </c>
      <c r="E526" s="1" t="s">
        <v>42</v>
      </c>
      <c r="G526" s="1" t="s">
        <v>1673</v>
      </c>
      <c r="H526" s="1" t="s">
        <v>156</v>
      </c>
      <c r="I526" s="3" t="s">
        <v>3008</v>
      </c>
      <c r="J526" s="1">
        <v>2024</v>
      </c>
      <c r="K526" s="1" t="s">
        <v>3009</v>
      </c>
      <c r="L526" s="1" t="s">
        <v>3010</v>
      </c>
      <c r="M526" s="1" t="s">
        <v>1240</v>
      </c>
      <c r="N526" s="3" t="s">
        <v>3011</v>
      </c>
      <c r="P526" s="1" t="s">
        <v>3012</v>
      </c>
      <c r="Q526" s="1" t="s">
        <v>50</v>
      </c>
      <c r="R526" s="1" t="s">
        <v>51</v>
      </c>
      <c r="S526" s="3" t="s">
        <v>3013</v>
      </c>
      <c r="T526" s="3" t="s">
        <v>3014</v>
      </c>
      <c r="U526" s="24"/>
      <c r="V526" s="3" t="s">
        <v>54</v>
      </c>
      <c r="W526" s="3" t="s">
        <v>3015</v>
      </c>
      <c r="X526" s="3" t="s">
        <v>1396</v>
      </c>
      <c r="Y526" s="21">
        <v>45799</v>
      </c>
      <c r="Z526" s="3">
        <v>2025</v>
      </c>
      <c r="AA526" s="22">
        <v>603156.12</v>
      </c>
      <c r="AB526" s="22"/>
      <c r="AC526" s="22">
        <v>603156.12</v>
      </c>
      <c r="AD526" s="2"/>
      <c r="AG526" s="1" t="s">
        <v>56</v>
      </c>
      <c r="AI526" s="22">
        <v>603156.12</v>
      </c>
    </row>
    <row r="527" spans="1:35" ht="14.45" customHeight="1" x14ac:dyDescent="0.25">
      <c r="A527" s="1" t="s">
        <v>57</v>
      </c>
      <c r="B527" s="20" t="s">
        <v>38</v>
      </c>
      <c r="C527" s="3" t="s">
        <v>58</v>
      </c>
      <c r="D527" s="1" t="s">
        <v>146</v>
      </c>
      <c r="E527" s="1" t="s">
        <v>42</v>
      </c>
      <c r="G527" s="1" t="s">
        <v>1673</v>
      </c>
      <c r="H527" s="1" t="s">
        <v>156</v>
      </c>
      <c r="I527" s="3" t="s">
        <v>3016</v>
      </c>
      <c r="J527" s="1">
        <v>2024</v>
      </c>
      <c r="K527" s="1" t="s">
        <v>3017</v>
      </c>
      <c r="L527" s="1" t="s">
        <v>3018</v>
      </c>
      <c r="M527" s="1" t="s">
        <v>1240</v>
      </c>
      <c r="N527" s="3" t="s">
        <v>3019</v>
      </c>
      <c r="P527" s="1" t="s">
        <v>3012</v>
      </c>
      <c r="Q527" s="1" t="s">
        <v>50</v>
      </c>
      <c r="R527" s="1" t="s">
        <v>51</v>
      </c>
      <c r="S527" s="3" t="s">
        <v>3013</v>
      </c>
      <c r="T527" s="3" t="s">
        <v>3014</v>
      </c>
      <c r="U527" s="24"/>
      <c r="V527" s="3" t="s">
        <v>54</v>
      </c>
      <c r="W527" s="3" t="s">
        <v>3020</v>
      </c>
      <c r="X527" s="3" t="s">
        <v>1396</v>
      </c>
      <c r="Y527" s="21">
        <v>45799</v>
      </c>
      <c r="Z527" s="3">
        <v>2025</v>
      </c>
      <c r="AA527" s="22">
        <v>1051459.6599999999</v>
      </c>
      <c r="AB527" s="22"/>
      <c r="AC527" s="22">
        <v>1051459.6599999999</v>
      </c>
      <c r="AD527" s="2"/>
      <c r="AG527" s="1" t="s">
        <v>56</v>
      </c>
      <c r="AI527" s="22">
        <v>1051459.6599999999</v>
      </c>
    </row>
    <row r="528" spans="1:35" ht="14.45" customHeight="1" x14ac:dyDescent="0.2">
      <c r="A528" s="1" t="s">
        <v>57</v>
      </c>
      <c r="B528" s="9" t="s">
        <v>38</v>
      </c>
      <c r="C528" s="1" t="s">
        <v>58</v>
      </c>
      <c r="D528" s="1" t="s">
        <v>59</v>
      </c>
      <c r="E528" s="1" t="s">
        <v>42</v>
      </c>
      <c r="G528" s="1" t="s">
        <v>122</v>
      </c>
      <c r="H528" s="1" t="s">
        <v>1893</v>
      </c>
      <c r="I528" s="1" t="s">
        <v>3021</v>
      </c>
      <c r="J528" s="1">
        <v>2023</v>
      </c>
      <c r="K528" s="1" t="s">
        <v>3022</v>
      </c>
      <c r="L528" s="1" t="s">
        <v>3023</v>
      </c>
      <c r="P528" s="1" t="s">
        <v>3024</v>
      </c>
      <c r="Q528" s="1" t="s">
        <v>101</v>
      </c>
      <c r="R528" s="1" t="s">
        <v>102</v>
      </c>
      <c r="S528" s="1" t="s">
        <v>3025</v>
      </c>
      <c r="T528" s="1" t="s">
        <v>3026</v>
      </c>
      <c r="U528" s="1">
        <v>1</v>
      </c>
      <c r="V528" s="1" t="s">
        <v>101</v>
      </c>
      <c r="W528" s="1" t="s">
        <v>3027</v>
      </c>
      <c r="Y528" s="10">
        <v>45478</v>
      </c>
      <c r="Z528" s="1">
        <v>2024</v>
      </c>
      <c r="AA528" s="2">
        <v>168160.34</v>
      </c>
      <c r="AB528" s="2"/>
      <c r="AC528" s="2">
        <v>72040.09</v>
      </c>
      <c r="AD528" s="1">
        <v>1</v>
      </c>
      <c r="AG528" s="1" t="s">
        <v>56</v>
      </c>
      <c r="AI528" s="2">
        <v>72040.09</v>
      </c>
    </row>
    <row r="529" spans="1:38" ht="14.45" customHeight="1" x14ac:dyDescent="0.25">
      <c r="A529" s="1" t="s">
        <v>57</v>
      </c>
      <c r="B529" s="20" t="s">
        <v>38</v>
      </c>
      <c r="C529" s="3" t="s">
        <v>58</v>
      </c>
      <c r="D529" s="1" t="s">
        <v>146</v>
      </c>
      <c r="E529" s="1" t="s">
        <v>42</v>
      </c>
      <c r="G529" s="1" t="s">
        <v>1673</v>
      </c>
      <c r="H529" s="1" t="s">
        <v>156</v>
      </c>
      <c r="I529" s="3" t="s">
        <v>3028</v>
      </c>
      <c r="J529" s="1">
        <v>2023</v>
      </c>
      <c r="K529" s="1" t="s">
        <v>3029</v>
      </c>
      <c r="L529" s="1" t="s">
        <v>3030</v>
      </c>
      <c r="M529" s="1" t="s">
        <v>3031</v>
      </c>
      <c r="N529" s="1" t="s">
        <v>3032</v>
      </c>
      <c r="P529" s="1" t="s">
        <v>3033</v>
      </c>
      <c r="Q529" s="1" t="s">
        <v>1149</v>
      </c>
      <c r="R529" s="1" t="s">
        <v>1150</v>
      </c>
      <c r="S529" s="1" t="s">
        <v>1218</v>
      </c>
      <c r="T529" s="1" t="s">
        <v>1219</v>
      </c>
      <c r="U529" s="24"/>
      <c r="V529" s="3" t="s">
        <v>1153</v>
      </c>
      <c r="W529" s="3" t="s">
        <v>3034</v>
      </c>
      <c r="X529" s="3" t="s">
        <v>3035</v>
      </c>
      <c r="Y529" s="21">
        <v>45799</v>
      </c>
      <c r="Z529" s="3">
        <v>2025</v>
      </c>
      <c r="AA529" s="22">
        <v>1553053.94</v>
      </c>
      <c r="AB529" s="22"/>
      <c r="AC529" s="22">
        <v>1553053.94</v>
      </c>
      <c r="AD529" s="2"/>
      <c r="AG529" s="1" t="s">
        <v>56</v>
      </c>
      <c r="AI529" s="22">
        <v>1553053.94</v>
      </c>
    </row>
    <row r="530" spans="1:38" ht="14.45" customHeight="1" x14ac:dyDescent="0.25">
      <c r="A530" s="1" t="s">
        <v>57</v>
      </c>
      <c r="B530" s="20" t="s">
        <v>38</v>
      </c>
      <c r="C530" s="3" t="s">
        <v>58</v>
      </c>
      <c r="D530" s="1" t="s">
        <v>146</v>
      </c>
      <c r="E530" s="1" t="s">
        <v>42</v>
      </c>
      <c r="G530" s="1" t="s">
        <v>1673</v>
      </c>
      <c r="H530" s="1" t="s">
        <v>156</v>
      </c>
      <c r="I530" s="3" t="s">
        <v>3036</v>
      </c>
      <c r="J530" s="1">
        <v>2023</v>
      </c>
      <c r="K530" s="1" t="s">
        <v>3037</v>
      </c>
      <c r="L530" s="1" t="s">
        <v>3038</v>
      </c>
      <c r="M530" s="1" t="s">
        <v>3039</v>
      </c>
      <c r="N530" s="3" t="s">
        <v>3040</v>
      </c>
      <c r="P530" s="1" t="s">
        <v>3041</v>
      </c>
      <c r="Q530" s="1" t="s">
        <v>50</v>
      </c>
      <c r="R530" s="1" t="s">
        <v>68</v>
      </c>
      <c r="S530" s="3" t="s">
        <v>692</v>
      </c>
      <c r="T530" s="3" t="s">
        <v>693</v>
      </c>
      <c r="U530" s="24">
        <v>2</v>
      </c>
      <c r="V530" s="3" t="s">
        <v>71</v>
      </c>
      <c r="W530" s="3" t="s">
        <v>3038</v>
      </c>
      <c r="X530" s="3" t="s">
        <v>1396</v>
      </c>
      <c r="Y530" s="21">
        <v>45799</v>
      </c>
      <c r="Z530" s="3">
        <v>2025</v>
      </c>
      <c r="AA530" s="22">
        <v>3282087.09</v>
      </c>
      <c r="AB530" s="22"/>
      <c r="AC530" s="22">
        <v>3282087.09</v>
      </c>
      <c r="AD530" s="2"/>
      <c r="AG530" s="1" t="s">
        <v>56</v>
      </c>
      <c r="AI530" s="22">
        <v>3282087.09</v>
      </c>
    </row>
    <row r="531" spans="1:38" ht="14.45" customHeight="1" x14ac:dyDescent="0.25">
      <c r="A531" s="1" t="s">
        <v>57</v>
      </c>
      <c r="B531" s="20" t="s">
        <v>38</v>
      </c>
      <c r="C531" s="3" t="s">
        <v>58</v>
      </c>
      <c r="D531" s="1" t="s">
        <v>146</v>
      </c>
      <c r="E531" s="1" t="s">
        <v>42</v>
      </c>
      <c r="G531" s="1" t="s">
        <v>1673</v>
      </c>
      <c r="H531" s="1" t="s">
        <v>156</v>
      </c>
      <c r="I531" s="3" t="s">
        <v>3042</v>
      </c>
      <c r="J531" s="1">
        <v>2023</v>
      </c>
      <c r="K531" s="1" t="s">
        <v>3043</v>
      </c>
      <c r="L531" s="1" t="s">
        <v>3044</v>
      </c>
      <c r="M531" s="1" t="s">
        <v>3045</v>
      </c>
      <c r="N531" s="3" t="s">
        <v>3046</v>
      </c>
      <c r="P531" s="1" t="s">
        <v>3047</v>
      </c>
      <c r="Q531" s="1" t="s">
        <v>50</v>
      </c>
      <c r="R531" s="1" t="s">
        <v>77</v>
      </c>
      <c r="S531" s="3" t="s">
        <v>1096</v>
      </c>
      <c r="T531" s="3" t="s">
        <v>1097</v>
      </c>
      <c r="U531" s="1">
        <v>1</v>
      </c>
      <c r="V531" s="3" t="s">
        <v>186</v>
      </c>
      <c r="W531" s="3" t="s">
        <v>3043</v>
      </c>
      <c r="X531" s="3" t="s">
        <v>3035</v>
      </c>
      <c r="Y531" s="21">
        <v>45799</v>
      </c>
      <c r="Z531" s="3">
        <v>2025</v>
      </c>
      <c r="AA531" s="22">
        <v>656985.59</v>
      </c>
      <c r="AB531" s="22"/>
      <c r="AC531" s="22">
        <v>656985.59</v>
      </c>
      <c r="AD531" s="2"/>
      <c r="AG531" s="1" t="s">
        <v>56</v>
      </c>
      <c r="AI531" s="22">
        <v>656985.59</v>
      </c>
    </row>
    <row r="532" spans="1:38" ht="14.45" customHeight="1" x14ac:dyDescent="0.2">
      <c r="A532" s="1" t="s">
        <v>57</v>
      </c>
      <c r="B532" s="9" t="s">
        <v>38</v>
      </c>
      <c r="C532" s="1" t="s">
        <v>58</v>
      </c>
      <c r="D532" s="1" t="s">
        <v>59</v>
      </c>
      <c r="E532" s="1" t="s">
        <v>42</v>
      </c>
      <c r="G532" s="1" t="s">
        <v>122</v>
      </c>
      <c r="H532" s="1" t="s">
        <v>1893</v>
      </c>
      <c r="I532" s="1" t="s">
        <v>3048</v>
      </c>
      <c r="J532" s="1">
        <v>2023</v>
      </c>
      <c r="K532" s="1" t="s">
        <v>3049</v>
      </c>
      <c r="L532" s="1" t="s">
        <v>3050</v>
      </c>
      <c r="P532" s="1" t="s">
        <v>3051</v>
      </c>
      <c r="Q532" s="1" t="s">
        <v>101</v>
      </c>
      <c r="R532" s="1" t="s">
        <v>102</v>
      </c>
      <c r="S532" s="1" t="s">
        <v>372</v>
      </c>
      <c r="T532" s="1" t="s">
        <v>373</v>
      </c>
      <c r="U532" s="1">
        <v>1</v>
      </c>
      <c r="V532" s="1" t="s">
        <v>101</v>
      </c>
      <c r="W532" s="1" t="s">
        <v>3052</v>
      </c>
      <c r="Y532" s="10">
        <v>45478</v>
      </c>
      <c r="Z532" s="1">
        <v>2024</v>
      </c>
      <c r="AA532" s="2">
        <v>291017.11</v>
      </c>
      <c r="AB532" s="2"/>
      <c r="AC532" s="2">
        <v>102754.28</v>
      </c>
      <c r="AD532" s="1">
        <v>1</v>
      </c>
      <c r="AE532" s="1">
        <v>1</v>
      </c>
      <c r="AG532" s="1" t="s">
        <v>56</v>
      </c>
      <c r="AI532" s="2">
        <v>102754.28</v>
      </c>
    </row>
    <row r="533" spans="1:38" ht="14.45" customHeight="1" x14ac:dyDescent="0.2">
      <c r="A533" s="1" t="s">
        <v>57</v>
      </c>
      <c r="B533" s="9" t="s">
        <v>38</v>
      </c>
      <c r="C533" s="1" t="s">
        <v>58</v>
      </c>
      <c r="D533" s="1" t="s">
        <v>59</v>
      </c>
      <c r="E533" s="1" t="s">
        <v>42</v>
      </c>
      <c r="G533" s="1" t="s">
        <v>122</v>
      </c>
      <c r="H533" s="1" t="s">
        <v>1893</v>
      </c>
      <c r="I533" s="1" t="s">
        <v>3053</v>
      </c>
      <c r="J533" s="1">
        <v>2023</v>
      </c>
      <c r="K533" s="1" t="s">
        <v>3054</v>
      </c>
      <c r="L533" s="1" t="s">
        <v>3055</v>
      </c>
      <c r="P533" s="1" t="s">
        <v>2997</v>
      </c>
      <c r="Q533" s="1" t="s">
        <v>101</v>
      </c>
      <c r="R533" s="1" t="s">
        <v>102</v>
      </c>
      <c r="S533" s="1" t="s">
        <v>3056</v>
      </c>
      <c r="T533" s="1" t="s">
        <v>3057</v>
      </c>
      <c r="U533" s="1">
        <v>2</v>
      </c>
      <c r="V533" s="1" t="s">
        <v>101</v>
      </c>
      <c r="W533" s="1" t="s">
        <v>3054</v>
      </c>
      <c r="Y533" s="10">
        <v>45478</v>
      </c>
      <c r="Z533" s="1">
        <v>2024</v>
      </c>
      <c r="AA533" s="2">
        <v>65471.53</v>
      </c>
      <c r="AB533" s="2"/>
      <c r="AC533" s="2">
        <v>32735.77</v>
      </c>
      <c r="AD533" s="1">
        <v>3</v>
      </c>
      <c r="AE533" s="1">
        <v>3</v>
      </c>
      <c r="AG533" s="1" t="s">
        <v>56</v>
      </c>
      <c r="AI533" s="2">
        <v>32735.77</v>
      </c>
    </row>
    <row r="534" spans="1:38" ht="14.45" customHeight="1" x14ac:dyDescent="0.2">
      <c r="A534" s="1" t="s">
        <v>57</v>
      </c>
      <c r="B534" s="9" t="s">
        <v>38</v>
      </c>
      <c r="C534" s="1" t="s">
        <v>58</v>
      </c>
      <c r="D534" s="1" t="s">
        <v>59</v>
      </c>
      <c r="E534" s="1" t="s">
        <v>42</v>
      </c>
      <c r="G534" s="1" t="s">
        <v>122</v>
      </c>
      <c r="H534" s="1" t="s">
        <v>1893</v>
      </c>
      <c r="I534" s="1" t="s">
        <v>3058</v>
      </c>
      <c r="J534" s="1">
        <v>2023</v>
      </c>
      <c r="K534" s="1" t="s">
        <v>3059</v>
      </c>
      <c r="L534" s="1" t="s">
        <v>3060</v>
      </c>
      <c r="P534" s="1" t="s">
        <v>1085</v>
      </c>
      <c r="Q534" s="1" t="s">
        <v>101</v>
      </c>
      <c r="R534" s="1" t="s">
        <v>102</v>
      </c>
      <c r="S534" s="1" t="s">
        <v>562</v>
      </c>
      <c r="T534" s="1" t="s">
        <v>563</v>
      </c>
      <c r="U534" s="1">
        <v>1</v>
      </c>
      <c r="V534" s="1" t="s">
        <v>101</v>
      </c>
      <c r="W534" s="1" t="s">
        <v>3059</v>
      </c>
      <c r="Y534" s="10">
        <v>45478</v>
      </c>
      <c r="Z534" s="1">
        <v>2024</v>
      </c>
      <c r="AA534" s="2">
        <v>258963.61</v>
      </c>
      <c r="AB534" s="2"/>
      <c r="AC534" s="2">
        <v>64740.9</v>
      </c>
      <c r="AD534" s="1">
        <v>0</v>
      </c>
      <c r="AG534" s="1" t="s">
        <v>56</v>
      </c>
      <c r="AI534" s="2">
        <v>64740.9</v>
      </c>
    </row>
    <row r="535" spans="1:38" ht="14.45" customHeight="1" x14ac:dyDescent="0.2">
      <c r="A535" s="1" t="s">
        <v>57</v>
      </c>
      <c r="B535" s="9" t="s">
        <v>38</v>
      </c>
      <c r="C535" s="1" t="s">
        <v>58</v>
      </c>
      <c r="D535" s="1" t="s">
        <v>59</v>
      </c>
      <c r="E535" s="1" t="s">
        <v>42</v>
      </c>
      <c r="G535" s="1" t="s">
        <v>122</v>
      </c>
      <c r="H535" s="1" t="s">
        <v>1893</v>
      </c>
      <c r="I535" s="1" t="s">
        <v>3061</v>
      </c>
      <c r="J535" s="1">
        <v>2023</v>
      </c>
      <c r="K535" s="1" t="s">
        <v>3062</v>
      </c>
      <c r="L535" s="1" t="s">
        <v>3063</v>
      </c>
      <c r="P535" s="1" t="s">
        <v>3064</v>
      </c>
      <c r="Q535" s="1" t="s">
        <v>101</v>
      </c>
      <c r="R535" s="1" t="s">
        <v>102</v>
      </c>
      <c r="S535" s="1" t="s">
        <v>3065</v>
      </c>
      <c r="T535" s="1" t="s">
        <v>3066</v>
      </c>
      <c r="U535" s="1">
        <v>1</v>
      </c>
      <c r="V535" s="1" t="s">
        <v>101</v>
      </c>
      <c r="W535" s="1" t="s">
        <v>3062</v>
      </c>
      <c r="Y535" s="10">
        <v>45478</v>
      </c>
      <c r="Z535" s="1">
        <v>2024</v>
      </c>
      <c r="AA535" s="2">
        <v>210531.9</v>
      </c>
      <c r="AB535" s="2"/>
      <c r="AC535" s="2">
        <v>105265.95</v>
      </c>
      <c r="AD535" s="1">
        <v>2</v>
      </c>
      <c r="AE535" s="1">
        <v>2</v>
      </c>
      <c r="AG535" s="1" t="s">
        <v>56</v>
      </c>
      <c r="AI535" s="2">
        <v>105265.95</v>
      </c>
    </row>
    <row r="536" spans="1:38" ht="14.45" customHeight="1" x14ac:dyDescent="0.2">
      <c r="A536" s="1" t="s">
        <v>57</v>
      </c>
      <c r="B536" s="9" t="s">
        <v>38</v>
      </c>
      <c r="C536" s="1" t="s">
        <v>58</v>
      </c>
      <c r="D536" s="1" t="s">
        <v>59</v>
      </c>
      <c r="E536" s="1" t="s">
        <v>42</v>
      </c>
      <c r="G536" s="1" t="s">
        <v>122</v>
      </c>
      <c r="H536" s="1" t="s">
        <v>1893</v>
      </c>
      <c r="I536" s="1" t="s">
        <v>3067</v>
      </c>
      <c r="J536" s="1">
        <v>2023</v>
      </c>
      <c r="K536" s="1" t="s">
        <v>3068</v>
      </c>
      <c r="L536" s="1" t="s">
        <v>3069</v>
      </c>
      <c r="P536" s="1" t="s">
        <v>3070</v>
      </c>
      <c r="Q536" s="1" t="s">
        <v>101</v>
      </c>
      <c r="R536" s="1" t="s">
        <v>102</v>
      </c>
      <c r="S536" s="1" t="s">
        <v>1917</v>
      </c>
      <c r="T536" s="1" t="s">
        <v>1918</v>
      </c>
      <c r="U536" s="1">
        <v>2</v>
      </c>
      <c r="V536" s="1" t="s">
        <v>101</v>
      </c>
      <c r="W536" s="1" t="s">
        <v>3071</v>
      </c>
      <c r="Y536" s="10">
        <v>45478</v>
      </c>
      <c r="Z536" s="1">
        <v>2024</v>
      </c>
      <c r="AA536" s="2">
        <v>426860.3</v>
      </c>
      <c r="AB536" s="2"/>
      <c r="AC536" s="2">
        <v>130000</v>
      </c>
      <c r="AD536" s="1">
        <v>2</v>
      </c>
      <c r="AG536" s="1" t="s">
        <v>56</v>
      </c>
      <c r="AI536" s="2">
        <v>130000</v>
      </c>
    </row>
    <row r="537" spans="1:38" ht="14.45" customHeight="1" x14ac:dyDescent="0.2">
      <c r="A537" s="1" t="s">
        <v>57</v>
      </c>
      <c r="B537" s="9" t="s">
        <v>38</v>
      </c>
      <c r="C537" s="1" t="s">
        <v>58</v>
      </c>
      <c r="D537" s="1" t="s">
        <v>146</v>
      </c>
      <c r="E537" s="1" t="s">
        <v>42</v>
      </c>
      <c r="G537" s="1" t="s">
        <v>155</v>
      </c>
      <c r="H537" s="1" t="s">
        <v>156</v>
      </c>
      <c r="I537" s="1" t="s">
        <v>3072</v>
      </c>
      <c r="J537" s="1">
        <v>2022</v>
      </c>
      <c r="K537" s="1" t="s">
        <v>3073</v>
      </c>
      <c r="L537" s="1" t="s">
        <v>3074</v>
      </c>
      <c r="P537" s="1" t="s">
        <v>2655</v>
      </c>
      <c r="Q537" s="1" t="s">
        <v>264</v>
      </c>
      <c r="R537" s="1" t="s">
        <v>265</v>
      </c>
      <c r="S537" s="1" t="s">
        <v>923</v>
      </c>
      <c r="T537" s="1" t="s">
        <v>924</v>
      </c>
      <c r="U537" s="1">
        <v>1</v>
      </c>
      <c r="V537" s="1" t="s">
        <v>268</v>
      </c>
      <c r="W537" s="1" t="s">
        <v>3075</v>
      </c>
      <c r="Y537" s="10">
        <v>45112</v>
      </c>
      <c r="Z537" s="1">
        <v>2023</v>
      </c>
      <c r="AA537" s="2">
        <v>1498631.85</v>
      </c>
      <c r="AB537" s="2"/>
      <c r="AC537" s="2">
        <v>1498631.85</v>
      </c>
      <c r="AG537" s="1" t="s">
        <v>56</v>
      </c>
      <c r="AI537" s="2">
        <v>1498631.85</v>
      </c>
    </row>
    <row r="538" spans="1:38" ht="14.45" customHeight="1" x14ac:dyDescent="0.2">
      <c r="A538" s="1" t="s">
        <v>57</v>
      </c>
      <c r="B538" s="9" t="s">
        <v>38</v>
      </c>
      <c r="C538" s="1" t="s">
        <v>58</v>
      </c>
      <c r="D538" s="1" t="s">
        <v>146</v>
      </c>
      <c r="E538" s="1" t="s">
        <v>42</v>
      </c>
      <c r="G538" s="1" t="s">
        <v>147</v>
      </c>
      <c r="H538" s="1" t="s">
        <v>148</v>
      </c>
      <c r="I538" s="1" t="s">
        <v>2884</v>
      </c>
      <c r="J538" s="1">
        <v>2020</v>
      </c>
      <c r="K538" s="1" t="s">
        <v>2885</v>
      </c>
      <c r="L538" s="1" t="s">
        <v>2886</v>
      </c>
      <c r="P538" s="1" t="s">
        <v>3076</v>
      </c>
      <c r="Q538" s="1" t="s">
        <v>50</v>
      </c>
      <c r="R538" s="1" t="s">
        <v>68</v>
      </c>
      <c r="S538" s="8" t="s">
        <v>3077</v>
      </c>
      <c r="T538" s="1" t="s">
        <v>3078</v>
      </c>
      <c r="U538" s="1">
        <v>1</v>
      </c>
      <c r="V538" s="1" t="s">
        <v>71</v>
      </c>
      <c r="W538" s="1" t="s">
        <v>2886</v>
      </c>
      <c r="X538" s="1" t="s">
        <v>153</v>
      </c>
      <c r="Y538" s="10">
        <v>44127</v>
      </c>
      <c r="Z538" s="1">
        <v>2020</v>
      </c>
      <c r="AA538" s="2">
        <v>76414.05</v>
      </c>
      <c r="AB538" s="2"/>
      <c r="AC538" s="2">
        <v>57310.537500000006</v>
      </c>
      <c r="AD538" s="1">
        <v>0</v>
      </c>
      <c r="AG538" s="1" t="s">
        <v>56</v>
      </c>
      <c r="AH538" s="1" t="s">
        <v>1458</v>
      </c>
      <c r="AI538" s="2">
        <v>57310.537500000006</v>
      </c>
      <c r="AL538" s="1" t="s">
        <v>1744</v>
      </c>
    </row>
    <row r="539" spans="1:38" ht="14.45" customHeight="1" x14ac:dyDescent="0.2">
      <c r="A539" s="1" t="s">
        <v>57</v>
      </c>
      <c r="B539" s="9" t="s">
        <v>38</v>
      </c>
      <c r="C539" s="1" t="s">
        <v>58</v>
      </c>
      <c r="D539" s="1" t="s">
        <v>146</v>
      </c>
      <c r="E539" s="1" t="s">
        <v>42</v>
      </c>
      <c r="G539" s="1" t="s">
        <v>155</v>
      </c>
      <c r="H539" s="1" t="s">
        <v>156</v>
      </c>
      <c r="I539" s="1" t="s">
        <v>3079</v>
      </c>
      <c r="J539" s="1">
        <v>2022</v>
      </c>
      <c r="K539" s="1" t="s">
        <v>3080</v>
      </c>
      <c r="L539" s="1" t="s">
        <v>3081</v>
      </c>
      <c r="M539" s="1" t="s">
        <v>3082</v>
      </c>
      <c r="P539" s="1" t="s">
        <v>3083</v>
      </c>
      <c r="Q539" s="1" t="s">
        <v>50</v>
      </c>
      <c r="R539" s="1" t="s">
        <v>68</v>
      </c>
      <c r="S539" s="1" t="s">
        <v>1440</v>
      </c>
      <c r="T539" s="1" t="s">
        <v>1441</v>
      </c>
      <c r="U539" s="1">
        <v>1</v>
      </c>
      <c r="V539" s="1" t="s">
        <v>71</v>
      </c>
      <c r="W539" s="1" t="s">
        <v>3084</v>
      </c>
      <c r="Y539" s="10">
        <v>45112</v>
      </c>
      <c r="Z539" s="1">
        <v>2023</v>
      </c>
      <c r="AA539" s="2">
        <v>3246023.59</v>
      </c>
      <c r="AB539" s="2"/>
      <c r="AC539" s="2">
        <v>3246023.59</v>
      </c>
      <c r="AG539" s="1" t="s">
        <v>56</v>
      </c>
      <c r="AI539" s="2">
        <v>3246023.59</v>
      </c>
    </row>
    <row r="540" spans="1:38" ht="14.45" customHeight="1" x14ac:dyDescent="0.25">
      <c r="A540" s="1" t="s">
        <v>57</v>
      </c>
      <c r="B540" s="20" t="s">
        <v>38</v>
      </c>
      <c r="C540" s="3" t="s">
        <v>58</v>
      </c>
      <c r="D540" s="1" t="s">
        <v>146</v>
      </c>
      <c r="E540" s="1" t="s">
        <v>42</v>
      </c>
      <c r="G540" s="1" t="s">
        <v>1673</v>
      </c>
      <c r="H540" s="1" t="s">
        <v>156</v>
      </c>
      <c r="I540" s="3" t="s">
        <v>3085</v>
      </c>
      <c r="J540" s="1">
        <v>2023</v>
      </c>
      <c r="K540" s="1" t="s">
        <v>3086</v>
      </c>
      <c r="L540" s="1" t="s">
        <v>3087</v>
      </c>
      <c r="M540" s="1" t="s">
        <v>3088</v>
      </c>
      <c r="N540" s="3" t="s">
        <v>3089</v>
      </c>
      <c r="P540" s="1" t="s">
        <v>3090</v>
      </c>
      <c r="Q540" s="1" t="s">
        <v>50</v>
      </c>
      <c r="R540" s="1" t="s">
        <v>68</v>
      </c>
      <c r="S540" s="3" t="s">
        <v>430</v>
      </c>
      <c r="T540" s="3" t="s">
        <v>431</v>
      </c>
      <c r="U540" s="24">
        <v>1</v>
      </c>
      <c r="V540" s="3" t="s">
        <v>71</v>
      </c>
      <c r="W540" s="3" t="s">
        <v>3091</v>
      </c>
      <c r="X540" s="3" t="s">
        <v>3035</v>
      </c>
      <c r="Y540" s="21">
        <v>45799</v>
      </c>
      <c r="Z540" s="3">
        <v>2025</v>
      </c>
      <c r="AA540" s="22">
        <v>808769.52</v>
      </c>
      <c r="AB540" s="22"/>
      <c r="AC540" s="22">
        <v>808769.52</v>
      </c>
      <c r="AD540" s="2"/>
      <c r="AG540" s="1" t="s">
        <v>56</v>
      </c>
      <c r="AI540" s="22">
        <v>808769.52</v>
      </c>
    </row>
    <row r="541" spans="1:38" ht="14.45" customHeight="1" x14ac:dyDescent="0.25">
      <c r="A541" s="1" t="s">
        <v>57</v>
      </c>
      <c r="B541" s="20" t="s">
        <v>38</v>
      </c>
      <c r="C541" s="3" t="s">
        <v>58</v>
      </c>
      <c r="D541" s="1" t="s">
        <v>146</v>
      </c>
      <c r="E541" s="1" t="s">
        <v>42</v>
      </c>
      <c r="G541" s="1" t="s">
        <v>1673</v>
      </c>
      <c r="H541" s="1" t="s">
        <v>156</v>
      </c>
      <c r="I541" s="3" t="s">
        <v>3092</v>
      </c>
      <c r="J541" s="1">
        <v>2023</v>
      </c>
      <c r="K541" s="1" t="s">
        <v>3093</v>
      </c>
      <c r="L541" s="1" t="s">
        <v>3094</v>
      </c>
      <c r="M541" s="1" t="s">
        <v>3045</v>
      </c>
      <c r="N541" s="3" t="s">
        <v>3095</v>
      </c>
      <c r="P541" s="1" t="s">
        <v>3047</v>
      </c>
      <c r="Q541" s="1" t="s">
        <v>50</v>
      </c>
      <c r="R541" s="1" t="s">
        <v>77</v>
      </c>
      <c r="S541" s="3" t="s">
        <v>1096</v>
      </c>
      <c r="T541" s="3" t="s">
        <v>1097</v>
      </c>
      <c r="U541" s="1">
        <v>1</v>
      </c>
      <c r="V541" s="3" t="s">
        <v>186</v>
      </c>
      <c r="W541" s="3" t="s">
        <v>3096</v>
      </c>
      <c r="X541" s="3" t="s">
        <v>3097</v>
      </c>
      <c r="Y541" s="21">
        <v>45799</v>
      </c>
      <c r="Z541" s="3">
        <v>2025</v>
      </c>
      <c r="AA541" s="22">
        <v>1249225.55</v>
      </c>
      <c r="AB541" s="22"/>
      <c r="AC541" s="22">
        <v>1249225.55</v>
      </c>
      <c r="AD541" s="2"/>
      <c r="AG541" s="1" t="s">
        <v>56</v>
      </c>
      <c r="AI541" s="22">
        <v>1249225.55</v>
      </c>
    </row>
    <row r="542" spans="1:38" ht="14.45" customHeight="1" x14ac:dyDescent="0.2">
      <c r="A542" s="1" t="s">
        <v>57</v>
      </c>
      <c r="B542" s="9" t="s">
        <v>38</v>
      </c>
      <c r="C542" s="1" t="s">
        <v>58</v>
      </c>
      <c r="D542" s="1" t="s">
        <v>59</v>
      </c>
      <c r="E542" s="1" t="s">
        <v>42</v>
      </c>
      <c r="G542" s="1" t="s">
        <v>122</v>
      </c>
      <c r="H542" s="1" t="s">
        <v>1893</v>
      </c>
      <c r="I542" s="1" t="s">
        <v>3098</v>
      </c>
      <c r="J542" s="1">
        <v>2023</v>
      </c>
      <c r="K542" s="1" t="s">
        <v>3099</v>
      </c>
      <c r="L542" s="1" t="s">
        <v>3100</v>
      </c>
      <c r="P542" s="1" t="s">
        <v>3101</v>
      </c>
      <c r="Q542" s="1" t="s">
        <v>50</v>
      </c>
      <c r="R542" s="1" t="s">
        <v>68</v>
      </c>
      <c r="S542" s="1" t="s">
        <v>69</v>
      </c>
      <c r="T542" s="1" t="s">
        <v>70</v>
      </c>
      <c r="U542" s="1">
        <v>1</v>
      </c>
      <c r="V542" s="1" t="s">
        <v>71</v>
      </c>
      <c r="W542" s="1" t="s">
        <v>3099</v>
      </c>
      <c r="Y542" s="10">
        <v>45478</v>
      </c>
      <c r="Z542" s="1">
        <v>2024</v>
      </c>
      <c r="AA542" s="2">
        <v>490000</v>
      </c>
      <c r="AB542" s="2"/>
      <c r="AC542" s="2">
        <v>130000</v>
      </c>
      <c r="AD542" s="1">
        <v>1</v>
      </c>
      <c r="AG542" s="1" t="s">
        <v>56</v>
      </c>
      <c r="AI542" s="2">
        <v>130000</v>
      </c>
    </row>
    <row r="543" spans="1:38" ht="14.45" customHeight="1" x14ac:dyDescent="0.2">
      <c r="A543" s="1" t="s">
        <v>57</v>
      </c>
      <c r="B543" s="9" t="s">
        <v>38</v>
      </c>
      <c r="C543" s="1" t="s">
        <v>58</v>
      </c>
      <c r="D543" s="1" t="s">
        <v>146</v>
      </c>
      <c r="E543" s="1" t="s">
        <v>42</v>
      </c>
      <c r="G543" s="1" t="s">
        <v>147</v>
      </c>
      <c r="H543" s="1" t="s">
        <v>148</v>
      </c>
      <c r="I543" s="1" t="s">
        <v>3102</v>
      </c>
      <c r="J543" s="1">
        <v>2020</v>
      </c>
      <c r="K543" s="1" t="s">
        <v>3103</v>
      </c>
      <c r="L543" s="1" t="s">
        <v>3104</v>
      </c>
      <c r="N543" s="1" t="s">
        <v>3105</v>
      </c>
      <c r="P543" s="1" t="s">
        <v>2050</v>
      </c>
      <c r="Q543" s="1" t="s">
        <v>101</v>
      </c>
      <c r="R543" s="1" t="s">
        <v>102</v>
      </c>
      <c r="S543" s="1" t="s">
        <v>1917</v>
      </c>
      <c r="T543" s="1" t="s">
        <v>1918</v>
      </c>
      <c r="U543" s="1">
        <v>1</v>
      </c>
      <c r="V543" s="1" t="s">
        <v>101</v>
      </c>
      <c r="W543" s="1" t="s">
        <v>3106</v>
      </c>
      <c r="X543" s="1" t="s">
        <v>153</v>
      </c>
      <c r="Y543" s="10">
        <v>44127</v>
      </c>
      <c r="Z543" s="1">
        <v>2020</v>
      </c>
      <c r="AA543" s="2">
        <v>1065000</v>
      </c>
      <c r="AB543" s="2"/>
      <c r="AC543" s="2">
        <v>798750</v>
      </c>
      <c r="AD543" s="1">
        <v>0</v>
      </c>
      <c r="AF543" s="1">
        <v>0</v>
      </c>
      <c r="AG543" s="1" t="s">
        <v>56</v>
      </c>
      <c r="AH543" s="1" t="s">
        <v>154</v>
      </c>
      <c r="AI543" s="2">
        <v>798750</v>
      </c>
      <c r="AK543" s="1" t="s">
        <v>600</v>
      </c>
      <c r="AL543" s="1" t="s">
        <v>1744</v>
      </c>
    </row>
    <row r="544" spans="1:38" ht="14.45" customHeight="1" x14ac:dyDescent="0.2">
      <c r="A544" s="1" t="s">
        <v>57</v>
      </c>
      <c r="B544" s="9" t="s">
        <v>38</v>
      </c>
      <c r="C544" s="1" t="s">
        <v>58</v>
      </c>
      <c r="D544" s="1" t="s">
        <v>146</v>
      </c>
      <c r="E544" s="1" t="s">
        <v>42</v>
      </c>
      <c r="G544" s="1" t="s">
        <v>155</v>
      </c>
      <c r="H544" s="1" t="s">
        <v>156</v>
      </c>
      <c r="I544" s="1" t="s">
        <v>3107</v>
      </c>
      <c r="J544" s="1">
        <v>2022</v>
      </c>
      <c r="K544" s="1" t="s">
        <v>3108</v>
      </c>
      <c r="L544" s="1" t="s">
        <v>3109</v>
      </c>
      <c r="P544" s="1" t="s">
        <v>3110</v>
      </c>
      <c r="Q544" s="1" t="s">
        <v>101</v>
      </c>
      <c r="R544" s="1" t="s">
        <v>102</v>
      </c>
      <c r="S544" s="1" t="s">
        <v>1950</v>
      </c>
      <c r="T544" s="1" t="s">
        <v>1951</v>
      </c>
      <c r="V544" s="1" t="s">
        <v>101</v>
      </c>
      <c r="W544" s="1" t="s">
        <v>3111</v>
      </c>
      <c r="Y544" s="10">
        <v>45112</v>
      </c>
      <c r="Z544" s="1">
        <v>2023</v>
      </c>
      <c r="AA544" s="2">
        <v>250000</v>
      </c>
      <c r="AB544" s="2"/>
      <c r="AC544" s="2">
        <v>250000</v>
      </c>
      <c r="AG544" s="1" t="s">
        <v>56</v>
      </c>
      <c r="AI544" s="2">
        <v>250000</v>
      </c>
    </row>
    <row r="545" spans="1:38" ht="12.6" customHeight="1" x14ac:dyDescent="0.2">
      <c r="A545" s="1" t="s">
        <v>57</v>
      </c>
      <c r="B545" s="9" t="s">
        <v>38</v>
      </c>
      <c r="C545" s="1" t="s">
        <v>58</v>
      </c>
      <c r="D545" s="1" t="s">
        <v>146</v>
      </c>
      <c r="E545" s="1" t="s">
        <v>42</v>
      </c>
      <c r="G545" s="1" t="s">
        <v>147</v>
      </c>
      <c r="H545" s="1" t="s">
        <v>148</v>
      </c>
      <c r="I545" s="1" t="s">
        <v>3112</v>
      </c>
      <c r="J545" s="1">
        <v>2020</v>
      </c>
      <c r="K545" s="1" t="s">
        <v>3113</v>
      </c>
      <c r="L545" s="1" t="s">
        <v>3114</v>
      </c>
      <c r="N545" s="1" t="s">
        <v>3115</v>
      </c>
      <c r="P545" s="1" t="s">
        <v>3116</v>
      </c>
      <c r="Q545" s="1" t="s">
        <v>101</v>
      </c>
      <c r="R545" s="1" t="s">
        <v>102</v>
      </c>
      <c r="S545" s="1" t="s">
        <v>3025</v>
      </c>
      <c r="T545" s="1" t="s">
        <v>3026</v>
      </c>
      <c r="U545" s="1">
        <v>1</v>
      </c>
      <c r="V545" s="1" t="s">
        <v>101</v>
      </c>
      <c r="W545" s="1" t="s">
        <v>3117</v>
      </c>
      <c r="X545" s="1" t="s">
        <v>153</v>
      </c>
      <c r="Y545" s="10">
        <v>44127</v>
      </c>
      <c r="Z545" s="1">
        <v>2020</v>
      </c>
      <c r="AA545" s="2">
        <v>235000</v>
      </c>
      <c r="AB545" s="2"/>
      <c r="AC545" s="2">
        <v>176250</v>
      </c>
      <c r="AD545" s="1">
        <v>0</v>
      </c>
      <c r="AF545" s="1">
        <v>0</v>
      </c>
      <c r="AG545" s="1" t="s">
        <v>56</v>
      </c>
      <c r="AH545" s="1" t="s">
        <v>154</v>
      </c>
      <c r="AI545" s="2">
        <v>176023.4</v>
      </c>
      <c r="AK545" s="1" t="s">
        <v>418</v>
      </c>
    </row>
    <row r="546" spans="1:38" ht="14.45" customHeight="1" x14ac:dyDescent="0.25">
      <c r="A546" s="1" t="s">
        <v>57</v>
      </c>
      <c r="B546" s="9" t="s">
        <v>38</v>
      </c>
      <c r="C546" s="1" t="s">
        <v>58</v>
      </c>
      <c r="D546" s="1" t="s">
        <v>146</v>
      </c>
      <c r="E546" s="1" t="s">
        <v>42</v>
      </c>
      <c r="G546" s="1" t="s">
        <v>155</v>
      </c>
      <c r="H546" s="1" t="s">
        <v>156</v>
      </c>
      <c r="I546" s="1" t="s">
        <v>3118</v>
      </c>
      <c r="J546" s="1">
        <v>2022</v>
      </c>
      <c r="K546" s="1" t="s">
        <v>1605</v>
      </c>
      <c r="L546" s="1" t="s">
        <v>3119</v>
      </c>
      <c r="M546" s="1" t="s">
        <v>3120</v>
      </c>
      <c r="P546" s="1" t="s">
        <v>3121</v>
      </c>
      <c r="Q546" s="1" t="s">
        <v>50</v>
      </c>
      <c r="R546" s="1" t="s">
        <v>68</v>
      </c>
      <c r="S546" s="16" t="s">
        <v>2758</v>
      </c>
      <c r="T546" s="1" t="s">
        <v>2759</v>
      </c>
      <c r="U546" s="1">
        <v>1</v>
      </c>
      <c r="V546" s="1" t="s">
        <v>71</v>
      </c>
      <c r="W546" s="1" t="s">
        <v>3122</v>
      </c>
      <c r="Y546" s="10">
        <v>45112</v>
      </c>
      <c r="Z546" s="1">
        <v>2023</v>
      </c>
      <c r="AA546" s="2">
        <v>621708.07999999996</v>
      </c>
      <c r="AB546" s="2"/>
      <c r="AC546" s="2">
        <v>621708.07999999996</v>
      </c>
      <c r="AG546" s="1" t="s">
        <v>56</v>
      </c>
      <c r="AI546" s="2">
        <v>621708.07999999996</v>
      </c>
    </row>
    <row r="547" spans="1:38" ht="14.45" customHeight="1" x14ac:dyDescent="0.2">
      <c r="A547" s="1" t="s">
        <v>57</v>
      </c>
      <c r="B547" s="9" t="s">
        <v>38</v>
      </c>
      <c r="C547" s="1" t="s">
        <v>58</v>
      </c>
      <c r="D547" s="1" t="s">
        <v>146</v>
      </c>
      <c r="E547" s="1" t="s">
        <v>42</v>
      </c>
      <c r="G547" s="1" t="s">
        <v>155</v>
      </c>
      <c r="H547" s="1" t="s">
        <v>156</v>
      </c>
      <c r="I547" s="1" t="s">
        <v>3123</v>
      </c>
      <c r="J547" s="1">
        <v>2022</v>
      </c>
      <c r="K547" s="1" t="s">
        <v>3124</v>
      </c>
      <c r="L547" s="1" t="s">
        <v>3125</v>
      </c>
      <c r="P547" s="1" t="s">
        <v>1715</v>
      </c>
      <c r="Q547" s="1" t="s">
        <v>264</v>
      </c>
      <c r="R547" s="1" t="s">
        <v>265</v>
      </c>
      <c r="S547" s="1" t="s">
        <v>542</v>
      </c>
      <c r="T547" s="1" t="s">
        <v>543</v>
      </c>
      <c r="U547" s="1">
        <v>1</v>
      </c>
      <c r="V547" s="1" t="s">
        <v>268</v>
      </c>
      <c r="W547" s="1" t="s">
        <v>3126</v>
      </c>
      <c r="Y547" s="10">
        <v>45112</v>
      </c>
      <c r="Z547" s="1">
        <v>2023</v>
      </c>
      <c r="AA547" s="2">
        <v>440109.33</v>
      </c>
      <c r="AB547" s="2"/>
      <c r="AC547" s="2">
        <v>440109.33</v>
      </c>
      <c r="AG547" s="1" t="s">
        <v>56</v>
      </c>
      <c r="AI547" s="2">
        <v>440109.33</v>
      </c>
    </row>
    <row r="548" spans="1:38" ht="14.45" customHeight="1" x14ac:dyDescent="0.25">
      <c r="A548" s="1" t="s">
        <v>57</v>
      </c>
      <c r="B548" s="9" t="s">
        <v>39</v>
      </c>
      <c r="C548" s="1" t="s">
        <v>58</v>
      </c>
      <c r="D548" s="1" t="s">
        <v>146</v>
      </c>
      <c r="E548" s="1" t="s">
        <v>42</v>
      </c>
      <c r="G548" s="1" t="s">
        <v>155</v>
      </c>
      <c r="H548" s="1" t="s">
        <v>156</v>
      </c>
      <c r="I548" s="1" t="s">
        <v>3127</v>
      </c>
      <c r="J548" s="1">
        <v>2022</v>
      </c>
      <c r="K548" s="14" t="s">
        <v>3128</v>
      </c>
      <c r="P548" s="1" t="s">
        <v>2637</v>
      </c>
      <c r="Q548" s="1" t="s">
        <v>50</v>
      </c>
      <c r="R548" s="1" t="s">
        <v>77</v>
      </c>
      <c r="S548" s="16" t="s">
        <v>2638</v>
      </c>
      <c r="T548" s="1" t="s">
        <v>2639</v>
      </c>
      <c r="U548" s="1">
        <v>1</v>
      </c>
      <c r="V548" s="1" t="s">
        <v>186</v>
      </c>
      <c r="W548" s="1" t="s">
        <v>3129</v>
      </c>
      <c r="Y548" s="10">
        <v>45174</v>
      </c>
      <c r="Z548" s="1">
        <v>2023</v>
      </c>
      <c r="AA548" s="2">
        <v>2630232</v>
      </c>
      <c r="AB548" s="2"/>
      <c r="AC548" s="2">
        <v>1296718.3500000001</v>
      </c>
      <c r="AG548" s="1" t="s">
        <v>432</v>
      </c>
      <c r="AH548" s="1" t="s">
        <v>492</v>
      </c>
      <c r="AI548" s="2">
        <v>0</v>
      </c>
    </row>
    <row r="549" spans="1:38" ht="14.45" customHeight="1" x14ac:dyDescent="0.2">
      <c r="A549" s="1" t="s">
        <v>57</v>
      </c>
      <c r="B549" s="9" t="s">
        <v>38</v>
      </c>
      <c r="C549" s="1" t="s">
        <v>58</v>
      </c>
      <c r="D549" s="1" t="s">
        <v>146</v>
      </c>
      <c r="E549" s="1" t="s">
        <v>42</v>
      </c>
      <c r="G549" s="1" t="s">
        <v>147</v>
      </c>
      <c r="H549" s="1" t="s">
        <v>148</v>
      </c>
      <c r="I549" s="1" t="s">
        <v>3130</v>
      </c>
      <c r="J549" s="1">
        <v>2020</v>
      </c>
      <c r="K549" s="1" t="s">
        <v>3131</v>
      </c>
      <c r="L549" s="1" t="s">
        <v>3132</v>
      </c>
      <c r="N549" s="1" t="s">
        <v>3133</v>
      </c>
      <c r="P549" s="1" t="s">
        <v>2050</v>
      </c>
      <c r="Q549" s="1" t="s">
        <v>101</v>
      </c>
      <c r="R549" s="1" t="s">
        <v>102</v>
      </c>
      <c r="S549" s="1" t="s">
        <v>1917</v>
      </c>
      <c r="T549" s="1" t="s">
        <v>1918</v>
      </c>
      <c r="U549" s="1">
        <v>1</v>
      </c>
      <c r="V549" s="1" t="s">
        <v>101</v>
      </c>
      <c r="W549" s="1" t="s">
        <v>3134</v>
      </c>
      <c r="X549" s="1" t="s">
        <v>153</v>
      </c>
      <c r="Y549" s="10">
        <v>44127</v>
      </c>
      <c r="Z549" s="1">
        <v>2020</v>
      </c>
      <c r="AA549" s="2">
        <v>99888</v>
      </c>
      <c r="AB549" s="2"/>
      <c r="AC549" s="2">
        <v>74916</v>
      </c>
      <c r="AD549" s="1">
        <v>0</v>
      </c>
      <c r="AF549" s="1">
        <v>3</v>
      </c>
      <c r="AG549" s="1" t="s">
        <v>56</v>
      </c>
      <c r="AH549" s="1" t="s">
        <v>154</v>
      </c>
      <c r="AI549" s="2">
        <v>50411.59</v>
      </c>
      <c r="AK549" s="1" t="s">
        <v>418</v>
      </c>
      <c r="AL549" s="1" t="s">
        <v>503</v>
      </c>
    </row>
    <row r="550" spans="1:38" ht="14.45" customHeight="1" x14ac:dyDescent="0.2">
      <c r="A550" s="1" t="s">
        <v>57</v>
      </c>
      <c r="B550" s="9" t="s">
        <v>38</v>
      </c>
      <c r="C550" s="1" t="s">
        <v>58</v>
      </c>
      <c r="D550" s="1" t="s">
        <v>146</v>
      </c>
      <c r="E550" s="1" t="s">
        <v>42</v>
      </c>
      <c r="G550" s="1" t="s">
        <v>147</v>
      </c>
      <c r="H550" s="1" t="s">
        <v>148</v>
      </c>
      <c r="I550" s="1" t="s">
        <v>3135</v>
      </c>
      <c r="J550" s="1">
        <v>2020</v>
      </c>
      <c r="K550" s="1" t="s">
        <v>3136</v>
      </c>
      <c r="L550" s="1" t="s">
        <v>3137</v>
      </c>
      <c r="N550" s="1" t="s">
        <v>3138</v>
      </c>
      <c r="P550" s="1" t="s">
        <v>2050</v>
      </c>
      <c r="Q550" s="1" t="s">
        <v>101</v>
      </c>
      <c r="R550" s="1" t="s">
        <v>102</v>
      </c>
      <c r="S550" s="1" t="s">
        <v>1917</v>
      </c>
      <c r="T550" s="1" t="s">
        <v>1918</v>
      </c>
      <c r="U550" s="1">
        <v>1</v>
      </c>
      <c r="V550" s="1" t="s">
        <v>101</v>
      </c>
      <c r="W550" s="1" t="s">
        <v>3139</v>
      </c>
      <c r="X550" s="1" t="s">
        <v>153</v>
      </c>
      <c r="Y550" s="10">
        <v>44127</v>
      </c>
      <c r="Z550" s="1">
        <v>2020</v>
      </c>
      <c r="AA550" s="2">
        <v>86673</v>
      </c>
      <c r="AB550" s="2"/>
      <c r="AC550" s="2">
        <v>65004.75</v>
      </c>
      <c r="AD550" s="1">
        <v>0</v>
      </c>
      <c r="AF550" s="1">
        <v>3</v>
      </c>
      <c r="AG550" s="1" t="s">
        <v>56</v>
      </c>
      <c r="AH550" s="1" t="s">
        <v>154</v>
      </c>
      <c r="AI550" s="2">
        <v>43457.45</v>
      </c>
      <c r="AK550" s="1" t="s">
        <v>418</v>
      </c>
      <c r="AL550" s="1" t="s">
        <v>503</v>
      </c>
    </row>
    <row r="551" spans="1:38" ht="14.45" customHeight="1" x14ac:dyDescent="0.2">
      <c r="A551" s="1" t="s">
        <v>57</v>
      </c>
      <c r="B551" s="9" t="s">
        <v>38</v>
      </c>
      <c r="C551" s="1" t="s">
        <v>58</v>
      </c>
      <c r="D551" s="1" t="s">
        <v>146</v>
      </c>
      <c r="E551" s="1" t="s">
        <v>42</v>
      </c>
      <c r="G551" s="1" t="s">
        <v>147</v>
      </c>
      <c r="H551" s="1" t="s">
        <v>148</v>
      </c>
      <c r="I551" s="1" t="s">
        <v>3140</v>
      </c>
      <c r="J551" s="1">
        <v>2020</v>
      </c>
      <c r="K551" s="1" t="s">
        <v>3141</v>
      </c>
      <c r="L551" s="1" t="s">
        <v>3142</v>
      </c>
      <c r="N551" s="1" t="s">
        <v>3143</v>
      </c>
      <c r="P551" s="1" t="s">
        <v>254</v>
      </c>
      <c r="Q551" s="1" t="s">
        <v>101</v>
      </c>
      <c r="R551" s="1" t="s">
        <v>102</v>
      </c>
      <c r="S551" s="1" t="s">
        <v>255</v>
      </c>
      <c r="T551" s="1" t="s">
        <v>256</v>
      </c>
      <c r="U551" s="1">
        <v>1</v>
      </c>
      <c r="V551" s="1" t="s">
        <v>101</v>
      </c>
      <c r="W551" s="1" t="s">
        <v>3144</v>
      </c>
      <c r="X551" s="1" t="s">
        <v>153</v>
      </c>
      <c r="Y551" s="10">
        <v>44127</v>
      </c>
      <c r="Z551" s="1">
        <v>2020</v>
      </c>
      <c r="AA551" s="2">
        <v>485759</v>
      </c>
      <c r="AB551" s="2"/>
      <c r="AC551" s="2">
        <v>364319.25</v>
      </c>
      <c r="AD551" s="1">
        <v>0</v>
      </c>
      <c r="AF551" s="1">
        <v>3</v>
      </c>
      <c r="AG551" s="1" t="s">
        <v>56</v>
      </c>
      <c r="AH551" s="1" t="s">
        <v>154</v>
      </c>
      <c r="AI551" s="2">
        <f>VLOOKUP(Tabla354[[#This Row],[Ref. Proyecto]],[4]revITJ!$B$2:$BG$67,2,FALSE)</f>
        <v>338851.78</v>
      </c>
      <c r="AK551" s="1" t="s">
        <v>600</v>
      </c>
      <c r="AL551" s="1" t="s">
        <v>2100</v>
      </c>
    </row>
    <row r="552" spans="1:38" ht="14.45" customHeight="1" x14ac:dyDescent="0.2">
      <c r="A552" s="1" t="s">
        <v>57</v>
      </c>
      <c r="B552" s="9" t="s">
        <v>38</v>
      </c>
      <c r="C552" s="1" t="s">
        <v>58</v>
      </c>
      <c r="D552" s="1" t="s">
        <v>146</v>
      </c>
      <c r="E552" s="1" t="s">
        <v>42</v>
      </c>
      <c r="G552" s="1" t="s">
        <v>155</v>
      </c>
      <c r="H552" s="1" t="s">
        <v>156</v>
      </c>
      <c r="I552" s="1" t="s">
        <v>3145</v>
      </c>
      <c r="J552" s="1">
        <v>2022</v>
      </c>
      <c r="K552" s="1" t="s">
        <v>3146</v>
      </c>
      <c r="L552" s="1" t="s">
        <v>3147</v>
      </c>
      <c r="P552" s="1" t="s">
        <v>3148</v>
      </c>
      <c r="Q552" s="1" t="s">
        <v>101</v>
      </c>
      <c r="R552" s="1" t="s">
        <v>102</v>
      </c>
      <c r="S552" s="1" t="s">
        <v>3149</v>
      </c>
      <c r="T552" s="1" t="s">
        <v>3150</v>
      </c>
      <c r="U552" s="1">
        <v>1</v>
      </c>
      <c r="V552" s="1" t="s">
        <v>101</v>
      </c>
      <c r="W552" s="1" t="s">
        <v>3151</v>
      </c>
      <c r="Y552" s="10">
        <v>45112</v>
      </c>
      <c r="Z552" s="1">
        <v>2023</v>
      </c>
      <c r="AA552" s="2">
        <v>531300</v>
      </c>
      <c r="AB552" s="2"/>
      <c r="AC552" s="2">
        <v>531300</v>
      </c>
      <c r="AG552" s="1" t="s">
        <v>56</v>
      </c>
      <c r="AI552" s="2">
        <v>531300</v>
      </c>
    </row>
    <row r="553" spans="1:38" ht="14.45" customHeight="1" x14ac:dyDescent="0.2">
      <c r="A553" s="1" t="s">
        <v>57</v>
      </c>
      <c r="B553" s="9" t="s">
        <v>38</v>
      </c>
      <c r="C553" s="1" t="s">
        <v>58</v>
      </c>
      <c r="D553" s="1" t="s">
        <v>146</v>
      </c>
      <c r="E553" s="1" t="s">
        <v>42</v>
      </c>
      <c r="G553" s="1" t="s">
        <v>147</v>
      </c>
      <c r="H553" s="1" t="s">
        <v>148</v>
      </c>
      <c r="I553" s="1" t="s">
        <v>3152</v>
      </c>
      <c r="J553" s="1">
        <v>2020</v>
      </c>
      <c r="K553" s="1" t="s">
        <v>3153</v>
      </c>
      <c r="L553" s="1" t="s">
        <v>3154</v>
      </c>
      <c r="N553" s="1" t="s">
        <v>3155</v>
      </c>
      <c r="P553" s="1" t="s">
        <v>3156</v>
      </c>
      <c r="Q553" s="1" t="s">
        <v>101</v>
      </c>
      <c r="R553" s="1" t="s">
        <v>102</v>
      </c>
      <c r="S553" s="1" t="s">
        <v>3149</v>
      </c>
      <c r="T553" s="1" t="s">
        <v>3150</v>
      </c>
      <c r="U553" s="1">
        <v>1</v>
      </c>
      <c r="V553" s="1" t="s">
        <v>101</v>
      </c>
      <c r="W553" s="1" t="s">
        <v>3157</v>
      </c>
      <c r="X553" s="1" t="s">
        <v>153</v>
      </c>
      <c r="Y553" s="10">
        <v>44127</v>
      </c>
      <c r="Z553" s="1">
        <v>2020</v>
      </c>
      <c r="AA553" s="2">
        <v>130380</v>
      </c>
      <c r="AB553" s="2"/>
      <c r="AC553" s="2">
        <v>97785</v>
      </c>
      <c r="AD553" s="1">
        <v>0</v>
      </c>
      <c r="AF553" s="1">
        <v>5</v>
      </c>
      <c r="AG553" s="1" t="s">
        <v>56</v>
      </c>
      <c r="AH553" s="1" t="s">
        <v>154</v>
      </c>
      <c r="AI553" s="2">
        <v>97785</v>
      </c>
      <c r="AK553" s="1" t="s">
        <v>600</v>
      </c>
    </row>
    <row r="554" spans="1:38" ht="14.45" customHeight="1" x14ac:dyDescent="0.2">
      <c r="A554" s="1" t="s">
        <v>57</v>
      </c>
      <c r="B554" s="9" t="s">
        <v>38</v>
      </c>
      <c r="C554" s="1" t="s">
        <v>58</v>
      </c>
      <c r="D554" s="1" t="s">
        <v>59</v>
      </c>
      <c r="E554" s="1" t="s">
        <v>42</v>
      </c>
      <c r="G554" s="1" t="s">
        <v>122</v>
      </c>
      <c r="H554" s="1" t="s">
        <v>61</v>
      </c>
      <c r="I554" s="1" t="s">
        <v>3158</v>
      </c>
      <c r="J554" s="1">
        <v>2023</v>
      </c>
      <c r="K554" s="1" t="s">
        <v>3159</v>
      </c>
      <c r="L554" s="1" t="s">
        <v>3160</v>
      </c>
      <c r="M554" s="1" t="s">
        <v>3161</v>
      </c>
      <c r="P554" s="1" t="s">
        <v>1971</v>
      </c>
      <c r="Q554" s="1" t="s">
        <v>50</v>
      </c>
      <c r="R554" s="1" t="s">
        <v>77</v>
      </c>
      <c r="S554" s="1" t="s">
        <v>198</v>
      </c>
      <c r="T554" s="1" t="s">
        <v>199</v>
      </c>
      <c r="U554" s="1">
        <v>1</v>
      </c>
      <c r="V554" s="1" t="s">
        <v>186</v>
      </c>
      <c r="W554" s="1" t="s">
        <v>3159</v>
      </c>
      <c r="Y554" s="10">
        <v>45478</v>
      </c>
      <c r="Z554" s="1">
        <v>2024</v>
      </c>
      <c r="AA554" s="2">
        <v>107852</v>
      </c>
      <c r="AB554" s="2"/>
      <c r="AC554" s="2">
        <v>21570.400000000001</v>
      </c>
      <c r="AD554" s="1">
        <v>0</v>
      </c>
      <c r="AG554" s="1" t="s">
        <v>56</v>
      </c>
      <c r="AI554" s="2">
        <v>21570.400000000001</v>
      </c>
    </row>
    <row r="555" spans="1:38" ht="14.45" customHeight="1" x14ac:dyDescent="0.2">
      <c r="A555" s="1" t="s">
        <v>57</v>
      </c>
      <c r="B555" s="9" t="s">
        <v>38</v>
      </c>
      <c r="C555" s="1" t="s">
        <v>58</v>
      </c>
      <c r="D555" s="1" t="s">
        <v>146</v>
      </c>
      <c r="E555" s="1" t="s">
        <v>42</v>
      </c>
      <c r="G555" s="1" t="s">
        <v>155</v>
      </c>
      <c r="H555" s="1" t="s">
        <v>156</v>
      </c>
      <c r="I555" s="1" t="s">
        <v>3162</v>
      </c>
      <c r="J555" s="1">
        <v>2022</v>
      </c>
      <c r="K555" s="1" t="s">
        <v>3163</v>
      </c>
      <c r="L555" s="1" t="s">
        <v>3164</v>
      </c>
      <c r="M555" s="1" t="s">
        <v>3165</v>
      </c>
      <c r="P555" s="1" t="s">
        <v>3166</v>
      </c>
      <c r="Q555" s="1" t="s">
        <v>50</v>
      </c>
      <c r="R555" s="1" t="s">
        <v>68</v>
      </c>
      <c r="S555" s="1" t="s">
        <v>2888</v>
      </c>
      <c r="T555" s="1" t="s">
        <v>2889</v>
      </c>
      <c r="U555" s="1">
        <v>1</v>
      </c>
      <c r="V555" s="1" t="s">
        <v>71</v>
      </c>
      <c r="W555" s="1" t="s">
        <v>3167</v>
      </c>
      <c r="Y555" s="10">
        <v>45112</v>
      </c>
      <c r="Z555" s="1">
        <v>2023</v>
      </c>
      <c r="AA555" s="2">
        <v>100000</v>
      </c>
      <c r="AB555" s="2"/>
      <c r="AC555" s="2">
        <v>100000</v>
      </c>
      <c r="AG555" s="1" t="s">
        <v>56</v>
      </c>
      <c r="AI555" s="2">
        <v>100000</v>
      </c>
    </row>
    <row r="556" spans="1:38" ht="14.45" customHeight="1" x14ac:dyDescent="0.2">
      <c r="A556" s="1" t="s">
        <v>57</v>
      </c>
      <c r="B556" s="9" t="s">
        <v>38</v>
      </c>
      <c r="C556" s="1" t="s">
        <v>58</v>
      </c>
      <c r="D556" s="1" t="s">
        <v>146</v>
      </c>
      <c r="E556" s="1" t="s">
        <v>42</v>
      </c>
      <c r="G556" s="1" t="s">
        <v>147</v>
      </c>
      <c r="H556" s="1" t="s">
        <v>148</v>
      </c>
      <c r="I556" s="1" t="s">
        <v>3168</v>
      </c>
      <c r="J556" s="1">
        <v>2020</v>
      </c>
      <c r="K556" s="1" t="s">
        <v>3169</v>
      </c>
      <c r="L556" s="1" t="s">
        <v>3170</v>
      </c>
      <c r="N556" s="1" t="s">
        <v>3171</v>
      </c>
      <c r="P556" s="1" t="s">
        <v>2050</v>
      </c>
      <c r="Q556" s="1" t="s">
        <v>101</v>
      </c>
      <c r="R556" s="1" t="s">
        <v>102</v>
      </c>
      <c r="S556" s="1" t="s">
        <v>1917</v>
      </c>
      <c r="T556" s="1" t="s">
        <v>1918</v>
      </c>
      <c r="U556" s="1">
        <v>1</v>
      </c>
      <c r="V556" s="1" t="s">
        <v>101</v>
      </c>
      <c r="W556" s="1" t="s">
        <v>3172</v>
      </c>
      <c r="X556" s="1" t="s">
        <v>138</v>
      </c>
      <c r="Y556" s="10">
        <v>44127</v>
      </c>
      <c r="Z556" s="1">
        <v>2020</v>
      </c>
      <c r="AA556" s="2">
        <v>120000</v>
      </c>
      <c r="AB556" s="2"/>
      <c r="AC556" s="2">
        <v>90000</v>
      </c>
      <c r="AD556" s="1">
        <v>0</v>
      </c>
      <c r="AF556" s="1">
        <v>12</v>
      </c>
      <c r="AG556" s="1" t="s">
        <v>56</v>
      </c>
      <c r="AH556" s="1" t="s">
        <v>154</v>
      </c>
      <c r="AI556" s="2">
        <v>89999.99</v>
      </c>
      <c r="AK556" s="1" t="s">
        <v>600</v>
      </c>
    </row>
    <row r="557" spans="1:38" ht="14.45" customHeight="1" x14ac:dyDescent="0.2">
      <c r="A557" s="1" t="s">
        <v>57</v>
      </c>
      <c r="B557" s="9" t="s">
        <v>38</v>
      </c>
      <c r="C557" s="1" t="s">
        <v>58</v>
      </c>
      <c r="D557" s="1" t="s">
        <v>146</v>
      </c>
      <c r="E557" s="1" t="s">
        <v>42</v>
      </c>
      <c r="G557" s="1" t="s">
        <v>155</v>
      </c>
      <c r="H557" s="1" t="s">
        <v>156</v>
      </c>
      <c r="I557" s="1" t="s">
        <v>3173</v>
      </c>
      <c r="J557" s="1">
        <v>2022</v>
      </c>
      <c r="K557" s="1" t="s">
        <v>3174</v>
      </c>
      <c r="L557" s="1" t="s">
        <v>3175</v>
      </c>
      <c r="P557" s="1" t="s">
        <v>3176</v>
      </c>
      <c r="Q557" s="1" t="s">
        <v>110</v>
      </c>
      <c r="R557" s="1" t="s">
        <v>111</v>
      </c>
      <c r="S557" s="1" t="s">
        <v>3177</v>
      </c>
      <c r="T557" s="1" t="s">
        <v>3178</v>
      </c>
      <c r="V557" s="1" t="s">
        <v>114</v>
      </c>
      <c r="W557" s="1" t="s">
        <v>3179</v>
      </c>
      <c r="Y557" s="10">
        <v>45112</v>
      </c>
      <c r="Z557" s="1">
        <v>2023</v>
      </c>
      <c r="AA557" s="2">
        <v>225928.27</v>
      </c>
      <c r="AB557" s="2"/>
      <c r="AC557" s="2">
        <v>225928.27</v>
      </c>
      <c r="AG557" s="1" t="s">
        <v>56</v>
      </c>
      <c r="AI557" s="2">
        <v>225928.27</v>
      </c>
    </row>
    <row r="558" spans="1:38" ht="12.6" customHeight="1" x14ac:dyDescent="0.2">
      <c r="A558" s="1" t="s">
        <v>57</v>
      </c>
      <c r="B558" s="9" t="s">
        <v>38</v>
      </c>
      <c r="C558" s="1" t="s">
        <v>58</v>
      </c>
      <c r="D558" s="1" t="s">
        <v>146</v>
      </c>
      <c r="E558" s="1" t="s">
        <v>42</v>
      </c>
      <c r="G558" s="1" t="s">
        <v>147</v>
      </c>
      <c r="H558" s="1" t="s">
        <v>148</v>
      </c>
      <c r="I558" s="1" t="s">
        <v>3180</v>
      </c>
      <c r="J558" s="1">
        <v>2020</v>
      </c>
      <c r="K558" s="1" t="s">
        <v>3181</v>
      </c>
      <c r="L558" s="1" t="s">
        <v>3182</v>
      </c>
      <c r="M558" s="1" t="s">
        <v>3183</v>
      </c>
      <c r="N558" s="1" t="s">
        <v>3184</v>
      </c>
      <c r="P558" s="1" t="s">
        <v>1782</v>
      </c>
      <c r="Q558" s="1" t="s">
        <v>264</v>
      </c>
      <c r="R558" s="1" t="s">
        <v>265</v>
      </c>
      <c r="S558" s="1" t="s">
        <v>1783</v>
      </c>
      <c r="T558" s="1" t="s">
        <v>1784</v>
      </c>
      <c r="U558" s="1">
        <v>1</v>
      </c>
      <c r="V558" s="1" t="s">
        <v>535</v>
      </c>
      <c r="W558" s="1" t="s">
        <v>3185</v>
      </c>
      <c r="X558" s="1" t="s">
        <v>153</v>
      </c>
      <c r="Y558" s="10">
        <v>44127</v>
      </c>
      <c r="Z558" s="1">
        <v>2020</v>
      </c>
      <c r="AA558" s="2">
        <v>3420000</v>
      </c>
      <c r="AB558" s="2"/>
      <c r="AC558" s="2">
        <v>2565000</v>
      </c>
      <c r="AD558" s="1">
        <v>0</v>
      </c>
      <c r="AF558" s="1">
        <v>0</v>
      </c>
      <c r="AG558" s="1" t="s">
        <v>56</v>
      </c>
      <c r="AH558" s="1" t="s">
        <v>154</v>
      </c>
      <c r="AI558" s="2">
        <v>1985352.03</v>
      </c>
    </row>
    <row r="559" spans="1:38" ht="14.45" customHeight="1" x14ac:dyDescent="0.2">
      <c r="A559" s="1" t="s">
        <v>57</v>
      </c>
      <c r="B559" s="9" t="s">
        <v>38</v>
      </c>
      <c r="C559" s="1" t="s">
        <v>58</v>
      </c>
      <c r="D559" s="1" t="s">
        <v>146</v>
      </c>
      <c r="E559" s="1" t="s">
        <v>42</v>
      </c>
      <c r="G559" s="1" t="s">
        <v>155</v>
      </c>
      <c r="H559" s="1" t="s">
        <v>156</v>
      </c>
      <c r="I559" s="1" t="s">
        <v>3186</v>
      </c>
      <c r="J559" s="1">
        <v>2022</v>
      </c>
      <c r="K559" s="1" t="s">
        <v>3187</v>
      </c>
      <c r="L559" s="1" t="s">
        <v>3188</v>
      </c>
      <c r="P559" s="1" t="s">
        <v>3189</v>
      </c>
      <c r="Q559" s="1" t="s">
        <v>264</v>
      </c>
      <c r="R559" s="1" t="s">
        <v>265</v>
      </c>
      <c r="S559" s="1" t="s">
        <v>935</v>
      </c>
      <c r="T559" s="1" t="s">
        <v>936</v>
      </c>
      <c r="U559" s="1">
        <v>1</v>
      </c>
      <c r="V559" s="1" t="s">
        <v>308</v>
      </c>
      <c r="W559" s="1" t="s">
        <v>3190</v>
      </c>
      <c r="Y559" s="10">
        <v>45112</v>
      </c>
      <c r="Z559" s="1">
        <v>2023</v>
      </c>
      <c r="AA559" s="2">
        <v>829841.3</v>
      </c>
      <c r="AB559" s="2"/>
      <c r="AC559" s="2">
        <v>829841.3</v>
      </c>
      <c r="AG559" s="1" t="s">
        <v>56</v>
      </c>
      <c r="AI559" s="2">
        <v>829841.3</v>
      </c>
    </row>
    <row r="560" spans="1:38" ht="14.45" customHeight="1" x14ac:dyDescent="0.25">
      <c r="A560" s="1" t="s">
        <v>57</v>
      </c>
      <c r="B560" s="9" t="s">
        <v>38</v>
      </c>
      <c r="C560" s="1" t="s">
        <v>58</v>
      </c>
      <c r="D560" s="1" t="s">
        <v>146</v>
      </c>
      <c r="E560" s="1" t="s">
        <v>42</v>
      </c>
      <c r="G560" s="1" t="s">
        <v>155</v>
      </c>
      <c r="H560" s="1" t="s">
        <v>156</v>
      </c>
      <c r="I560" s="1" t="s">
        <v>3191</v>
      </c>
      <c r="J560" s="1">
        <v>2022</v>
      </c>
      <c r="K560" s="1" t="s">
        <v>3192</v>
      </c>
      <c r="L560" s="1" t="s">
        <v>3193</v>
      </c>
      <c r="M560" s="1" t="s">
        <v>3194</v>
      </c>
      <c r="P560" s="1" t="s">
        <v>3195</v>
      </c>
      <c r="Q560" s="1" t="s">
        <v>50</v>
      </c>
      <c r="R560" s="1" t="s">
        <v>68</v>
      </c>
      <c r="S560" s="16" t="s">
        <v>814</v>
      </c>
      <c r="T560" s="1" t="s">
        <v>815</v>
      </c>
      <c r="U560" s="1">
        <v>2</v>
      </c>
      <c r="V560" s="1" t="s">
        <v>71</v>
      </c>
      <c r="W560" s="1" t="s">
        <v>3196</v>
      </c>
      <c r="Y560" s="10">
        <v>45112</v>
      </c>
      <c r="Z560" s="1">
        <v>2023</v>
      </c>
      <c r="AA560" s="2">
        <v>622711.23</v>
      </c>
      <c r="AB560" s="2"/>
      <c r="AC560" s="2">
        <v>622711.23</v>
      </c>
      <c r="AG560" s="1" t="s">
        <v>56</v>
      </c>
      <c r="AI560" s="2">
        <v>622711.23</v>
      </c>
    </row>
    <row r="561" spans="1:38" ht="14.45" customHeight="1" x14ac:dyDescent="0.2">
      <c r="A561" s="1" t="s">
        <v>57</v>
      </c>
      <c r="B561" s="9" t="s">
        <v>38</v>
      </c>
      <c r="C561" s="1" t="s">
        <v>58</v>
      </c>
      <c r="D561" s="1" t="s">
        <v>146</v>
      </c>
      <c r="E561" s="1" t="s">
        <v>42</v>
      </c>
      <c r="G561" s="1" t="s">
        <v>147</v>
      </c>
      <c r="H561" s="1" t="s">
        <v>148</v>
      </c>
      <c r="I561" s="1" t="s">
        <v>3197</v>
      </c>
      <c r="J561" s="1">
        <v>2020</v>
      </c>
      <c r="K561" s="1" t="s">
        <v>3198</v>
      </c>
      <c r="L561" s="1" t="s">
        <v>3199</v>
      </c>
      <c r="M561" s="1" t="s">
        <v>3200</v>
      </c>
      <c r="N561" s="1" t="s">
        <v>3201</v>
      </c>
      <c r="P561" s="1" t="s">
        <v>1715</v>
      </c>
      <c r="Q561" s="1" t="s">
        <v>264</v>
      </c>
      <c r="R561" s="1" t="s">
        <v>265</v>
      </c>
      <c r="S561" s="1" t="s">
        <v>542</v>
      </c>
      <c r="T561" s="1" t="s">
        <v>543</v>
      </c>
      <c r="U561" s="1">
        <v>1</v>
      </c>
      <c r="V561" s="1" t="s">
        <v>268</v>
      </c>
      <c r="W561" s="29" t="s">
        <v>1712</v>
      </c>
      <c r="X561" s="1" t="s">
        <v>153</v>
      </c>
      <c r="Y561" s="10">
        <v>44127</v>
      </c>
      <c r="Z561" s="1">
        <v>2020</v>
      </c>
      <c r="AA561" s="2">
        <v>3300000</v>
      </c>
      <c r="AB561" s="2"/>
      <c r="AC561" s="2">
        <v>2475000</v>
      </c>
      <c r="AD561" s="1">
        <v>0</v>
      </c>
      <c r="AF561" s="1">
        <v>0</v>
      </c>
      <c r="AG561" s="1" t="s">
        <v>56</v>
      </c>
      <c r="AH561" s="1" t="s">
        <v>154</v>
      </c>
      <c r="AI561" s="2">
        <v>2475000</v>
      </c>
      <c r="AL561" s="1" t="s">
        <v>1744</v>
      </c>
    </row>
    <row r="562" spans="1:38" ht="14.45" customHeight="1" x14ac:dyDescent="0.2">
      <c r="A562" s="1" t="s">
        <v>57</v>
      </c>
      <c r="B562" s="9" t="s">
        <v>38</v>
      </c>
      <c r="C562" s="1" t="s">
        <v>58</v>
      </c>
      <c r="D562" s="1" t="s">
        <v>146</v>
      </c>
      <c r="E562" s="1" t="s">
        <v>42</v>
      </c>
      <c r="G562" s="1" t="s">
        <v>155</v>
      </c>
      <c r="H562" s="1" t="s">
        <v>156</v>
      </c>
      <c r="I562" s="1" t="s">
        <v>3202</v>
      </c>
      <c r="J562" s="1">
        <v>2022</v>
      </c>
      <c r="K562" s="1" t="s">
        <v>3203</v>
      </c>
      <c r="L562" s="1" t="s">
        <v>3204</v>
      </c>
      <c r="P562" s="1" t="s">
        <v>3205</v>
      </c>
      <c r="Q562" s="1" t="s">
        <v>110</v>
      </c>
      <c r="R562" s="1" t="s">
        <v>111</v>
      </c>
      <c r="S562" s="1" t="s">
        <v>3206</v>
      </c>
      <c r="T562" s="1" t="s">
        <v>3207</v>
      </c>
      <c r="V562" s="1" t="s">
        <v>114</v>
      </c>
      <c r="W562" s="1" t="s">
        <v>3208</v>
      </c>
      <c r="Y562" s="10">
        <v>45112</v>
      </c>
      <c r="Z562" s="1">
        <v>2023</v>
      </c>
      <c r="AA562" s="2">
        <v>173556.37</v>
      </c>
      <c r="AB562" s="2"/>
      <c r="AC562" s="2">
        <v>173556.37</v>
      </c>
      <c r="AG562" s="1" t="s">
        <v>56</v>
      </c>
      <c r="AI562" s="2">
        <v>173556.37</v>
      </c>
    </row>
    <row r="563" spans="1:38" ht="14.45" customHeight="1" x14ac:dyDescent="0.2">
      <c r="A563" s="1" t="s">
        <v>57</v>
      </c>
      <c r="B563" s="9" t="s">
        <v>39</v>
      </c>
      <c r="C563" s="1" t="s">
        <v>58</v>
      </c>
      <c r="D563" s="1" t="s">
        <v>146</v>
      </c>
      <c r="E563" s="1" t="s">
        <v>42</v>
      </c>
      <c r="G563" s="1" t="s">
        <v>155</v>
      </c>
      <c r="H563" s="1" t="s">
        <v>156</v>
      </c>
      <c r="I563" s="1" t="s">
        <v>3209</v>
      </c>
      <c r="J563" s="1">
        <v>2022</v>
      </c>
      <c r="K563" s="14" t="s">
        <v>3210</v>
      </c>
      <c r="P563" s="1" t="s">
        <v>3211</v>
      </c>
      <c r="Q563" s="1" t="s">
        <v>1149</v>
      </c>
      <c r="R563" s="1" t="s">
        <v>1449</v>
      </c>
      <c r="S563" s="1" t="s">
        <v>3212</v>
      </c>
      <c r="T563" s="1" t="s">
        <v>3213</v>
      </c>
      <c r="V563" s="1" t="s">
        <v>1153</v>
      </c>
      <c r="W563" s="1" t="s">
        <v>3214</v>
      </c>
      <c r="Y563" s="10">
        <v>45195</v>
      </c>
      <c r="Z563" s="1">
        <v>2023</v>
      </c>
      <c r="AA563" s="2">
        <v>499605.93</v>
      </c>
      <c r="AB563" s="2"/>
      <c r="AC563" s="2">
        <v>148624.89846153959</v>
      </c>
      <c r="AG563" s="1" t="s">
        <v>432</v>
      </c>
      <c r="AH563" s="1" t="s">
        <v>492</v>
      </c>
      <c r="AI563" s="2">
        <v>0</v>
      </c>
    </row>
    <row r="564" spans="1:38" ht="14.45" customHeight="1" x14ac:dyDescent="0.25">
      <c r="A564" s="1" t="s">
        <v>57</v>
      </c>
      <c r="B564" s="20" t="s">
        <v>38</v>
      </c>
      <c r="C564" s="3" t="s">
        <v>58</v>
      </c>
      <c r="D564" s="1" t="s">
        <v>146</v>
      </c>
      <c r="E564" s="1" t="s">
        <v>42</v>
      </c>
      <c r="F564" s="1" t="s">
        <v>1236</v>
      </c>
      <c r="G564" s="1" t="s">
        <v>155</v>
      </c>
      <c r="H564" s="1" t="s">
        <v>156</v>
      </c>
      <c r="I564" s="3" t="s">
        <v>3215</v>
      </c>
      <c r="J564" s="1">
        <v>2022</v>
      </c>
      <c r="K564" s="1" t="s">
        <v>3216</v>
      </c>
      <c r="L564" s="1" t="s">
        <v>3217</v>
      </c>
      <c r="M564" s="1" t="s">
        <v>1240</v>
      </c>
      <c r="P564" s="1" t="s">
        <v>3218</v>
      </c>
      <c r="Q564" s="1" t="s">
        <v>264</v>
      </c>
      <c r="R564" s="1" t="s">
        <v>265</v>
      </c>
      <c r="S564" s="30" t="s">
        <v>379</v>
      </c>
      <c r="T564" s="3" t="s">
        <v>380</v>
      </c>
      <c r="U564" s="1">
        <v>2</v>
      </c>
      <c r="V564" s="3" t="s">
        <v>268</v>
      </c>
      <c r="W564" s="3" t="s">
        <v>3219</v>
      </c>
      <c r="X564" s="3"/>
      <c r="Y564" s="21"/>
      <c r="Z564" s="3">
        <v>2025</v>
      </c>
      <c r="AA564" s="22">
        <v>1026759.82</v>
      </c>
      <c r="AB564" s="22"/>
      <c r="AC564" s="22">
        <v>1026759.82</v>
      </c>
      <c r="AD564" s="2"/>
      <c r="AG564" s="1" t="s">
        <v>56</v>
      </c>
      <c r="AI564" s="22">
        <v>1026759.82</v>
      </c>
    </row>
    <row r="565" spans="1:38" ht="14.45" customHeight="1" x14ac:dyDescent="0.2">
      <c r="A565" s="1" t="s">
        <v>57</v>
      </c>
      <c r="B565" s="9" t="s">
        <v>38</v>
      </c>
      <c r="C565" s="1" t="s">
        <v>58</v>
      </c>
      <c r="D565" s="1" t="s">
        <v>146</v>
      </c>
      <c r="E565" s="1" t="s">
        <v>42</v>
      </c>
      <c r="G565" s="1" t="s">
        <v>155</v>
      </c>
      <c r="H565" s="1" t="s">
        <v>156</v>
      </c>
      <c r="I565" s="1" t="s">
        <v>3220</v>
      </c>
      <c r="J565" s="1">
        <v>2022</v>
      </c>
      <c r="K565" s="1" t="s">
        <v>3221</v>
      </c>
      <c r="L565" s="1" t="s">
        <v>3222</v>
      </c>
      <c r="P565" s="1" t="s">
        <v>3223</v>
      </c>
      <c r="Q565" s="1" t="s">
        <v>264</v>
      </c>
      <c r="R565" s="1" t="s">
        <v>265</v>
      </c>
      <c r="S565" s="1" t="s">
        <v>740</v>
      </c>
      <c r="T565" s="1" t="s">
        <v>741</v>
      </c>
      <c r="U565" s="1">
        <v>1</v>
      </c>
      <c r="V565" s="1" t="s">
        <v>535</v>
      </c>
      <c r="W565" s="1" t="s">
        <v>3224</v>
      </c>
      <c r="Y565" s="10">
        <v>45112</v>
      </c>
      <c r="Z565" s="1">
        <v>2023</v>
      </c>
      <c r="AA565" s="2">
        <v>1491688.67</v>
      </c>
      <c r="AB565" s="2"/>
      <c r="AC565" s="2">
        <v>1491688.67</v>
      </c>
      <c r="AG565" s="1" t="s">
        <v>56</v>
      </c>
      <c r="AI565" s="2">
        <v>1491688.67</v>
      </c>
    </row>
    <row r="566" spans="1:38" ht="14.45" customHeight="1" x14ac:dyDescent="0.2">
      <c r="A566" s="1" t="s">
        <v>57</v>
      </c>
      <c r="B566" s="9" t="s">
        <v>38</v>
      </c>
      <c r="C566" s="1" t="s">
        <v>58</v>
      </c>
      <c r="D566" s="1" t="s">
        <v>146</v>
      </c>
      <c r="E566" s="1" t="s">
        <v>42</v>
      </c>
      <c r="G566" s="1" t="s">
        <v>147</v>
      </c>
      <c r="H566" s="1" t="s">
        <v>148</v>
      </c>
      <c r="I566" s="1" t="s">
        <v>3225</v>
      </c>
      <c r="J566" s="1">
        <v>2020</v>
      </c>
      <c r="K566" s="1" t="s">
        <v>3226</v>
      </c>
      <c r="L566" s="1" t="s">
        <v>3227</v>
      </c>
      <c r="N566" s="1" t="s">
        <v>3228</v>
      </c>
      <c r="P566" s="1" t="s">
        <v>1721</v>
      </c>
      <c r="Q566" s="1" t="s">
        <v>264</v>
      </c>
      <c r="R566" s="1" t="s">
        <v>265</v>
      </c>
      <c r="S566" s="1" t="s">
        <v>533</v>
      </c>
      <c r="T566" s="1" t="s">
        <v>534</v>
      </c>
      <c r="U566" s="1">
        <v>1</v>
      </c>
      <c r="V566" s="1" t="s">
        <v>535</v>
      </c>
      <c r="W566" s="1" t="s">
        <v>3227</v>
      </c>
      <c r="X566" s="1" t="s">
        <v>153</v>
      </c>
      <c r="Y566" s="10">
        <v>44127</v>
      </c>
      <c r="Z566" s="1">
        <v>2020</v>
      </c>
      <c r="AA566" s="2">
        <v>9900000</v>
      </c>
      <c r="AB566" s="2"/>
      <c r="AC566" s="2">
        <v>7425000</v>
      </c>
      <c r="AD566" s="1">
        <v>0</v>
      </c>
      <c r="AF566" s="1">
        <v>0</v>
      </c>
      <c r="AG566" s="1" t="s">
        <v>56</v>
      </c>
      <c r="AH566" s="1" t="s">
        <v>1458</v>
      </c>
      <c r="AI566" s="2">
        <v>7425000</v>
      </c>
      <c r="AL566" s="1" t="s">
        <v>1744</v>
      </c>
    </row>
    <row r="567" spans="1:38" ht="14.45" customHeight="1" x14ac:dyDescent="0.2">
      <c r="A567" s="1" t="s">
        <v>57</v>
      </c>
      <c r="B567" s="9" t="s">
        <v>38</v>
      </c>
      <c r="C567" s="1" t="s">
        <v>58</v>
      </c>
      <c r="D567" s="1" t="s">
        <v>146</v>
      </c>
      <c r="E567" s="1" t="s">
        <v>42</v>
      </c>
      <c r="G567" s="1" t="s">
        <v>155</v>
      </c>
      <c r="H567" s="1" t="s">
        <v>156</v>
      </c>
      <c r="I567" s="1" t="s">
        <v>3229</v>
      </c>
      <c r="J567" s="1">
        <v>2022</v>
      </c>
      <c r="K567" s="1" t="s">
        <v>3230</v>
      </c>
      <c r="L567" s="1" t="s">
        <v>3231</v>
      </c>
      <c r="M567" s="1" t="s">
        <v>3232</v>
      </c>
      <c r="P567" s="1" t="s">
        <v>3233</v>
      </c>
      <c r="Q567" s="1" t="s">
        <v>50</v>
      </c>
      <c r="R567" s="1" t="s">
        <v>51</v>
      </c>
      <c r="S567" s="1" t="s">
        <v>3234</v>
      </c>
      <c r="T567" s="1" t="s">
        <v>3235</v>
      </c>
      <c r="V567" s="1" t="s">
        <v>54</v>
      </c>
      <c r="W567" s="1" t="s">
        <v>3236</v>
      </c>
      <c r="Y567" s="10">
        <v>45112</v>
      </c>
      <c r="Z567" s="1">
        <v>2023</v>
      </c>
      <c r="AA567" s="2">
        <v>114361.51</v>
      </c>
      <c r="AB567" s="2"/>
      <c r="AC567" s="2">
        <v>114361.51</v>
      </c>
      <c r="AG567" s="1" t="s">
        <v>56</v>
      </c>
      <c r="AI567" s="2">
        <v>114361.51</v>
      </c>
    </row>
    <row r="568" spans="1:38" ht="14.45" customHeight="1" x14ac:dyDescent="0.2">
      <c r="A568" s="1" t="s">
        <v>57</v>
      </c>
      <c r="B568" s="9" t="s">
        <v>38</v>
      </c>
      <c r="C568" s="1" t="s">
        <v>58</v>
      </c>
      <c r="D568" s="1" t="s">
        <v>146</v>
      </c>
      <c r="E568" s="1" t="s">
        <v>42</v>
      </c>
      <c r="G568" s="1" t="s">
        <v>155</v>
      </c>
      <c r="H568" s="1" t="s">
        <v>156</v>
      </c>
      <c r="I568" s="1" t="s">
        <v>3237</v>
      </c>
      <c r="J568" s="1">
        <v>2022</v>
      </c>
      <c r="K568" s="1" t="s">
        <v>3238</v>
      </c>
      <c r="L568" s="1" t="s">
        <v>3239</v>
      </c>
      <c r="M568" s="1" t="s">
        <v>3240</v>
      </c>
      <c r="P568" s="1" t="s">
        <v>3241</v>
      </c>
      <c r="Q568" s="1" t="s">
        <v>1149</v>
      </c>
      <c r="R568" s="1" t="s">
        <v>1150</v>
      </c>
      <c r="S568" s="1" t="s">
        <v>1959</v>
      </c>
      <c r="T568" s="1" t="s">
        <v>1960</v>
      </c>
      <c r="V568" s="1" t="s">
        <v>1153</v>
      </c>
      <c r="W568" s="1" t="s">
        <v>3242</v>
      </c>
      <c r="Y568" s="10">
        <v>45112</v>
      </c>
      <c r="Z568" s="1">
        <v>2023</v>
      </c>
      <c r="AA568" s="2">
        <v>971824.35</v>
      </c>
      <c r="AB568" s="2"/>
      <c r="AC568" s="2">
        <v>971824.35</v>
      </c>
      <c r="AG568" s="1" t="s">
        <v>56</v>
      </c>
      <c r="AI568" s="2">
        <v>971824.35</v>
      </c>
    </row>
    <row r="569" spans="1:38" ht="14.45" customHeight="1" x14ac:dyDescent="0.2">
      <c r="A569" s="1" t="s">
        <v>57</v>
      </c>
      <c r="B569" s="9" t="s">
        <v>38</v>
      </c>
      <c r="C569" s="1" t="s">
        <v>58</v>
      </c>
      <c r="D569" s="1" t="s">
        <v>146</v>
      </c>
      <c r="E569" s="1" t="s">
        <v>42</v>
      </c>
      <c r="G569" s="1" t="s">
        <v>155</v>
      </c>
      <c r="H569" s="1" t="s">
        <v>156</v>
      </c>
      <c r="I569" s="1" t="s">
        <v>3243</v>
      </c>
      <c r="J569" s="1">
        <v>2022</v>
      </c>
      <c r="K569" s="1" t="s">
        <v>3244</v>
      </c>
      <c r="L569" s="1" t="s">
        <v>3245</v>
      </c>
      <c r="P569" s="1" t="s">
        <v>3223</v>
      </c>
      <c r="Q569" s="1" t="s">
        <v>264</v>
      </c>
      <c r="R569" s="1" t="s">
        <v>265</v>
      </c>
      <c r="S569" s="1" t="s">
        <v>740</v>
      </c>
      <c r="T569" s="1" t="s">
        <v>741</v>
      </c>
      <c r="U569" s="1">
        <v>1</v>
      </c>
      <c r="V569" s="1" t="s">
        <v>535</v>
      </c>
      <c r="W569" s="1" t="s">
        <v>3246</v>
      </c>
      <c r="Y569" s="10">
        <v>45112</v>
      </c>
      <c r="Z569" s="1">
        <v>2023</v>
      </c>
      <c r="AA569" s="2">
        <v>498316.09</v>
      </c>
      <c r="AB569" s="2"/>
      <c r="AC569" s="2">
        <v>498316.09</v>
      </c>
      <c r="AG569" s="1" t="s">
        <v>56</v>
      </c>
      <c r="AI569" s="2">
        <v>498316.09</v>
      </c>
    </row>
    <row r="570" spans="1:38" ht="14.45" customHeight="1" x14ac:dyDescent="0.2">
      <c r="A570" s="1" t="s">
        <v>57</v>
      </c>
      <c r="B570" s="9" t="s">
        <v>38</v>
      </c>
      <c r="C570" s="1" t="s">
        <v>58</v>
      </c>
      <c r="D570" s="1" t="s">
        <v>146</v>
      </c>
      <c r="E570" s="1" t="s">
        <v>42</v>
      </c>
      <c r="G570" s="1" t="s">
        <v>147</v>
      </c>
      <c r="H570" s="1" t="s">
        <v>148</v>
      </c>
      <c r="I570" s="1" t="s">
        <v>3247</v>
      </c>
      <c r="J570" s="1">
        <v>2020</v>
      </c>
      <c r="K570" s="1" t="s">
        <v>3248</v>
      </c>
      <c r="L570" s="1" t="s">
        <v>3249</v>
      </c>
      <c r="M570" s="1" t="s">
        <v>3250</v>
      </c>
      <c r="N570" s="1" t="s">
        <v>3251</v>
      </c>
      <c r="P570" s="1" t="s">
        <v>3252</v>
      </c>
      <c r="Q570" s="1" t="s">
        <v>264</v>
      </c>
      <c r="R570" s="1" t="s">
        <v>265</v>
      </c>
      <c r="S570" s="1" t="s">
        <v>266</v>
      </c>
      <c r="T570" s="1" t="s">
        <v>267</v>
      </c>
      <c r="U570" s="1">
        <v>2</v>
      </c>
      <c r="V570" s="1" t="s">
        <v>268</v>
      </c>
      <c r="W570" s="1" t="s">
        <v>3253</v>
      </c>
      <c r="X570" s="1" t="s">
        <v>321</v>
      </c>
      <c r="Y570" s="10">
        <v>44127</v>
      </c>
      <c r="Z570" s="1">
        <v>2020</v>
      </c>
      <c r="AA570" s="2">
        <v>1500000</v>
      </c>
      <c r="AB570" s="2"/>
      <c r="AC570" s="2">
        <v>1125000</v>
      </c>
      <c r="AD570" s="1">
        <v>1</v>
      </c>
      <c r="AF570" s="1">
        <v>0</v>
      </c>
      <c r="AG570" s="1" t="s">
        <v>56</v>
      </c>
      <c r="AH570" s="1" t="s">
        <v>1458</v>
      </c>
      <c r="AI570" s="2">
        <v>1125000</v>
      </c>
      <c r="AL570" s="1" t="s">
        <v>3254</v>
      </c>
    </row>
    <row r="571" spans="1:38" ht="14.45" customHeight="1" x14ac:dyDescent="0.2">
      <c r="A571" s="1" t="s">
        <v>57</v>
      </c>
      <c r="B571" s="9" t="s">
        <v>38</v>
      </c>
      <c r="C571" s="1" t="s">
        <v>58</v>
      </c>
      <c r="D571" s="1" t="s">
        <v>146</v>
      </c>
      <c r="E571" s="1" t="s">
        <v>42</v>
      </c>
      <c r="G571" s="1" t="s">
        <v>155</v>
      </c>
      <c r="H571" s="1" t="s">
        <v>156</v>
      </c>
      <c r="I571" s="1" t="s">
        <v>3255</v>
      </c>
      <c r="J571" s="1">
        <v>2022</v>
      </c>
      <c r="K571" s="1" t="s">
        <v>3256</v>
      </c>
      <c r="L571" s="1" t="s">
        <v>3257</v>
      </c>
      <c r="P571" s="1" t="s">
        <v>3189</v>
      </c>
      <c r="Q571" s="1" t="s">
        <v>264</v>
      </c>
      <c r="R571" s="1" t="s">
        <v>265</v>
      </c>
      <c r="S571" s="1" t="s">
        <v>935</v>
      </c>
      <c r="T571" s="1" t="s">
        <v>936</v>
      </c>
      <c r="U571" s="1">
        <v>1</v>
      </c>
      <c r="V571" s="1" t="s">
        <v>308</v>
      </c>
      <c r="W571" s="1" t="s">
        <v>3258</v>
      </c>
      <c r="Y571" s="10">
        <v>45112</v>
      </c>
      <c r="Z571" s="1">
        <v>2023</v>
      </c>
      <c r="AA571" s="2">
        <v>3500000</v>
      </c>
      <c r="AB571" s="2"/>
      <c r="AC571" s="2">
        <v>3500000</v>
      </c>
      <c r="AG571" s="1" t="s">
        <v>56</v>
      </c>
      <c r="AI571" s="2">
        <v>3500000</v>
      </c>
    </row>
    <row r="572" spans="1:38" ht="14.45" customHeight="1" x14ac:dyDescent="0.2">
      <c r="A572" s="1" t="s">
        <v>57</v>
      </c>
      <c r="B572" s="9" t="s">
        <v>38</v>
      </c>
      <c r="C572" s="1" t="s">
        <v>58</v>
      </c>
      <c r="D572" s="1" t="s">
        <v>146</v>
      </c>
      <c r="E572" s="1" t="s">
        <v>42</v>
      </c>
      <c r="G572" s="1" t="s">
        <v>155</v>
      </c>
      <c r="H572" s="1" t="s">
        <v>156</v>
      </c>
      <c r="I572" s="1" t="s">
        <v>3259</v>
      </c>
      <c r="J572" s="1">
        <v>2022</v>
      </c>
      <c r="K572" s="1" t="s">
        <v>3260</v>
      </c>
      <c r="L572" s="1" t="s">
        <v>3261</v>
      </c>
      <c r="P572" s="1" t="s">
        <v>3262</v>
      </c>
      <c r="Q572" s="1" t="s">
        <v>264</v>
      </c>
      <c r="R572" s="1" t="s">
        <v>265</v>
      </c>
      <c r="S572" s="1" t="s">
        <v>1046</v>
      </c>
      <c r="T572" s="1" t="s">
        <v>1047</v>
      </c>
      <c r="U572" s="1">
        <v>1</v>
      </c>
      <c r="V572" s="1" t="s">
        <v>535</v>
      </c>
      <c r="W572" s="1" t="s">
        <v>3263</v>
      </c>
      <c r="Y572" s="10">
        <v>45112</v>
      </c>
      <c r="Z572" s="1">
        <v>2023</v>
      </c>
      <c r="AA572" s="2">
        <v>1474462.03</v>
      </c>
      <c r="AB572" s="2"/>
      <c r="AC572" s="2">
        <v>1474462.03</v>
      </c>
      <c r="AG572" s="1" t="s">
        <v>56</v>
      </c>
      <c r="AI572" s="2">
        <v>1474462.03</v>
      </c>
    </row>
    <row r="573" spans="1:38" ht="14.45" customHeight="1" x14ac:dyDescent="0.2">
      <c r="A573" s="1" t="s">
        <v>57</v>
      </c>
      <c r="B573" s="9" t="s">
        <v>38</v>
      </c>
      <c r="C573" s="1" t="s">
        <v>58</v>
      </c>
      <c r="D573" s="1" t="s">
        <v>146</v>
      </c>
      <c r="E573" s="1" t="s">
        <v>42</v>
      </c>
      <c r="G573" s="1" t="s">
        <v>155</v>
      </c>
      <c r="H573" s="1" t="s">
        <v>156</v>
      </c>
      <c r="I573" s="1" t="s">
        <v>3264</v>
      </c>
      <c r="J573" s="1">
        <v>2022</v>
      </c>
      <c r="K573" s="1" t="s">
        <v>3265</v>
      </c>
      <c r="L573" s="1" t="s">
        <v>3266</v>
      </c>
      <c r="P573" s="1" t="s">
        <v>3267</v>
      </c>
      <c r="Q573" s="1" t="s">
        <v>264</v>
      </c>
      <c r="R573" s="1" t="s">
        <v>265</v>
      </c>
      <c r="S573" s="1" t="s">
        <v>315</v>
      </c>
      <c r="T573" s="1" t="s">
        <v>316</v>
      </c>
      <c r="U573" s="1">
        <v>1</v>
      </c>
      <c r="V573" s="1" t="s">
        <v>268</v>
      </c>
      <c r="W573" s="1" t="s">
        <v>3268</v>
      </c>
      <c r="Y573" s="10">
        <v>45112</v>
      </c>
      <c r="Z573" s="1">
        <v>2023</v>
      </c>
      <c r="AA573" s="2">
        <v>500000</v>
      </c>
      <c r="AB573" s="2"/>
      <c r="AC573" s="2">
        <v>500000</v>
      </c>
      <c r="AG573" s="1" t="s">
        <v>56</v>
      </c>
      <c r="AI573" s="2">
        <v>500000</v>
      </c>
    </row>
    <row r="574" spans="1:38" ht="14.45" customHeight="1" x14ac:dyDescent="0.25">
      <c r="A574" s="1" t="s">
        <v>57</v>
      </c>
      <c r="B574" s="9" t="s">
        <v>38</v>
      </c>
      <c r="C574" s="1" t="s">
        <v>58</v>
      </c>
      <c r="D574" s="1" t="s">
        <v>146</v>
      </c>
      <c r="E574" s="1" t="s">
        <v>42</v>
      </c>
      <c r="G574" s="1" t="s">
        <v>147</v>
      </c>
      <c r="H574" s="1" t="s">
        <v>148</v>
      </c>
      <c r="I574" s="1" t="s">
        <v>3269</v>
      </c>
      <c r="J574" s="1">
        <v>2020</v>
      </c>
      <c r="K574" s="1" t="s">
        <v>3270</v>
      </c>
      <c r="L574" s="1" t="s">
        <v>3271</v>
      </c>
      <c r="M574" s="1" t="s">
        <v>3272</v>
      </c>
      <c r="N574" s="1" t="s">
        <v>3273</v>
      </c>
      <c r="P574" s="1" t="s">
        <v>3274</v>
      </c>
      <c r="Q574" s="1" t="s">
        <v>264</v>
      </c>
      <c r="R574" s="1" t="s">
        <v>265</v>
      </c>
      <c r="S574" s="16" t="s">
        <v>306</v>
      </c>
      <c r="T574" s="1" t="s">
        <v>307</v>
      </c>
      <c r="U574" s="1">
        <v>1</v>
      </c>
      <c r="V574" s="1" t="s">
        <v>308</v>
      </c>
      <c r="W574" s="1" t="s">
        <v>3275</v>
      </c>
      <c r="X574" s="1" t="s">
        <v>153</v>
      </c>
      <c r="Y574" s="10">
        <v>44127</v>
      </c>
      <c r="Z574" s="1">
        <v>2020</v>
      </c>
      <c r="AA574" s="2">
        <v>795000</v>
      </c>
      <c r="AB574" s="2"/>
      <c r="AC574" s="2">
        <v>596250</v>
      </c>
      <c r="AD574" s="1">
        <v>0</v>
      </c>
      <c r="AF574" s="1" t="s">
        <v>1768</v>
      </c>
      <c r="AG574" s="1" t="s">
        <v>56</v>
      </c>
      <c r="AH574" s="1" t="s">
        <v>154</v>
      </c>
      <c r="AI574" s="2">
        <v>529578.64</v>
      </c>
      <c r="AL574" s="1" t="s">
        <v>3276</v>
      </c>
    </row>
    <row r="575" spans="1:38" ht="12.6" customHeight="1" x14ac:dyDescent="0.25">
      <c r="A575" s="1" t="s">
        <v>57</v>
      </c>
      <c r="B575" s="9" t="s">
        <v>38</v>
      </c>
      <c r="C575" s="1" t="s">
        <v>58</v>
      </c>
      <c r="D575" s="1" t="s">
        <v>59</v>
      </c>
      <c r="E575" s="1" t="s">
        <v>42</v>
      </c>
      <c r="G575" s="1" t="s">
        <v>122</v>
      </c>
      <c r="H575" s="1" t="s">
        <v>1893</v>
      </c>
      <c r="I575" s="1" t="s">
        <v>3277</v>
      </c>
      <c r="J575" s="1">
        <v>2023</v>
      </c>
      <c r="K575" s="1" t="s">
        <v>3278</v>
      </c>
      <c r="L575" s="1" t="s">
        <v>3279</v>
      </c>
      <c r="P575" s="1" t="s">
        <v>3280</v>
      </c>
      <c r="Q575" s="1" t="s">
        <v>50</v>
      </c>
      <c r="R575" s="1" t="s">
        <v>68</v>
      </c>
      <c r="S575" s="16" t="s">
        <v>814</v>
      </c>
      <c r="T575" s="1" t="s">
        <v>815</v>
      </c>
      <c r="U575" s="1">
        <v>2</v>
      </c>
      <c r="V575" s="1" t="s">
        <v>71</v>
      </c>
      <c r="W575" s="1" t="s">
        <v>3278</v>
      </c>
      <c r="Y575" s="10">
        <v>45478</v>
      </c>
      <c r="Z575" s="1">
        <v>2024</v>
      </c>
      <c r="AA575" s="2">
        <v>465272</v>
      </c>
      <c r="AB575" s="2"/>
      <c r="AC575" s="2">
        <v>100000</v>
      </c>
      <c r="AD575" s="1">
        <v>0</v>
      </c>
      <c r="AG575" s="1" t="s">
        <v>56</v>
      </c>
      <c r="AI575" s="2">
        <v>100000</v>
      </c>
    </row>
    <row r="576" spans="1:38" ht="14.45" customHeight="1" x14ac:dyDescent="0.2">
      <c r="A576" s="1" t="s">
        <v>57</v>
      </c>
      <c r="B576" s="9" t="s">
        <v>38</v>
      </c>
      <c r="C576" s="1" t="s">
        <v>58</v>
      </c>
      <c r="D576" s="1" t="s">
        <v>146</v>
      </c>
      <c r="E576" s="1" t="s">
        <v>42</v>
      </c>
      <c r="G576" s="1" t="s">
        <v>147</v>
      </c>
      <c r="H576" s="1" t="s">
        <v>2155</v>
      </c>
      <c r="I576" s="1" t="s">
        <v>3281</v>
      </c>
      <c r="J576" s="1">
        <v>2020</v>
      </c>
      <c r="K576" s="1" t="s">
        <v>3282</v>
      </c>
      <c r="L576" s="1" t="s">
        <v>3283</v>
      </c>
      <c r="M576" s="1" t="s">
        <v>3284</v>
      </c>
      <c r="N576" s="1" t="s">
        <v>3285</v>
      </c>
      <c r="P576" s="1" t="s">
        <v>2655</v>
      </c>
      <c r="Q576" s="1" t="s">
        <v>264</v>
      </c>
      <c r="R576" s="1" t="s">
        <v>265</v>
      </c>
      <c r="S576" s="1" t="s">
        <v>923</v>
      </c>
      <c r="T576" s="1" t="s">
        <v>924</v>
      </c>
      <c r="U576" s="1">
        <v>1</v>
      </c>
      <c r="V576" s="1" t="s">
        <v>268</v>
      </c>
      <c r="W576" s="1" t="s">
        <v>3282</v>
      </c>
      <c r="X576" s="1" t="s">
        <v>153</v>
      </c>
      <c r="Y576" s="10">
        <v>44127</v>
      </c>
      <c r="Z576" s="1">
        <v>2020</v>
      </c>
      <c r="AA576" s="2">
        <v>1174767.47</v>
      </c>
      <c r="AB576" s="2"/>
      <c r="AC576" s="2">
        <v>881075.60250000004</v>
      </c>
      <c r="AD576" s="1">
        <v>0</v>
      </c>
      <c r="AF576" s="1">
        <v>10</v>
      </c>
      <c r="AG576" s="1" t="s">
        <v>56</v>
      </c>
      <c r="AH576" s="1" t="s">
        <v>1458</v>
      </c>
      <c r="AI576" s="2">
        <v>881075.60250000004</v>
      </c>
      <c r="AL576" s="1" t="s">
        <v>3286</v>
      </c>
    </row>
    <row r="577" spans="1:38" ht="14.45" customHeight="1" x14ac:dyDescent="0.2">
      <c r="A577" s="1" t="s">
        <v>57</v>
      </c>
      <c r="B577" s="9" t="s">
        <v>38</v>
      </c>
      <c r="C577" s="1" t="s">
        <v>58</v>
      </c>
      <c r="D577" s="1" t="s">
        <v>146</v>
      </c>
      <c r="E577" s="1" t="s">
        <v>42</v>
      </c>
      <c r="G577" s="1" t="s">
        <v>147</v>
      </c>
      <c r="H577" s="1" t="s">
        <v>148</v>
      </c>
      <c r="I577" s="1" t="s">
        <v>3287</v>
      </c>
      <c r="J577" s="1">
        <v>2020</v>
      </c>
      <c r="K577" s="1" t="s">
        <v>3288</v>
      </c>
      <c r="L577" s="1" t="s">
        <v>3289</v>
      </c>
      <c r="M577" s="1" t="s">
        <v>3290</v>
      </c>
      <c r="N577" s="1" t="s">
        <v>3291</v>
      </c>
      <c r="P577" s="1" t="s">
        <v>3223</v>
      </c>
      <c r="Q577" s="1" t="s">
        <v>264</v>
      </c>
      <c r="R577" s="1" t="s">
        <v>265</v>
      </c>
      <c r="S577" s="1" t="s">
        <v>740</v>
      </c>
      <c r="T577" s="1" t="s">
        <v>741</v>
      </c>
      <c r="U577" s="1">
        <v>1</v>
      </c>
      <c r="V577" s="1" t="s">
        <v>535</v>
      </c>
      <c r="W577" s="1" t="s">
        <v>3292</v>
      </c>
      <c r="X577" s="1" t="s">
        <v>153</v>
      </c>
      <c r="Y577" s="10">
        <v>44127</v>
      </c>
      <c r="Z577" s="1">
        <v>2020</v>
      </c>
      <c r="AA577" s="2">
        <v>694000</v>
      </c>
      <c r="AB577" s="2"/>
      <c r="AC577" s="2">
        <v>520500</v>
      </c>
      <c r="AD577" s="1">
        <v>0</v>
      </c>
      <c r="AF577" s="1">
        <v>8</v>
      </c>
      <c r="AG577" s="1" t="s">
        <v>56</v>
      </c>
      <c r="AH577" s="1" t="s">
        <v>154</v>
      </c>
      <c r="AI577" s="2">
        <v>379845.48</v>
      </c>
      <c r="AL577" s="1" t="s">
        <v>3293</v>
      </c>
    </row>
    <row r="578" spans="1:38" ht="14.45" customHeight="1" x14ac:dyDescent="0.2">
      <c r="A578" s="1" t="s">
        <v>57</v>
      </c>
      <c r="B578" s="9" t="s">
        <v>38</v>
      </c>
      <c r="C578" s="1" t="s">
        <v>58</v>
      </c>
      <c r="D578" s="1" t="s">
        <v>146</v>
      </c>
      <c r="E578" s="1" t="s">
        <v>42</v>
      </c>
      <c r="G578" s="1" t="s">
        <v>147</v>
      </c>
      <c r="H578" s="1" t="s">
        <v>148</v>
      </c>
      <c r="I578" s="1" t="s">
        <v>3294</v>
      </c>
      <c r="J578" s="1">
        <v>2020</v>
      </c>
      <c r="K578" s="1" t="s">
        <v>3295</v>
      </c>
      <c r="L578" s="1" t="s">
        <v>3296</v>
      </c>
      <c r="M578" s="1" t="s">
        <v>3297</v>
      </c>
      <c r="N578" s="1" t="s">
        <v>3298</v>
      </c>
      <c r="P578" s="1" t="s">
        <v>3299</v>
      </c>
      <c r="Q578" s="1" t="s">
        <v>264</v>
      </c>
      <c r="R578" s="1" t="s">
        <v>265</v>
      </c>
      <c r="S578" s="1" t="s">
        <v>2680</v>
      </c>
      <c r="T578" s="1" t="s">
        <v>2681</v>
      </c>
      <c r="U578" s="1">
        <v>1</v>
      </c>
      <c r="V578" s="1" t="s">
        <v>308</v>
      </c>
      <c r="W578" s="1" t="s">
        <v>3300</v>
      </c>
      <c r="X578" s="1" t="s">
        <v>153</v>
      </c>
      <c r="Y578" s="10">
        <v>44127</v>
      </c>
      <c r="Z578" s="1">
        <v>2020</v>
      </c>
      <c r="AA578" s="2">
        <v>668000</v>
      </c>
      <c r="AB578" s="2"/>
      <c r="AC578" s="2">
        <v>501000</v>
      </c>
      <c r="AD578" s="1">
        <v>0</v>
      </c>
      <c r="AF578" s="1">
        <v>8</v>
      </c>
      <c r="AG578" s="1" t="s">
        <v>56</v>
      </c>
      <c r="AH578" s="1" t="s">
        <v>154</v>
      </c>
      <c r="AI578" s="2">
        <v>479056.2</v>
      </c>
    </row>
    <row r="579" spans="1:38" ht="14.45" customHeight="1" x14ac:dyDescent="0.2">
      <c r="A579" s="1" t="s">
        <v>57</v>
      </c>
      <c r="B579" s="9" t="s">
        <v>38</v>
      </c>
      <c r="C579" s="1" t="s">
        <v>58</v>
      </c>
      <c r="D579" s="1" t="s">
        <v>146</v>
      </c>
      <c r="E579" s="1" t="s">
        <v>42</v>
      </c>
      <c r="G579" s="1" t="s">
        <v>147</v>
      </c>
      <c r="H579" s="1" t="s">
        <v>2155</v>
      </c>
      <c r="I579" s="1" t="s">
        <v>3301</v>
      </c>
      <c r="J579" s="1">
        <v>2020</v>
      </c>
      <c r="K579" s="1" t="s">
        <v>3302</v>
      </c>
      <c r="L579" s="1" t="s">
        <v>3303</v>
      </c>
      <c r="N579" s="1" t="s">
        <v>3304</v>
      </c>
      <c r="P579" s="1" t="s">
        <v>3305</v>
      </c>
      <c r="Q579" s="1" t="s">
        <v>264</v>
      </c>
      <c r="R579" s="1" t="s">
        <v>265</v>
      </c>
      <c r="S579" s="1" t="s">
        <v>3306</v>
      </c>
      <c r="T579" s="1" t="s">
        <v>3307</v>
      </c>
      <c r="U579" s="1">
        <v>1</v>
      </c>
      <c r="V579" s="1" t="s">
        <v>535</v>
      </c>
      <c r="W579" s="1" t="s">
        <v>3308</v>
      </c>
      <c r="X579" s="1" t="s">
        <v>153</v>
      </c>
      <c r="Y579" s="10">
        <v>44127</v>
      </c>
      <c r="Z579" s="1">
        <v>2020</v>
      </c>
      <c r="AA579" s="2">
        <v>1031595.72</v>
      </c>
      <c r="AB579" s="2"/>
      <c r="AC579" s="2">
        <v>773696.79</v>
      </c>
      <c r="AD579" s="1">
        <v>1</v>
      </c>
      <c r="AF579" s="1">
        <v>3</v>
      </c>
      <c r="AG579" s="1" t="s">
        <v>56</v>
      </c>
      <c r="AH579" s="1" t="s">
        <v>1458</v>
      </c>
      <c r="AI579" s="2">
        <v>773696.79</v>
      </c>
      <c r="AL579" s="1" t="s">
        <v>2170</v>
      </c>
    </row>
    <row r="580" spans="1:38" ht="14.45" customHeight="1" x14ac:dyDescent="0.2">
      <c r="A580" s="1" t="s">
        <v>57</v>
      </c>
      <c r="B580" s="9" t="s">
        <v>38</v>
      </c>
      <c r="C580" s="1" t="s">
        <v>58</v>
      </c>
      <c r="D580" s="1" t="s">
        <v>146</v>
      </c>
      <c r="E580" s="1" t="s">
        <v>42</v>
      </c>
      <c r="G580" s="1" t="s">
        <v>155</v>
      </c>
      <c r="H580" s="1" t="s">
        <v>156</v>
      </c>
      <c r="I580" s="1" t="s">
        <v>3309</v>
      </c>
      <c r="J580" s="1">
        <v>2022</v>
      </c>
      <c r="K580" s="1" t="s">
        <v>3310</v>
      </c>
      <c r="L580" s="1" t="s">
        <v>3311</v>
      </c>
      <c r="P580" s="1" t="s">
        <v>3262</v>
      </c>
      <c r="Q580" s="1" t="s">
        <v>264</v>
      </c>
      <c r="R580" s="1" t="s">
        <v>265</v>
      </c>
      <c r="S580" s="1" t="s">
        <v>1046</v>
      </c>
      <c r="T580" s="1" t="s">
        <v>1047</v>
      </c>
      <c r="U580" s="1">
        <v>1</v>
      </c>
      <c r="V580" s="1" t="s">
        <v>535</v>
      </c>
      <c r="W580" s="1" t="s">
        <v>3312</v>
      </c>
      <c r="Y580" s="10">
        <v>45112</v>
      </c>
      <c r="Z580" s="1">
        <v>2023</v>
      </c>
      <c r="AA580" s="2">
        <v>497280.79</v>
      </c>
      <c r="AB580" s="2"/>
      <c r="AC580" s="2">
        <v>497280.79</v>
      </c>
      <c r="AG580" s="1" t="s">
        <v>56</v>
      </c>
      <c r="AI580" s="2">
        <v>497280.79</v>
      </c>
    </row>
    <row r="581" spans="1:38" ht="14.45" customHeight="1" x14ac:dyDescent="0.2">
      <c r="A581" s="1" t="s">
        <v>57</v>
      </c>
      <c r="B581" s="9" t="s">
        <v>38</v>
      </c>
      <c r="C581" s="1" t="s">
        <v>58</v>
      </c>
      <c r="D581" s="1" t="s">
        <v>146</v>
      </c>
      <c r="E581" s="1" t="s">
        <v>42</v>
      </c>
      <c r="G581" s="1" t="s">
        <v>147</v>
      </c>
      <c r="H581" s="1" t="s">
        <v>148</v>
      </c>
      <c r="I581" s="1" t="s">
        <v>2884</v>
      </c>
      <c r="J581" s="1">
        <v>2020</v>
      </c>
      <c r="K581" s="1" t="s">
        <v>2885</v>
      </c>
      <c r="L581" s="1" t="s">
        <v>2886</v>
      </c>
      <c r="P581" s="1" t="s">
        <v>3047</v>
      </c>
      <c r="Q581" s="1" t="s">
        <v>50</v>
      </c>
      <c r="R581" s="1" t="s">
        <v>77</v>
      </c>
      <c r="S581" s="1" t="s">
        <v>1096</v>
      </c>
      <c r="T581" s="1" t="s">
        <v>1097</v>
      </c>
      <c r="U581" s="1">
        <v>1</v>
      </c>
      <c r="V581" s="1" t="s">
        <v>186</v>
      </c>
      <c r="W581" s="1" t="s">
        <v>2886</v>
      </c>
      <c r="X581" s="1" t="s">
        <v>153</v>
      </c>
      <c r="Y581" s="10">
        <v>44127</v>
      </c>
      <c r="Z581" s="1">
        <v>2020</v>
      </c>
      <c r="AA581" s="2">
        <v>555885.76</v>
      </c>
      <c r="AB581" s="2"/>
      <c r="AC581" s="2">
        <v>416914.32</v>
      </c>
      <c r="AD581" s="1">
        <v>0</v>
      </c>
      <c r="AG581" s="1" t="s">
        <v>56</v>
      </c>
      <c r="AH581" s="1" t="s">
        <v>1458</v>
      </c>
      <c r="AI581" s="2">
        <v>416914.32</v>
      </c>
      <c r="AL581" s="1" t="s">
        <v>1744</v>
      </c>
    </row>
    <row r="582" spans="1:38" ht="14.45" customHeight="1" x14ac:dyDescent="0.2">
      <c r="A582" s="1" t="s">
        <v>57</v>
      </c>
      <c r="B582" s="9" t="s">
        <v>38</v>
      </c>
      <c r="C582" s="1" t="s">
        <v>58</v>
      </c>
      <c r="D582" s="1" t="s">
        <v>146</v>
      </c>
      <c r="E582" s="1" t="s">
        <v>42</v>
      </c>
      <c r="G582" s="1" t="s">
        <v>147</v>
      </c>
      <c r="H582" s="1" t="s">
        <v>148</v>
      </c>
      <c r="I582" s="1" t="s">
        <v>2884</v>
      </c>
      <c r="J582" s="1">
        <v>2020</v>
      </c>
      <c r="K582" s="1" t="s">
        <v>2885</v>
      </c>
      <c r="L582" s="1" t="s">
        <v>2886</v>
      </c>
      <c r="P582" s="1" t="s">
        <v>192</v>
      </c>
      <c r="Q582" s="1" t="s">
        <v>50</v>
      </c>
      <c r="R582" s="1" t="s">
        <v>68</v>
      </c>
      <c r="S582" s="1" t="s">
        <v>193</v>
      </c>
      <c r="T582" s="1" t="s">
        <v>194</v>
      </c>
      <c r="U582" s="1">
        <v>1</v>
      </c>
      <c r="V582" s="1" t="s">
        <v>195</v>
      </c>
      <c r="W582" s="1" t="s">
        <v>2886</v>
      </c>
      <c r="X582" s="1" t="s">
        <v>153</v>
      </c>
      <c r="Y582" s="10">
        <v>44127</v>
      </c>
      <c r="Z582" s="1">
        <v>2020</v>
      </c>
      <c r="AA582" s="2">
        <v>666751.29</v>
      </c>
      <c r="AB582" s="2"/>
      <c r="AC582" s="2">
        <v>500063.46750000003</v>
      </c>
      <c r="AD582" s="1">
        <v>0</v>
      </c>
      <c r="AG582" s="1" t="s">
        <v>56</v>
      </c>
      <c r="AH582" s="1" t="s">
        <v>1458</v>
      </c>
      <c r="AI582" s="2">
        <v>500063.46750000003</v>
      </c>
      <c r="AL582" s="1" t="s">
        <v>1744</v>
      </c>
    </row>
    <row r="583" spans="1:38" ht="14.45" customHeight="1" x14ac:dyDescent="0.2">
      <c r="A583" s="1" t="s">
        <v>57</v>
      </c>
      <c r="B583" s="9" t="s">
        <v>38</v>
      </c>
      <c r="C583" s="1" t="s">
        <v>58</v>
      </c>
      <c r="D583" s="1" t="s">
        <v>146</v>
      </c>
      <c r="E583" s="1" t="s">
        <v>42</v>
      </c>
      <c r="G583" s="1" t="s">
        <v>155</v>
      </c>
      <c r="H583" s="1" t="s">
        <v>156</v>
      </c>
      <c r="I583" s="1" t="s">
        <v>3313</v>
      </c>
      <c r="J583" s="1">
        <v>2022</v>
      </c>
      <c r="K583" s="1" t="s">
        <v>3314</v>
      </c>
      <c r="L583" s="1" t="s">
        <v>3315</v>
      </c>
      <c r="P583" s="1" t="s">
        <v>1721</v>
      </c>
      <c r="Q583" s="1" t="s">
        <v>264</v>
      </c>
      <c r="R583" s="1" t="s">
        <v>265</v>
      </c>
      <c r="S583" s="1" t="s">
        <v>533</v>
      </c>
      <c r="T583" s="1" t="s">
        <v>534</v>
      </c>
      <c r="U583" s="1">
        <v>1</v>
      </c>
      <c r="V583" s="1" t="s">
        <v>535</v>
      </c>
      <c r="W583" s="1" t="s">
        <v>3316</v>
      </c>
      <c r="Y583" s="10">
        <v>45112</v>
      </c>
      <c r="Z583" s="1">
        <v>2023</v>
      </c>
      <c r="AA583" s="2">
        <v>491581.59</v>
      </c>
      <c r="AB583" s="2"/>
      <c r="AC583" s="2">
        <v>491581.59</v>
      </c>
      <c r="AG583" s="1" t="s">
        <v>56</v>
      </c>
      <c r="AI583" s="2">
        <v>491581.59</v>
      </c>
    </row>
    <row r="584" spans="1:38" ht="14.45" customHeight="1" x14ac:dyDescent="0.2">
      <c r="A584" s="1" t="s">
        <v>57</v>
      </c>
      <c r="B584" s="9" t="s">
        <v>38</v>
      </c>
      <c r="C584" s="1" t="s">
        <v>58</v>
      </c>
      <c r="D584" s="1" t="s">
        <v>146</v>
      </c>
      <c r="E584" s="1" t="s">
        <v>42</v>
      </c>
      <c r="G584" s="1" t="s">
        <v>147</v>
      </c>
      <c r="H584" s="1" t="s">
        <v>148</v>
      </c>
      <c r="I584" s="1" t="s">
        <v>3317</v>
      </c>
      <c r="J584" s="1">
        <v>2020</v>
      </c>
      <c r="K584" s="1" t="s">
        <v>3318</v>
      </c>
      <c r="L584" s="1" t="s">
        <v>3319</v>
      </c>
      <c r="M584" s="1" t="s">
        <v>3320</v>
      </c>
      <c r="N584" s="1" t="s">
        <v>3321</v>
      </c>
      <c r="P584" s="1" t="s">
        <v>2655</v>
      </c>
      <c r="Q584" s="1" t="s">
        <v>264</v>
      </c>
      <c r="R584" s="1" t="s">
        <v>265</v>
      </c>
      <c r="S584" s="1" t="s">
        <v>923</v>
      </c>
      <c r="T584" s="1" t="s">
        <v>924</v>
      </c>
      <c r="U584" s="1">
        <v>1</v>
      </c>
      <c r="V584" s="1" t="s">
        <v>268</v>
      </c>
      <c r="W584" s="1" t="s">
        <v>3318</v>
      </c>
      <c r="X584" s="1" t="s">
        <v>321</v>
      </c>
      <c r="Y584" s="10">
        <v>44127</v>
      </c>
      <c r="Z584" s="1">
        <v>2020</v>
      </c>
      <c r="AA584" s="2">
        <v>170000</v>
      </c>
      <c r="AB584" s="2"/>
      <c r="AC584" s="2">
        <v>127500</v>
      </c>
      <c r="AD584" s="1">
        <v>0.5</v>
      </c>
      <c r="AF584" s="1">
        <v>5</v>
      </c>
      <c r="AG584" s="1" t="s">
        <v>56</v>
      </c>
      <c r="AH584" s="1" t="s">
        <v>154</v>
      </c>
      <c r="AI584" s="2">
        <v>127500</v>
      </c>
      <c r="AL584" s="1" t="s">
        <v>3322</v>
      </c>
    </row>
    <row r="585" spans="1:38" ht="14.45" customHeight="1" x14ac:dyDescent="0.2">
      <c r="A585" s="1" t="s">
        <v>57</v>
      </c>
      <c r="B585" s="9" t="s">
        <v>38</v>
      </c>
      <c r="C585" s="1" t="s">
        <v>58</v>
      </c>
      <c r="D585" s="1" t="s">
        <v>146</v>
      </c>
      <c r="E585" s="1" t="s">
        <v>42</v>
      </c>
      <c r="G585" s="1" t="s">
        <v>155</v>
      </c>
      <c r="H585" s="1" t="s">
        <v>156</v>
      </c>
      <c r="I585" s="1" t="s">
        <v>3323</v>
      </c>
      <c r="J585" s="1">
        <v>2022</v>
      </c>
      <c r="K585" s="1" t="s">
        <v>3324</v>
      </c>
      <c r="L585" s="1" t="s">
        <v>3325</v>
      </c>
      <c r="M585" s="1" t="s">
        <v>3326</v>
      </c>
      <c r="P585" s="1" t="s">
        <v>3327</v>
      </c>
      <c r="Q585" s="1" t="s">
        <v>1149</v>
      </c>
      <c r="R585" s="1" t="s">
        <v>1150</v>
      </c>
      <c r="S585" s="1" t="s">
        <v>3328</v>
      </c>
      <c r="T585" s="1" t="s">
        <v>3329</v>
      </c>
      <c r="V585" s="1" t="s">
        <v>1153</v>
      </c>
      <c r="W585" s="1" t="s">
        <v>3330</v>
      </c>
      <c r="Y585" s="10">
        <v>45112</v>
      </c>
      <c r="Z585" s="1">
        <v>2023</v>
      </c>
      <c r="AA585" s="2">
        <v>493280.97</v>
      </c>
      <c r="AB585" s="2"/>
      <c r="AC585" s="2">
        <v>493280.97</v>
      </c>
      <c r="AG585" s="1" t="s">
        <v>56</v>
      </c>
      <c r="AI585" s="2">
        <v>493280.97</v>
      </c>
    </row>
    <row r="586" spans="1:38" ht="14.45" customHeight="1" x14ac:dyDescent="0.2">
      <c r="A586" s="1" t="s">
        <v>57</v>
      </c>
      <c r="B586" s="9" t="s">
        <v>38</v>
      </c>
      <c r="C586" s="1" t="s">
        <v>58</v>
      </c>
      <c r="D586" s="1" t="s">
        <v>59</v>
      </c>
      <c r="E586" s="1" t="s">
        <v>42</v>
      </c>
      <c r="G586" s="1" t="s">
        <v>122</v>
      </c>
      <c r="H586" s="1" t="s">
        <v>1893</v>
      </c>
      <c r="I586" s="1" t="s">
        <v>3331</v>
      </c>
      <c r="J586" s="1">
        <v>2023</v>
      </c>
      <c r="K586" s="1" t="s">
        <v>3332</v>
      </c>
      <c r="L586" s="1" t="s">
        <v>3333</v>
      </c>
      <c r="M586" s="1" t="s">
        <v>3334</v>
      </c>
      <c r="P586" s="1" t="s">
        <v>3335</v>
      </c>
      <c r="Q586" s="1" t="s">
        <v>50</v>
      </c>
      <c r="R586" s="1" t="s">
        <v>68</v>
      </c>
      <c r="S586" s="1" t="s">
        <v>2986</v>
      </c>
      <c r="T586" s="1" t="s">
        <v>2987</v>
      </c>
      <c r="U586" s="1">
        <v>2</v>
      </c>
      <c r="V586" s="1" t="s">
        <v>195</v>
      </c>
      <c r="W586" s="1" t="s">
        <v>3332</v>
      </c>
      <c r="Y586" s="10">
        <v>45478</v>
      </c>
      <c r="Z586" s="1">
        <v>2024</v>
      </c>
      <c r="AA586" s="2">
        <v>143214.79999999999</v>
      </c>
      <c r="AB586" s="2"/>
      <c r="AC586" s="2">
        <v>71607.399999999994</v>
      </c>
      <c r="AD586" s="1">
        <v>2</v>
      </c>
      <c r="AE586" s="1">
        <v>1</v>
      </c>
      <c r="AG586" s="1" t="s">
        <v>56</v>
      </c>
      <c r="AI586" s="2">
        <v>71607.399999999994</v>
      </c>
    </row>
    <row r="587" spans="1:38" ht="14.45" customHeight="1" x14ac:dyDescent="0.2">
      <c r="A587" s="1" t="s">
        <v>57</v>
      </c>
      <c r="B587" s="9" t="s">
        <v>38</v>
      </c>
      <c r="C587" s="1" t="s">
        <v>58</v>
      </c>
      <c r="D587" s="1" t="s">
        <v>146</v>
      </c>
      <c r="E587" s="1" t="s">
        <v>42</v>
      </c>
      <c r="G587" s="1" t="s">
        <v>147</v>
      </c>
      <c r="H587" s="1" t="s">
        <v>148</v>
      </c>
      <c r="I587" s="1" t="s">
        <v>2884</v>
      </c>
      <c r="J587" s="1">
        <v>2020</v>
      </c>
      <c r="K587" s="1" t="s">
        <v>2885</v>
      </c>
      <c r="L587" s="1" t="s">
        <v>2886</v>
      </c>
      <c r="P587" s="1" t="s">
        <v>1359</v>
      </c>
      <c r="Q587" s="1" t="s">
        <v>50</v>
      </c>
      <c r="R587" s="1" t="s">
        <v>68</v>
      </c>
      <c r="S587" s="1" t="s">
        <v>1360</v>
      </c>
      <c r="T587" s="1" t="s">
        <v>1361</v>
      </c>
      <c r="U587" s="1">
        <v>1</v>
      </c>
      <c r="V587" s="1" t="s">
        <v>71</v>
      </c>
      <c r="W587" s="1" t="s">
        <v>2886</v>
      </c>
      <c r="X587" s="1" t="s">
        <v>153</v>
      </c>
      <c r="Y587" s="10">
        <v>44127</v>
      </c>
      <c r="Z587" s="1">
        <v>2020</v>
      </c>
      <c r="AA587" s="2">
        <v>409351.73</v>
      </c>
      <c r="AB587" s="2"/>
      <c r="AC587" s="2">
        <v>307013.79749999999</v>
      </c>
      <c r="AD587" s="1">
        <v>0</v>
      </c>
      <c r="AG587" s="1" t="s">
        <v>56</v>
      </c>
      <c r="AH587" s="1" t="s">
        <v>1458</v>
      </c>
      <c r="AI587" s="2">
        <v>307013.79749999999</v>
      </c>
      <c r="AL587" s="1" t="s">
        <v>1744</v>
      </c>
    </row>
    <row r="588" spans="1:38" ht="14.45" customHeight="1" x14ac:dyDescent="0.2">
      <c r="A588" s="1" t="s">
        <v>57</v>
      </c>
      <c r="B588" s="9" t="s">
        <v>38</v>
      </c>
      <c r="C588" s="1" t="s">
        <v>58</v>
      </c>
      <c r="D588" s="1" t="s">
        <v>146</v>
      </c>
      <c r="E588" s="1" t="s">
        <v>42</v>
      </c>
      <c r="G588" s="1" t="s">
        <v>147</v>
      </c>
      <c r="H588" s="1" t="s">
        <v>148</v>
      </c>
      <c r="I588" s="1" t="s">
        <v>3336</v>
      </c>
      <c r="J588" s="1">
        <v>2020</v>
      </c>
      <c r="K588" s="1" t="s">
        <v>3337</v>
      </c>
      <c r="L588" s="1" t="s">
        <v>3338</v>
      </c>
      <c r="M588" s="1" t="s">
        <v>3339</v>
      </c>
      <c r="N588" s="1" t="s">
        <v>3340</v>
      </c>
      <c r="P588" s="1" t="s">
        <v>3299</v>
      </c>
      <c r="Q588" s="1" t="s">
        <v>264</v>
      </c>
      <c r="R588" s="1" t="s">
        <v>265</v>
      </c>
      <c r="S588" s="1" t="s">
        <v>2680</v>
      </c>
      <c r="T588" s="1" t="s">
        <v>2681</v>
      </c>
      <c r="U588" s="1">
        <v>1</v>
      </c>
      <c r="V588" s="1" t="s">
        <v>308</v>
      </c>
      <c r="W588" s="1" t="s">
        <v>3341</v>
      </c>
      <c r="X588" s="1" t="s">
        <v>153</v>
      </c>
      <c r="Y588" s="10">
        <v>44127</v>
      </c>
      <c r="Z588" s="1">
        <v>2020</v>
      </c>
      <c r="AA588" s="2">
        <v>150000</v>
      </c>
      <c r="AB588" s="2"/>
      <c r="AC588" s="2">
        <v>112500</v>
      </c>
      <c r="AD588" s="1">
        <v>0</v>
      </c>
      <c r="AF588" s="1">
        <v>9</v>
      </c>
      <c r="AG588" s="1" t="s">
        <v>56</v>
      </c>
      <c r="AH588" s="1" t="s">
        <v>1458</v>
      </c>
      <c r="AI588" s="2">
        <v>112500</v>
      </c>
      <c r="AL588" s="1" t="s">
        <v>3342</v>
      </c>
    </row>
    <row r="589" spans="1:38" ht="14.45" customHeight="1" x14ac:dyDescent="0.2">
      <c r="A589" s="1" t="s">
        <v>57</v>
      </c>
      <c r="B589" s="9" t="s">
        <v>38</v>
      </c>
      <c r="C589" s="1" t="s">
        <v>58</v>
      </c>
      <c r="D589" s="1" t="s">
        <v>146</v>
      </c>
      <c r="E589" s="1" t="s">
        <v>42</v>
      </c>
      <c r="G589" s="1" t="s">
        <v>147</v>
      </c>
      <c r="H589" s="1" t="s">
        <v>148</v>
      </c>
      <c r="I589" s="1" t="s">
        <v>3343</v>
      </c>
      <c r="J589" s="1">
        <v>2020</v>
      </c>
      <c r="K589" s="1" t="s">
        <v>3344</v>
      </c>
      <c r="L589" s="1" t="s">
        <v>3345</v>
      </c>
      <c r="M589" s="1" t="s">
        <v>3346</v>
      </c>
      <c r="N589" s="1" t="s">
        <v>3347</v>
      </c>
      <c r="P589" s="1" t="s">
        <v>3348</v>
      </c>
      <c r="Q589" s="1" t="s">
        <v>264</v>
      </c>
      <c r="R589" s="1" t="s">
        <v>265</v>
      </c>
      <c r="S589" s="1" t="s">
        <v>3349</v>
      </c>
      <c r="T589" s="1" t="s">
        <v>3350</v>
      </c>
      <c r="U589" s="1">
        <v>1</v>
      </c>
      <c r="V589" s="1" t="s">
        <v>535</v>
      </c>
      <c r="W589" s="1" t="s">
        <v>3351</v>
      </c>
      <c r="X589" s="1" t="s">
        <v>153</v>
      </c>
      <c r="Y589" s="10">
        <v>44127</v>
      </c>
      <c r="Z589" s="1">
        <v>2020</v>
      </c>
      <c r="AA589" s="2">
        <v>40000</v>
      </c>
      <c r="AB589" s="2"/>
      <c r="AC589" s="2">
        <v>30000</v>
      </c>
      <c r="AD589" s="1">
        <v>0</v>
      </c>
      <c r="AF589" s="1" t="s">
        <v>1768</v>
      </c>
      <c r="AG589" s="1" t="s">
        <v>56</v>
      </c>
      <c r="AH589" s="1" t="s">
        <v>154</v>
      </c>
      <c r="AI589" s="2">
        <v>23449.87</v>
      </c>
      <c r="AL589" s="1" t="s">
        <v>3352</v>
      </c>
    </row>
    <row r="590" spans="1:38" ht="14.45" customHeight="1" x14ac:dyDescent="0.2">
      <c r="A590" s="1" t="s">
        <v>57</v>
      </c>
      <c r="B590" s="9" t="s">
        <v>38</v>
      </c>
      <c r="C590" s="1" t="s">
        <v>58</v>
      </c>
      <c r="D590" s="1" t="s">
        <v>146</v>
      </c>
      <c r="E590" s="1" t="s">
        <v>42</v>
      </c>
      <c r="G590" s="1" t="s">
        <v>147</v>
      </c>
      <c r="H590" s="1" t="s">
        <v>148</v>
      </c>
      <c r="I590" s="1" t="s">
        <v>3353</v>
      </c>
      <c r="J590" s="1">
        <v>2020</v>
      </c>
      <c r="K590" s="1" t="s">
        <v>3354</v>
      </c>
      <c r="L590" s="1" t="s">
        <v>3355</v>
      </c>
      <c r="M590" s="1" t="s">
        <v>3356</v>
      </c>
      <c r="N590" s="1" t="s">
        <v>3357</v>
      </c>
      <c r="P590" s="1" t="s">
        <v>1721</v>
      </c>
      <c r="Q590" s="1" t="s">
        <v>264</v>
      </c>
      <c r="R590" s="1" t="s">
        <v>265</v>
      </c>
      <c r="S590" s="1" t="s">
        <v>533</v>
      </c>
      <c r="T590" s="1" t="s">
        <v>534</v>
      </c>
      <c r="U590" s="1">
        <v>1</v>
      </c>
      <c r="V590" s="1" t="s">
        <v>535</v>
      </c>
      <c r="W590" s="1" t="s">
        <v>3358</v>
      </c>
      <c r="X590" s="1" t="s">
        <v>153</v>
      </c>
      <c r="Y590" s="10">
        <v>44127</v>
      </c>
      <c r="Z590" s="1">
        <v>2020</v>
      </c>
      <c r="AA590" s="2">
        <v>7000000</v>
      </c>
      <c r="AB590" s="2"/>
      <c r="AC590" s="2">
        <v>5250000</v>
      </c>
      <c r="AD590" s="1">
        <v>0</v>
      </c>
      <c r="AF590" s="1">
        <v>0</v>
      </c>
      <c r="AG590" s="1" t="s">
        <v>56</v>
      </c>
      <c r="AH590" s="1" t="s">
        <v>154</v>
      </c>
      <c r="AI590" s="2">
        <v>5243132.41</v>
      </c>
      <c r="AL590" s="1" t="s">
        <v>3359</v>
      </c>
    </row>
    <row r="591" spans="1:38" ht="14.45" customHeight="1" x14ac:dyDescent="0.2">
      <c r="A591" s="1" t="s">
        <v>57</v>
      </c>
      <c r="B591" s="9" t="s">
        <v>38</v>
      </c>
      <c r="C591" s="1" t="s">
        <v>58</v>
      </c>
      <c r="D591" s="1" t="s">
        <v>146</v>
      </c>
      <c r="E591" s="1" t="s">
        <v>42</v>
      </c>
      <c r="G591" s="1" t="s">
        <v>147</v>
      </c>
      <c r="H591" s="1" t="s">
        <v>148</v>
      </c>
      <c r="I591" s="1" t="s">
        <v>2884</v>
      </c>
      <c r="J591" s="1">
        <v>2020</v>
      </c>
      <c r="K591" s="1" t="s">
        <v>2885</v>
      </c>
      <c r="L591" s="1" t="s">
        <v>2886</v>
      </c>
      <c r="P591" s="1" t="s">
        <v>3360</v>
      </c>
      <c r="Q591" s="1" t="s">
        <v>50</v>
      </c>
      <c r="R591" s="1" t="s">
        <v>77</v>
      </c>
      <c r="S591" s="1" t="s">
        <v>198</v>
      </c>
      <c r="T591" s="1" t="s">
        <v>199</v>
      </c>
      <c r="U591" s="1">
        <v>1</v>
      </c>
      <c r="V591" s="1" t="s">
        <v>186</v>
      </c>
      <c r="W591" s="1" t="s">
        <v>2886</v>
      </c>
      <c r="X591" s="1" t="s">
        <v>153</v>
      </c>
      <c r="Y591" s="10">
        <v>44127</v>
      </c>
      <c r="Z591" s="1">
        <v>2020</v>
      </c>
      <c r="AA591" s="2">
        <v>944286.25</v>
      </c>
      <c r="AB591" s="2"/>
      <c r="AC591" s="2">
        <v>708214.6875</v>
      </c>
      <c r="AD591" s="1">
        <v>0</v>
      </c>
      <c r="AG591" s="1" t="s">
        <v>56</v>
      </c>
      <c r="AH591" s="1" t="s">
        <v>1458</v>
      </c>
      <c r="AI591" s="2">
        <v>708214.6875</v>
      </c>
      <c r="AL591" s="1" t="s">
        <v>1744</v>
      </c>
    </row>
    <row r="592" spans="1:38" ht="14.45" customHeight="1" x14ac:dyDescent="0.2">
      <c r="A592" s="1" t="s">
        <v>57</v>
      </c>
      <c r="B592" s="9" t="s">
        <v>38</v>
      </c>
      <c r="C592" s="1" t="s">
        <v>58</v>
      </c>
      <c r="D592" s="1" t="s">
        <v>146</v>
      </c>
      <c r="E592" s="1" t="s">
        <v>42</v>
      </c>
      <c r="G592" s="1" t="s">
        <v>155</v>
      </c>
      <c r="H592" s="1" t="s">
        <v>156</v>
      </c>
      <c r="I592" s="1" t="s">
        <v>3361</v>
      </c>
      <c r="J592" s="1">
        <v>2022</v>
      </c>
      <c r="K592" s="1" t="s">
        <v>3362</v>
      </c>
      <c r="L592" s="1" t="s">
        <v>3363</v>
      </c>
      <c r="P592" s="1" t="s">
        <v>3364</v>
      </c>
      <c r="Q592" s="1" t="s">
        <v>264</v>
      </c>
      <c r="R592" s="1" t="s">
        <v>265</v>
      </c>
      <c r="S592" s="1" t="s">
        <v>656</v>
      </c>
      <c r="T592" s="1" t="s">
        <v>657</v>
      </c>
      <c r="U592" s="1">
        <v>2</v>
      </c>
      <c r="V592" s="1" t="s">
        <v>268</v>
      </c>
      <c r="W592" s="1" t="s">
        <v>3365</v>
      </c>
      <c r="Y592" s="10">
        <v>45112</v>
      </c>
      <c r="Z592" s="1">
        <v>2023</v>
      </c>
      <c r="AA592" s="2">
        <v>498668.89</v>
      </c>
      <c r="AB592" s="2"/>
      <c r="AC592" s="2">
        <v>498668.89</v>
      </c>
      <c r="AG592" s="1" t="s">
        <v>56</v>
      </c>
      <c r="AI592" s="2">
        <v>498668.89</v>
      </c>
    </row>
    <row r="593" spans="1:38" ht="14.45" customHeight="1" x14ac:dyDescent="0.2">
      <c r="A593" s="1" t="s">
        <v>57</v>
      </c>
      <c r="B593" s="9" t="s">
        <v>38</v>
      </c>
      <c r="C593" s="1" t="s">
        <v>58</v>
      </c>
      <c r="D593" s="1" t="s">
        <v>146</v>
      </c>
      <c r="E593" s="1" t="s">
        <v>42</v>
      </c>
      <c r="G593" s="1" t="s">
        <v>147</v>
      </c>
      <c r="H593" s="1" t="s">
        <v>148</v>
      </c>
      <c r="I593" s="1" t="s">
        <v>3366</v>
      </c>
      <c r="J593" s="1">
        <v>2020</v>
      </c>
      <c r="K593" s="1" t="s">
        <v>3367</v>
      </c>
      <c r="L593" s="1" t="s">
        <v>3368</v>
      </c>
      <c r="N593" s="1" t="s">
        <v>3369</v>
      </c>
      <c r="P593" s="1" t="s">
        <v>3189</v>
      </c>
      <c r="Q593" s="1" t="s">
        <v>264</v>
      </c>
      <c r="R593" s="1" t="s">
        <v>265</v>
      </c>
      <c r="S593" s="1" t="s">
        <v>935</v>
      </c>
      <c r="T593" s="1" t="s">
        <v>936</v>
      </c>
      <c r="U593" s="1">
        <v>1</v>
      </c>
      <c r="V593" s="1" t="s">
        <v>308</v>
      </c>
      <c r="W593" s="1" t="s">
        <v>3370</v>
      </c>
      <c r="Y593" s="10">
        <v>44127</v>
      </c>
      <c r="Z593" s="1">
        <v>2020</v>
      </c>
      <c r="AA593" s="2">
        <v>1436000</v>
      </c>
      <c r="AB593" s="2"/>
      <c r="AC593" s="2">
        <v>1077000</v>
      </c>
      <c r="AD593" s="1">
        <v>20</v>
      </c>
      <c r="AF593" s="1">
        <v>0</v>
      </c>
      <c r="AG593" s="1" t="s">
        <v>56</v>
      </c>
      <c r="AH593" s="1" t="s">
        <v>1458</v>
      </c>
      <c r="AI593" s="2">
        <v>1077000</v>
      </c>
      <c r="AL593" s="1" t="s">
        <v>1744</v>
      </c>
    </row>
    <row r="594" spans="1:38" ht="14.45" customHeight="1" x14ac:dyDescent="0.2">
      <c r="A594" s="1" t="s">
        <v>57</v>
      </c>
      <c r="B594" s="9" t="s">
        <v>38</v>
      </c>
      <c r="C594" s="1" t="s">
        <v>58</v>
      </c>
      <c r="D594" s="1" t="s">
        <v>146</v>
      </c>
      <c r="E594" s="1" t="s">
        <v>42</v>
      </c>
      <c r="G594" s="1" t="s">
        <v>147</v>
      </c>
      <c r="H594" s="1" t="s">
        <v>148</v>
      </c>
      <c r="I594" s="1" t="s">
        <v>2884</v>
      </c>
      <c r="J594" s="1">
        <v>2020</v>
      </c>
      <c r="K594" s="1" t="s">
        <v>2885</v>
      </c>
      <c r="L594" s="1" t="s">
        <v>2886</v>
      </c>
      <c r="P594" s="1" t="s">
        <v>3371</v>
      </c>
      <c r="Q594" s="1" t="s">
        <v>50</v>
      </c>
      <c r="R594" s="1" t="s">
        <v>68</v>
      </c>
      <c r="S594" s="1" t="s">
        <v>1479</v>
      </c>
      <c r="T594" s="1" t="s">
        <v>1480</v>
      </c>
      <c r="U594" s="1">
        <v>1</v>
      </c>
      <c r="V594" s="1" t="s">
        <v>71</v>
      </c>
      <c r="W594" s="1" t="s">
        <v>2886</v>
      </c>
      <c r="X594" s="1" t="s">
        <v>153</v>
      </c>
      <c r="Y594" s="10">
        <v>44127</v>
      </c>
      <c r="Z594" s="1">
        <v>2020</v>
      </c>
      <c r="AA594" s="2">
        <v>332746.88</v>
      </c>
      <c r="AB594" s="2"/>
      <c r="AC594" s="2">
        <v>249560.16</v>
      </c>
      <c r="AD594" s="1">
        <v>0</v>
      </c>
      <c r="AG594" s="1" t="s">
        <v>56</v>
      </c>
      <c r="AH594" s="1" t="s">
        <v>1458</v>
      </c>
      <c r="AI594" s="2">
        <v>249560.16</v>
      </c>
      <c r="AL594" s="1" t="s">
        <v>1744</v>
      </c>
    </row>
    <row r="595" spans="1:38" ht="14.45" customHeight="1" x14ac:dyDescent="0.2">
      <c r="A595" s="1" t="s">
        <v>57</v>
      </c>
      <c r="B595" s="9" t="s">
        <v>38</v>
      </c>
      <c r="C595" s="1" t="s">
        <v>58</v>
      </c>
      <c r="D595" s="1" t="s">
        <v>146</v>
      </c>
      <c r="E595" s="1" t="s">
        <v>42</v>
      </c>
      <c r="G595" s="1" t="s">
        <v>147</v>
      </c>
      <c r="H595" s="1" t="s">
        <v>148</v>
      </c>
      <c r="I595" s="1" t="s">
        <v>3372</v>
      </c>
      <c r="J595" s="1">
        <v>2020</v>
      </c>
      <c r="K595" s="1" t="s">
        <v>3373</v>
      </c>
      <c r="L595" s="1" t="s">
        <v>3374</v>
      </c>
      <c r="N595" s="1" t="s">
        <v>3375</v>
      </c>
      <c r="P595" s="1" t="s">
        <v>3376</v>
      </c>
      <c r="Q595" s="1" t="s">
        <v>264</v>
      </c>
      <c r="R595" s="1" t="s">
        <v>265</v>
      </c>
      <c r="S595" s="1" t="s">
        <v>3377</v>
      </c>
      <c r="T595" s="1" t="s">
        <v>3378</v>
      </c>
      <c r="U595" s="1">
        <v>1</v>
      </c>
      <c r="V595" s="1" t="s">
        <v>308</v>
      </c>
      <c r="W595" s="1" t="s">
        <v>3379</v>
      </c>
      <c r="X595" s="1" t="s">
        <v>153</v>
      </c>
      <c r="Y595" s="10">
        <v>44127</v>
      </c>
      <c r="Z595" s="1">
        <v>2020</v>
      </c>
      <c r="AA595" s="2">
        <v>500000</v>
      </c>
      <c r="AB595" s="2"/>
      <c r="AC595" s="2">
        <v>375000</v>
      </c>
      <c r="AD595" s="1">
        <v>1</v>
      </c>
      <c r="AF595" s="1">
        <v>11</v>
      </c>
      <c r="AG595" s="1" t="s">
        <v>56</v>
      </c>
      <c r="AH595" s="1" t="s">
        <v>1458</v>
      </c>
      <c r="AI595" s="2">
        <v>375000</v>
      </c>
      <c r="AL595" s="1" t="s">
        <v>3380</v>
      </c>
    </row>
    <row r="596" spans="1:38" ht="14.45" customHeight="1" x14ac:dyDescent="0.2">
      <c r="A596" s="1" t="s">
        <v>57</v>
      </c>
      <c r="B596" s="9" t="s">
        <v>38</v>
      </c>
      <c r="C596" s="1" t="s">
        <v>58</v>
      </c>
      <c r="D596" s="1" t="s">
        <v>146</v>
      </c>
      <c r="E596" s="1" t="s">
        <v>42</v>
      </c>
      <c r="G596" s="1" t="s">
        <v>147</v>
      </c>
      <c r="H596" s="1" t="s">
        <v>148</v>
      </c>
      <c r="I596" s="1" t="s">
        <v>2884</v>
      </c>
      <c r="J596" s="1">
        <v>2020</v>
      </c>
      <c r="K596" s="1" t="s">
        <v>2885</v>
      </c>
      <c r="L596" s="1" t="s">
        <v>2886</v>
      </c>
      <c r="P596" s="1" t="s">
        <v>3381</v>
      </c>
      <c r="Q596" s="1" t="s">
        <v>50</v>
      </c>
      <c r="R596" s="1" t="s">
        <v>68</v>
      </c>
      <c r="S596" s="1" t="s">
        <v>1203</v>
      </c>
      <c r="T596" s="1" t="s">
        <v>1204</v>
      </c>
      <c r="U596" s="1">
        <v>1</v>
      </c>
      <c r="V596" s="1" t="s">
        <v>195</v>
      </c>
      <c r="W596" s="1" t="s">
        <v>2886</v>
      </c>
      <c r="X596" s="1" t="s">
        <v>153</v>
      </c>
      <c r="Y596" s="10">
        <v>44127</v>
      </c>
      <c r="Z596" s="1">
        <v>2020</v>
      </c>
      <c r="AA596" s="2">
        <v>119709.6</v>
      </c>
      <c r="AB596" s="2"/>
      <c r="AC596" s="2">
        <v>89782.200000000012</v>
      </c>
      <c r="AD596" s="1">
        <v>0</v>
      </c>
      <c r="AG596" s="1" t="s">
        <v>56</v>
      </c>
      <c r="AH596" s="1" t="s">
        <v>1458</v>
      </c>
      <c r="AI596" s="2">
        <v>89782.200000000012</v>
      </c>
      <c r="AL596" s="1" t="s">
        <v>1744</v>
      </c>
    </row>
    <row r="597" spans="1:38" ht="14.45" customHeight="1" x14ac:dyDescent="0.2">
      <c r="A597" s="1" t="s">
        <v>57</v>
      </c>
      <c r="B597" s="9" t="s">
        <v>39</v>
      </c>
      <c r="C597" s="1" t="s">
        <v>58</v>
      </c>
      <c r="D597" s="1" t="s">
        <v>146</v>
      </c>
      <c r="E597" s="1" t="s">
        <v>42</v>
      </c>
      <c r="G597" s="1" t="s">
        <v>155</v>
      </c>
      <c r="H597" s="1" t="s">
        <v>156</v>
      </c>
      <c r="I597" s="1" t="s">
        <v>3382</v>
      </c>
      <c r="J597" s="1">
        <v>2022</v>
      </c>
      <c r="K597" s="14" t="s">
        <v>3383</v>
      </c>
      <c r="P597" s="1" t="s">
        <v>3384</v>
      </c>
      <c r="Q597" s="1" t="s">
        <v>842</v>
      </c>
      <c r="R597" s="1" t="s">
        <v>884</v>
      </c>
      <c r="S597" s="1" t="s">
        <v>3385</v>
      </c>
      <c r="T597" s="1" t="s">
        <v>3386</v>
      </c>
      <c r="V597" s="1" t="s">
        <v>887</v>
      </c>
      <c r="W597" s="1" t="s">
        <v>3387</v>
      </c>
      <c r="Y597" s="10">
        <v>45112</v>
      </c>
      <c r="Z597" s="1">
        <v>2023</v>
      </c>
      <c r="AA597" s="2">
        <v>610425.86</v>
      </c>
      <c r="AB597" s="2"/>
      <c r="AC597" s="2">
        <v>610425.86</v>
      </c>
      <c r="AG597" s="1" t="s">
        <v>432</v>
      </c>
      <c r="AH597" s="1" t="s">
        <v>492</v>
      </c>
      <c r="AI597" s="2">
        <v>0</v>
      </c>
    </row>
    <row r="598" spans="1:38" ht="14.45" customHeight="1" x14ac:dyDescent="0.25">
      <c r="A598" s="1" t="s">
        <v>57</v>
      </c>
      <c r="B598" s="9" t="s">
        <v>38</v>
      </c>
      <c r="C598" s="1" t="s">
        <v>58</v>
      </c>
      <c r="D598" s="1" t="s">
        <v>146</v>
      </c>
      <c r="E598" s="1" t="s">
        <v>42</v>
      </c>
      <c r="G598" s="1" t="s">
        <v>147</v>
      </c>
      <c r="H598" s="1" t="s">
        <v>148</v>
      </c>
      <c r="I598" s="1" t="s">
        <v>3388</v>
      </c>
      <c r="J598" s="1">
        <v>2020</v>
      </c>
      <c r="K598" s="1" t="s">
        <v>3389</v>
      </c>
      <c r="L598" s="1" t="s">
        <v>3390</v>
      </c>
      <c r="M598" s="1" t="s">
        <v>3391</v>
      </c>
      <c r="N598" s="1" t="s">
        <v>3392</v>
      </c>
      <c r="P598" s="1" t="s">
        <v>3274</v>
      </c>
      <c r="Q598" s="1" t="s">
        <v>264</v>
      </c>
      <c r="R598" s="1" t="s">
        <v>265</v>
      </c>
      <c r="S598" s="16" t="s">
        <v>306</v>
      </c>
      <c r="T598" s="1" t="s">
        <v>307</v>
      </c>
      <c r="U598" s="1">
        <v>1</v>
      </c>
      <c r="V598" s="1" t="s">
        <v>308</v>
      </c>
      <c r="W598" s="1" t="s">
        <v>3393</v>
      </c>
      <c r="X598" s="1" t="s">
        <v>153</v>
      </c>
      <c r="Y598" s="10">
        <v>44127</v>
      </c>
      <c r="Z598" s="1">
        <v>2020</v>
      </c>
      <c r="AA598" s="2">
        <v>55000</v>
      </c>
      <c r="AB598" s="2"/>
      <c r="AC598" s="2">
        <v>41250</v>
      </c>
      <c r="AD598" s="1">
        <v>0</v>
      </c>
      <c r="AF598" s="1">
        <v>0</v>
      </c>
      <c r="AG598" s="1" t="s">
        <v>56</v>
      </c>
      <c r="AH598" s="1" t="s">
        <v>154</v>
      </c>
      <c r="AI598" s="2">
        <v>29135.33</v>
      </c>
      <c r="AL598" s="1" t="s">
        <v>3394</v>
      </c>
    </row>
    <row r="599" spans="1:38" ht="14.45" customHeight="1" x14ac:dyDescent="0.25">
      <c r="A599" s="1" t="s">
        <v>57</v>
      </c>
      <c r="B599" s="20" t="s">
        <v>38</v>
      </c>
      <c r="C599" s="3" t="s">
        <v>58</v>
      </c>
      <c r="D599" s="1" t="s">
        <v>146</v>
      </c>
      <c r="E599" s="1" t="s">
        <v>42</v>
      </c>
      <c r="F599" s="1" t="s">
        <v>1236</v>
      </c>
      <c r="G599" s="1" t="s">
        <v>155</v>
      </c>
      <c r="H599" s="1" t="s">
        <v>156</v>
      </c>
      <c r="I599" s="3" t="s">
        <v>3395</v>
      </c>
      <c r="J599" s="1">
        <v>2022</v>
      </c>
      <c r="K599" s="1" t="s">
        <v>3396</v>
      </c>
      <c r="L599" s="23" t="s">
        <v>3397</v>
      </c>
      <c r="M599" s="1" t="s">
        <v>1240</v>
      </c>
      <c r="P599" s="1" t="s">
        <v>2189</v>
      </c>
      <c r="Q599" s="1" t="s">
        <v>101</v>
      </c>
      <c r="R599" s="1" t="s">
        <v>102</v>
      </c>
      <c r="S599" s="3" t="s">
        <v>2190</v>
      </c>
      <c r="T599" s="3" t="s">
        <v>2191</v>
      </c>
      <c r="U599" s="24">
        <v>1</v>
      </c>
      <c r="V599" s="3" t="s">
        <v>101</v>
      </c>
      <c r="W599" s="3" t="s">
        <v>3397</v>
      </c>
      <c r="X599" s="3"/>
      <c r="Y599" s="21"/>
      <c r="Z599" s="3">
        <v>2025</v>
      </c>
      <c r="AA599" s="22">
        <v>540684.64</v>
      </c>
      <c r="AB599" s="22"/>
      <c r="AC599" s="22">
        <v>540684.64</v>
      </c>
      <c r="AD599" s="2"/>
      <c r="AG599" s="1" t="s">
        <v>56</v>
      </c>
      <c r="AI599" s="22">
        <v>540684.64</v>
      </c>
    </row>
    <row r="600" spans="1:38" ht="14.45" customHeight="1" x14ac:dyDescent="0.2">
      <c r="A600" s="1" t="s">
        <v>57</v>
      </c>
      <c r="B600" s="9" t="s">
        <v>38</v>
      </c>
      <c r="C600" s="1" t="s">
        <v>58</v>
      </c>
      <c r="D600" s="1" t="s">
        <v>146</v>
      </c>
      <c r="E600" s="1" t="s">
        <v>42</v>
      </c>
      <c r="G600" s="1" t="s">
        <v>147</v>
      </c>
      <c r="H600" s="1" t="s">
        <v>148</v>
      </c>
      <c r="I600" s="1" t="s">
        <v>2884</v>
      </c>
      <c r="J600" s="1">
        <v>2020</v>
      </c>
      <c r="K600" s="1" t="s">
        <v>2885</v>
      </c>
      <c r="L600" s="1" t="s">
        <v>2886</v>
      </c>
      <c r="P600" s="1" t="s">
        <v>3398</v>
      </c>
      <c r="Q600" s="1" t="s">
        <v>50</v>
      </c>
      <c r="R600" s="1" t="s">
        <v>68</v>
      </c>
      <c r="S600" s="1" t="s">
        <v>1368</v>
      </c>
      <c r="T600" s="1" t="s">
        <v>1369</v>
      </c>
      <c r="U600" s="1">
        <v>1</v>
      </c>
      <c r="V600" s="1" t="s">
        <v>195</v>
      </c>
      <c r="W600" s="1" t="s">
        <v>2886</v>
      </c>
      <c r="X600" s="1" t="s">
        <v>153</v>
      </c>
      <c r="Y600" s="10">
        <v>44127</v>
      </c>
      <c r="Z600" s="1">
        <v>2020</v>
      </c>
      <c r="AA600" s="2">
        <v>590075.06000000006</v>
      </c>
      <c r="AB600" s="2"/>
      <c r="AC600" s="2">
        <v>442556.29500000004</v>
      </c>
      <c r="AD600" s="1">
        <v>0</v>
      </c>
      <c r="AG600" s="1" t="s">
        <v>56</v>
      </c>
      <c r="AH600" s="1" t="s">
        <v>1458</v>
      </c>
      <c r="AI600" s="2">
        <v>442556.29500000004</v>
      </c>
      <c r="AL600" s="1" t="s">
        <v>1744</v>
      </c>
    </row>
    <row r="601" spans="1:38" ht="14.45" customHeight="1" x14ac:dyDescent="0.2">
      <c r="A601" s="1" t="s">
        <v>57</v>
      </c>
      <c r="B601" s="9" t="s">
        <v>38</v>
      </c>
      <c r="C601" s="1" t="s">
        <v>58</v>
      </c>
      <c r="D601" s="1" t="s">
        <v>146</v>
      </c>
      <c r="E601" s="1" t="s">
        <v>42</v>
      </c>
      <c r="G601" s="1" t="s">
        <v>147</v>
      </c>
      <c r="H601" s="1" t="s">
        <v>148</v>
      </c>
      <c r="I601" s="1" t="s">
        <v>2884</v>
      </c>
      <c r="J601" s="1">
        <v>2020</v>
      </c>
      <c r="K601" s="1" t="s">
        <v>2885</v>
      </c>
      <c r="L601" s="1" t="s">
        <v>2886</v>
      </c>
      <c r="P601" s="1" t="s">
        <v>3121</v>
      </c>
      <c r="Q601" s="1" t="s">
        <v>50</v>
      </c>
      <c r="R601" s="1" t="s">
        <v>68</v>
      </c>
      <c r="S601" s="1" t="s">
        <v>2758</v>
      </c>
      <c r="T601" s="1" t="s">
        <v>2759</v>
      </c>
      <c r="U601" s="1">
        <v>1</v>
      </c>
      <c r="V601" s="1" t="s">
        <v>71</v>
      </c>
      <c r="W601" s="1" t="s">
        <v>2886</v>
      </c>
      <c r="X601" s="1" t="s">
        <v>153</v>
      </c>
      <c r="Y601" s="10">
        <v>44127</v>
      </c>
      <c r="Z601" s="1">
        <v>2020</v>
      </c>
      <c r="AA601" s="2">
        <v>82324.25</v>
      </c>
      <c r="AB601" s="2"/>
      <c r="AC601" s="2">
        <v>61743.1875</v>
      </c>
      <c r="AD601" s="1">
        <v>0</v>
      </c>
      <c r="AG601" s="1" t="s">
        <v>56</v>
      </c>
      <c r="AH601" s="1" t="s">
        <v>1458</v>
      </c>
      <c r="AI601" s="2">
        <v>61743.1875</v>
      </c>
      <c r="AL601" s="1" t="s">
        <v>1744</v>
      </c>
    </row>
    <row r="602" spans="1:38" ht="14.45" customHeight="1" x14ac:dyDescent="0.2">
      <c r="A602" s="1" t="s">
        <v>57</v>
      </c>
      <c r="B602" s="9" t="s">
        <v>38</v>
      </c>
      <c r="C602" s="1" t="s">
        <v>58</v>
      </c>
      <c r="D602" s="1" t="s">
        <v>146</v>
      </c>
      <c r="E602" s="1" t="s">
        <v>42</v>
      </c>
      <c r="G602" s="1" t="s">
        <v>147</v>
      </c>
      <c r="H602" s="1" t="s">
        <v>148</v>
      </c>
      <c r="I602" s="1" t="s">
        <v>2884</v>
      </c>
      <c r="J602" s="1">
        <v>2020</v>
      </c>
      <c r="K602" s="1" t="s">
        <v>2885</v>
      </c>
      <c r="L602" s="1" t="s">
        <v>2886</v>
      </c>
      <c r="P602" s="1" t="s">
        <v>3399</v>
      </c>
      <c r="Q602" s="1" t="s">
        <v>50</v>
      </c>
      <c r="R602" s="1" t="s">
        <v>68</v>
      </c>
      <c r="S602" s="1" t="s">
        <v>3400</v>
      </c>
      <c r="T602" s="1" t="s">
        <v>3401</v>
      </c>
      <c r="U602" s="1">
        <v>1</v>
      </c>
      <c r="V602" s="1" t="s">
        <v>71</v>
      </c>
      <c r="W602" s="1" t="s">
        <v>2886</v>
      </c>
      <c r="X602" s="1" t="s">
        <v>153</v>
      </c>
      <c r="Y602" s="10">
        <v>44127</v>
      </c>
      <c r="Z602" s="1">
        <v>2020</v>
      </c>
      <c r="AA602" s="2">
        <v>41816.53</v>
      </c>
      <c r="AB602" s="2"/>
      <c r="AC602" s="2">
        <v>31362.397499999999</v>
      </c>
      <c r="AD602" s="1">
        <v>0</v>
      </c>
      <c r="AG602" s="1" t="s">
        <v>56</v>
      </c>
      <c r="AH602" s="1" t="s">
        <v>1458</v>
      </c>
      <c r="AI602" s="2">
        <v>31362.397499999999</v>
      </c>
      <c r="AL602" s="1" t="s">
        <v>1744</v>
      </c>
    </row>
    <row r="603" spans="1:38" ht="14.45" customHeight="1" x14ac:dyDescent="0.2">
      <c r="A603" s="1" t="s">
        <v>57</v>
      </c>
      <c r="B603" s="9" t="s">
        <v>38</v>
      </c>
      <c r="C603" s="1" t="s">
        <v>58</v>
      </c>
      <c r="D603" s="1" t="s">
        <v>146</v>
      </c>
      <c r="E603" s="1" t="s">
        <v>42</v>
      </c>
      <c r="G603" s="1" t="s">
        <v>147</v>
      </c>
      <c r="H603" s="1" t="s">
        <v>148</v>
      </c>
      <c r="I603" s="1" t="s">
        <v>2884</v>
      </c>
      <c r="J603" s="1">
        <v>2020</v>
      </c>
      <c r="K603" s="1" t="s">
        <v>2885</v>
      </c>
      <c r="L603" s="1" t="s">
        <v>2886</v>
      </c>
      <c r="P603" s="1" t="s">
        <v>3402</v>
      </c>
      <c r="Q603" s="1" t="s">
        <v>50</v>
      </c>
      <c r="R603" s="1" t="s">
        <v>77</v>
      </c>
      <c r="S603" s="11" t="s">
        <v>1212</v>
      </c>
      <c r="T603" s="1" t="s">
        <v>1213</v>
      </c>
      <c r="U603" s="1">
        <v>1</v>
      </c>
      <c r="V603" s="1" t="s">
        <v>186</v>
      </c>
      <c r="W603" s="1" t="s">
        <v>2886</v>
      </c>
      <c r="X603" s="1" t="s">
        <v>153</v>
      </c>
      <c r="Y603" s="10">
        <v>44127</v>
      </c>
      <c r="Z603" s="1">
        <v>2020</v>
      </c>
      <c r="AA603" s="2">
        <v>203934.52</v>
      </c>
      <c r="AB603" s="2"/>
      <c r="AC603" s="2">
        <v>152950.88999999998</v>
      </c>
      <c r="AD603" s="1">
        <v>0</v>
      </c>
      <c r="AG603" s="1" t="s">
        <v>56</v>
      </c>
      <c r="AH603" s="1" t="s">
        <v>1458</v>
      </c>
      <c r="AI603" s="2">
        <v>152950.88999999998</v>
      </c>
      <c r="AL603" s="1" t="s">
        <v>1744</v>
      </c>
    </row>
    <row r="604" spans="1:38" ht="14.45" customHeight="1" x14ac:dyDescent="0.2">
      <c r="A604" s="1" t="s">
        <v>57</v>
      </c>
      <c r="B604" s="9" t="s">
        <v>38</v>
      </c>
      <c r="C604" s="1" t="s">
        <v>58</v>
      </c>
      <c r="D604" s="1" t="s">
        <v>146</v>
      </c>
      <c r="E604" s="1" t="s">
        <v>42</v>
      </c>
      <c r="G604" s="1" t="s">
        <v>147</v>
      </c>
      <c r="H604" s="1" t="s">
        <v>148</v>
      </c>
      <c r="I604" s="1" t="s">
        <v>2884</v>
      </c>
      <c r="J604" s="1">
        <v>2020</v>
      </c>
      <c r="K604" s="1" t="s">
        <v>2885</v>
      </c>
      <c r="L604" s="1" t="s">
        <v>2886</v>
      </c>
      <c r="P604" s="1" t="s">
        <v>3090</v>
      </c>
      <c r="Q604" s="1" t="s">
        <v>50</v>
      </c>
      <c r="R604" s="1" t="s">
        <v>68</v>
      </c>
      <c r="S604" s="1" t="s">
        <v>430</v>
      </c>
      <c r="T604" s="1" t="s">
        <v>431</v>
      </c>
      <c r="U604" s="1">
        <v>1</v>
      </c>
      <c r="V604" s="1" t="s">
        <v>71</v>
      </c>
      <c r="W604" s="1" t="s">
        <v>2886</v>
      </c>
      <c r="X604" s="1" t="s">
        <v>153</v>
      </c>
      <c r="Y604" s="10">
        <v>44127</v>
      </c>
      <c r="Z604" s="1">
        <v>2020</v>
      </c>
      <c r="AA604" s="2">
        <v>361997.34</v>
      </c>
      <c r="AB604" s="2"/>
      <c r="AC604" s="2">
        <v>271498.005</v>
      </c>
      <c r="AD604" s="1">
        <v>0</v>
      </c>
      <c r="AG604" s="1" t="s">
        <v>56</v>
      </c>
      <c r="AH604" s="1" t="s">
        <v>1458</v>
      </c>
      <c r="AI604" s="2">
        <v>271498.005</v>
      </c>
      <c r="AL604" s="1" t="s">
        <v>1744</v>
      </c>
    </row>
    <row r="605" spans="1:38" ht="14.45" customHeight="1" x14ac:dyDescent="0.2">
      <c r="A605" s="1" t="s">
        <v>57</v>
      </c>
      <c r="B605" s="9" t="s">
        <v>38</v>
      </c>
      <c r="C605" s="1" t="s">
        <v>58</v>
      </c>
      <c r="D605" s="1" t="s">
        <v>146</v>
      </c>
      <c r="E605" s="1" t="s">
        <v>42</v>
      </c>
      <c r="G605" s="1" t="s">
        <v>147</v>
      </c>
      <c r="H605" s="1" t="s">
        <v>148</v>
      </c>
      <c r="I605" s="1" t="s">
        <v>2884</v>
      </c>
      <c r="J605" s="1">
        <v>2020</v>
      </c>
      <c r="K605" s="1" t="s">
        <v>2885</v>
      </c>
      <c r="L605" s="1" t="s">
        <v>2886</v>
      </c>
      <c r="P605" s="1" t="s">
        <v>3403</v>
      </c>
      <c r="Q605" s="1" t="s">
        <v>50</v>
      </c>
      <c r="R605" s="1" t="s">
        <v>68</v>
      </c>
      <c r="S605" s="1" t="s">
        <v>1596</v>
      </c>
      <c r="T605" s="1" t="s">
        <v>1597</v>
      </c>
      <c r="U605" s="1">
        <v>1</v>
      </c>
      <c r="V605" s="1" t="s">
        <v>71</v>
      </c>
      <c r="W605" s="1" t="s">
        <v>2886</v>
      </c>
      <c r="X605" s="1" t="s">
        <v>153</v>
      </c>
      <c r="Y605" s="10">
        <v>44127</v>
      </c>
      <c r="Z605" s="1">
        <v>2020</v>
      </c>
      <c r="AA605" s="2">
        <v>210834.23</v>
      </c>
      <c r="AB605" s="2"/>
      <c r="AC605" s="2">
        <v>158125.67250000002</v>
      </c>
      <c r="AD605" s="1">
        <v>0</v>
      </c>
      <c r="AG605" s="1" t="s">
        <v>56</v>
      </c>
      <c r="AH605" s="1" t="s">
        <v>1458</v>
      </c>
      <c r="AI605" s="2">
        <v>158125.67250000002</v>
      </c>
      <c r="AL605" s="1" t="s">
        <v>1744</v>
      </c>
    </row>
    <row r="606" spans="1:38" ht="14.45" customHeight="1" x14ac:dyDescent="0.25">
      <c r="A606" s="1" t="s">
        <v>57</v>
      </c>
      <c r="B606" s="9" t="s">
        <v>38</v>
      </c>
      <c r="C606" s="1" t="s">
        <v>58</v>
      </c>
      <c r="D606" s="1" t="s">
        <v>146</v>
      </c>
      <c r="E606" s="1" t="s">
        <v>42</v>
      </c>
      <c r="G606" s="1" t="s">
        <v>147</v>
      </c>
      <c r="H606" s="1" t="s">
        <v>148</v>
      </c>
      <c r="I606" s="1" t="s">
        <v>3404</v>
      </c>
      <c r="J606" s="1">
        <v>2020</v>
      </c>
      <c r="K606" s="1" t="s">
        <v>3405</v>
      </c>
      <c r="L606" s="1" t="s">
        <v>3406</v>
      </c>
      <c r="N606" s="1" t="s">
        <v>3407</v>
      </c>
      <c r="P606" s="1" t="s">
        <v>3274</v>
      </c>
      <c r="Q606" s="1" t="s">
        <v>264</v>
      </c>
      <c r="R606" s="1" t="s">
        <v>265</v>
      </c>
      <c r="S606" s="16" t="s">
        <v>306</v>
      </c>
      <c r="T606" s="1" t="s">
        <v>307</v>
      </c>
      <c r="U606" s="1">
        <v>1</v>
      </c>
      <c r="V606" s="1" t="s">
        <v>308</v>
      </c>
      <c r="W606" s="1" t="s">
        <v>3408</v>
      </c>
      <c r="X606" s="1" t="s">
        <v>153</v>
      </c>
      <c r="Y606" s="10">
        <v>44127</v>
      </c>
      <c r="Z606" s="1">
        <v>2020</v>
      </c>
      <c r="AA606" s="2">
        <v>21000</v>
      </c>
      <c r="AB606" s="2"/>
      <c r="AC606" s="2">
        <v>15750</v>
      </c>
      <c r="AD606" s="1">
        <v>0</v>
      </c>
      <c r="AF606" s="1">
        <v>0</v>
      </c>
      <c r="AG606" s="1" t="s">
        <v>56</v>
      </c>
      <c r="AH606" s="1" t="s">
        <v>154</v>
      </c>
      <c r="AI606" s="2">
        <v>13379.95</v>
      </c>
      <c r="AL606" s="1" t="s">
        <v>3409</v>
      </c>
    </row>
    <row r="607" spans="1:38" ht="14.45" customHeight="1" x14ac:dyDescent="0.2">
      <c r="A607" s="1" t="s">
        <v>57</v>
      </c>
      <c r="B607" s="9" t="s">
        <v>38</v>
      </c>
      <c r="C607" s="1" t="s">
        <v>58</v>
      </c>
      <c r="D607" s="1" t="s">
        <v>146</v>
      </c>
      <c r="E607" s="1" t="s">
        <v>42</v>
      </c>
      <c r="G607" s="1" t="s">
        <v>147</v>
      </c>
      <c r="H607" s="1" t="s">
        <v>148</v>
      </c>
      <c r="I607" s="1" t="s">
        <v>3410</v>
      </c>
      <c r="J607" s="1">
        <v>2020</v>
      </c>
      <c r="K607" s="1" t="s">
        <v>3411</v>
      </c>
      <c r="L607" s="1" t="s">
        <v>3412</v>
      </c>
      <c r="M607" s="1" t="s">
        <v>3413</v>
      </c>
      <c r="N607" s="1" t="s">
        <v>3414</v>
      </c>
      <c r="P607" s="1" t="s">
        <v>3415</v>
      </c>
      <c r="Q607" s="1" t="s">
        <v>264</v>
      </c>
      <c r="R607" s="1" t="s">
        <v>265</v>
      </c>
      <c r="S607" s="1" t="s">
        <v>2680</v>
      </c>
      <c r="T607" s="1" t="s">
        <v>2681</v>
      </c>
      <c r="U607" s="1">
        <v>1</v>
      </c>
      <c r="V607" s="1" t="s">
        <v>308</v>
      </c>
      <c r="W607" s="1" t="s">
        <v>3416</v>
      </c>
      <c r="X607" s="1" t="s">
        <v>153</v>
      </c>
      <c r="Y607" s="10">
        <v>44127</v>
      </c>
      <c r="Z607" s="1">
        <v>2020</v>
      </c>
      <c r="AA607" s="2">
        <v>300000</v>
      </c>
      <c r="AB607" s="2"/>
      <c r="AC607" s="2">
        <v>225000</v>
      </c>
      <c r="AD607" s="1">
        <v>0</v>
      </c>
      <c r="AF607" s="1">
        <v>10</v>
      </c>
      <c r="AG607" s="1" t="s">
        <v>56</v>
      </c>
      <c r="AH607" s="1" t="s">
        <v>1458</v>
      </c>
      <c r="AI607" s="2">
        <v>225000</v>
      </c>
      <c r="AL607" s="1" t="s">
        <v>3417</v>
      </c>
    </row>
    <row r="608" spans="1:38" ht="14.45" customHeight="1" x14ac:dyDescent="0.2">
      <c r="A608" s="1" t="s">
        <v>57</v>
      </c>
      <c r="B608" s="9" t="s">
        <v>38</v>
      </c>
      <c r="C608" s="1" t="s">
        <v>58</v>
      </c>
      <c r="D608" s="1" t="s">
        <v>146</v>
      </c>
      <c r="E608" s="1" t="s">
        <v>42</v>
      </c>
      <c r="G608" s="1" t="s">
        <v>147</v>
      </c>
      <c r="H608" s="1" t="s">
        <v>148</v>
      </c>
      <c r="I608" s="1" t="s">
        <v>3418</v>
      </c>
      <c r="J608" s="1">
        <v>2020</v>
      </c>
      <c r="K608" s="1" t="s">
        <v>3419</v>
      </c>
      <c r="L608" s="1" t="s">
        <v>3420</v>
      </c>
      <c r="M608" s="1" t="s">
        <v>3421</v>
      </c>
      <c r="N608" s="1" t="s">
        <v>3422</v>
      </c>
      <c r="P608" s="1" t="s">
        <v>1718</v>
      </c>
      <c r="Q608" s="1" t="s">
        <v>264</v>
      </c>
      <c r="R608" s="1" t="s">
        <v>265</v>
      </c>
      <c r="S608" s="1" t="s">
        <v>717</v>
      </c>
      <c r="T608" s="1" t="s">
        <v>718</v>
      </c>
      <c r="U608" s="1">
        <v>1</v>
      </c>
      <c r="V608" s="1" t="s">
        <v>535</v>
      </c>
      <c r="W608" s="1" t="s">
        <v>3419</v>
      </c>
      <c r="Y608" s="10">
        <v>44127</v>
      </c>
      <c r="Z608" s="1">
        <v>2020</v>
      </c>
      <c r="AA608" s="2">
        <v>10463665</v>
      </c>
      <c r="AB608" s="2"/>
      <c r="AC608" s="2">
        <v>7847748.75</v>
      </c>
      <c r="AD608" s="1">
        <v>12</v>
      </c>
      <c r="AF608" s="1">
        <v>60</v>
      </c>
      <c r="AG608" s="1" t="s">
        <v>56</v>
      </c>
      <c r="AH608" s="1" t="s">
        <v>1458</v>
      </c>
      <c r="AI608" s="2">
        <v>7847748.75</v>
      </c>
      <c r="AL608" s="1" t="s">
        <v>3423</v>
      </c>
    </row>
    <row r="609" spans="1:38" ht="14.45" customHeight="1" x14ac:dyDescent="0.2">
      <c r="A609" s="1" t="s">
        <v>57</v>
      </c>
      <c r="B609" s="9" t="s">
        <v>38</v>
      </c>
      <c r="C609" s="1" t="s">
        <v>58</v>
      </c>
      <c r="D609" s="1" t="s">
        <v>146</v>
      </c>
      <c r="E609" s="1" t="s">
        <v>42</v>
      </c>
      <c r="G609" s="1" t="s">
        <v>155</v>
      </c>
      <c r="H609" s="1" t="s">
        <v>156</v>
      </c>
      <c r="I609" s="1" t="s">
        <v>3424</v>
      </c>
      <c r="J609" s="1">
        <v>2022</v>
      </c>
      <c r="K609" s="1" t="s">
        <v>3425</v>
      </c>
      <c r="L609" s="1" t="s">
        <v>3426</v>
      </c>
      <c r="P609" s="1" t="s">
        <v>1721</v>
      </c>
      <c r="Q609" s="1" t="s">
        <v>264</v>
      </c>
      <c r="R609" s="1" t="s">
        <v>265</v>
      </c>
      <c r="S609" s="1" t="s">
        <v>533</v>
      </c>
      <c r="T609" s="1" t="s">
        <v>534</v>
      </c>
      <c r="U609" s="1">
        <v>1</v>
      </c>
      <c r="V609" s="1" t="s">
        <v>535</v>
      </c>
      <c r="W609" s="1" t="s">
        <v>3427</v>
      </c>
      <c r="Y609" s="10">
        <v>45112</v>
      </c>
      <c r="Z609" s="1">
        <v>2023</v>
      </c>
      <c r="AA609" s="2">
        <v>422653.86</v>
      </c>
      <c r="AB609" s="2"/>
      <c r="AC609" s="2">
        <v>422653.86</v>
      </c>
      <c r="AG609" s="1" t="s">
        <v>56</v>
      </c>
      <c r="AI609" s="2">
        <v>422653.86</v>
      </c>
    </row>
    <row r="610" spans="1:38" ht="14.45" customHeight="1" x14ac:dyDescent="0.2">
      <c r="A610" s="1" t="s">
        <v>57</v>
      </c>
      <c r="B610" s="9" t="s">
        <v>38</v>
      </c>
      <c r="C610" s="1" t="s">
        <v>58</v>
      </c>
      <c r="D610" s="1" t="s">
        <v>146</v>
      </c>
      <c r="E610" s="1" t="s">
        <v>42</v>
      </c>
      <c r="F610" s="1" t="s">
        <v>1236</v>
      </c>
      <c r="G610" s="1" t="s">
        <v>155</v>
      </c>
      <c r="H610" s="1" t="s">
        <v>156</v>
      </c>
      <c r="I610" s="1" t="s">
        <v>3428</v>
      </c>
      <c r="J610" s="1">
        <v>2022</v>
      </c>
      <c r="K610" s="1" t="s">
        <v>3429</v>
      </c>
      <c r="L610" s="1" t="s">
        <v>3430</v>
      </c>
      <c r="M610" s="1" t="s">
        <v>3431</v>
      </c>
      <c r="P610" s="1" t="s">
        <v>3432</v>
      </c>
      <c r="Q610" s="1" t="s">
        <v>1149</v>
      </c>
      <c r="R610" s="1" t="s">
        <v>1150</v>
      </c>
      <c r="S610" s="1" t="s">
        <v>3433</v>
      </c>
      <c r="T610" s="1" t="s">
        <v>3434</v>
      </c>
      <c r="V610" s="1" t="s">
        <v>1153</v>
      </c>
      <c r="W610" s="1" t="s">
        <v>3435</v>
      </c>
      <c r="X610" s="1" t="s">
        <v>3097</v>
      </c>
      <c r="Y610" s="2"/>
      <c r="Z610" s="1">
        <v>2025</v>
      </c>
      <c r="AA610" s="2">
        <v>490845.18</v>
      </c>
      <c r="AB610" s="2"/>
      <c r="AC610" s="1">
        <v>490845.18</v>
      </c>
      <c r="AE610" s="2"/>
      <c r="AG610" s="1" t="s">
        <v>56</v>
      </c>
      <c r="AI610" s="2">
        <v>490845.18</v>
      </c>
    </row>
    <row r="611" spans="1:38" ht="14.45" customHeight="1" x14ac:dyDescent="0.2">
      <c r="A611" s="1" t="s">
        <v>57</v>
      </c>
      <c r="B611" s="9" t="s">
        <v>38</v>
      </c>
      <c r="C611" s="1" t="s">
        <v>58</v>
      </c>
      <c r="D611" s="1" t="s">
        <v>146</v>
      </c>
      <c r="E611" s="1" t="s">
        <v>42</v>
      </c>
      <c r="G611" s="1" t="s">
        <v>147</v>
      </c>
      <c r="H611" s="1" t="s">
        <v>148</v>
      </c>
      <c r="I611" s="1" t="s">
        <v>2884</v>
      </c>
      <c r="J611" s="1">
        <v>2020</v>
      </c>
      <c r="K611" s="1" t="s">
        <v>2885</v>
      </c>
      <c r="L611" s="1" t="s">
        <v>2886</v>
      </c>
      <c r="P611" s="1" t="s">
        <v>3436</v>
      </c>
      <c r="Q611" s="1" t="s">
        <v>50</v>
      </c>
      <c r="R611" s="1" t="s">
        <v>68</v>
      </c>
      <c r="S611" s="1" t="s">
        <v>3437</v>
      </c>
      <c r="T611" s="1" t="s">
        <v>3438</v>
      </c>
      <c r="U611" s="1">
        <v>1</v>
      </c>
      <c r="V611" s="1" t="s">
        <v>195</v>
      </c>
      <c r="W611" s="1" t="s">
        <v>2886</v>
      </c>
      <c r="X611" s="1" t="s">
        <v>153</v>
      </c>
      <c r="Y611" s="10">
        <v>44127</v>
      </c>
      <c r="Z611" s="1">
        <v>2020</v>
      </c>
      <c r="AA611" s="2">
        <v>1527930.23</v>
      </c>
      <c r="AB611" s="2"/>
      <c r="AC611" s="2">
        <v>1145947.6724999999</v>
      </c>
      <c r="AD611" s="1">
        <v>0</v>
      </c>
      <c r="AG611" s="1" t="s">
        <v>56</v>
      </c>
      <c r="AH611" s="1" t="s">
        <v>1458</v>
      </c>
      <c r="AI611" s="2">
        <v>1145947.6724999999</v>
      </c>
      <c r="AL611" s="1" t="s">
        <v>1744</v>
      </c>
    </row>
    <row r="612" spans="1:38" ht="14.45" customHeight="1" x14ac:dyDescent="0.2">
      <c r="A612" s="1" t="s">
        <v>57</v>
      </c>
      <c r="B612" s="9" t="s">
        <v>39</v>
      </c>
      <c r="C612" s="1" t="s">
        <v>58</v>
      </c>
      <c r="D612" s="1" t="s">
        <v>146</v>
      </c>
      <c r="E612" s="1" t="s">
        <v>42</v>
      </c>
      <c r="G612" s="1" t="s">
        <v>155</v>
      </c>
      <c r="H612" s="1" t="s">
        <v>156</v>
      </c>
      <c r="I612" s="1" t="s">
        <v>3439</v>
      </c>
      <c r="J612" s="1">
        <v>2022</v>
      </c>
      <c r="K612" s="14" t="s">
        <v>3440</v>
      </c>
      <c r="P612" s="1" t="s">
        <v>3441</v>
      </c>
      <c r="Q612" s="1" t="s">
        <v>842</v>
      </c>
      <c r="R612" s="1" t="s">
        <v>884</v>
      </c>
      <c r="S612" s="1" t="s">
        <v>3442</v>
      </c>
      <c r="T612" s="1" t="s">
        <v>3443</v>
      </c>
      <c r="V612" s="1" t="s">
        <v>887</v>
      </c>
      <c r="W612" s="1" t="s">
        <v>3444</v>
      </c>
      <c r="Y612" s="10">
        <v>45202</v>
      </c>
      <c r="Z612" s="1">
        <v>2023</v>
      </c>
      <c r="AA612" s="2">
        <v>649810.64</v>
      </c>
      <c r="AB612" s="2"/>
      <c r="AC612" s="2">
        <v>649810.64</v>
      </c>
      <c r="AG612" s="1" t="s">
        <v>432</v>
      </c>
      <c r="AH612" s="1" t="s">
        <v>492</v>
      </c>
      <c r="AI612" s="2">
        <v>0</v>
      </c>
    </row>
    <row r="613" spans="1:38" ht="14.45" customHeight="1" x14ac:dyDescent="0.2">
      <c r="A613" s="1" t="s">
        <v>57</v>
      </c>
      <c r="B613" s="9" t="s">
        <v>38</v>
      </c>
      <c r="C613" s="1" t="s">
        <v>58</v>
      </c>
      <c r="D613" s="1" t="s">
        <v>146</v>
      </c>
      <c r="E613" s="1" t="s">
        <v>42</v>
      </c>
      <c r="G613" s="1" t="s">
        <v>155</v>
      </c>
      <c r="H613" s="1" t="s">
        <v>156</v>
      </c>
      <c r="I613" s="1" t="s">
        <v>3445</v>
      </c>
      <c r="J613" s="1">
        <v>2022</v>
      </c>
      <c r="K613" s="1" t="s">
        <v>3446</v>
      </c>
      <c r="L613" s="1" t="s">
        <v>3447</v>
      </c>
      <c r="P613" s="1" t="s">
        <v>3448</v>
      </c>
      <c r="Q613" s="1" t="s">
        <v>50</v>
      </c>
      <c r="R613" s="1" t="s">
        <v>51</v>
      </c>
      <c r="S613" s="1" t="s">
        <v>3449</v>
      </c>
      <c r="T613" s="1" t="s">
        <v>3450</v>
      </c>
      <c r="V613" s="1" t="s">
        <v>54</v>
      </c>
      <c r="W613" s="1" t="s">
        <v>3451</v>
      </c>
      <c r="Y613" s="10">
        <v>45112</v>
      </c>
      <c r="Z613" s="1">
        <v>2023</v>
      </c>
      <c r="AA613" s="2">
        <v>80757.289999999994</v>
      </c>
      <c r="AB613" s="2"/>
      <c r="AC613" s="2">
        <v>80757.289999999994</v>
      </c>
      <c r="AG613" s="1" t="s">
        <v>56</v>
      </c>
      <c r="AI613" s="2">
        <v>80757.289999999994</v>
      </c>
    </row>
    <row r="614" spans="1:38" ht="14.45" customHeight="1" x14ac:dyDescent="0.2">
      <c r="A614" s="1" t="s">
        <v>57</v>
      </c>
      <c r="B614" s="9" t="s">
        <v>38</v>
      </c>
      <c r="C614" s="1" t="s">
        <v>58</v>
      </c>
      <c r="D614" s="1" t="s">
        <v>146</v>
      </c>
      <c r="E614" s="1" t="s">
        <v>42</v>
      </c>
      <c r="G614" s="1" t="s">
        <v>147</v>
      </c>
      <c r="H614" s="1" t="s">
        <v>148</v>
      </c>
      <c r="I614" s="1" t="s">
        <v>3452</v>
      </c>
      <c r="J614" s="1">
        <v>2020</v>
      </c>
      <c r="K614" s="1" t="s">
        <v>3453</v>
      </c>
      <c r="L614" s="1" t="s">
        <v>3454</v>
      </c>
      <c r="M614" s="1" t="s">
        <v>3455</v>
      </c>
      <c r="N614" s="1" t="s">
        <v>3456</v>
      </c>
      <c r="P614" s="1" t="s">
        <v>3262</v>
      </c>
      <c r="Q614" s="1" t="s">
        <v>264</v>
      </c>
      <c r="R614" s="1" t="s">
        <v>265</v>
      </c>
      <c r="S614" s="1" t="s">
        <v>1046</v>
      </c>
      <c r="T614" s="1" t="s">
        <v>1047</v>
      </c>
      <c r="U614" s="1">
        <v>1</v>
      </c>
      <c r="V614" s="1" t="s">
        <v>535</v>
      </c>
      <c r="W614" s="1" t="s">
        <v>3457</v>
      </c>
      <c r="X614" s="1" t="s">
        <v>400</v>
      </c>
      <c r="Y614" s="10">
        <v>44127</v>
      </c>
      <c r="Z614" s="1">
        <v>2020</v>
      </c>
      <c r="AA614" s="2">
        <v>1900000</v>
      </c>
      <c r="AB614" s="2"/>
      <c r="AC614" s="2">
        <v>1425000</v>
      </c>
      <c r="AD614" s="1">
        <v>3</v>
      </c>
      <c r="AF614" s="1">
        <v>7</v>
      </c>
      <c r="AG614" s="1" t="s">
        <v>56</v>
      </c>
      <c r="AH614" s="1" t="s">
        <v>154</v>
      </c>
      <c r="AI614" s="2">
        <v>1425000</v>
      </c>
      <c r="AL614" s="1" t="s">
        <v>3458</v>
      </c>
    </row>
    <row r="615" spans="1:38" ht="14.45" customHeight="1" x14ac:dyDescent="0.2">
      <c r="A615" s="1" t="s">
        <v>57</v>
      </c>
      <c r="B615" s="9" t="s">
        <v>38</v>
      </c>
      <c r="C615" s="1" t="s">
        <v>58</v>
      </c>
      <c r="D615" s="1" t="s">
        <v>146</v>
      </c>
      <c r="E615" s="1" t="s">
        <v>42</v>
      </c>
      <c r="G615" s="1" t="s">
        <v>155</v>
      </c>
      <c r="H615" s="1" t="s">
        <v>156</v>
      </c>
      <c r="I615" s="1" t="s">
        <v>3459</v>
      </c>
      <c r="J615" s="1">
        <v>2022</v>
      </c>
      <c r="K615" s="1" t="s">
        <v>3460</v>
      </c>
      <c r="L615" s="1" t="s">
        <v>3461</v>
      </c>
      <c r="M615" s="1" t="s">
        <v>3462</v>
      </c>
      <c r="P615" s="1" t="s">
        <v>3463</v>
      </c>
      <c r="Q615" s="1" t="s">
        <v>842</v>
      </c>
      <c r="R615" s="1" t="s">
        <v>884</v>
      </c>
      <c r="S615" s="1" t="s">
        <v>2669</v>
      </c>
      <c r="T615" s="1" t="s">
        <v>2670</v>
      </c>
      <c r="V615" s="1" t="s">
        <v>887</v>
      </c>
      <c r="W615" s="1" t="s">
        <v>3464</v>
      </c>
      <c r="Y615" s="10">
        <v>45112</v>
      </c>
      <c r="Z615" s="1">
        <v>2023</v>
      </c>
      <c r="AA615" s="2">
        <v>458991.75</v>
      </c>
      <c r="AB615" s="2"/>
      <c r="AC615" s="2">
        <v>458991.75</v>
      </c>
      <c r="AG615" s="1" t="s">
        <v>56</v>
      </c>
      <c r="AI615" s="2">
        <v>458991.75</v>
      </c>
    </row>
    <row r="616" spans="1:38" ht="14.45" customHeight="1" x14ac:dyDescent="0.2">
      <c r="A616" s="1" t="s">
        <v>57</v>
      </c>
      <c r="B616" s="9" t="s">
        <v>38</v>
      </c>
      <c r="C616" s="1" t="s">
        <v>58</v>
      </c>
      <c r="D616" s="1" t="s">
        <v>146</v>
      </c>
      <c r="E616" s="1" t="s">
        <v>42</v>
      </c>
      <c r="G616" s="1" t="s">
        <v>147</v>
      </c>
      <c r="H616" s="1" t="s">
        <v>148</v>
      </c>
      <c r="I616" s="1" t="s">
        <v>2884</v>
      </c>
      <c r="J616" s="1">
        <v>2020</v>
      </c>
      <c r="K616" s="1" t="s">
        <v>2885</v>
      </c>
      <c r="L616" s="1" t="s">
        <v>2886</v>
      </c>
      <c r="P616" s="1" t="s">
        <v>3465</v>
      </c>
      <c r="Q616" s="1" t="s">
        <v>50</v>
      </c>
      <c r="R616" s="1" t="s">
        <v>77</v>
      </c>
      <c r="S616" s="1" t="s">
        <v>2638</v>
      </c>
      <c r="T616" s="1" t="s">
        <v>2639</v>
      </c>
      <c r="U616" s="1">
        <v>1</v>
      </c>
      <c r="V616" s="1" t="s">
        <v>186</v>
      </c>
      <c r="W616" s="1" t="s">
        <v>2886</v>
      </c>
      <c r="X616" s="1" t="s">
        <v>153</v>
      </c>
      <c r="Y616" s="10">
        <v>44127</v>
      </c>
      <c r="Z616" s="1">
        <v>2020</v>
      </c>
      <c r="AA616" s="2">
        <v>140282.76999999999</v>
      </c>
      <c r="AB616" s="2"/>
      <c r="AC616" s="2">
        <v>105212.07749999998</v>
      </c>
      <c r="AD616" s="1">
        <v>0</v>
      </c>
      <c r="AG616" s="1" t="s">
        <v>56</v>
      </c>
      <c r="AH616" s="1" t="s">
        <v>1458</v>
      </c>
      <c r="AI616" s="2">
        <v>105212.07749999998</v>
      </c>
      <c r="AL616" s="1" t="s">
        <v>1744</v>
      </c>
    </row>
    <row r="617" spans="1:38" ht="14.45" customHeight="1" x14ac:dyDescent="0.2">
      <c r="A617" s="1" t="s">
        <v>57</v>
      </c>
      <c r="B617" s="9" t="s">
        <v>38</v>
      </c>
      <c r="C617" s="1" t="s">
        <v>58</v>
      </c>
      <c r="D617" s="1" t="s">
        <v>146</v>
      </c>
      <c r="E617" s="1" t="s">
        <v>42</v>
      </c>
      <c r="G617" s="1" t="s">
        <v>147</v>
      </c>
      <c r="H617" s="1" t="s">
        <v>148</v>
      </c>
      <c r="I617" s="1" t="s">
        <v>3466</v>
      </c>
      <c r="J617" s="1">
        <v>2020</v>
      </c>
      <c r="K617" s="1" t="s">
        <v>3467</v>
      </c>
      <c r="L617" s="1" t="s">
        <v>3468</v>
      </c>
      <c r="M617" s="1" t="s">
        <v>3469</v>
      </c>
      <c r="N617" s="1" t="s">
        <v>3470</v>
      </c>
      <c r="P617" s="1" t="s">
        <v>3348</v>
      </c>
      <c r="Q617" s="1" t="s">
        <v>264</v>
      </c>
      <c r="R617" s="1" t="s">
        <v>265</v>
      </c>
      <c r="S617" s="1" t="s">
        <v>3349</v>
      </c>
      <c r="T617" s="1" t="s">
        <v>3350</v>
      </c>
      <c r="U617" s="1">
        <v>1</v>
      </c>
      <c r="V617" s="1" t="s">
        <v>535</v>
      </c>
      <c r="W617" s="1" t="s">
        <v>3467</v>
      </c>
      <c r="X617" s="1" t="s">
        <v>153</v>
      </c>
      <c r="Y617" s="10">
        <v>44127</v>
      </c>
      <c r="Z617" s="1">
        <v>2020</v>
      </c>
      <c r="AA617" s="2">
        <v>700000</v>
      </c>
      <c r="AB617" s="2"/>
      <c r="AC617" s="2">
        <v>525000</v>
      </c>
      <c r="AD617" s="1">
        <v>0</v>
      </c>
      <c r="AF617" s="1" t="s">
        <v>1768</v>
      </c>
      <c r="AG617" s="1" t="s">
        <v>56</v>
      </c>
      <c r="AH617" s="1" t="s">
        <v>1458</v>
      </c>
      <c r="AI617" s="2">
        <v>525000</v>
      </c>
      <c r="AL617" s="1" t="s">
        <v>3471</v>
      </c>
    </row>
    <row r="618" spans="1:38" ht="14.45" customHeight="1" x14ac:dyDescent="0.2">
      <c r="A618" s="1" t="s">
        <v>57</v>
      </c>
      <c r="B618" s="9" t="s">
        <v>39</v>
      </c>
      <c r="C618" s="1" t="s">
        <v>58</v>
      </c>
      <c r="D618" s="1" t="s">
        <v>146</v>
      </c>
      <c r="E618" s="1" t="s">
        <v>42</v>
      </c>
      <c r="G618" s="1" t="s">
        <v>155</v>
      </c>
      <c r="H618" s="1" t="s">
        <v>156</v>
      </c>
      <c r="I618" s="1" t="s">
        <v>3472</v>
      </c>
      <c r="J618" s="1">
        <v>2022</v>
      </c>
      <c r="K618" s="1" t="s">
        <v>3473</v>
      </c>
      <c r="P618" s="1" t="s">
        <v>3474</v>
      </c>
      <c r="Q618" s="1" t="s">
        <v>842</v>
      </c>
      <c r="R618" s="1" t="s">
        <v>884</v>
      </c>
      <c r="S618" s="1" t="s">
        <v>3475</v>
      </c>
      <c r="T618" s="1" t="s">
        <v>3476</v>
      </c>
      <c r="V618" s="1" t="s">
        <v>887</v>
      </c>
      <c r="W618" s="1" t="s">
        <v>3477</v>
      </c>
      <c r="Y618" s="10">
        <v>45142</v>
      </c>
      <c r="Z618" s="1">
        <v>2023</v>
      </c>
      <c r="AA618" s="2">
        <v>849885.17</v>
      </c>
      <c r="AB618" s="2"/>
      <c r="AC618" s="2">
        <v>849885.17</v>
      </c>
      <c r="AG618" s="1" t="s">
        <v>432</v>
      </c>
      <c r="AH618" s="1" t="s">
        <v>492</v>
      </c>
      <c r="AI618" s="2">
        <v>0</v>
      </c>
    </row>
    <row r="619" spans="1:38" ht="14.45" customHeight="1" x14ac:dyDescent="0.25">
      <c r="A619" s="1" t="s">
        <v>57</v>
      </c>
      <c r="B619" s="31" t="s">
        <v>38</v>
      </c>
      <c r="C619" s="32" t="s">
        <v>58</v>
      </c>
      <c r="D619" s="1" t="s">
        <v>146</v>
      </c>
      <c r="E619" s="1" t="s">
        <v>42</v>
      </c>
      <c r="F619" s="1" t="s">
        <v>1236</v>
      </c>
      <c r="G619" s="1" t="s">
        <v>155</v>
      </c>
      <c r="H619" s="1" t="s">
        <v>156</v>
      </c>
      <c r="I619" s="1" t="s">
        <v>3478</v>
      </c>
      <c r="J619" s="1">
        <v>2022</v>
      </c>
      <c r="K619" s="1" t="s">
        <v>3479</v>
      </c>
      <c r="L619" s="1" t="s">
        <v>3480</v>
      </c>
      <c r="M619" s="1" t="s">
        <v>1240</v>
      </c>
      <c r="P619" s="1" t="s">
        <v>3481</v>
      </c>
      <c r="Q619" s="25" t="s">
        <v>842</v>
      </c>
      <c r="R619" s="3" t="s">
        <v>884</v>
      </c>
      <c r="S619" s="33" t="s">
        <v>1017</v>
      </c>
      <c r="T619" s="3" t="s">
        <v>1018</v>
      </c>
      <c r="U619" s="24"/>
      <c r="V619" s="25" t="s">
        <v>887</v>
      </c>
      <c r="W619" s="3" t="s">
        <v>3482</v>
      </c>
      <c r="X619" s="3" t="s">
        <v>1396</v>
      </c>
      <c r="Y619" s="21"/>
      <c r="Z619" s="3">
        <v>2025</v>
      </c>
      <c r="AA619" s="2">
        <v>693171</v>
      </c>
      <c r="AB619" s="22"/>
      <c r="AC619" s="22">
        <v>693171</v>
      </c>
      <c r="AD619" s="2"/>
      <c r="AG619" s="1" t="s">
        <v>56</v>
      </c>
      <c r="AI619" s="22">
        <v>693171</v>
      </c>
    </row>
    <row r="620" spans="1:38" ht="14.45" customHeight="1" x14ac:dyDescent="0.2">
      <c r="A620" s="1" t="s">
        <v>57</v>
      </c>
      <c r="B620" s="9" t="s">
        <v>38</v>
      </c>
      <c r="C620" s="1" t="s">
        <v>58</v>
      </c>
      <c r="D620" s="1" t="s">
        <v>146</v>
      </c>
      <c r="E620" s="1" t="s">
        <v>42</v>
      </c>
      <c r="G620" s="1" t="s">
        <v>147</v>
      </c>
      <c r="H620" s="1" t="s">
        <v>148</v>
      </c>
      <c r="I620" s="1" t="s">
        <v>3483</v>
      </c>
      <c r="J620" s="1">
        <v>2020</v>
      </c>
      <c r="K620" s="1" t="s">
        <v>3484</v>
      </c>
      <c r="L620" s="1" t="s">
        <v>3485</v>
      </c>
      <c r="M620" s="1" t="s">
        <v>3486</v>
      </c>
      <c r="N620" s="1" t="s">
        <v>3487</v>
      </c>
      <c r="P620" s="1" t="s">
        <v>1715</v>
      </c>
      <c r="Q620" s="1" t="s">
        <v>264</v>
      </c>
      <c r="R620" s="1" t="s">
        <v>265</v>
      </c>
      <c r="S620" s="1" t="s">
        <v>542</v>
      </c>
      <c r="T620" s="1" t="s">
        <v>543</v>
      </c>
      <c r="U620" s="1">
        <v>1</v>
      </c>
      <c r="V620" s="1" t="s">
        <v>268</v>
      </c>
      <c r="W620" s="1" t="s">
        <v>3488</v>
      </c>
      <c r="X620" s="1" t="s">
        <v>153</v>
      </c>
      <c r="Y620" s="10">
        <v>44127</v>
      </c>
      <c r="Z620" s="1">
        <v>2020</v>
      </c>
      <c r="AA620" s="2">
        <v>151000</v>
      </c>
      <c r="AB620" s="2"/>
      <c r="AC620" s="2">
        <v>113250</v>
      </c>
      <c r="AD620" s="1">
        <v>0</v>
      </c>
      <c r="AF620" s="1">
        <v>0</v>
      </c>
      <c r="AG620" s="1" t="s">
        <v>56</v>
      </c>
      <c r="AH620" s="1" t="s">
        <v>154</v>
      </c>
      <c r="AI620" s="2">
        <v>84429.18</v>
      </c>
      <c r="AL620" s="1" t="s">
        <v>503</v>
      </c>
    </row>
    <row r="621" spans="1:38" ht="14.45" customHeight="1" x14ac:dyDescent="0.2">
      <c r="A621" s="1" t="s">
        <v>57</v>
      </c>
      <c r="B621" s="9" t="s">
        <v>38</v>
      </c>
      <c r="C621" s="1" t="s">
        <v>58</v>
      </c>
      <c r="D621" s="1" t="s">
        <v>146</v>
      </c>
      <c r="E621" s="1" t="s">
        <v>42</v>
      </c>
      <c r="G621" s="1" t="s">
        <v>147</v>
      </c>
      <c r="H621" s="1" t="s">
        <v>148</v>
      </c>
      <c r="I621" s="1" t="s">
        <v>3489</v>
      </c>
      <c r="J621" s="1">
        <v>2020</v>
      </c>
      <c r="K621" s="1" t="s">
        <v>3490</v>
      </c>
      <c r="L621" s="1" t="s">
        <v>3491</v>
      </c>
      <c r="M621" s="1" t="s">
        <v>3492</v>
      </c>
      <c r="N621" s="1" t="s">
        <v>3493</v>
      </c>
      <c r="P621" s="1" t="s">
        <v>1715</v>
      </c>
      <c r="Q621" s="1" t="s">
        <v>264</v>
      </c>
      <c r="R621" s="1" t="s">
        <v>265</v>
      </c>
      <c r="S621" s="1" t="s">
        <v>542</v>
      </c>
      <c r="T621" s="1" t="s">
        <v>543</v>
      </c>
      <c r="U621" s="1">
        <v>1</v>
      </c>
      <c r="V621" s="1" t="s">
        <v>268</v>
      </c>
      <c r="W621" s="1" t="s">
        <v>3494</v>
      </c>
      <c r="X621" s="1" t="s">
        <v>153</v>
      </c>
      <c r="Y621" s="10">
        <v>44127</v>
      </c>
      <c r="Z621" s="1">
        <v>2020</v>
      </c>
      <c r="AA621" s="2">
        <v>651000</v>
      </c>
      <c r="AB621" s="2"/>
      <c r="AC621" s="2">
        <v>488250</v>
      </c>
      <c r="AD621" s="1">
        <v>0</v>
      </c>
      <c r="AF621" s="1">
        <v>0</v>
      </c>
      <c r="AG621" s="1" t="s">
        <v>56</v>
      </c>
      <c r="AH621" s="1" t="s">
        <v>154</v>
      </c>
      <c r="AI621" s="2">
        <v>433079.07</v>
      </c>
      <c r="AL621" s="1" t="s">
        <v>503</v>
      </c>
    </row>
    <row r="622" spans="1:38" ht="14.45" customHeight="1" x14ac:dyDescent="0.2">
      <c r="A622" s="1" t="s">
        <v>57</v>
      </c>
      <c r="B622" s="9" t="s">
        <v>38</v>
      </c>
      <c r="C622" s="1" t="s">
        <v>58</v>
      </c>
      <c r="D622" s="1" t="s">
        <v>146</v>
      </c>
      <c r="E622" s="1" t="s">
        <v>42</v>
      </c>
      <c r="G622" s="1" t="s">
        <v>147</v>
      </c>
      <c r="H622" s="1" t="s">
        <v>148</v>
      </c>
      <c r="I622" s="1" t="s">
        <v>2884</v>
      </c>
      <c r="J622" s="1">
        <v>2020</v>
      </c>
      <c r="K622" s="1" t="s">
        <v>2885</v>
      </c>
      <c r="L622" s="1" t="s">
        <v>2886</v>
      </c>
      <c r="P622" s="1" t="s">
        <v>188</v>
      </c>
      <c r="Q622" s="1" t="s">
        <v>50</v>
      </c>
      <c r="R622" s="1" t="s">
        <v>68</v>
      </c>
      <c r="S622" s="1" t="s">
        <v>189</v>
      </c>
      <c r="T622" s="1" t="s">
        <v>190</v>
      </c>
      <c r="U622" s="1">
        <v>1</v>
      </c>
      <c r="V622" s="1" t="s">
        <v>71</v>
      </c>
      <c r="W622" s="1" t="s">
        <v>2886</v>
      </c>
      <c r="X622" s="1" t="s">
        <v>153</v>
      </c>
      <c r="Y622" s="10">
        <v>44127</v>
      </c>
      <c r="Z622" s="1">
        <v>2020</v>
      </c>
      <c r="AA622" s="2">
        <v>1320652</v>
      </c>
      <c r="AB622" s="2"/>
      <c r="AC622" s="2">
        <v>990489</v>
      </c>
      <c r="AD622" s="1">
        <v>0</v>
      </c>
      <c r="AG622" s="1" t="s">
        <v>56</v>
      </c>
      <c r="AH622" s="1" t="s">
        <v>1458</v>
      </c>
      <c r="AI622" s="2">
        <v>990489</v>
      </c>
      <c r="AL622" s="1" t="s">
        <v>1744</v>
      </c>
    </row>
    <row r="623" spans="1:38" ht="14.45" customHeight="1" x14ac:dyDescent="0.2">
      <c r="A623" s="1" t="s">
        <v>57</v>
      </c>
      <c r="B623" s="9" t="s">
        <v>38</v>
      </c>
      <c r="C623" s="1" t="s">
        <v>58</v>
      </c>
      <c r="D623" s="1" t="s">
        <v>146</v>
      </c>
      <c r="E623" s="1" t="s">
        <v>42</v>
      </c>
      <c r="G623" s="1" t="s">
        <v>147</v>
      </c>
      <c r="H623" s="1" t="s">
        <v>148</v>
      </c>
      <c r="I623" s="1" t="s">
        <v>2884</v>
      </c>
      <c r="J623" s="1">
        <v>2020</v>
      </c>
      <c r="K623" s="1" t="s">
        <v>2885</v>
      </c>
      <c r="L623" s="1" t="s">
        <v>2886</v>
      </c>
      <c r="P623" s="1" t="s">
        <v>3495</v>
      </c>
      <c r="Q623" s="1" t="s">
        <v>50</v>
      </c>
      <c r="R623" s="1" t="s">
        <v>68</v>
      </c>
      <c r="S623" s="1" t="s">
        <v>1876</v>
      </c>
      <c r="T623" s="1" t="s">
        <v>1877</v>
      </c>
      <c r="U623" s="1">
        <v>1</v>
      </c>
      <c r="V623" s="1" t="s">
        <v>71</v>
      </c>
      <c r="W623" s="1" t="s">
        <v>2886</v>
      </c>
      <c r="X623" s="1" t="s">
        <v>153</v>
      </c>
      <c r="Y623" s="10">
        <v>44127</v>
      </c>
      <c r="Z623" s="1">
        <v>2020</v>
      </c>
      <c r="AA623" s="2">
        <v>131187.78</v>
      </c>
      <c r="AB623" s="2"/>
      <c r="AC623" s="2">
        <v>98390.834999999992</v>
      </c>
      <c r="AD623" s="1">
        <v>0</v>
      </c>
      <c r="AG623" s="1" t="s">
        <v>56</v>
      </c>
      <c r="AH623" s="1" t="s">
        <v>1458</v>
      </c>
      <c r="AI623" s="2">
        <v>98390.834999999992</v>
      </c>
      <c r="AL623" s="1" t="s">
        <v>1744</v>
      </c>
    </row>
    <row r="624" spans="1:38" ht="14.45" customHeight="1" x14ac:dyDescent="0.2">
      <c r="A624" s="1" t="s">
        <v>57</v>
      </c>
      <c r="B624" s="9" t="s">
        <v>38</v>
      </c>
      <c r="C624" s="1" t="s">
        <v>58</v>
      </c>
      <c r="D624" s="1" t="s">
        <v>146</v>
      </c>
      <c r="E624" s="1" t="s">
        <v>42</v>
      </c>
      <c r="G624" s="1" t="s">
        <v>147</v>
      </c>
      <c r="H624" s="1" t="s">
        <v>148</v>
      </c>
      <c r="I624" s="1" t="s">
        <v>3496</v>
      </c>
      <c r="J624" s="1">
        <v>2020</v>
      </c>
      <c r="K624" s="1" t="s">
        <v>3497</v>
      </c>
      <c r="L624" s="1" t="s">
        <v>3498</v>
      </c>
      <c r="M624" s="1" t="s">
        <v>3499</v>
      </c>
      <c r="N624" s="1" t="s">
        <v>3500</v>
      </c>
      <c r="P624" s="1" t="s">
        <v>1715</v>
      </c>
      <c r="Q624" s="1" t="s">
        <v>264</v>
      </c>
      <c r="R624" s="1" t="s">
        <v>265</v>
      </c>
      <c r="S624" s="1" t="s">
        <v>542</v>
      </c>
      <c r="T624" s="1" t="s">
        <v>543</v>
      </c>
      <c r="U624" s="1">
        <v>1</v>
      </c>
      <c r="V624" s="1" t="s">
        <v>268</v>
      </c>
      <c r="W624" s="1" t="s">
        <v>3501</v>
      </c>
      <c r="X624" s="1" t="s">
        <v>153</v>
      </c>
      <c r="Y624" s="10">
        <v>44127</v>
      </c>
      <c r="Z624" s="1">
        <v>2020</v>
      </c>
      <c r="AA624" s="2">
        <v>590000</v>
      </c>
      <c r="AB624" s="2"/>
      <c r="AC624" s="2">
        <v>442500</v>
      </c>
      <c r="AD624" s="1">
        <v>0</v>
      </c>
      <c r="AF624" s="1">
        <v>0</v>
      </c>
      <c r="AG624" s="1" t="s">
        <v>56</v>
      </c>
      <c r="AH624" s="1" t="s">
        <v>154</v>
      </c>
      <c r="AI624" s="2">
        <v>429371.24</v>
      </c>
      <c r="AL624" s="1" t="s">
        <v>1744</v>
      </c>
    </row>
    <row r="625" spans="1:38" ht="14.45" customHeight="1" x14ac:dyDescent="0.25">
      <c r="A625" s="1" t="s">
        <v>57</v>
      </c>
      <c r="B625" s="20" t="s">
        <v>38</v>
      </c>
      <c r="C625" s="3" t="s">
        <v>58</v>
      </c>
      <c r="D625" s="1" t="s">
        <v>146</v>
      </c>
      <c r="E625" s="1" t="s">
        <v>42</v>
      </c>
      <c r="G625" s="1" t="s">
        <v>1673</v>
      </c>
      <c r="H625" s="1" t="s">
        <v>156</v>
      </c>
      <c r="I625" s="3" t="s">
        <v>3502</v>
      </c>
      <c r="J625" s="1">
        <v>2023</v>
      </c>
      <c r="K625" s="1" t="s">
        <v>3503</v>
      </c>
      <c r="L625" s="1" t="s">
        <v>3504</v>
      </c>
      <c r="M625" s="1" t="s">
        <v>3505</v>
      </c>
      <c r="P625" s="1" t="s">
        <v>3506</v>
      </c>
      <c r="Q625" s="1" t="s">
        <v>1149</v>
      </c>
      <c r="R625" s="1" t="s">
        <v>1150</v>
      </c>
      <c r="S625" s="1" t="s">
        <v>3507</v>
      </c>
      <c r="T625" s="1" t="s">
        <v>3508</v>
      </c>
      <c r="U625" s="24"/>
      <c r="V625" s="3" t="s">
        <v>1537</v>
      </c>
      <c r="W625" s="3" t="s">
        <v>3509</v>
      </c>
      <c r="X625" s="3" t="s">
        <v>3097</v>
      </c>
      <c r="Y625" s="21">
        <v>45799</v>
      </c>
      <c r="Z625" s="3">
        <v>2025</v>
      </c>
      <c r="AA625" s="22">
        <v>1382311.45</v>
      </c>
      <c r="AB625" s="22"/>
      <c r="AC625" s="22">
        <v>1382311.45</v>
      </c>
      <c r="AD625" s="2"/>
      <c r="AG625" s="1" t="s">
        <v>56</v>
      </c>
      <c r="AI625" s="22">
        <v>1382311.45</v>
      </c>
    </row>
    <row r="626" spans="1:38" ht="14.45" customHeight="1" x14ac:dyDescent="0.2">
      <c r="A626" s="1" t="s">
        <v>57</v>
      </c>
      <c r="B626" s="9" t="s">
        <v>38</v>
      </c>
      <c r="C626" s="1" t="s">
        <v>58</v>
      </c>
      <c r="D626" s="1" t="s">
        <v>146</v>
      </c>
      <c r="E626" s="1" t="s">
        <v>42</v>
      </c>
      <c r="G626" s="1" t="s">
        <v>147</v>
      </c>
      <c r="H626" s="1" t="s">
        <v>148</v>
      </c>
      <c r="I626" s="1" t="s">
        <v>3510</v>
      </c>
      <c r="J626" s="1">
        <v>2020</v>
      </c>
      <c r="K626" s="1" t="s">
        <v>3511</v>
      </c>
      <c r="L626" s="1" t="s">
        <v>3512</v>
      </c>
      <c r="M626" s="1" t="s">
        <v>3513</v>
      </c>
      <c r="N626" s="1" t="s">
        <v>3514</v>
      </c>
      <c r="P626" s="1" t="s">
        <v>1715</v>
      </c>
      <c r="Q626" s="1" t="s">
        <v>264</v>
      </c>
      <c r="R626" s="1" t="s">
        <v>265</v>
      </c>
      <c r="S626" s="1" t="s">
        <v>542</v>
      </c>
      <c r="T626" s="1" t="s">
        <v>543</v>
      </c>
      <c r="U626" s="1">
        <v>1</v>
      </c>
      <c r="V626" s="1" t="s">
        <v>268</v>
      </c>
      <c r="W626" s="1" t="s">
        <v>3515</v>
      </c>
      <c r="X626" s="1" t="s">
        <v>153</v>
      </c>
      <c r="Y626" s="10">
        <v>44127</v>
      </c>
      <c r="Z626" s="1">
        <v>2020</v>
      </c>
      <c r="AA626" s="2">
        <v>150000</v>
      </c>
      <c r="AB626" s="2"/>
      <c r="AC626" s="2">
        <v>112500</v>
      </c>
      <c r="AD626" s="1">
        <v>0</v>
      </c>
      <c r="AF626" s="1">
        <v>0</v>
      </c>
      <c r="AG626" s="1" t="s">
        <v>56</v>
      </c>
      <c r="AH626" s="1" t="s">
        <v>154</v>
      </c>
      <c r="AI626" s="2">
        <v>112060.1</v>
      </c>
      <c r="AL626" s="1" t="s">
        <v>503</v>
      </c>
    </row>
    <row r="627" spans="1:38" ht="14.45" customHeight="1" x14ac:dyDescent="0.2">
      <c r="A627" s="1" t="s">
        <v>57</v>
      </c>
      <c r="B627" s="9" t="s">
        <v>38</v>
      </c>
      <c r="C627" s="1" t="s">
        <v>58</v>
      </c>
      <c r="D627" s="1" t="s">
        <v>146</v>
      </c>
      <c r="E627" s="1" t="s">
        <v>42</v>
      </c>
      <c r="G627" s="1" t="s">
        <v>147</v>
      </c>
      <c r="H627" s="1" t="s">
        <v>148</v>
      </c>
      <c r="I627" s="1" t="s">
        <v>3516</v>
      </c>
      <c r="J627" s="1">
        <v>2020</v>
      </c>
      <c r="K627" s="1" t="s">
        <v>3517</v>
      </c>
      <c r="L627" s="1" t="s">
        <v>3518</v>
      </c>
      <c r="P627" s="1" t="s">
        <v>3381</v>
      </c>
      <c r="Q627" s="1" t="s">
        <v>50</v>
      </c>
      <c r="R627" s="1" t="s">
        <v>68</v>
      </c>
      <c r="S627" s="1" t="s">
        <v>1203</v>
      </c>
      <c r="T627" s="1" t="str">
        <f>VLOOKUP(S627,[5]CON_INE_2024!$H$5:$I$8135,2,FALSE)</f>
        <v>24134</v>
      </c>
      <c r="U627" s="1">
        <v>1</v>
      </c>
      <c r="V627" s="1" t="s">
        <v>195</v>
      </c>
      <c r="W627" s="1" t="s">
        <v>3517</v>
      </c>
      <c r="X627" s="1" t="s">
        <v>153</v>
      </c>
      <c r="Y627" s="10">
        <v>44127</v>
      </c>
      <c r="Z627" s="1">
        <v>2020</v>
      </c>
      <c r="AA627" s="2">
        <v>131139.99</v>
      </c>
      <c r="AB627" s="2"/>
      <c r="AC627" s="2">
        <v>98354.992499999993</v>
      </c>
      <c r="AD627" s="1">
        <v>0</v>
      </c>
      <c r="AG627" s="1" t="s">
        <v>56</v>
      </c>
      <c r="AH627" s="1" t="s">
        <v>154</v>
      </c>
      <c r="AI627" s="2">
        <v>98354.992499999993</v>
      </c>
      <c r="AL627" s="1" t="s">
        <v>503</v>
      </c>
    </row>
    <row r="628" spans="1:38" ht="14.45" customHeight="1" x14ac:dyDescent="0.2">
      <c r="A628" s="1" t="s">
        <v>57</v>
      </c>
      <c r="B628" s="9" t="s">
        <v>38</v>
      </c>
      <c r="C628" s="1" t="s">
        <v>58</v>
      </c>
      <c r="D628" s="1" t="s">
        <v>146</v>
      </c>
      <c r="E628" s="1" t="s">
        <v>42</v>
      </c>
      <c r="G628" s="1" t="s">
        <v>147</v>
      </c>
      <c r="H628" s="1" t="s">
        <v>148</v>
      </c>
      <c r="I628" s="1" t="s">
        <v>3516</v>
      </c>
      <c r="J628" s="1">
        <v>2020</v>
      </c>
      <c r="K628" s="1" t="s">
        <v>3517</v>
      </c>
      <c r="L628" s="1" t="s">
        <v>3519</v>
      </c>
      <c r="P628" s="1" t="s">
        <v>188</v>
      </c>
      <c r="Q628" s="1" t="s">
        <v>50</v>
      </c>
      <c r="R628" s="1" t="s">
        <v>68</v>
      </c>
      <c r="S628" s="1" t="s">
        <v>189</v>
      </c>
      <c r="T628" s="1" t="str">
        <f>VLOOKUP(S628,[5]CON_INE_2024!$H$5:$I$8135,2,FALSE)</f>
        <v>24202</v>
      </c>
      <c r="U628" s="1">
        <v>1</v>
      </c>
      <c r="V628" s="1" t="s">
        <v>71</v>
      </c>
      <c r="W628" s="1" t="s">
        <v>3517</v>
      </c>
      <c r="X628" s="1" t="s">
        <v>153</v>
      </c>
      <c r="Y628" s="10">
        <v>44127</v>
      </c>
      <c r="Z628" s="1">
        <v>2020</v>
      </c>
      <c r="AA628" s="2">
        <v>131139.99</v>
      </c>
      <c r="AB628" s="2"/>
      <c r="AC628" s="2">
        <v>98354.992499999993</v>
      </c>
      <c r="AD628" s="1">
        <v>0</v>
      </c>
      <c r="AG628" s="1" t="s">
        <v>56</v>
      </c>
      <c r="AH628" s="1" t="s">
        <v>154</v>
      </c>
      <c r="AI628" s="2">
        <v>98354.992499999993</v>
      </c>
      <c r="AL628" s="1" t="s">
        <v>503</v>
      </c>
    </row>
    <row r="629" spans="1:38" ht="12.6" customHeight="1" x14ac:dyDescent="0.2">
      <c r="A629" s="1" t="s">
        <v>57</v>
      </c>
      <c r="B629" s="9" t="s">
        <v>38</v>
      </c>
      <c r="C629" s="1" t="s">
        <v>58</v>
      </c>
      <c r="D629" s="1" t="s">
        <v>146</v>
      </c>
      <c r="E629" s="1" t="s">
        <v>42</v>
      </c>
      <c r="G629" s="1" t="s">
        <v>147</v>
      </c>
      <c r="H629" s="1" t="s">
        <v>148</v>
      </c>
      <c r="I629" s="1" t="s">
        <v>3516</v>
      </c>
      <c r="J629" s="1">
        <v>2020</v>
      </c>
      <c r="K629" s="1" t="s">
        <v>3517</v>
      </c>
      <c r="L629" s="1" t="s">
        <v>3520</v>
      </c>
      <c r="P629" s="1" t="s">
        <v>3360</v>
      </c>
      <c r="Q629" s="1" t="s">
        <v>50</v>
      </c>
      <c r="R629" s="1" t="s">
        <v>77</v>
      </c>
      <c r="S629" s="1" t="s">
        <v>198</v>
      </c>
      <c r="T629" s="1" t="str">
        <f>VLOOKUP(S629,[5]CON_INE_2024!$H$5:$I$8135,2,FALSE)</f>
        <v>34080</v>
      </c>
      <c r="U629" s="1">
        <v>1</v>
      </c>
      <c r="V629" s="1" t="s">
        <v>186</v>
      </c>
      <c r="W629" s="1" t="s">
        <v>3517</v>
      </c>
      <c r="X629" s="1" t="s">
        <v>153</v>
      </c>
      <c r="Y629" s="10">
        <v>44127</v>
      </c>
      <c r="Z629" s="1">
        <v>2020</v>
      </c>
      <c r="AA629" s="2">
        <v>117176.18</v>
      </c>
      <c r="AB629" s="2"/>
      <c r="AC629" s="2">
        <v>87882.134999999995</v>
      </c>
      <c r="AD629" s="1">
        <v>0</v>
      </c>
      <c r="AG629" s="1" t="s">
        <v>56</v>
      </c>
      <c r="AH629" s="1" t="s">
        <v>154</v>
      </c>
      <c r="AI629" s="2">
        <v>87882.134999999995</v>
      </c>
      <c r="AL629" s="1" t="s">
        <v>503</v>
      </c>
    </row>
    <row r="630" spans="1:38" ht="12.6" customHeight="1" x14ac:dyDescent="0.2">
      <c r="A630" s="1" t="s">
        <v>57</v>
      </c>
      <c r="B630" s="9" t="s">
        <v>38</v>
      </c>
      <c r="C630" s="1" t="s">
        <v>58</v>
      </c>
      <c r="D630" s="1" t="s">
        <v>146</v>
      </c>
      <c r="E630" s="1" t="s">
        <v>42</v>
      </c>
      <c r="G630" s="1" t="s">
        <v>147</v>
      </c>
      <c r="H630" s="1" t="s">
        <v>148</v>
      </c>
      <c r="I630" s="1" t="s">
        <v>3521</v>
      </c>
      <c r="J630" s="1">
        <v>2020</v>
      </c>
      <c r="K630" s="1" t="s">
        <v>3522</v>
      </c>
      <c r="L630" s="1" t="s">
        <v>3523</v>
      </c>
      <c r="M630" s="1" t="s">
        <v>3524</v>
      </c>
      <c r="N630" s="1" t="s">
        <v>3525</v>
      </c>
      <c r="P630" s="1" t="s">
        <v>1715</v>
      </c>
      <c r="Q630" s="1" t="s">
        <v>264</v>
      </c>
      <c r="R630" s="1" t="s">
        <v>265</v>
      </c>
      <c r="S630" s="1" t="s">
        <v>542</v>
      </c>
      <c r="T630" s="1" t="s">
        <v>543</v>
      </c>
      <c r="U630" s="1">
        <v>1</v>
      </c>
      <c r="V630" s="1" t="s">
        <v>268</v>
      </c>
      <c r="W630" s="1" t="s">
        <v>3526</v>
      </c>
      <c r="X630" s="1" t="s">
        <v>153</v>
      </c>
      <c r="Y630" s="10">
        <v>44127</v>
      </c>
      <c r="Z630" s="1">
        <v>2020</v>
      </c>
      <c r="AA630" s="2">
        <v>150000</v>
      </c>
      <c r="AB630" s="2"/>
      <c r="AC630" s="2">
        <v>112500</v>
      </c>
      <c r="AD630" s="1">
        <v>0</v>
      </c>
      <c r="AF630" s="1">
        <v>0</v>
      </c>
      <c r="AG630" s="1" t="s">
        <v>56</v>
      </c>
      <c r="AH630" s="1" t="s">
        <v>154</v>
      </c>
      <c r="AI630" s="2">
        <v>105176.27</v>
      </c>
      <c r="AL630" s="1" t="s">
        <v>503</v>
      </c>
    </row>
    <row r="631" spans="1:38" ht="12.6" customHeight="1" x14ac:dyDescent="0.25">
      <c r="A631" s="1" t="s">
        <v>57</v>
      </c>
      <c r="B631" s="20" t="s">
        <v>38</v>
      </c>
      <c r="C631" s="3" t="s">
        <v>58</v>
      </c>
      <c r="D631" s="1" t="s">
        <v>146</v>
      </c>
      <c r="E631" s="1" t="s">
        <v>42</v>
      </c>
      <c r="G631" s="1" t="s">
        <v>1673</v>
      </c>
      <c r="H631" s="1" t="s">
        <v>156</v>
      </c>
      <c r="I631" s="3" t="s">
        <v>3527</v>
      </c>
      <c r="J631" s="1">
        <v>2023</v>
      </c>
      <c r="K631" s="1" t="s">
        <v>3528</v>
      </c>
      <c r="L631" s="1" t="s">
        <v>3529</v>
      </c>
      <c r="M631" s="1" t="s">
        <v>1240</v>
      </c>
      <c r="P631" s="1" t="s">
        <v>3530</v>
      </c>
      <c r="Q631" s="1" t="s">
        <v>842</v>
      </c>
      <c r="R631" s="1" t="s">
        <v>884</v>
      </c>
      <c r="S631" s="3" t="s">
        <v>1793</v>
      </c>
      <c r="T631" s="3" t="s">
        <v>1794</v>
      </c>
      <c r="U631" s="24"/>
      <c r="V631" s="3" t="s">
        <v>887</v>
      </c>
      <c r="W631" s="3" t="s">
        <v>3531</v>
      </c>
      <c r="X631" s="3" t="s">
        <v>1396</v>
      </c>
      <c r="Y631" s="21">
        <v>45800</v>
      </c>
      <c r="Z631" s="3">
        <v>2025</v>
      </c>
      <c r="AA631" s="22">
        <v>2081977.71</v>
      </c>
      <c r="AB631" s="22"/>
      <c r="AC631" s="22">
        <v>2081977.71</v>
      </c>
      <c r="AD631" s="2"/>
      <c r="AG631" s="1" t="s">
        <v>56</v>
      </c>
      <c r="AI631" s="22">
        <v>2081977.71</v>
      </c>
    </row>
    <row r="632" spans="1:38" ht="14.45" customHeight="1" x14ac:dyDescent="0.25">
      <c r="A632" s="1" t="s">
        <v>57</v>
      </c>
      <c r="B632" s="20" t="s">
        <v>38</v>
      </c>
      <c r="C632" s="3" t="s">
        <v>58</v>
      </c>
      <c r="D632" s="1" t="s">
        <v>146</v>
      </c>
      <c r="E632" s="1" t="s">
        <v>42</v>
      </c>
      <c r="G632" s="1" t="s">
        <v>1673</v>
      </c>
      <c r="H632" s="1" t="s">
        <v>156</v>
      </c>
      <c r="I632" s="3" t="s">
        <v>3532</v>
      </c>
      <c r="J632" s="1">
        <v>2023</v>
      </c>
      <c r="K632" s="1" t="s">
        <v>3533</v>
      </c>
      <c r="L632" s="1" t="s">
        <v>3534</v>
      </c>
      <c r="M632" s="1" t="s">
        <v>1240</v>
      </c>
      <c r="P632" s="1" t="s">
        <v>3535</v>
      </c>
      <c r="Q632" s="1" t="s">
        <v>842</v>
      </c>
      <c r="R632" s="1" t="s">
        <v>884</v>
      </c>
      <c r="S632" s="3" t="s">
        <v>1926</v>
      </c>
      <c r="T632" s="3" t="s">
        <v>1927</v>
      </c>
      <c r="U632" s="24"/>
      <c r="V632" s="3" t="s">
        <v>887</v>
      </c>
      <c r="W632" s="3" t="s">
        <v>3536</v>
      </c>
      <c r="X632" s="3" t="s">
        <v>1396</v>
      </c>
      <c r="Y632" s="21">
        <v>45799</v>
      </c>
      <c r="Z632" s="3">
        <v>2025</v>
      </c>
      <c r="AA632" s="22">
        <v>956754.63</v>
      </c>
      <c r="AB632" s="22"/>
      <c r="AC632" s="22">
        <v>956754.63</v>
      </c>
      <c r="AD632" s="2"/>
      <c r="AG632" s="1" t="s">
        <v>56</v>
      </c>
      <c r="AI632" s="22">
        <v>956754.63</v>
      </c>
    </row>
    <row r="633" spans="1:38" ht="14.45" customHeight="1" x14ac:dyDescent="0.2">
      <c r="A633" s="1" t="s">
        <v>57</v>
      </c>
      <c r="B633" s="9" t="s">
        <v>38</v>
      </c>
      <c r="C633" s="1" t="s">
        <v>58</v>
      </c>
      <c r="D633" s="1" t="s">
        <v>146</v>
      </c>
      <c r="E633" s="1" t="s">
        <v>42</v>
      </c>
      <c r="G633" s="1" t="s">
        <v>155</v>
      </c>
      <c r="H633" s="1" t="s">
        <v>156</v>
      </c>
      <c r="I633" s="1" t="s">
        <v>3537</v>
      </c>
      <c r="J633" s="1">
        <v>2022</v>
      </c>
      <c r="K633" s="1" t="s">
        <v>3538</v>
      </c>
      <c r="L633" s="1" t="s">
        <v>3539</v>
      </c>
      <c r="M633" s="1" t="s">
        <v>3540</v>
      </c>
      <c r="P633" s="1" t="s">
        <v>3463</v>
      </c>
      <c r="Q633" s="1" t="s">
        <v>842</v>
      </c>
      <c r="R633" s="1" t="s">
        <v>884</v>
      </c>
      <c r="S633" s="1" t="s">
        <v>2669</v>
      </c>
      <c r="T633" s="1" t="s">
        <v>2670</v>
      </c>
      <c r="V633" s="1" t="s">
        <v>887</v>
      </c>
      <c r="W633" s="1" t="s">
        <v>3541</v>
      </c>
      <c r="Y633" s="10">
        <v>45112</v>
      </c>
      <c r="Z633" s="1">
        <v>2023</v>
      </c>
      <c r="AA633" s="2">
        <v>1683750.17</v>
      </c>
      <c r="AB633" s="2"/>
      <c r="AC633" s="2">
        <v>1683750.17</v>
      </c>
      <c r="AG633" s="1" t="s">
        <v>56</v>
      </c>
      <c r="AI633" s="2">
        <v>1683750.17</v>
      </c>
    </row>
    <row r="634" spans="1:38" ht="14.45" customHeight="1" x14ac:dyDescent="0.2">
      <c r="A634" s="1" t="s">
        <v>57</v>
      </c>
      <c r="B634" s="9" t="s">
        <v>38</v>
      </c>
      <c r="C634" s="1" t="s">
        <v>58</v>
      </c>
      <c r="D634" s="1" t="s">
        <v>146</v>
      </c>
      <c r="E634" s="1" t="s">
        <v>42</v>
      </c>
      <c r="G634" s="1" t="s">
        <v>155</v>
      </c>
      <c r="H634" s="1" t="s">
        <v>156</v>
      </c>
      <c r="I634" s="1" t="s">
        <v>3542</v>
      </c>
      <c r="J634" s="1">
        <v>2022</v>
      </c>
      <c r="K634" s="1" t="s">
        <v>3543</v>
      </c>
      <c r="L634" s="1" t="s">
        <v>3544</v>
      </c>
      <c r="P634" s="1" t="s">
        <v>3364</v>
      </c>
      <c r="Q634" s="1" t="s">
        <v>264</v>
      </c>
      <c r="R634" s="1" t="s">
        <v>265</v>
      </c>
      <c r="S634" s="1" t="s">
        <v>656</v>
      </c>
      <c r="T634" s="1" t="s">
        <v>657</v>
      </c>
      <c r="U634" s="1">
        <v>2</v>
      </c>
      <c r="V634" s="1" t="s">
        <v>268</v>
      </c>
      <c r="W634" s="1" t="s">
        <v>3545</v>
      </c>
      <c r="Y634" s="10">
        <v>45112</v>
      </c>
      <c r="Z634" s="1">
        <v>2023</v>
      </c>
      <c r="AA634" s="2">
        <v>1289185.69</v>
      </c>
      <c r="AB634" s="2"/>
      <c r="AC634" s="2">
        <v>1289185.69</v>
      </c>
      <c r="AG634" s="1" t="s">
        <v>56</v>
      </c>
      <c r="AI634" s="2">
        <v>1289185.69</v>
      </c>
    </row>
    <row r="635" spans="1:38" ht="14.45" customHeight="1" x14ac:dyDescent="0.25">
      <c r="A635" s="1" t="s">
        <v>57</v>
      </c>
      <c r="B635" s="20" t="s">
        <v>38</v>
      </c>
      <c r="C635" s="3" t="s">
        <v>58</v>
      </c>
      <c r="D635" s="1" t="s">
        <v>146</v>
      </c>
      <c r="E635" s="1" t="s">
        <v>42</v>
      </c>
      <c r="G635" s="1" t="s">
        <v>1673</v>
      </c>
      <c r="H635" s="1" t="s">
        <v>156</v>
      </c>
      <c r="I635" s="3" t="s">
        <v>3546</v>
      </c>
      <c r="J635" s="1">
        <v>2024</v>
      </c>
      <c r="K635" s="1" t="s">
        <v>3547</v>
      </c>
      <c r="L635" s="1" t="s">
        <v>3548</v>
      </c>
      <c r="M635" s="1" t="s">
        <v>1240</v>
      </c>
      <c r="P635" s="1" t="s">
        <v>3549</v>
      </c>
      <c r="Q635" s="1" t="s">
        <v>110</v>
      </c>
      <c r="R635" s="1" t="s">
        <v>111</v>
      </c>
      <c r="S635" s="3" t="s">
        <v>3550</v>
      </c>
      <c r="T635" s="3" t="s">
        <v>3551</v>
      </c>
      <c r="U635" s="24"/>
      <c r="V635" s="3" t="s">
        <v>114</v>
      </c>
      <c r="W635" s="3" t="s">
        <v>3552</v>
      </c>
      <c r="X635" s="3" t="s">
        <v>1396</v>
      </c>
      <c r="Y635" s="21">
        <v>45799</v>
      </c>
      <c r="Z635" s="3">
        <v>2025</v>
      </c>
      <c r="AA635" s="22">
        <v>756422.46</v>
      </c>
      <c r="AB635" s="22"/>
      <c r="AC635" s="22">
        <v>756422.46</v>
      </c>
      <c r="AD635" s="2"/>
      <c r="AG635" s="1" t="s">
        <v>56</v>
      </c>
      <c r="AI635" s="22">
        <v>756422.46</v>
      </c>
    </row>
    <row r="636" spans="1:38" ht="14.45" customHeight="1" x14ac:dyDescent="0.2">
      <c r="A636" s="1" t="s">
        <v>57</v>
      </c>
      <c r="B636" s="9" t="s">
        <v>38</v>
      </c>
      <c r="C636" s="1" t="s">
        <v>58</v>
      </c>
      <c r="D636" s="1" t="s">
        <v>146</v>
      </c>
      <c r="E636" s="1" t="s">
        <v>42</v>
      </c>
      <c r="G636" s="1" t="s">
        <v>155</v>
      </c>
      <c r="H636" s="1" t="s">
        <v>156</v>
      </c>
      <c r="I636" s="1" t="s">
        <v>3553</v>
      </c>
      <c r="J636" s="1">
        <v>2022</v>
      </c>
      <c r="K636" s="1" t="s">
        <v>3554</v>
      </c>
      <c r="L636" s="1" t="s">
        <v>3555</v>
      </c>
      <c r="M636" s="1" t="s">
        <v>3540</v>
      </c>
      <c r="P636" s="1" t="s">
        <v>3556</v>
      </c>
      <c r="Q636" s="1" t="s">
        <v>842</v>
      </c>
      <c r="R636" s="1" t="s">
        <v>884</v>
      </c>
      <c r="S636" s="1" t="s">
        <v>1017</v>
      </c>
      <c r="T636" s="1" t="s">
        <v>1018</v>
      </c>
      <c r="V636" s="1" t="s">
        <v>887</v>
      </c>
      <c r="W636" s="1" t="s">
        <v>3557</v>
      </c>
      <c r="Y636" s="10">
        <v>45112</v>
      </c>
      <c r="Z636" s="1">
        <v>2023</v>
      </c>
      <c r="AA636" s="2">
        <v>495669.27</v>
      </c>
      <c r="AB636" s="2"/>
      <c r="AC636" s="2">
        <v>495669.27</v>
      </c>
      <c r="AG636" s="1" t="s">
        <v>56</v>
      </c>
      <c r="AI636" s="2">
        <v>495669.27</v>
      </c>
    </row>
    <row r="637" spans="1:38" ht="14.45" customHeight="1" x14ac:dyDescent="0.2">
      <c r="A637" s="1" t="s">
        <v>57</v>
      </c>
      <c r="B637" s="9" t="s">
        <v>38</v>
      </c>
      <c r="C637" s="1" t="s">
        <v>58</v>
      </c>
      <c r="D637" s="1" t="s">
        <v>146</v>
      </c>
      <c r="E637" s="1" t="s">
        <v>42</v>
      </c>
      <c r="G637" s="1" t="s">
        <v>147</v>
      </c>
      <c r="H637" s="1" t="s">
        <v>148</v>
      </c>
      <c r="I637" s="1" t="s">
        <v>3558</v>
      </c>
      <c r="J637" s="1">
        <v>2020</v>
      </c>
      <c r="K637" s="1" t="s">
        <v>3559</v>
      </c>
      <c r="L637" s="1" t="s">
        <v>3560</v>
      </c>
      <c r="M637" s="1" t="s">
        <v>3561</v>
      </c>
      <c r="N637" s="1" t="s">
        <v>3562</v>
      </c>
      <c r="P637" s="1" t="s">
        <v>1715</v>
      </c>
      <c r="Q637" s="1" t="s">
        <v>264</v>
      </c>
      <c r="R637" s="1" t="s">
        <v>265</v>
      </c>
      <c r="S637" s="1" t="s">
        <v>542</v>
      </c>
      <c r="T637" s="1" t="s">
        <v>543</v>
      </c>
      <c r="U637" s="1">
        <v>1</v>
      </c>
      <c r="V637" s="1" t="s">
        <v>268</v>
      </c>
      <c r="W637" s="1" t="s">
        <v>3563</v>
      </c>
      <c r="X637" s="1" t="s">
        <v>153</v>
      </c>
      <c r="Y637" s="10">
        <v>44127</v>
      </c>
      <c r="Z637" s="1">
        <v>2020</v>
      </c>
      <c r="AA637" s="2">
        <v>150000</v>
      </c>
      <c r="AB637" s="2"/>
      <c r="AC637" s="2">
        <v>112500</v>
      </c>
      <c r="AD637" s="1">
        <v>0</v>
      </c>
      <c r="AF637" s="1">
        <v>0</v>
      </c>
      <c r="AG637" s="1" t="s">
        <v>56</v>
      </c>
      <c r="AH637" s="1" t="s">
        <v>154</v>
      </c>
      <c r="AI637" s="2">
        <v>111443.36</v>
      </c>
      <c r="AL637" s="1" t="s">
        <v>503</v>
      </c>
    </row>
    <row r="638" spans="1:38" ht="14.45" customHeight="1" x14ac:dyDescent="0.2">
      <c r="A638" s="1" t="s">
        <v>57</v>
      </c>
      <c r="B638" s="9" t="s">
        <v>38</v>
      </c>
      <c r="C638" s="1" t="s">
        <v>58</v>
      </c>
      <c r="D638" s="1" t="s">
        <v>146</v>
      </c>
      <c r="E638" s="1" t="s">
        <v>42</v>
      </c>
      <c r="G638" s="1" t="s">
        <v>147</v>
      </c>
      <c r="H638" s="1" t="s">
        <v>148</v>
      </c>
      <c r="I638" s="1" t="s">
        <v>3564</v>
      </c>
      <c r="J638" s="1">
        <v>2020</v>
      </c>
      <c r="K638" s="1" t="s">
        <v>3565</v>
      </c>
      <c r="L638" s="1" t="s">
        <v>3566</v>
      </c>
      <c r="M638" s="1" t="s">
        <v>3567</v>
      </c>
      <c r="N638" s="1" t="s">
        <v>3568</v>
      </c>
      <c r="P638" s="1" t="s">
        <v>1715</v>
      </c>
      <c r="Q638" s="1" t="s">
        <v>264</v>
      </c>
      <c r="R638" s="1" t="s">
        <v>265</v>
      </c>
      <c r="S638" s="1" t="s">
        <v>542</v>
      </c>
      <c r="T638" s="1" t="s">
        <v>543</v>
      </c>
      <c r="U638" s="1">
        <v>1</v>
      </c>
      <c r="V638" s="1" t="s">
        <v>268</v>
      </c>
      <c r="W638" s="1" t="s">
        <v>3569</v>
      </c>
      <c r="X638" s="1" t="s">
        <v>153</v>
      </c>
      <c r="Y638" s="10">
        <v>44127</v>
      </c>
      <c r="Z638" s="1">
        <v>2020</v>
      </c>
      <c r="AA638" s="2">
        <v>150000</v>
      </c>
      <c r="AB638" s="2"/>
      <c r="AC638" s="2">
        <v>112500</v>
      </c>
      <c r="AD638" s="1">
        <v>0</v>
      </c>
      <c r="AF638" s="1">
        <v>0</v>
      </c>
      <c r="AG638" s="1" t="s">
        <v>56</v>
      </c>
      <c r="AH638" s="1" t="s">
        <v>154</v>
      </c>
      <c r="AI638" s="2">
        <v>104491.9</v>
      </c>
      <c r="AL638" s="1" t="s">
        <v>503</v>
      </c>
    </row>
    <row r="639" spans="1:38" ht="14.45" customHeight="1" x14ac:dyDescent="0.2">
      <c r="A639" s="1" t="s">
        <v>57</v>
      </c>
      <c r="B639" s="9" t="s">
        <v>38</v>
      </c>
      <c r="C639" s="1" t="s">
        <v>58</v>
      </c>
      <c r="D639" s="1" t="s">
        <v>146</v>
      </c>
      <c r="E639" s="1" t="s">
        <v>42</v>
      </c>
      <c r="G639" s="1" t="s">
        <v>147</v>
      </c>
      <c r="H639" s="1" t="s">
        <v>148</v>
      </c>
      <c r="I639" s="1" t="s">
        <v>3570</v>
      </c>
      <c r="J639" s="1">
        <v>2020</v>
      </c>
      <c r="K639" s="1" t="s">
        <v>3571</v>
      </c>
      <c r="L639" s="1" t="s">
        <v>3572</v>
      </c>
      <c r="M639" s="1" t="s">
        <v>3573</v>
      </c>
      <c r="N639" s="1" t="s">
        <v>3574</v>
      </c>
      <c r="P639" s="1" t="s">
        <v>1721</v>
      </c>
      <c r="Q639" s="1" t="s">
        <v>264</v>
      </c>
      <c r="R639" s="1" t="s">
        <v>265</v>
      </c>
      <c r="S639" s="1" t="s">
        <v>533</v>
      </c>
      <c r="T639" s="1" t="s">
        <v>534</v>
      </c>
      <c r="U639" s="1">
        <v>1</v>
      </c>
      <c r="V639" s="1" t="s">
        <v>535</v>
      </c>
      <c r="W639" s="1" t="s">
        <v>3572</v>
      </c>
      <c r="X639" s="1" t="s">
        <v>153</v>
      </c>
      <c r="Y639" s="10">
        <v>44127</v>
      </c>
      <c r="Z639" s="1">
        <v>2020</v>
      </c>
      <c r="AA639" s="2">
        <v>2630000</v>
      </c>
      <c r="AB639" s="2"/>
      <c r="AC639" s="2">
        <v>1972500</v>
      </c>
      <c r="AD639" s="1">
        <v>0</v>
      </c>
      <c r="AF639" s="1">
        <v>15</v>
      </c>
      <c r="AG639" s="1" t="s">
        <v>56</v>
      </c>
      <c r="AH639" s="1" t="s">
        <v>154</v>
      </c>
      <c r="AI639" s="2">
        <v>1972500</v>
      </c>
      <c r="AL639" s="1" t="s">
        <v>3575</v>
      </c>
    </row>
    <row r="640" spans="1:38" ht="14.45" customHeight="1" x14ac:dyDescent="0.2">
      <c r="A640" s="1" t="s">
        <v>57</v>
      </c>
      <c r="B640" s="9" t="s">
        <v>38</v>
      </c>
      <c r="C640" s="1" t="s">
        <v>58</v>
      </c>
      <c r="D640" s="1" t="s">
        <v>146</v>
      </c>
      <c r="E640" s="1" t="s">
        <v>42</v>
      </c>
      <c r="G640" s="1" t="s">
        <v>155</v>
      </c>
      <c r="H640" s="1" t="s">
        <v>156</v>
      </c>
      <c r="I640" s="1" t="s">
        <v>3576</v>
      </c>
      <c r="J640" s="1">
        <v>2022</v>
      </c>
      <c r="K640" s="1" t="s">
        <v>3577</v>
      </c>
      <c r="L640" s="1" t="s">
        <v>3578</v>
      </c>
      <c r="M640" s="1" t="s">
        <v>3579</v>
      </c>
      <c r="P640" s="1" t="s">
        <v>3580</v>
      </c>
      <c r="Q640" s="1" t="s">
        <v>1149</v>
      </c>
      <c r="R640" s="1" t="s">
        <v>1150</v>
      </c>
      <c r="S640" s="1" t="s">
        <v>2014</v>
      </c>
      <c r="T640" s="1" t="s">
        <v>2015</v>
      </c>
      <c r="V640" s="1" t="s">
        <v>1153</v>
      </c>
      <c r="W640" s="1" t="s">
        <v>3581</v>
      </c>
      <c r="Y640" s="10">
        <v>45112</v>
      </c>
      <c r="Z640" s="1">
        <v>2023</v>
      </c>
      <c r="AA640" s="2">
        <v>461243</v>
      </c>
      <c r="AB640" s="2"/>
      <c r="AC640" s="2">
        <v>461243</v>
      </c>
      <c r="AG640" s="1" t="s">
        <v>56</v>
      </c>
      <c r="AI640" s="2">
        <v>461243</v>
      </c>
    </row>
    <row r="641" spans="1:38" ht="14.45" customHeight="1" x14ac:dyDescent="0.2">
      <c r="A641" s="1" t="s">
        <v>57</v>
      </c>
      <c r="B641" s="9" t="s">
        <v>39</v>
      </c>
      <c r="C641" s="1" t="s">
        <v>58</v>
      </c>
      <c r="D641" s="1" t="s">
        <v>146</v>
      </c>
      <c r="E641" s="1" t="s">
        <v>42</v>
      </c>
      <c r="G641" s="1" t="s">
        <v>155</v>
      </c>
      <c r="H641" s="1" t="s">
        <v>156</v>
      </c>
      <c r="I641" s="1" t="s">
        <v>3582</v>
      </c>
      <c r="J641" s="1">
        <v>2022</v>
      </c>
      <c r="K641" s="14" t="s">
        <v>3583</v>
      </c>
      <c r="P641" s="1" t="s">
        <v>3441</v>
      </c>
      <c r="Q641" s="1" t="s">
        <v>842</v>
      </c>
      <c r="R641" s="1" t="s">
        <v>884</v>
      </c>
      <c r="S641" s="1" t="s">
        <v>3442</v>
      </c>
      <c r="T641" s="1" t="s">
        <v>3443</v>
      </c>
      <c r="V641" s="1" t="s">
        <v>887</v>
      </c>
      <c r="W641" s="1" t="s">
        <v>3584</v>
      </c>
      <c r="Y641" s="10">
        <v>45112</v>
      </c>
      <c r="Z641" s="1">
        <v>2023</v>
      </c>
      <c r="AA641" s="2">
        <v>460473.68</v>
      </c>
      <c r="AB641" s="2"/>
      <c r="AC641" s="2">
        <v>460473.68</v>
      </c>
      <c r="AG641" s="1" t="s">
        <v>432</v>
      </c>
      <c r="AH641" s="1" t="s">
        <v>492</v>
      </c>
      <c r="AI641" s="2">
        <v>0</v>
      </c>
    </row>
    <row r="642" spans="1:38" ht="14.45" customHeight="1" x14ac:dyDescent="0.2">
      <c r="A642" s="1" t="s">
        <v>57</v>
      </c>
      <c r="B642" s="9" t="s">
        <v>38</v>
      </c>
      <c r="C642" s="1" t="s">
        <v>58</v>
      </c>
      <c r="D642" s="1" t="s">
        <v>146</v>
      </c>
      <c r="E642" s="1" t="s">
        <v>42</v>
      </c>
      <c r="G642" s="1" t="s">
        <v>155</v>
      </c>
      <c r="H642" s="1" t="s">
        <v>156</v>
      </c>
      <c r="I642" s="1" t="s">
        <v>3585</v>
      </c>
      <c r="J642" s="1">
        <v>2022</v>
      </c>
      <c r="K642" s="1" t="s">
        <v>3586</v>
      </c>
      <c r="L642" s="1" t="s">
        <v>3587</v>
      </c>
      <c r="M642" s="1" t="s">
        <v>1527</v>
      </c>
      <c r="P642" s="1" t="s">
        <v>3556</v>
      </c>
      <c r="Q642" s="1" t="s">
        <v>842</v>
      </c>
      <c r="R642" s="1" t="s">
        <v>884</v>
      </c>
      <c r="S642" s="1" t="s">
        <v>1017</v>
      </c>
      <c r="T642" s="1" t="s">
        <v>1018</v>
      </c>
      <c r="V642" s="1" t="s">
        <v>887</v>
      </c>
      <c r="W642" s="1" t="s">
        <v>3588</v>
      </c>
      <c r="Y642" s="10">
        <v>45112</v>
      </c>
      <c r="Z642" s="1">
        <v>2023</v>
      </c>
      <c r="AA642" s="2">
        <v>1743301.93</v>
      </c>
      <c r="AB642" s="2"/>
      <c r="AC642" s="2">
        <v>1743301.93</v>
      </c>
      <c r="AG642" s="1" t="s">
        <v>56</v>
      </c>
      <c r="AI642" s="2">
        <v>1743301.93</v>
      </c>
    </row>
    <row r="643" spans="1:38" ht="14.45" customHeight="1" x14ac:dyDescent="0.2">
      <c r="A643" s="1" t="s">
        <v>57</v>
      </c>
      <c r="B643" s="9" t="s">
        <v>38</v>
      </c>
      <c r="C643" s="1" t="s">
        <v>58</v>
      </c>
      <c r="D643" s="1" t="s">
        <v>146</v>
      </c>
      <c r="E643" s="1" t="s">
        <v>42</v>
      </c>
      <c r="G643" s="1" t="s">
        <v>155</v>
      </c>
      <c r="H643" s="1" t="s">
        <v>156</v>
      </c>
      <c r="I643" s="1" t="s">
        <v>3589</v>
      </c>
      <c r="J643" s="1">
        <v>2022</v>
      </c>
      <c r="K643" s="1" t="s">
        <v>3590</v>
      </c>
      <c r="L643" s="1" t="s">
        <v>3591</v>
      </c>
      <c r="M643" s="1" t="s">
        <v>3592</v>
      </c>
      <c r="P643" s="1" t="s">
        <v>3593</v>
      </c>
      <c r="Q643" s="1" t="s">
        <v>1149</v>
      </c>
      <c r="R643" s="1" t="s">
        <v>1150</v>
      </c>
      <c r="S643" s="1" t="s">
        <v>3594</v>
      </c>
      <c r="T643" s="1" t="s">
        <v>3595</v>
      </c>
      <c r="V643" s="1" t="s">
        <v>1153</v>
      </c>
      <c r="W643" s="1" t="s">
        <v>3596</v>
      </c>
      <c r="Y643" s="10">
        <v>45112</v>
      </c>
      <c r="Z643" s="1">
        <v>2023</v>
      </c>
      <c r="AA643" s="2">
        <v>759658.07</v>
      </c>
      <c r="AB643" s="2"/>
      <c r="AC643" s="2">
        <v>759658.07</v>
      </c>
      <c r="AG643" s="1" t="s">
        <v>56</v>
      </c>
      <c r="AI643" s="2">
        <v>759658.07</v>
      </c>
    </row>
    <row r="644" spans="1:38" ht="14.45" customHeight="1" x14ac:dyDescent="0.2">
      <c r="A644" s="1" t="s">
        <v>57</v>
      </c>
      <c r="B644" s="9" t="s">
        <v>38</v>
      </c>
      <c r="C644" s="1" t="s">
        <v>58</v>
      </c>
      <c r="D644" s="1" t="s">
        <v>146</v>
      </c>
      <c r="E644" s="1" t="s">
        <v>42</v>
      </c>
      <c r="G644" s="1" t="s">
        <v>147</v>
      </c>
      <c r="H644" s="1" t="s">
        <v>148</v>
      </c>
      <c r="I644" s="1" t="s">
        <v>3597</v>
      </c>
      <c r="J644" s="1">
        <v>2021</v>
      </c>
      <c r="K644" s="1" t="s">
        <v>3598</v>
      </c>
      <c r="L644" s="1" t="s">
        <v>3599</v>
      </c>
      <c r="N644" s="1" t="s">
        <v>3600</v>
      </c>
      <c r="P644" s="1" t="s">
        <v>1721</v>
      </c>
      <c r="Q644" s="1" t="s">
        <v>264</v>
      </c>
      <c r="R644" s="1" t="s">
        <v>265</v>
      </c>
      <c r="S644" s="1" t="s">
        <v>533</v>
      </c>
      <c r="T644" s="1" t="s">
        <v>534</v>
      </c>
      <c r="U644" s="1">
        <v>1</v>
      </c>
      <c r="V644" s="1" t="s">
        <v>535</v>
      </c>
      <c r="W644" s="1" t="s">
        <v>3598</v>
      </c>
      <c r="X644" s="1" t="s">
        <v>599</v>
      </c>
      <c r="Y644" s="10">
        <v>44560</v>
      </c>
      <c r="Z644" s="1">
        <v>2021</v>
      </c>
      <c r="AA644" s="2">
        <v>4798555.76</v>
      </c>
      <c r="AB644" s="2"/>
      <c r="AC644" s="2">
        <v>3598916.82</v>
      </c>
      <c r="AD644" s="1">
        <v>0</v>
      </c>
      <c r="AG644" s="1" t="s">
        <v>56</v>
      </c>
      <c r="AH644" s="1" t="s">
        <v>1458</v>
      </c>
      <c r="AI644" s="2">
        <v>3598916.82</v>
      </c>
      <c r="AL644" s="1" t="s">
        <v>2202</v>
      </c>
    </row>
    <row r="645" spans="1:38" ht="14.45" customHeight="1" x14ac:dyDescent="0.2">
      <c r="A645" s="1" t="s">
        <v>57</v>
      </c>
      <c r="B645" s="9" t="s">
        <v>38</v>
      </c>
      <c r="C645" s="1" t="s">
        <v>58</v>
      </c>
      <c r="D645" s="1" t="s">
        <v>146</v>
      </c>
      <c r="E645" s="1" t="s">
        <v>42</v>
      </c>
      <c r="G645" s="1" t="s">
        <v>147</v>
      </c>
      <c r="H645" s="1" t="s">
        <v>148</v>
      </c>
      <c r="I645" s="1" t="s">
        <v>3601</v>
      </c>
      <c r="J645" s="1">
        <v>2021</v>
      </c>
      <c r="K645" s="1" t="s">
        <v>3602</v>
      </c>
      <c r="L645" s="1" t="s">
        <v>3603</v>
      </c>
      <c r="M645" s="1" t="s">
        <v>3604</v>
      </c>
      <c r="N645" s="1" t="s">
        <v>3605</v>
      </c>
      <c r="P645" s="1" t="s">
        <v>1715</v>
      </c>
      <c r="Q645" s="1" t="s">
        <v>264</v>
      </c>
      <c r="R645" s="1" t="s">
        <v>265</v>
      </c>
      <c r="S645" s="1" t="s">
        <v>542</v>
      </c>
      <c r="T645" s="1" t="s">
        <v>543</v>
      </c>
      <c r="U645" s="1">
        <v>1</v>
      </c>
      <c r="V645" s="1" t="s">
        <v>268</v>
      </c>
      <c r="W645" s="1" t="s">
        <v>3606</v>
      </c>
      <c r="Y645" s="10">
        <v>44560</v>
      </c>
      <c r="Z645" s="1">
        <v>2021</v>
      </c>
      <c r="AA645" s="2">
        <v>1320000</v>
      </c>
      <c r="AB645" s="2"/>
      <c r="AC645" s="2">
        <v>990000</v>
      </c>
      <c r="AD645" s="1">
        <v>0</v>
      </c>
      <c r="AG645" s="1" t="s">
        <v>56</v>
      </c>
      <c r="AH645" s="1" t="s">
        <v>1458</v>
      </c>
      <c r="AI645" s="2">
        <v>990000</v>
      </c>
      <c r="AL645" s="1" t="s">
        <v>1744</v>
      </c>
    </row>
    <row r="646" spans="1:38" ht="14.45" customHeight="1" x14ac:dyDescent="0.2">
      <c r="A646" s="1" t="s">
        <v>57</v>
      </c>
      <c r="B646" s="9" t="s">
        <v>38</v>
      </c>
      <c r="C646" s="1" t="s">
        <v>58</v>
      </c>
      <c r="D646" s="1" t="s">
        <v>146</v>
      </c>
      <c r="E646" s="1" t="s">
        <v>42</v>
      </c>
      <c r="G646" s="1" t="s">
        <v>155</v>
      </c>
      <c r="H646" s="1" t="s">
        <v>156</v>
      </c>
      <c r="I646" s="1" t="s">
        <v>3607</v>
      </c>
      <c r="J646" s="1">
        <v>2022</v>
      </c>
      <c r="K646" s="1" t="s">
        <v>3608</v>
      </c>
      <c r="L646" s="1" t="s">
        <v>3609</v>
      </c>
      <c r="M646" s="1" t="s">
        <v>3610</v>
      </c>
      <c r="P646" s="1" t="s">
        <v>3611</v>
      </c>
      <c r="Q646" s="1" t="s">
        <v>50</v>
      </c>
      <c r="R646" s="1" t="s">
        <v>68</v>
      </c>
      <c r="S646" s="1" t="s">
        <v>2986</v>
      </c>
      <c r="T646" s="1" t="s">
        <v>2987</v>
      </c>
      <c r="U646" s="1">
        <v>2</v>
      </c>
      <c r="V646" s="1" t="s">
        <v>195</v>
      </c>
      <c r="W646" s="1" t="s">
        <v>3612</v>
      </c>
      <c r="Y646" s="10">
        <v>45112</v>
      </c>
      <c r="Z646" s="1">
        <v>2023</v>
      </c>
      <c r="AA646" s="2">
        <v>361700.7</v>
      </c>
      <c r="AB646" s="2"/>
      <c r="AC646" s="2">
        <v>361700.7</v>
      </c>
      <c r="AG646" s="1" t="s">
        <v>56</v>
      </c>
      <c r="AI646" s="2">
        <v>361700.7</v>
      </c>
    </row>
    <row r="647" spans="1:38" ht="12.6" customHeight="1" x14ac:dyDescent="0.2">
      <c r="A647" s="1" t="s">
        <v>57</v>
      </c>
      <c r="B647" s="9" t="s">
        <v>38</v>
      </c>
      <c r="C647" s="1" t="s">
        <v>58</v>
      </c>
      <c r="D647" s="1" t="s">
        <v>146</v>
      </c>
      <c r="E647" s="1" t="s">
        <v>42</v>
      </c>
      <c r="G647" s="1" t="s">
        <v>155</v>
      </c>
      <c r="H647" s="1" t="s">
        <v>156</v>
      </c>
      <c r="I647" s="1" t="s">
        <v>3613</v>
      </c>
      <c r="J647" s="1">
        <v>2022</v>
      </c>
      <c r="K647" s="1" t="s">
        <v>3614</v>
      </c>
      <c r="L647" s="1" t="s">
        <v>3615</v>
      </c>
      <c r="P647" s="1" t="s">
        <v>3616</v>
      </c>
      <c r="Q647" s="1" t="s">
        <v>101</v>
      </c>
      <c r="R647" s="1" t="s">
        <v>102</v>
      </c>
      <c r="S647" s="1" t="s">
        <v>3617</v>
      </c>
      <c r="T647" s="1" t="s">
        <v>3618</v>
      </c>
      <c r="U647" s="1">
        <v>2</v>
      </c>
      <c r="V647" s="1" t="s">
        <v>101</v>
      </c>
      <c r="W647" s="1" t="s">
        <v>3619</v>
      </c>
      <c r="Y647" s="10">
        <v>45112</v>
      </c>
      <c r="Z647" s="1">
        <v>2023</v>
      </c>
      <c r="AA647" s="2">
        <v>295333.90999999997</v>
      </c>
      <c r="AB647" s="2"/>
      <c r="AC647" s="2">
        <v>295333.90999999997</v>
      </c>
      <c r="AG647" s="1" t="s">
        <v>56</v>
      </c>
      <c r="AI647" s="2">
        <v>295333.90999999997</v>
      </c>
    </row>
    <row r="648" spans="1:38" ht="14.45" customHeight="1" x14ac:dyDescent="0.2">
      <c r="A648" s="1" t="s">
        <v>57</v>
      </c>
      <c r="B648" s="9" t="s">
        <v>38</v>
      </c>
      <c r="C648" s="1" t="s">
        <v>58</v>
      </c>
      <c r="D648" s="1" t="s">
        <v>146</v>
      </c>
      <c r="E648" s="1" t="s">
        <v>42</v>
      </c>
      <c r="G648" s="1" t="s">
        <v>147</v>
      </c>
      <c r="H648" s="1" t="s">
        <v>148</v>
      </c>
      <c r="I648" s="1" t="s">
        <v>3620</v>
      </c>
      <c r="J648" s="1">
        <v>2021</v>
      </c>
      <c r="K648" s="1" t="s">
        <v>3621</v>
      </c>
      <c r="L648" s="1" t="s">
        <v>3622</v>
      </c>
      <c r="M648" s="1" t="s">
        <v>3623</v>
      </c>
      <c r="N648" s="1" t="s">
        <v>3624</v>
      </c>
      <c r="P648" s="1" t="s">
        <v>1715</v>
      </c>
      <c r="Q648" s="1" t="s">
        <v>264</v>
      </c>
      <c r="R648" s="1" t="s">
        <v>265</v>
      </c>
      <c r="S648" s="1" t="s">
        <v>542</v>
      </c>
      <c r="T648" s="1" t="s">
        <v>543</v>
      </c>
      <c r="U648" s="1">
        <v>1</v>
      </c>
      <c r="V648" s="1" t="s">
        <v>268</v>
      </c>
      <c r="W648" s="1" t="s">
        <v>3625</v>
      </c>
      <c r="Y648" s="10">
        <v>44550</v>
      </c>
      <c r="Z648" s="1">
        <v>2021</v>
      </c>
      <c r="AA648" s="2">
        <v>847000</v>
      </c>
      <c r="AB648" s="2"/>
      <c r="AC648" s="2">
        <v>635250</v>
      </c>
      <c r="AD648" s="1">
        <v>0</v>
      </c>
      <c r="AG648" s="1" t="s">
        <v>56</v>
      </c>
      <c r="AH648" s="1" t="s">
        <v>154</v>
      </c>
      <c r="AI648" s="2">
        <v>558566.25</v>
      </c>
      <c r="AL648" s="1" t="s">
        <v>1744</v>
      </c>
    </row>
    <row r="649" spans="1:38" ht="14.45" customHeight="1" x14ac:dyDescent="0.2">
      <c r="A649" s="1" t="s">
        <v>57</v>
      </c>
      <c r="B649" s="9" t="s">
        <v>38</v>
      </c>
      <c r="C649" s="1" t="s">
        <v>58</v>
      </c>
      <c r="D649" s="1" t="s">
        <v>146</v>
      </c>
      <c r="E649" s="1" t="s">
        <v>42</v>
      </c>
      <c r="G649" s="1" t="s">
        <v>147</v>
      </c>
      <c r="H649" s="1" t="s">
        <v>148</v>
      </c>
      <c r="I649" s="1" t="s">
        <v>3626</v>
      </c>
      <c r="J649" s="1">
        <v>2019</v>
      </c>
      <c r="K649" s="1" t="s">
        <v>3627</v>
      </c>
      <c r="L649" s="1" t="s">
        <v>3628</v>
      </c>
      <c r="N649" s="1" t="s">
        <v>3629</v>
      </c>
      <c r="P649" s="1" t="s">
        <v>3630</v>
      </c>
      <c r="Q649" s="1" t="s">
        <v>50</v>
      </c>
      <c r="R649" s="1" t="s">
        <v>68</v>
      </c>
      <c r="S649" s="1" t="s">
        <v>3631</v>
      </c>
      <c r="T649" s="1" t="s">
        <v>3632</v>
      </c>
      <c r="U649" s="1">
        <v>1</v>
      </c>
      <c r="V649" s="1" t="s">
        <v>71</v>
      </c>
      <c r="W649" s="1" t="s">
        <v>3628</v>
      </c>
      <c r="X649" s="1" t="s">
        <v>153</v>
      </c>
      <c r="Y649" s="10">
        <v>43773</v>
      </c>
      <c r="Z649" s="1">
        <v>2019</v>
      </c>
      <c r="AA649" s="2">
        <v>24346882.120000001</v>
      </c>
      <c r="AB649" s="2"/>
      <c r="AC649" s="2">
        <v>18260161.59</v>
      </c>
      <c r="AD649" s="1">
        <v>0</v>
      </c>
      <c r="AG649" s="1" t="s">
        <v>56</v>
      </c>
      <c r="AH649" s="1" t="s">
        <v>154</v>
      </c>
      <c r="AI649" s="2">
        <v>17129574.09</v>
      </c>
      <c r="AJ649" s="1">
        <v>273.72000000000003</v>
      </c>
    </row>
    <row r="650" spans="1:38" ht="14.45" customHeight="1" x14ac:dyDescent="0.2">
      <c r="A650" s="1" t="s">
        <v>57</v>
      </c>
      <c r="B650" s="9" t="s">
        <v>38</v>
      </c>
      <c r="C650" s="1" t="s">
        <v>58</v>
      </c>
      <c r="D650" s="1" t="s">
        <v>146</v>
      </c>
      <c r="E650" s="1" t="s">
        <v>42</v>
      </c>
      <c r="G650" s="1" t="s">
        <v>155</v>
      </c>
      <c r="H650" s="1" t="s">
        <v>156</v>
      </c>
      <c r="I650" s="1" t="s">
        <v>3633</v>
      </c>
      <c r="J650" s="1">
        <v>2022</v>
      </c>
      <c r="K650" s="1" t="s">
        <v>3634</v>
      </c>
      <c r="L650" s="1" t="s">
        <v>3635</v>
      </c>
      <c r="P650" s="1" t="s">
        <v>3636</v>
      </c>
      <c r="Q650" s="1" t="s">
        <v>101</v>
      </c>
      <c r="R650" s="1" t="s">
        <v>102</v>
      </c>
      <c r="S650" s="1" t="s">
        <v>562</v>
      </c>
      <c r="T650" s="1" t="s">
        <v>563</v>
      </c>
      <c r="U650" s="1">
        <v>1</v>
      </c>
      <c r="V650" s="1" t="s">
        <v>101</v>
      </c>
      <c r="W650" s="1" t="s">
        <v>3637</v>
      </c>
      <c r="Y650" s="10">
        <v>45112</v>
      </c>
      <c r="Z650" s="1">
        <v>2023</v>
      </c>
      <c r="AA650" s="2">
        <v>441013.62</v>
      </c>
      <c r="AB650" s="2"/>
      <c r="AC650" s="2">
        <v>441013.62</v>
      </c>
      <c r="AG650" s="1" t="s">
        <v>56</v>
      </c>
      <c r="AI650" s="2">
        <v>441013.62</v>
      </c>
    </row>
    <row r="651" spans="1:38" ht="14.45" customHeight="1" x14ac:dyDescent="0.2">
      <c r="A651" s="1" t="s">
        <v>57</v>
      </c>
      <c r="B651" s="9" t="s">
        <v>38</v>
      </c>
      <c r="C651" s="1" t="s">
        <v>58</v>
      </c>
      <c r="D651" s="1" t="s">
        <v>146</v>
      </c>
      <c r="E651" s="1" t="s">
        <v>42</v>
      </c>
      <c r="G651" s="1" t="s">
        <v>155</v>
      </c>
      <c r="H651" s="1" t="s">
        <v>156</v>
      </c>
      <c r="I651" s="1" t="s">
        <v>3638</v>
      </c>
      <c r="J651" s="1">
        <v>2022</v>
      </c>
      <c r="K651" s="1" t="s">
        <v>3639</v>
      </c>
      <c r="L651" s="1" t="s">
        <v>3640</v>
      </c>
      <c r="P651" s="1" t="s">
        <v>3641</v>
      </c>
      <c r="Q651" s="1" t="s">
        <v>101</v>
      </c>
      <c r="R651" s="1" t="s">
        <v>102</v>
      </c>
      <c r="S651" s="1" t="s">
        <v>637</v>
      </c>
      <c r="T651" s="1" t="s">
        <v>638</v>
      </c>
      <c r="U651" s="1">
        <v>1</v>
      </c>
      <c r="V651" s="1" t="s">
        <v>101</v>
      </c>
      <c r="W651" s="1" t="s">
        <v>3642</v>
      </c>
      <c r="Y651" s="10">
        <v>45112</v>
      </c>
      <c r="Z651" s="1">
        <v>2023</v>
      </c>
      <c r="AA651" s="2">
        <v>498765.44</v>
      </c>
      <c r="AB651" s="2"/>
      <c r="AC651" s="2">
        <v>498765.44</v>
      </c>
      <c r="AG651" s="1" t="s">
        <v>56</v>
      </c>
      <c r="AI651" s="2">
        <v>498765.44</v>
      </c>
    </row>
    <row r="652" spans="1:38" ht="12.6" customHeight="1" x14ac:dyDescent="0.2">
      <c r="A652" s="1" t="s">
        <v>57</v>
      </c>
      <c r="B652" s="9" t="s">
        <v>38</v>
      </c>
      <c r="C652" s="1" t="s">
        <v>58</v>
      </c>
      <c r="D652" s="1" t="s">
        <v>146</v>
      </c>
      <c r="E652" s="1" t="s">
        <v>42</v>
      </c>
      <c r="G652" s="1" t="s">
        <v>155</v>
      </c>
      <c r="H652" s="1" t="s">
        <v>156</v>
      </c>
      <c r="I652" s="1" t="s">
        <v>3643</v>
      </c>
      <c r="J652" s="1">
        <v>2022</v>
      </c>
      <c r="K652" s="1" t="s">
        <v>3644</v>
      </c>
      <c r="L652" s="1" t="s">
        <v>3645</v>
      </c>
      <c r="P652" s="1" t="s">
        <v>3646</v>
      </c>
      <c r="Q652" s="1" t="s">
        <v>1149</v>
      </c>
      <c r="R652" s="1" t="s">
        <v>1150</v>
      </c>
      <c r="S652" s="1" t="s">
        <v>2749</v>
      </c>
      <c r="T652" s="1" t="s">
        <v>2750</v>
      </c>
      <c r="V652" s="1" t="s">
        <v>1537</v>
      </c>
      <c r="W652" s="1" t="s">
        <v>3647</v>
      </c>
      <c r="Y652" s="10">
        <v>45112</v>
      </c>
      <c r="Z652" s="1">
        <v>2023</v>
      </c>
      <c r="AA652" s="2">
        <v>1484830.92</v>
      </c>
      <c r="AB652" s="2"/>
      <c r="AC652" s="2">
        <v>1484830.92</v>
      </c>
      <c r="AG652" s="1" t="s">
        <v>56</v>
      </c>
      <c r="AI652" s="2">
        <v>1484830.92</v>
      </c>
    </row>
    <row r="653" spans="1:38" ht="12.6" customHeight="1" x14ac:dyDescent="0.25">
      <c r="A653" s="1" t="s">
        <v>57</v>
      </c>
      <c r="B653" s="20" t="s">
        <v>38</v>
      </c>
      <c r="C653" s="3" t="s">
        <v>58</v>
      </c>
      <c r="D653" s="1" t="s">
        <v>146</v>
      </c>
      <c r="E653" s="1" t="s">
        <v>42</v>
      </c>
      <c r="G653" s="1" t="s">
        <v>1673</v>
      </c>
      <c r="H653" s="1" t="s">
        <v>156</v>
      </c>
      <c r="I653" s="3" t="s">
        <v>3648</v>
      </c>
      <c r="J653" s="1">
        <v>2024</v>
      </c>
      <c r="K653" s="1" t="s">
        <v>3649</v>
      </c>
      <c r="L653" s="1" t="s">
        <v>3650</v>
      </c>
      <c r="M653" s="1" t="s">
        <v>1240</v>
      </c>
      <c r="P653" s="1" t="s">
        <v>3651</v>
      </c>
      <c r="Q653" s="1" t="s">
        <v>264</v>
      </c>
      <c r="R653" s="1" t="s">
        <v>265</v>
      </c>
      <c r="S653" s="3" t="s">
        <v>3306</v>
      </c>
      <c r="T653" s="3" t="s">
        <v>3307</v>
      </c>
      <c r="U653" s="24">
        <v>1</v>
      </c>
      <c r="V653" s="3" t="s">
        <v>535</v>
      </c>
      <c r="W653" s="3" t="s">
        <v>3652</v>
      </c>
      <c r="X653" s="3"/>
      <c r="Y653" s="21">
        <v>45799</v>
      </c>
      <c r="Z653" s="3">
        <v>2025</v>
      </c>
      <c r="AA653" s="22">
        <v>591460.88</v>
      </c>
      <c r="AB653" s="22"/>
      <c r="AC653" s="22">
        <v>591460.88</v>
      </c>
      <c r="AD653" s="2"/>
      <c r="AG653" s="1" t="s">
        <v>56</v>
      </c>
      <c r="AI653" s="22">
        <v>591460.88</v>
      </c>
    </row>
    <row r="654" spans="1:38" ht="12.6" customHeight="1" x14ac:dyDescent="0.25">
      <c r="A654" s="1" t="s">
        <v>57</v>
      </c>
      <c r="B654" s="20" t="s">
        <v>38</v>
      </c>
      <c r="C654" s="3" t="s">
        <v>58</v>
      </c>
      <c r="D654" s="1" t="s">
        <v>146</v>
      </c>
      <c r="E654" s="1" t="s">
        <v>42</v>
      </c>
      <c r="G654" s="1" t="s">
        <v>1673</v>
      </c>
      <c r="H654" s="1" t="s">
        <v>156</v>
      </c>
      <c r="I654" s="3" t="s">
        <v>3653</v>
      </c>
      <c r="J654" s="1">
        <v>2024</v>
      </c>
      <c r="K654" s="1" t="s">
        <v>3654</v>
      </c>
      <c r="L654" s="1" t="s">
        <v>3655</v>
      </c>
      <c r="M654" s="1" t="s">
        <v>1240</v>
      </c>
      <c r="P654" s="1" t="s">
        <v>3656</v>
      </c>
      <c r="Q654" s="1" t="s">
        <v>264</v>
      </c>
      <c r="R654" s="1" t="s">
        <v>265</v>
      </c>
      <c r="S654" s="3" t="s">
        <v>1783</v>
      </c>
      <c r="T654" s="3" t="s">
        <v>1784</v>
      </c>
      <c r="U654" s="24">
        <v>1</v>
      </c>
      <c r="V654" s="3" t="s">
        <v>535</v>
      </c>
      <c r="W654" s="3" t="s">
        <v>3655</v>
      </c>
      <c r="X654" s="3"/>
      <c r="Y654" s="21">
        <v>45799</v>
      </c>
      <c r="Z654" s="3">
        <v>2025</v>
      </c>
      <c r="AA654" s="22">
        <v>3973937.01</v>
      </c>
      <c r="AB654" s="22"/>
      <c r="AC654" s="22">
        <v>3973937.01</v>
      </c>
      <c r="AD654" s="2"/>
      <c r="AG654" s="1" t="s">
        <v>56</v>
      </c>
      <c r="AI654" s="22">
        <v>3973937.01</v>
      </c>
    </row>
    <row r="655" spans="1:38" ht="12.6" customHeight="1" x14ac:dyDescent="0.25">
      <c r="A655" s="1" t="s">
        <v>57</v>
      </c>
      <c r="B655" s="20" t="s">
        <v>38</v>
      </c>
      <c r="C655" s="3" t="s">
        <v>58</v>
      </c>
      <c r="D655" s="1" t="s">
        <v>146</v>
      </c>
      <c r="E655" s="1" t="s">
        <v>42</v>
      </c>
      <c r="G655" s="1" t="s">
        <v>1673</v>
      </c>
      <c r="H655" s="1" t="s">
        <v>156</v>
      </c>
      <c r="I655" s="3" t="s">
        <v>3657</v>
      </c>
      <c r="J655" s="1">
        <v>2024</v>
      </c>
      <c r="K655" s="1" t="s">
        <v>3658</v>
      </c>
      <c r="L655" s="1" t="s">
        <v>3659</v>
      </c>
      <c r="M655" s="1" t="s">
        <v>1240</v>
      </c>
      <c r="P655" s="1" t="s">
        <v>3376</v>
      </c>
      <c r="Q655" s="1" t="s">
        <v>264</v>
      </c>
      <c r="R655" s="1" t="s">
        <v>265</v>
      </c>
      <c r="S655" s="3" t="s">
        <v>3377</v>
      </c>
      <c r="T655" s="3" t="s">
        <v>3378</v>
      </c>
      <c r="U655" s="1">
        <v>1</v>
      </c>
      <c r="V655" s="1" t="s">
        <v>308</v>
      </c>
      <c r="W655" s="3" t="s">
        <v>3659</v>
      </c>
      <c r="X655" s="3"/>
      <c r="Y655" s="21">
        <v>45799</v>
      </c>
      <c r="Z655" s="3">
        <v>2025</v>
      </c>
      <c r="AA655" s="22">
        <v>801145.75</v>
      </c>
      <c r="AB655" s="22"/>
      <c r="AC655" s="22">
        <v>801145.75</v>
      </c>
      <c r="AD655" s="2"/>
      <c r="AG655" s="1" t="s">
        <v>56</v>
      </c>
      <c r="AI655" s="22">
        <v>801145.75</v>
      </c>
    </row>
    <row r="656" spans="1:38" ht="14.45" customHeight="1" x14ac:dyDescent="0.25">
      <c r="A656" s="1" t="s">
        <v>57</v>
      </c>
      <c r="B656" s="20" t="s">
        <v>38</v>
      </c>
      <c r="C656" s="3" t="s">
        <v>58</v>
      </c>
      <c r="D656" s="1" t="s">
        <v>146</v>
      </c>
      <c r="E656" s="1" t="s">
        <v>42</v>
      </c>
      <c r="G656" s="1" t="s">
        <v>1673</v>
      </c>
      <c r="H656" s="1" t="s">
        <v>156</v>
      </c>
      <c r="I656" s="3" t="s">
        <v>3660</v>
      </c>
      <c r="J656" s="1">
        <v>2024</v>
      </c>
      <c r="K656" s="1" t="s">
        <v>3661</v>
      </c>
      <c r="L656" s="1" t="s">
        <v>3662</v>
      </c>
      <c r="M656" s="1" t="s">
        <v>1240</v>
      </c>
      <c r="P656" s="1" t="s">
        <v>1758</v>
      </c>
      <c r="Q656" s="1" t="s">
        <v>264</v>
      </c>
      <c r="R656" s="1" t="s">
        <v>265</v>
      </c>
      <c r="S656" s="3" t="s">
        <v>1759</v>
      </c>
      <c r="T656" s="3" t="s">
        <v>1760</v>
      </c>
      <c r="U656" s="1">
        <v>1</v>
      </c>
      <c r="V656" s="3" t="s">
        <v>268</v>
      </c>
      <c r="W656" s="3" t="s">
        <v>3662</v>
      </c>
      <c r="X656" s="3"/>
      <c r="Y656" s="21">
        <v>45799</v>
      </c>
      <c r="Z656" s="3">
        <v>2025</v>
      </c>
      <c r="AA656" s="22">
        <v>557878.41</v>
      </c>
      <c r="AB656" s="22"/>
      <c r="AC656" s="22">
        <v>557878.41</v>
      </c>
      <c r="AD656" s="2"/>
      <c r="AG656" s="1" t="s">
        <v>56</v>
      </c>
      <c r="AI656" s="22">
        <v>557878.41</v>
      </c>
    </row>
    <row r="657" spans="1:38" ht="14.45" customHeight="1" x14ac:dyDescent="0.2">
      <c r="A657" s="1" t="s">
        <v>57</v>
      </c>
      <c r="B657" s="9" t="s">
        <v>38</v>
      </c>
      <c r="C657" s="1" t="s">
        <v>58</v>
      </c>
      <c r="D657" s="1" t="s">
        <v>1409</v>
      </c>
      <c r="E657" s="1" t="s">
        <v>42</v>
      </c>
      <c r="F657" s="1" t="s">
        <v>3663</v>
      </c>
      <c r="G657" s="1" t="s">
        <v>2146</v>
      </c>
      <c r="H657" s="1" t="s">
        <v>156</v>
      </c>
      <c r="I657" s="1" t="s">
        <v>3664</v>
      </c>
      <c r="J657" s="1">
        <v>2021</v>
      </c>
      <c r="K657" s="1" t="s">
        <v>3665</v>
      </c>
      <c r="L657" s="1" t="s">
        <v>3666</v>
      </c>
      <c r="P657" s="1" t="s">
        <v>3667</v>
      </c>
      <c r="Q657" s="1" t="s">
        <v>264</v>
      </c>
      <c r="R657" s="1" t="s">
        <v>265</v>
      </c>
      <c r="S657" s="1" t="s">
        <v>3668</v>
      </c>
      <c r="T657" s="1" t="s">
        <v>3669</v>
      </c>
      <c r="U657" s="1">
        <v>1</v>
      </c>
      <c r="V657" s="1" t="s">
        <v>308</v>
      </c>
      <c r="W657" s="1" t="s">
        <v>3670</v>
      </c>
      <c r="Y657" s="10">
        <v>44552</v>
      </c>
      <c r="Z657" s="1">
        <v>2021</v>
      </c>
      <c r="AA657" s="2">
        <v>6998137.2400000002</v>
      </c>
      <c r="AB657" s="2"/>
      <c r="AC657" s="2">
        <v>6535247.5300000003</v>
      </c>
      <c r="AF657" s="1">
        <v>15</v>
      </c>
      <c r="AG657" s="1" t="s">
        <v>56</v>
      </c>
      <c r="AI657" s="2">
        <v>6535247.5300000003</v>
      </c>
      <c r="AJ657" s="1">
        <v>77</v>
      </c>
      <c r="AK657" s="1" t="s">
        <v>2108</v>
      </c>
    </row>
    <row r="658" spans="1:38" ht="14.45" customHeight="1" x14ac:dyDescent="0.2">
      <c r="A658" s="1" t="s">
        <v>57</v>
      </c>
      <c r="B658" s="9" t="s">
        <v>38</v>
      </c>
      <c r="C658" s="1" t="s">
        <v>58</v>
      </c>
      <c r="D658" s="1" t="s">
        <v>1409</v>
      </c>
      <c r="E658" s="1" t="s">
        <v>42</v>
      </c>
      <c r="F658" s="1" t="s">
        <v>3663</v>
      </c>
      <c r="G658" s="1" t="s">
        <v>2146</v>
      </c>
      <c r="H658" s="1" t="s">
        <v>156</v>
      </c>
      <c r="I658" s="1" t="s">
        <v>3671</v>
      </c>
      <c r="J658" s="1">
        <v>2021</v>
      </c>
      <c r="K658" s="1" t="s">
        <v>3672</v>
      </c>
      <c r="L658" s="1" t="s">
        <v>3673</v>
      </c>
      <c r="P658" s="1" t="s">
        <v>3667</v>
      </c>
      <c r="Q658" s="1" t="s">
        <v>264</v>
      </c>
      <c r="R658" s="1" t="s">
        <v>265</v>
      </c>
      <c r="S658" s="1" t="s">
        <v>2680</v>
      </c>
      <c r="T658" s="1" t="s">
        <v>2681</v>
      </c>
      <c r="U658" s="1">
        <v>1</v>
      </c>
      <c r="V658" s="1" t="s">
        <v>308</v>
      </c>
      <c r="W658" s="1" t="s">
        <v>3674</v>
      </c>
      <c r="Y658" s="10">
        <v>44552</v>
      </c>
      <c r="Z658" s="1">
        <v>2021</v>
      </c>
      <c r="AA658" s="2">
        <v>27229679.609999999</v>
      </c>
      <c r="AB658" s="2"/>
      <c r="AC658" s="2">
        <v>23627099.390000001</v>
      </c>
      <c r="AF658" s="1">
        <v>61</v>
      </c>
      <c r="AG658" s="1" t="s">
        <v>56</v>
      </c>
      <c r="AI658" s="2">
        <v>23627099.390000001</v>
      </c>
      <c r="AJ658" s="1">
        <v>660</v>
      </c>
      <c r="AK658" s="1" t="s">
        <v>2108</v>
      </c>
    </row>
    <row r="659" spans="1:38" ht="14.45" customHeight="1" x14ac:dyDescent="0.2">
      <c r="A659" s="1" t="s">
        <v>57</v>
      </c>
      <c r="B659" s="9" t="s">
        <v>38</v>
      </c>
      <c r="C659" s="1" t="s">
        <v>58</v>
      </c>
      <c r="D659" s="1" t="s">
        <v>1409</v>
      </c>
      <c r="E659" s="1" t="s">
        <v>42</v>
      </c>
      <c r="F659" s="1" t="s">
        <v>3663</v>
      </c>
      <c r="G659" s="1" t="s">
        <v>2146</v>
      </c>
      <c r="H659" s="1" t="s">
        <v>156</v>
      </c>
      <c r="I659" s="1" t="s">
        <v>3675</v>
      </c>
      <c r="J659" s="1">
        <v>2021</v>
      </c>
      <c r="K659" s="1" t="s">
        <v>3676</v>
      </c>
      <c r="L659" s="1" t="s">
        <v>3677</v>
      </c>
      <c r="P659" s="1" t="s">
        <v>3667</v>
      </c>
      <c r="Q659" s="1" t="s">
        <v>264</v>
      </c>
      <c r="R659" s="1" t="s">
        <v>265</v>
      </c>
      <c r="S659" s="1" t="s">
        <v>3377</v>
      </c>
      <c r="T659" s="1" t="s">
        <v>3378</v>
      </c>
      <c r="U659" s="1">
        <v>1</v>
      </c>
      <c r="V659" s="1" t="s">
        <v>308</v>
      </c>
      <c r="W659" s="1" t="s">
        <v>3678</v>
      </c>
      <c r="Y659" s="10">
        <v>44552</v>
      </c>
      <c r="Z659" s="1">
        <v>2021</v>
      </c>
      <c r="AA659" s="2">
        <v>48687024.190000005</v>
      </c>
      <c r="AB659" s="2"/>
      <c r="AC659" s="2">
        <v>43532460.289999999</v>
      </c>
      <c r="AF659" s="1">
        <v>74</v>
      </c>
      <c r="AG659" s="1" t="s">
        <v>56</v>
      </c>
      <c r="AI659" s="2">
        <v>43532460.289999999</v>
      </c>
      <c r="AJ659" s="1">
        <v>430</v>
      </c>
      <c r="AK659" s="1" t="s">
        <v>2108</v>
      </c>
    </row>
    <row r="660" spans="1:38" ht="14.45" customHeight="1" x14ac:dyDescent="0.2">
      <c r="A660" s="1" t="s">
        <v>57</v>
      </c>
      <c r="B660" s="9" t="s">
        <v>38</v>
      </c>
      <c r="C660" s="1" t="s">
        <v>58</v>
      </c>
      <c r="D660" s="1" t="s">
        <v>146</v>
      </c>
      <c r="E660" s="1" t="s">
        <v>42</v>
      </c>
      <c r="G660" s="1" t="s">
        <v>147</v>
      </c>
      <c r="H660" s="1" t="s">
        <v>148</v>
      </c>
      <c r="I660" s="1" t="s">
        <v>3679</v>
      </c>
      <c r="J660" s="1">
        <v>2020</v>
      </c>
      <c r="K660" s="1" t="s">
        <v>3680</v>
      </c>
      <c r="L660" s="1" t="s">
        <v>3681</v>
      </c>
      <c r="M660" s="1" t="s">
        <v>3682</v>
      </c>
      <c r="N660" s="1" t="s">
        <v>3683</v>
      </c>
      <c r="P660" s="1" t="s">
        <v>3090</v>
      </c>
      <c r="Q660" s="1" t="s">
        <v>50</v>
      </c>
      <c r="R660" s="1" t="s">
        <v>68</v>
      </c>
      <c r="S660" s="1" t="s">
        <v>430</v>
      </c>
      <c r="T660" s="1" t="s">
        <v>431</v>
      </c>
      <c r="U660" s="1">
        <v>1</v>
      </c>
      <c r="V660" s="1" t="s">
        <v>71</v>
      </c>
      <c r="W660" s="1" t="s">
        <v>3681</v>
      </c>
      <c r="X660" s="1" t="s">
        <v>153</v>
      </c>
      <c r="Y660" s="10">
        <v>44127</v>
      </c>
      <c r="Z660" s="1">
        <v>2020</v>
      </c>
      <c r="AA660" s="2">
        <v>1327330.48</v>
      </c>
      <c r="AB660" s="2"/>
      <c r="AC660" s="2">
        <v>995497.86</v>
      </c>
      <c r="AD660" s="1">
        <v>1</v>
      </c>
      <c r="AF660" s="1">
        <v>18</v>
      </c>
      <c r="AG660" s="1" t="s">
        <v>56</v>
      </c>
      <c r="AH660" s="1" t="s">
        <v>1458</v>
      </c>
      <c r="AI660" s="2">
        <v>995497.86</v>
      </c>
    </row>
    <row r="661" spans="1:38" ht="14.45" customHeight="1" x14ac:dyDescent="0.2">
      <c r="A661" s="1" t="s">
        <v>57</v>
      </c>
      <c r="B661" s="9" t="s">
        <v>38</v>
      </c>
      <c r="C661" s="1" t="s">
        <v>58</v>
      </c>
      <c r="D661" s="1" t="s">
        <v>146</v>
      </c>
      <c r="E661" s="1" t="s">
        <v>42</v>
      </c>
      <c r="G661" s="1" t="s">
        <v>147</v>
      </c>
      <c r="H661" s="1" t="s">
        <v>148</v>
      </c>
      <c r="I661" s="1" t="s">
        <v>3684</v>
      </c>
      <c r="J661" s="1">
        <v>2021</v>
      </c>
      <c r="K661" s="1" t="s">
        <v>3685</v>
      </c>
      <c r="L661" s="1" t="s">
        <v>3686</v>
      </c>
      <c r="M661" s="1" t="s">
        <v>3687</v>
      </c>
      <c r="P661" s="1" t="s">
        <v>3688</v>
      </c>
      <c r="Q661" s="1" t="s">
        <v>50</v>
      </c>
      <c r="R661" s="1" t="s">
        <v>77</v>
      </c>
      <c r="S661" s="1" t="s">
        <v>3689</v>
      </c>
      <c r="T661" s="1" t="s">
        <v>3690</v>
      </c>
      <c r="U661" s="1">
        <v>1</v>
      </c>
      <c r="V661" s="1" t="s">
        <v>186</v>
      </c>
      <c r="W661" s="1" t="s">
        <v>3691</v>
      </c>
      <c r="X661" s="1" t="s">
        <v>599</v>
      </c>
      <c r="Y661" s="10">
        <v>44551</v>
      </c>
      <c r="Z661" s="1">
        <v>2021</v>
      </c>
      <c r="AA661" s="2">
        <v>2764693.41</v>
      </c>
      <c r="AB661" s="2"/>
      <c r="AC661" s="2">
        <v>2073520.06</v>
      </c>
      <c r="AD661" s="1">
        <v>2</v>
      </c>
      <c r="AF661" s="1">
        <v>9</v>
      </c>
      <c r="AG661" s="1" t="s">
        <v>56</v>
      </c>
      <c r="AH661" s="1" t="s">
        <v>1458</v>
      </c>
      <c r="AI661" s="2">
        <v>2073520.06</v>
      </c>
      <c r="AL661" s="1" t="s">
        <v>3692</v>
      </c>
    </row>
    <row r="662" spans="1:38" ht="14.45" customHeight="1" x14ac:dyDescent="0.25">
      <c r="A662" s="1" t="s">
        <v>57</v>
      </c>
      <c r="B662" s="20" t="s">
        <v>38</v>
      </c>
      <c r="C662" s="3" t="s">
        <v>58</v>
      </c>
      <c r="D662" s="1" t="s">
        <v>146</v>
      </c>
      <c r="E662" s="1" t="s">
        <v>42</v>
      </c>
      <c r="G662" s="1" t="s">
        <v>1673</v>
      </c>
      <c r="H662" s="1" t="s">
        <v>156</v>
      </c>
      <c r="I662" s="3" t="s">
        <v>3693</v>
      </c>
      <c r="J662" s="1">
        <v>2024</v>
      </c>
      <c r="K662" s="1" t="s">
        <v>3694</v>
      </c>
      <c r="L662" s="23" t="s">
        <v>3695</v>
      </c>
      <c r="M662" s="1" t="s">
        <v>1240</v>
      </c>
      <c r="P662" s="1" t="s">
        <v>3696</v>
      </c>
      <c r="Q662" s="1" t="s">
        <v>101</v>
      </c>
      <c r="R662" s="1" t="s">
        <v>102</v>
      </c>
      <c r="S662" s="3" t="s">
        <v>3697</v>
      </c>
      <c r="T662" s="3" t="s">
        <v>3698</v>
      </c>
      <c r="U662" s="24"/>
      <c r="V662" s="3" t="s">
        <v>101</v>
      </c>
      <c r="W662" s="3" t="s">
        <v>3695</v>
      </c>
      <c r="X662" s="3" t="s">
        <v>1396</v>
      </c>
      <c r="Y662" s="21">
        <v>45799</v>
      </c>
      <c r="Z662" s="3">
        <v>2025</v>
      </c>
      <c r="AA662" s="22">
        <v>275504.5</v>
      </c>
      <c r="AB662" s="22"/>
      <c r="AC662" s="22">
        <v>275504.5</v>
      </c>
      <c r="AD662" s="2"/>
      <c r="AG662" s="1" t="s">
        <v>56</v>
      </c>
      <c r="AI662" s="22">
        <v>275504.5</v>
      </c>
    </row>
    <row r="663" spans="1:38" ht="14.45" customHeight="1" x14ac:dyDescent="0.25">
      <c r="A663" s="1" t="s">
        <v>57</v>
      </c>
      <c r="B663" s="20" t="s">
        <v>38</v>
      </c>
      <c r="C663" s="3" t="s">
        <v>58</v>
      </c>
      <c r="D663" s="1" t="s">
        <v>146</v>
      </c>
      <c r="E663" s="1" t="s">
        <v>42</v>
      </c>
      <c r="G663" s="1" t="s">
        <v>1673</v>
      </c>
      <c r="H663" s="1" t="s">
        <v>156</v>
      </c>
      <c r="I663" s="3" t="s">
        <v>3699</v>
      </c>
      <c r="J663" s="1">
        <v>2024</v>
      </c>
      <c r="K663" s="1" t="s">
        <v>3700</v>
      </c>
      <c r="L663" s="23" t="s">
        <v>3701</v>
      </c>
      <c r="M663" s="1" t="s">
        <v>1240</v>
      </c>
      <c r="P663" s="1" t="s">
        <v>3148</v>
      </c>
      <c r="Q663" s="1" t="s">
        <v>101</v>
      </c>
      <c r="R663" s="1" t="s">
        <v>102</v>
      </c>
      <c r="S663" s="11" t="s">
        <v>3149</v>
      </c>
      <c r="T663" s="3" t="s">
        <v>3150</v>
      </c>
      <c r="U663" s="24">
        <v>1</v>
      </c>
      <c r="V663" s="3" t="s">
        <v>101</v>
      </c>
      <c r="W663" s="3" t="s">
        <v>3701</v>
      </c>
      <c r="X663" s="3"/>
      <c r="Y663" s="21">
        <v>45799</v>
      </c>
      <c r="Z663" s="3">
        <v>2025</v>
      </c>
      <c r="AA663" s="22">
        <v>458219.69</v>
      </c>
      <c r="AB663" s="22"/>
      <c r="AC663" s="22">
        <v>458219.69</v>
      </c>
      <c r="AD663" s="2"/>
      <c r="AG663" s="1" t="s">
        <v>56</v>
      </c>
      <c r="AI663" s="22">
        <v>458219.69</v>
      </c>
    </row>
    <row r="664" spans="1:38" ht="14.45" customHeight="1" x14ac:dyDescent="0.25">
      <c r="A664" s="1" t="s">
        <v>57</v>
      </c>
      <c r="B664" s="20" t="s">
        <v>38</v>
      </c>
      <c r="C664" s="3" t="s">
        <v>58</v>
      </c>
      <c r="D664" s="1" t="s">
        <v>146</v>
      </c>
      <c r="E664" s="1" t="s">
        <v>42</v>
      </c>
      <c r="G664" s="1" t="s">
        <v>1673</v>
      </c>
      <c r="H664" s="1" t="s">
        <v>156</v>
      </c>
      <c r="I664" s="3" t="s">
        <v>3702</v>
      </c>
      <c r="J664" s="1">
        <v>2024</v>
      </c>
      <c r="K664" s="1" t="s">
        <v>3703</v>
      </c>
      <c r="L664" s="23" t="s">
        <v>3704</v>
      </c>
      <c r="M664" s="1" t="s">
        <v>1240</v>
      </c>
      <c r="P664" s="1" t="s">
        <v>3705</v>
      </c>
      <c r="Q664" s="1" t="s">
        <v>101</v>
      </c>
      <c r="R664" s="1" t="s">
        <v>102</v>
      </c>
      <c r="S664" s="11" t="s">
        <v>387</v>
      </c>
      <c r="T664" s="3" t="s">
        <v>388</v>
      </c>
      <c r="U664" s="1">
        <v>2</v>
      </c>
      <c r="V664" s="3" t="s">
        <v>101</v>
      </c>
      <c r="W664" s="3" t="s">
        <v>3704</v>
      </c>
      <c r="X664" s="3"/>
      <c r="Y664" s="21">
        <v>45799</v>
      </c>
      <c r="Z664" s="3">
        <v>2025</v>
      </c>
      <c r="AA664" s="22">
        <v>274866.19</v>
      </c>
      <c r="AB664" s="22"/>
      <c r="AC664" s="22">
        <v>274866.19</v>
      </c>
      <c r="AD664" s="2"/>
      <c r="AG664" s="1" t="s">
        <v>56</v>
      </c>
      <c r="AI664" s="22">
        <v>274866.19</v>
      </c>
    </row>
    <row r="665" spans="1:38" ht="12.6" customHeight="1" x14ac:dyDescent="0.2">
      <c r="A665" s="1" t="s">
        <v>57</v>
      </c>
      <c r="B665" s="9" t="s">
        <v>38</v>
      </c>
      <c r="C665" s="1" t="s">
        <v>58</v>
      </c>
      <c r="D665" s="1" t="s">
        <v>1409</v>
      </c>
      <c r="E665" s="1" t="s">
        <v>42</v>
      </c>
      <c r="F665" s="1" t="s">
        <v>3663</v>
      </c>
      <c r="G665" s="1" t="s">
        <v>2146</v>
      </c>
      <c r="H665" s="1" t="s">
        <v>156</v>
      </c>
      <c r="I665" s="1" t="s">
        <v>3706</v>
      </c>
      <c r="J665" s="1">
        <v>2021</v>
      </c>
      <c r="K665" s="1" t="s">
        <v>3707</v>
      </c>
      <c r="L665" s="1" t="s">
        <v>3708</v>
      </c>
      <c r="P665" s="1" t="s">
        <v>3709</v>
      </c>
      <c r="Q665" s="1" t="s">
        <v>101</v>
      </c>
      <c r="R665" s="1" t="s">
        <v>339</v>
      </c>
      <c r="S665" s="1" t="s">
        <v>340</v>
      </c>
      <c r="T665" s="1" t="s">
        <v>341</v>
      </c>
      <c r="U665" s="1">
        <v>1</v>
      </c>
      <c r="V665" s="1" t="s">
        <v>80</v>
      </c>
      <c r="W665" s="1" t="s">
        <v>3710</v>
      </c>
      <c r="Y665" s="10">
        <v>44553</v>
      </c>
      <c r="Z665" s="1">
        <v>2021</v>
      </c>
      <c r="AA665" s="2">
        <v>6045610.3300000001</v>
      </c>
      <c r="AB665" s="2"/>
      <c r="AC665" s="2">
        <v>5953823.8600000003</v>
      </c>
      <c r="AF665" s="1">
        <v>12</v>
      </c>
      <c r="AG665" s="1" t="s">
        <v>56</v>
      </c>
      <c r="AI665" s="2">
        <v>5953823.8600000003</v>
      </c>
      <c r="AJ665" s="1">
        <v>37.75</v>
      </c>
      <c r="AK665" s="1" t="s">
        <v>2108</v>
      </c>
    </row>
    <row r="666" spans="1:38" ht="12.6" customHeight="1" x14ac:dyDescent="0.2">
      <c r="A666" s="1" t="s">
        <v>57</v>
      </c>
      <c r="B666" s="9" t="s">
        <v>38</v>
      </c>
      <c r="C666" s="1" t="s">
        <v>58</v>
      </c>
      <c r="D666" s="1" t="s">
        <v>1409</v>
      </c>
      <c r="E666" s="1" t="s">
        <v>42</v>
      </c>
      <c r="F666" s="1" t="s">
        <v>2145</v>
      </c>
      <c r="G666" s="1" t="s">
        <v>2146</v>
      </c>
      <c r="H666" s="1" t="s">
        <v>2147</v>
      </c>
      <c r="I666" s="1" t="s">
        <v>3711</v>
      </c>
      <c r="J666" s="1">
        <v>2023</v>
      </c>
      <c r="K666" s="1" t="s">
        <v>3712</v>
      </c>
      <c r="L666" s="1" t="s">
        <v>3713</v>
      </c>
      <c r="M666" s="1" t="s">
        <v>3714</v>
      </c>
      <c r="P666" s="1" t="s">
        <v>3715</v>
      </c>
      <c r="Q666" s="1" t="s">
        <v>264</v>
      </c>
      <c r="R666" s="1" t="s">
        <v>265</v>
      </c>
      <c r="S666" s="1" t="s">
        <v>542</v>
      </c>
      <c r="T666" s="1" t="s">
        <v>543</v>
      </c>
      <c r="U666" s="1">
        <v>1</v>
      </c>
      <c r="V666" s="1" t="s">
        <v>268</v>
      </c>
      <c r="W666" s="1" t="s">
        <v>3712</v>
      </c>
      <c r="Y666" s="10">
        <v>44732</v>
      </c>
      <c r="Z666" s="1">
        <v>2022</v>
      </c>
      <c r="AA666" s="2">
        <v>999000</v>
      </c>
      <c r="AB666" s="2"/>
      <c r="AC666" s="2">
        <v>999000</v>
      </c>
      <c r="AG666" s="1" t="s">
        <v>56</v>
      </c>
      <c r="AI666" s="2">
        <v>999000</v>
      </c>
      <c r="AJ666" s="2"/>
      <c r="AL666" s="1" t="s">
        <v>3716</v>
      </c>
    </row>
    <row r="667" spans="1:38" ht="12.6" customHeight="1" x14ac:dyDescent="0.2">
      <c r="A667" s="1" t="s">
        <v>57</v>
      </c>
      <c r="B667" s="9" t="s">
        <v>38</v>
      </c>
      <c r="C667" s="1" t="s">
        <v>58</v>
      </c>
      <c r="D667" s="1" t="s">
        <v>1409</v>
      </c>
      <c r="E667" s="1" t="s">
        <v>42</v>
      </c>
      <c r="F667" s="1" t="s">
        <v>2145</v>
      </c>
      <c r="G667" s="1" t="s">
        <v>2146</v>
      </c>
      <c r="H667" s="1" t="s">
        <v>2147</v>
      </c>
      <c r="I667" s="1" t="s">
        <v>3717</v>
      </c>
      <c r="J667" s="1">
        <v>2023</v>
      </c>
      <c r="K667" s="1" t="s">
        <v>3718</v>
      </c>
      <c r="L667" s="1" t="s">
        <v>3719</v>
      </c>
      <c r="M667" s="1" t="s">
        <v>3720</v>
      </c>
      <c r="P667" s="1" t="s">
        <v>3715</v>
      </c>
      <c r="Q667" s="1" t="s">
        <v>264</v>
      </c>
      <c r="R667" s="1" t="s">
        <v>265</v>
      </c>
      <c r="S667" s="1" t="s">
        <v>1557</v>
      </c>
      <c r="T667" s="1" t="s">
        <v>1558</v>
      </c>
      <c r="U667" s="1">
        <v>1</v>
      </c>
      <c r="V667" s="1" t="s">
        <v>268</v>
      </c>
      <c r="W667" s="1" t="s">
        <v>3718</v>
      </c>
      <c r="Y667" s="10">
        <v>44732</v>
      </c>
      <c r="Z667" s="1">
        <v>2022</v>
      </c>
      <c r="AA667" s="2">
        <v>999000</v>
      </c>
      <c r="AB667" s="2"/>
      <c r="AC667" s="2">
        <v>999000</v>
      </c>
      <c r="AG667" s="1" t="s">
        <v>56</v>
      </c>
      <c r="AI667" s="2">
        <v>999000</v>
      </c>
      <c r="AJ667" s="2"/>
      <c r="AL667" s="1" t="s">
        <v>3721</v>
      </c>
    </row>
    <row r="668" spans="1:38" ht="12.6" customHeight="1" x14ac:dyDescent="0.2">
      <c r="A668" s="1" t="s">
        <v>57</v>
      </c>
      <c r="B668" s="9" t="s">
        <v>38</v>
      </c>
      <c r="C668" s="1" t="s">
        <v>58</v>
      </c>
      <c r="D668" s="1" t="s">
        <v>146</v>
      </c>
      <c r="E668" s="1" t="s">
        <v>42</v>
      </c>
      <c r="G668" s="1" t="s">
        <v>147</v>
      </c>
      <c r="H668" s="1" t="s">
        <v>148</v>
      </c>
      <c r="I668" s="1" t="s">
        <v>3722</v>
      </c>
      <c r="J668" s="1">
        <v>2021</v>
      </c>
      <c r="K668" s="1" t="s">
        <v>3723</v>
      </c>
      <c r="L668" s="1" t="s">
        <v>3724</v>
      </c>
      <c r="M668" s="1" t="s">
        <v>3725</v>
      </c>
      <c r="P668" s="1" t="s">
        <v>3436</v>
      </c>
      <c r="Q668" s="1" t="s">
        <v>50</v>
      </c>
      <c r="R668" s="1" t="s">
        <v>68</v>
      </c>
      <c r="S668" s="1" t="s">
        <v>3437</v>
      </c>
      <c r="T668" s="1" t="s">
        <v>3438</v>
      </c>
      <c r="U668" s="1">
        <v>1</v>
      </c>
      <c r="V668" s="1" t="s">
        <v>195</v>
      </c>
      <c r="W668" s="1" t="s">
        <v>3726</v>
      </c>
      <c r="X668" s="1" t="s">
        <v>599</v>
      </c>
      <c r="Y668" s="10">
        <v>44559</v>
      </c>
      <c r="Z668" s="1">
        <v>2021</v>
      </c>
      <c r="AA668" s="2">
        <v>3327998.96</v>
      </c>
      <c r="AB668" s="2"/>
      <c r="AC668" s="2">
        <v>1790122.4</v>
      </c>
      <c r="AD668" s="1">
        <v>1</v>
      </c>
      <c r="AF668" s="1">
        <v>4</v>
      </c>
      <c r="AG668" s="1" t="s">
        <v>56</v>
      </c>
      <c r="AH668" s="1" t="s">
        <v>1458</v>
      </c>
      <c r="AI668" s="2">
        <v>1790122.4</v>
      </c>
      <c r="AL668" s="1" t="s">
        <v>3692</v>
      </c>
    </row>
    <row r="669" spans="1:38" ht="12.6" customHeight="1" x14ac:dyDescent="0.2">
      <c r="A669" s="1" t="s">
        <v>57</v>
      </c>
      <c r="B669" s="9" t="s">
        <v>38</v>
      </c>
      <c r="C669" s="1" t="s">
        <v>58</v>
      </c>
      <c r="D669" s="1" t="s">
        <v>146</v>
      </c>
      <c r="E669" s="1" t="s">
        <v>42</v>
      </c>
      <c r="G669" s="1" t="s">
        <v>147</v>
      </c>
      <c r="H669" s="1" t="s">
        <v>148</v>
      </c>
      <c r="I669" s="1" t="s">
        <v>3727</v>
      </c>
      <c r="J669" s="1">
        <v>2021</v>
      </c>
      <c r="K669" s="1" t="s">
        <v>3728</v>
      </c>
      <c r="L669" s="1" t="s">
        <v>3729</v>
      </c>
      <c r="P669" s="1" t="s">
        <v>3399</v>
      </c>
      <c r="Q669" s="1" t="s">
        <v>50</v>
      </c>
      <c r="R669" s="1" t="s">
        <v>68</v>
      </c>
      <c r="S669" s="1" t="s">
        <v>3400</v>
      </c>
      <c r="T669" s="1" t="s">
        <v>3401</v>
      </c>
      <c r="U669" s="1">
        <v>1</v>
      </c>
      <c r="V669" s="1" t="s">
        <v>71</v>
      </c>
      <c r="W669" s="1" t="s">
        <v>3730</v>
      </c>
      <c r="X669" s="1" t="s">
        <v>599</v>
      </c>
      <c r="Y669" s="10">
        <v>44551</v>
      </c>
      <c r="Z669" s="1">
        <v>2021</v>
      </c>
      <c r="AA669" s="2">
        <v>3446103.66</v>
      </c>
      <c r="AB669" s="2"/>
      <c r="AC669" s="2">
        <v>1980726.56</v>
      </c>
      <c r="AD669" s="1">
        <v>1</v>
      </c>
      <c r="AF669" s="1">
        <v>4</v>
      </c>
      <c r="AG669" s="1" t="s">
        <v>56</v>
      </c>
      <c r="AH669" s="1" t="s">
        <v>1458</v>
      </c>
      <c r="AI669" s="2">
        <v>1980726.56</v>
      </c>
      <c r="AL669" s="1" t="s">
        <v>3692</v>
      </c>
    </row>
    <row r="670" spans="1:38" ht="14.45" customHeight="1" x14ac:dyDescent="0.2">
      <c r="A670" s="1" t="s">
        <v>57</v>
      </c>
      <c r="B670" s="9" t="s">
        <v>38</v>
      </c>
      <c r="C670" s="1" t="s">
        <v>58</v>
      </c>
      <c r="D670" s="1" t="s">
        <v>146</v>
      </c>
      <c r="E670" s="1" t="s">
        <v>42</v>
      </c>
      <c r="G670" s="1" t="s">
        <v>147</v>
      </c>
      <c r="H670" s="1" t="s">
        <v>148</v>
      </c>
      <c r="I670" s="1" t="s">
        <v>3731</v>
      </c>
      <c r="J670" s="1">
        <v>2020</v>
      </c>
      <c r="K670" s="1" t="s">
        <v>3732</v>
      </c>
      <c r="L670" s="1" t="s">
        <v>3733</v>
      </c>
      <c r="N670" s="1" t="s">
        <v>3734</v>
      </c>
      <c r="P670" s="1" t="s">
        <v>3371</v>
      </c>
      <c r="Q670" s="1" t="s">
        <v>50</v>
      </c>
      <c r="R670" s="1" t="s">
        <v>68</v>
      </c>
      <c r="S670" s="1" t="s">
        <v>1479</v>
      </c>
      <c r="T670" s="1" t="s">
        <v>1480</v>
      </c>
      <c r="U670" s="1">
        <v>1</v>
      </c>
      <c r="V670" s="1" t="s">
        <v>71</v>
      </c>
      <c r="W670" s="1" t="s">
        <v>3735</v>
      </c>
      <c r="X670" s="1" t="s">
        <v>153</v>
      </c>
      <c r="Y670" s="10">
        <v>44127</v>
      </c>
      <c r="Z670" s="1">
        <v>2020</v>
      </c>
      <c r="AA670" s="2">
        <v>437959.49333333335</v>
      </c>
      <c r="AB670" s="2"/>
      <c r="AC670" s="2">
        <v>328469.62</v>
      </c>
      <c r="AD670" s="1">
        <v>5</v>
      </c>
      <c r="AE670" s="1">
        <v>3</v>
      </c>
      <c r="AG670" s="1" t="s">
        <v>56</v>
      </c>
      <c r="AH670" s="1" t="s">
        <v>154</v>
      </c>
      <c r="AI670" s="2">
        <v>327734.84999999998</v>
      </c>
      <c r="AL670" s="1" t="s">
        <v>1744</v>
      </c>
    </row>
    <row r="671" spans="1:38" ht="14.45" customHeight="1" x14ac:dyDescent="0.2">
      <c r="A671" s="1" t="s">
        <v>57</v>
      </c>
      <c r="B671" s="9" t="s">
        <v>38</v>
      </c>
      <c r="C671" s="1" t="s">
        <v>58</v>
      </c>
      <c r="D671" s="1" t="s">
        <v>146</v>
      </c>
      <c r="E671" s="1" t="s">
        <v>42</v>
      </c>
      <c r="G671" s="1" t="s">
        <v>147</v>
      </c>
      <c r="H671" s="1" t="s">
        <v>148</v>
      </c>
      <c r="I671" s="1" t="s">
        <v>3736</v>
      </c>
      <c r="J671" s="1">
        <v>2021</v>
      </c>
      <c r="K671" s="1" t="s">
        <v>3737</v>
      </c>
      <c r="L671" s="1" t="s">
        <v>3738</v>
      </c>
      <c r="M671" s="1" t="s">
        <v>3739</v>
      </c>
      <c r="P671" s="1" t="s">
        <v>3740</v>
      </c>
      <c r="Q671" s="1" t="s">
        <v>50</v>
      </c>
      <c r="R671" s="1" t="s">
        <v>68</v>
      </c>
      <c r="S671" s="1" t="s">
        <v>2056</v>
      </c>
      <c r="T671" s="1" t="s">
        <v>2057</v>
      </c>
      <c r="U671" s="1">
        <v>1</v>
      </c>
      <c r="V671" s="1" t="s">
        <v>195</v>
      </c>
      <c r="W671" s="1" t="s">
        <v>3741</v>
      </c>
      <c r="Y671" s="10">
        <v>44560</v>
      </c>
      <c r="Z671" s="1">
        <v>2021</v>
      </c>
      <c r="AA671" s="2">
        <v>145908.79</v>
      </c>
      <c r="AB671" s="2"/>
      <c r="AC671" s="2">
        <v>109431.59</v>
      </c>
      <c r="AD671" s="1">
        <v>0</v>
      </c>
      <c r="AF671" s="1">
        <v>6</v>
      </c>
      <c r="AG671" s="1" t="s">
        <v>56</v>
      </c>
      <c r="AH671" s="1" t="s">
        <v>154</v>
      </c>
      <c r="AI671" s="2">
        <f>VLOOKUP(Tabla354[[#This Row],[Ref. Proyecto]],[4]revITJ!$B$2:$BG$67,2,FALSE)</f>
        <v>109431.59</v>
      </c>
    </row>
    <row r="672" spans="1:38" ht="14.45" customHeight="1" x14ac:dyDescent="0.2">
      <c r="A672" s="1" t="s">
        <v>57</v>
      </c>
      <c r="B672" s="9" t="s">
        <v>38</v>
      </c>
      <c r="C672" s="1" t="s">
        <v>58</v>
      </c>
      <c r="D672" s="1" t="s">
        <v>146</v>
      </c>
      <c r="E672" s="1" t="s">
        <v>42</v>
      </c>
      <c r="G672" s="1" t="s">
        <v>147</v>
      </c>
      <c r="H672" s="1" t="s">
        <v>148</v>
      </c>
      <c r="I672" s="1" t="s">
        <v>3742</v>
      </c>
      <c r="J672" s="1">
        <v>2021</v>
      </c>
      <c r="K672" s="1" t="s">
        <v>3743</v>
      </c>
      <c r="L672" s="1" t="s">
        <v>3744</v>
      </c>
      <c r="M672" s="1" t="s">
        <v>3745</v>
      </c>
      <c r="P672" s="1" t="s">
        <v>3746</v>
      </c>
      <c r="Q672" s="1" t="s">
        <v>50</v>
      </c>
      <c r="R672" s="1" t="s">
        <v>68</v>
      </c>
      <c r="S672" s="1" t="s">
        <v>1670</v>
      </c>
      <c r="T672" s="1" t="s">
        <v>1671</v>
      </c>
      <c r="U672" s="1">
        <v>1</v>
      </c>
      <c r="V672" s="1" t="s">
        <v>71</v>
      </c>
      <c r="W672" s="1" t="s">
        <v>3747</v>
      </c>
      <c r="X672" s="1" t="s">
        <v>599</v>
      </c>
      <c r="Y672" s="10">
        <v>44559</v>
      </c>
      <c r="Z672" s="1">
        <v>2021</v>
      </c>
      <c r="AA672" s="2">
        <v>393626.73</v>
      </c>
      <c r="AB672" s="2"/>
      <c r="AC672" s="2">
        <v>295220.05</v>
      </c>
      <c r="AD672" s="1">
        <v>1</v>
      </c>
      <c r="AG672" s="1" t="s">
        <v>56</v>
      </c>
      <c r="AH672" s="1" t="s">
        <v>1458</v>
      </c>
      <c r="AI672" s="2">
        <v>295220.05</v>
      </c>
      <c r="AL672" s="1" t="s">
        <v>1744</v>
      </c>
    </row>
    <row r="673" spans="1:38" ht="12.6" customHeight="1" x14ac:dyDescent="0.2">
      <c r="A673" s="1" t="s">
        <v>57</v>
      </c>
      <c r="B673" s="9" t="s">
        <v>38</v>
      </c>
      <c r="C673" s="1" t="s">
        <v>58</v>
      </c>
      <c r="D673" s="1" t="s">
        <v>146</v>
      </c>
      <c r="E673" s="1" t="s">
        <v>42</v>
      </c>
      <c r="G673" s="1" t="s">
        <v>147</v>
      </c>
      <c r="H673" s="1" t="s">
        <v>148</v>
      </c>
      <c r="I673" s="1" t="s">
        <v>3748</v>
      </c>
      <c r="J673" s="1">
        <v>2020</v>
      </c>
      <c r="K673" s="1" t="s">
        <v>3749</v>
      </c>
      <c r="L673" s="1" t="s">
        <v>3750</v>
      </c>
      <c r="N673" s="1" t="s">
        <v>3751</v>
      </c>
      <c r="P673" s="1" t="s">
        <v>3752</v>
      </c>
      <c r="Q673" s="1" t="s">
        <v>50</v>
      </c>
      <c r="R673" s="1" t="s">
        <v>68</v>
      </c>
      <c r="S673" s="1" t="s">
        <v>69</v>
      </c>
      <c r="T673" s="1" t="s">
        <v>70</v>
      </c>
      <c r="U673" s="1">
        <v>1</v>
      </c>
      <c r="V673" s="1" t="s">
        <v>71</v>
      </c>
      <c r="W673" s="1" t="s">
        <v>3753</v>
      </c>
      <c r="X673" s="1" t="s">
        <v>153</v>
      </c>
      <c r="Y673" s="10">
        <v>44127</v>
      </c>
      <c r="Z673" s="1">
        <v>2020</v>
      </c>
      <c r="AA673" s="2">
        <v>5873218.4199999999</v>
      </c>
      <c r="AB673" s="2"/>
      <c r="AC673" s="2">
        <v>4404913.82</v>
      </c>
      <c r="AD673" s="1">
        <v>0</v>
      </c>
      <c r="AF673" s="1">
        <v>50</v>
      </c>
      <c r="AG673" s="1" t="s">
        <v>56</v>
      </c>
      <c r="AH673" s="1" t="s">
        <v>154</v>
      </c>
      <c r="AI673" s="2">
        <f>VLOOKUP(Tabla354[[#This Row],[Ref. Proyecto]],[4]revITJ!$B$2:$BG$67,2,FALSE)</f>
        <v>4404913.82</v>
      </c>
      <c r="AL673" s="1" t="s">
        <v>1744</v>
      </c>
    </row>
    <row r="674" spans="1:38" ht="14.45" customHeight="1" x14ac:dyDescent="0.2">
      <c r="A674" s="1" t="s">
        <v>57</v>
      </c>
      <c r="B674" s="9" t="s">
        <v>38</v>
      </c>
      <c r="C674" s="1" t="s">
        <v>58</v>
      </c>
      <c r="D674" s="1" t="s">
        <v>146</v>
      </c>
      <c r="E674" s="1" t="s">
        <v>42</v>
      </c>
      <c r="G674" s="1" t="s">
        <v>147</v>
      </c>
      <c r="H674" s="1" t="s">
        <v>148</v>
      </c>
      <c r="I674" s="1" t="s">
        <v>3754</v>
      </c>
      <c r="J674" s="1">
        <v>2021</v>
      </c>
      <c r="K674" s="1" t="s">
        <v>3755</v>
      </c>
      <c r="L674" s="1" t="s">
        <v>3756</v>
      </c>
      <c r="M674" s="1" t="s">
        <v>3757</v>
      </c>
      <c r="P674" s="1" t="s">
        <v>188</v>
      </c>
      <c r="Q674" s="1" t="s">
        <v>50</v>
      </c>
      <c r="R674" s="1" t="s">
        <v>68</v>
      </c>
      <c r="S674" s="1" t="s">
        <v>189</v>
      </c>
      <c r="T674" s="1" t="s">
        <v>190</v>
      </c>
      <c r="U674" s="1">
        <v>1</v>
      </c>
      <c r="V674" s="1" t="s">
        <v>71</v>
      </c>
      <c r="W674" s="1" t="s">
        <v>3758</v>
      </c>
      <c r="X674" s="1" t="s">
        <v>599</v>
      </c>
      <c r="Y674" s="10">
        <v>44560</v>
      </c>
      <c r="Z674" s="1">
        <v>2021</v>
      </c>
      <c r="AA674" s="2">
        <v>105092.23</v>
      </c>
      <c r="AB674" s="2"/>
      <c r="AC674" s="2">
        <v>78819.17</v>
      </c>
      <c r="AD674" s="1">
        <v>0.1</v>
      </c>
      <c r="AF674" s="1">
        <v>5</v>
      </c>
      <c r="AG674" s="1" t="s">
        <v>56</v>
      </c>
      <c r="AH674" s="1" t="s">
        <v>154</v>
      </c>
      <c r="AI674" s="2">
        <f>VLOOKUP(Tabla354[[#This Row],[Ref. Proyecto]],[4]revITJ!$B$2:$BG$67,2,FALSE)</f>
        <v>75825.429999999993</v>
      </c>
      <c r="AL674" s="1" t="s">
        <v>1744</v>
      </c>
    </row>
    <row r="675" spans="1:38" ht="14.45" customHeight="1" x14ac:dyDescent="0.2">
      <c r="A675" s="1" t="s">
        <v>57</v>
      </c>
      <c r="B675" s="9" t="s">
        <v>38</v>
      </c>
      <c r="C675" s="1" t="s">
        <v>58</v>
      </c>
      <c r="D675" s="1" t="s">
        <v>146</v>
      </c>
      <c r="E675" s="1" t="s">
        <v>42</v>
      </c>
      <c r="G675" s="1" t="s">
        <v>147</v>
      </c>
      <c r="H675" s="1" t="s">
        <v>148</v>
      </c>
      <c r="I675" s="1" t="s">
        <v>3759</v>
      </c>
      <c r="J675" s="1">
        <v>2021</v>
      </c>
      <c r="K675" s="1" t="s">
        <v>3760</v>
      </c>
      <c r="L675" s="8" t="s">
        <v>3761</v>
      </c>
      <c r="P675" s="1" t="s">
        <v>3398</v>
      </c>
      <c r="Q675" s="1" t="s">
        <v>50</v>
      </c>
      <c r="R675" s="1" t="s">
        <v>68</v>
      </c>
      <c r="S675" s="1" t="s">
        <v>1368</v>
      </c>
      <c r="T675" s="1" t="s">
        <v>1369</v>
      </c>
      <c r="U675" s="1">
        <v>1</v>
      </c>
      <c r="V675" s="1" t="s">
        <v>195</v>
      </c>
      <c r="W675" s="1" t="s">
        <v>3762</v>
      </c>
      <c r="X675" s="1" t="s">
        <v>153</v>
      </c>
      <c r="Y675" s="10">
        <v>44560</v>
      </c>
      <c r="Z675" s="1">
        <v>2021</v>
      </c>
      <c r="AA675" s="2">
        <v>599474.62143771339</v>
      </c>
      <c r="AB675" s="2"/>
      <c r="AC675" s="2">
        <v>449605.96607828501</v>
      </c>
      <c r="AD675" s="1">
        <v>0</v>
      </c>
      <c r="AF675" s="1">
        <v>11</v>
      </c>
      <c r="AG675" s="1" t="s">
        <v>56</v>
      </c>
      <c r="AH675" s="1" t="s">
        <v>154</v>
      </c>
      <c r="AI675" s="2">
        <v>449605.96607828501</v>
      </c>
      <c r="AL675" s="1" t="s">
        <v>1744</v>
      </c>
    </row>
    <row r="676" spans="1:38" ht="14.45" customHeight="1" x14ac:dyDescent="0.2">
      <c r="A676" s="1" t="s">
        <v>57</v>
      </c>
      <c r="B676" s="9" t="s">
        <v>38</v>
      </c>
      <c r="C676" s="1" t="s">
        <v>58</v>
      </c>
      <c r="D676" s="1" t="s">
        <v>146</v>
      </c>
      <c r="E676" s="1" t="s">
        <v>42</v>
      </c>
      <c r="G676" s="1" t="s">
        <v>147</v>
      </c>
      <c r="H676" s="1" t="s">
        <v>148</v>
      </c>
      <c r="I676" s="1" t="s">
        <v>3759</v>
      </c>
      <c r="J676" s="1">
        <v>2021</v>
      </c>
      <c r="K676" s="1" t="s">
        <v>3760</v>
      </c>
      <c r="L676" s="8" t="s">
        <v>3763</v>
      </c>
      <c r="P676" s="1" t="s">
        <v>1359</v>
      </c>
      <c r="Q676" s="1" t="s">
        <v>50</v>
      </c>
      <c r="R676" s="1" t="s">
        <v>68</v>
      </c>
      <c r="S676" s="1" t="s">
        <v>1360</v>
      </c>
      <c r="T676" s="1" t="s">
        <v>1361</v>
      </c>
      <c r="U676" s="1">
        <v>1</v>
      </c>
      <c r="V676" s="1" t="s">
        <v>71</v>
      </c>
      <c r="W676" s="1" t="s">
        <v>3762</v>
      </c>
      <c r="X676" s="1" t="s">
        <v>153</v>
      </c>
      <c r="Y676" s="10">
        <v>44560</v>
      </c>
      <c r="Z676" s="1">
        <v>2021</v>
      </c>
      <c r="AA676" s="34">
        <v>2362210.1285622865</v>
      </c>
      <c r="AB676" s="2"/>
      <c r="AC676" s="2">
        <v>1771657.5964217149</v>
      </c>
      <c r="AD676" s="1">
        <v>0</v>
      </c>
      <c r="AF676" s="1">
        <v>11</v>
      </c>
      <c r="AG676" s="1" t="s">
        <v>56</v>
      </c>
      <c r="AH676" s="1" t="s">
        <v>154</v>
      </c>
      <c r="AI676" s="2">
        <v>1771657.5964217149</v>
      </c>
      <c r="AJ676" s="1">
        <v>32</v>
      </c>
      <c r="AL676" s="1" t="s">
        <v>1744</v>
      </c>
    </row>
    <row r="677" spans="1:38" ht="14.45" customHeight="1" x14ac:dyDescent="0.2">
      <c r="A677" s="1" t="s">
        <v>57</v>
      </c>
      <c r="B677" s="9" t="s">
        <v>38</v>
      </c>
      <c r="C677" s="1" t="s">
        <v>58</v>
      </c>
      <c r="D677" s="1" t="s">
        <v>146</v>
      </c>
      <c r="E677" s="1" t="s">
        <v>42</v>
      </c>
      <c r="G677" s="1" t="s">
        <v>147</v>
      </c>
      <c r="H677" s="1" t="s">
        <v>148</v>
      </c>
      <c r="I677" s="1" t="s">
        <v>3764</v>
      </c>
      <c r="J677" s="1">
        <v>2021</v>
      </c>
      <c r="K677" s="1" t="s">
        <v>3765</v>
      </c>
      <c r="L677" s="1" t="s">
        <v>3766</v>
      </c>
      <c r="M677" s="1" t="s">
        <v>3767</v>
      </c>
      <c r="N677" s="1" t="s">
        <v>3768</v>
      </c>
      <c r="P677" s="1" t="s">
        <v>3381</v>
      </c>
      <c r="Q677" s="1" t="s">
        <v>50</v>
      </c>
      <c r="R677" s="1" t="s">
        <v>68</v>
      </c>
      <c r="S677" s="1" t="s">
        <v>1203</v>
      </c>
      <c r="T677" s="1" t="s">
        <v>1204</v>
      </c>
      <c r="U677" s="1">
        <v>1</v>
      </c>
      <c r="V677" s="1" t="s">
        <v>195</v>
      </c>
      <c r="W677" s="1" t="s">
        <v>3769</v>
      </c>
      <c r="X677" s="1" t="s">
        <v>153</v>
      </c>
      <c r="Y677" s="10">
        <v>44560</v>
      </c>
      <c r="Z677" s="1">
        <v>2021</v>
      </c>
      <c r="AA677" s="2">
        <v>2966234.26</v>
      </c>
      <c r="AB677" s="2"/>
      <c r="AC677" s="2">
        <v>2224675.7000000002</v>
      </c>
      <c r="AD677" s="1">
        <v>0.2</v>
      </c>
      <c r="AG677" s="1" t="s">
        <v>56</v>
      </c>
      <c r="AH677" s="1" t="s">
        <v>1458</v>
      </c>
      <c r="AI677" s="2">
        <v>2224675.7000000002</v>
      </c>
      <c r="AL677" s="1" t="s">
        <v>1744</v>
      </c>
    </row>
    <row r="678" spans="1:38" ht="14.45" customHeight="1" x14ac:dyDescent="0.25">
      <c r="A678" s="1" t="s">
        <v>57</v>
      </c>
      <c r="B678" s="9" t="s">
        <v>38</v>
      </c>
      <c r="C678" s="1" t="s">
        <v>58</v>
      </c>
      <c r="D678" s="1" t="s">
        <v>146</v>
      </c>
      <c r="E678" s="1" t="s">
        <v>42</v>
      </c>
      <c r="G678" s="1" t="s">
        <v>1172</v>
      </c>
      <c r="H678" s="1" t="s">
        <v>61</v>
      </c>
      <c r="I678" s="1" t="s">
        <v>3770</v>
      </c>
      <c r="J678" s="1">
        <v>2020</v>
      </c>
      <c r="K678" s="1" t="s">
        <v>3771</v>
      </c>
      <c r="L678" s="1" t="s">
        <v>3772</v>
      </c>
      <c r="M678" s="1" t="s">
        <v>3773</v>
      </c>
      <c r="P678" s="1" t="s">
        <v>3121</v>
      </c>
      <c r="Q678" s="1" t="s">
        <v>50</v>
      </c>
      <c r="R678" s="1" t="s">
        <v>68</v>
      </c>
      <c r="S678" s="16" t="s">
        <v>2758</v>
      </c>
      <c r="T678" s="1" t="s">
        <v>2759</v>
      </c>
      <c r="U678" s="1">
        <v>1</v>
      </c>
      <c r="V678" s="1" t="s">
        <v>71</v>
      </c>
      <c r="W678" s="1" t="s">
        <v>3774</v>
      </c>
      <c r="X678" s="1" t="s">
        <v>321</v>
      </c>
      <c r="Y678" s="10">
        <v>44337</v>
      </c>
      <c r="Z678" s="1">
        <v>2021</v>
      </c>
      <c r="AA678" s="2">
        <v>605000</v>
      </c>
      <c r="AB678" s="2"/>
      <c r="AC678" s="2">
        <v>307521.5</v>
      </c>
      <c r="AD678" s="1">
        <v>3</v>
      </c>
      <c r="AE678" s="1">
        <v>2</v>
      </c>
      <c r="AG678" s="1" t="s">
        <v>56</v>
      </c>
      <c r="AH678" s="1" t="s">
        <v>154</v>
      </c>
      <c r="AI678" s="2">
        <v>307230.99</v>
      </c>
      <c r="AK678" s="1">
        <v>3</v>
      </c>
      <c r="AL678" s="1" t="s">
        <v>3775</v>
      </c>
    </row>
    <row r="679" spans="1:38" ht="14.45" customHeight="1" x14ac:dyDescent="0.2">
      <c r="A679" s="1" t="s">
        <v>57</v>
      </c>
      <c r="B679" s="9" t="s">
        <v>38</v>
      </c>
      <c r="C679" s="1" t="s">
        <v>58</v>
      </c>
      <c r="D679" s="1" t="s">
        <v>146</v>
      </c>
      <c r="E679" s="1" t="s">
        <v>42</v>
      </c>
      <c r="G679" s="1" t="s">
        <v>147</v>
      </c>
      <c r="H679" s="1" t="s">
        <v>2155</v>
      </c>
      <c r="I679" s="1" t="s">
        <v>3776</v>
      </c>
      <c r="J679" s="1">
        <v>2021</v>
      </c>
      <c r="K679" s="1" t="s">
        <v>3777</v>
      </c>
      <c r="L679" s="1" t="s">
        <v>3778</v>
      </c>
      <c r="M679" s="1" t="s">
        <v>3779</v>
      </c>
      <c r="N679" s="1" t="s">
        <v>3780</v>
      </c>
      <c r="P679" s="1" t="s">
        <v>3402</v>
      </c>
      <c r="Q679" s="1" t="s">
        <v>50</v>
      </c>
      <c r="R679" s="1" t="s">
        <v>77</v>
      </c>
      <c r="S679" s="1" t="s">
        <v>1212</v>
      </c>
      <c r="T679" s="1" t="s">
        <v>1213</v>
      </c>
      <c r="U679" s="1">
        <v>1</v>
      </c>
      <c r="V679" s="1" t="s">
        <v>186</v>
      </c>
      <c r="W679" s="1" t="s">
        <v>3781</v>
      </c>
      <c r="X679" s="1" t="s">
        <v>599</v>
      </c>
      <c r="Y679" s="10">
        <v>44559</v>
      </c>
      <c r="Z679" s="1">
        <v>2021</v>
      </c>
      <c r="AA679" s="2">
        <v>688913.51</v>
      </c>
      <c r="AB679" s="2"/>
      <c r="AC679" s="2">
        <v>516685.13250000001</v>
      </c>
      <c r="AD679" s="1">
        <v>0.5</v>
      </c>
      <c r="AG679" s="1" t="s">
        <v>56</v>
      </c>
      <c r="AH679" s="1" t="s">
        <v>1458</v>
      </c>
      <c r="AI679" s="2">
        <v>516685.13250000001</v>
      </c>
      <c r="AL679" s="1" t="s">
        <v>3782</v>
      </c>
    </row>
    <row r="680" spans="1:38" ht="14.45" customHeight="1" x14ac:dyDescent="0.2">
      <c r="A680" s="1" t="s">
        <v>57</v>
      </c>
      <c r="B680" s="9" t="s">
        <v>38</v>
      </c>
      <c r="C680" s="1" t="s">
        <v>58</v>
      </c>
      <c r="D680" s="1" t="s">
        <v>1409</v>
      </c>
      <c r="E680" s="1" t="s">
        <v>42</v>
      </c>
      <c r="F680" s="1" t="s">
        <v>3663</v>
      </c>
      <c r="G680" s="1" t="s">
        <v>2146</v>
      </c>
      <c r="H680" s="1" t="s">
        <v>156</v>
      </c>
      <c r="I680" s="1" t="s">
        <v>3783</v>
      </c>
      <c r="J680" s="1">
        <v>2021</v>
      </c>
      <c r="K680" s="1" t="s">
        <v>3784</v>
      </c>
      <c r="L680" s="1" t="s">
        <v>3785</v>
      </c>
      <c r="M680" s="1" t="s">
        <v>3786</v>
      </c>
      <c r="P680" s="1" t="s">
        <v>2151</v>
      </c>
      <c r="Q680" s="1" t="s">
        <v>50</v>
      </c>
      <c r="R680" s="1" t="s">
        <v>68</v>
      </c>
      <c r="S680" s="1" t="s">
        <v>3787</v>
      </c>
      <c r="T680" s="1" t="s">
        <v>3788</v>
      </c>
      <c r="U680" s="1">
        <v>1</v>
      </c>
      <c r="V680" s="1" t="s">
        <v>71</v>
      </c>
      <c r="W680" s="1" t="s">
        <v>3789</v>
      </c>
      <c r="Y680" s="10">
        <v>44530</v>
      </c>
      <c r="Z680" s="1">
        <v>2021</v>
      </c>
      <c r="AA680" s="2">
        <v>11570544.59</v>
      </c>
      <c r="AB680" s="2"/>
      <c r="AC680" s="2">
        <v>11512683.92</v>
      </c>
      <c r="AF680" s="1">
        <v>44</v>
      </c>
      <c r="AG680" s="1" t="s">
        <v>56</v>
      </c>
      <c r="AI680" s="2">
        <v>11512683.92</v>
      </c>
      <c r="AJ680" s="1">
        <v>90.23</v>
      </c>
      <c r="AK680" s="1" t="s">
        <v>2108</v>
      </c>
    </row>
    <row r="681" spans="1:38" ht="12.6" customHeight="1" x14ac:dyDescent="0.2">
      <c r="A681" s="1" t="s">
        <v>57</v>
      </c>
      <c r="B681" s="9" t="s">
        <v>38</v>
      </c>
      <c r="C681" s="1" t="s">
        <v>58</v>
      </c>
      <c r="D681" s="1" t="s">
        <v>1409</v>
      </c>
      <c r="E681" s="1" t="s">
        <v>42</v>
      </c>
      <c r="F681" s="1" t="s">
        <v>3663</v>
      </c>
      <c r="G681" s="1" t="s">
        <v>2146</v>
      </c>
      <c r="H681" s="1" t="s">
        <v>156</v>
      </c>
      <c r="I681" s="1" t="s">
        <v>3790</v>
      </c>
      <c r="J681" s="1">
        <v>2021</v>
      </c>
      <c r="K681" s="1" t="s">
        <v>3791</v>
      </c>
      <c r="L681" s="1" t="s">
        <v>3792</v>
      </c>
      <c r="P681" s="1" t="s">
        <v>2151</v>
      </c>
      <c r="Q681" s="1" t="s">
        <v>50</v>
      </c>
      <c r="R681" s="1" t="s">
        <v>68</v>
      </c>
      <c r="S681" s="1" t="s">
        <v>1479</v>
      </c>
      <c r="T681" s="1" t="s">
        <v>1480</v>
      </c>
      <c r="U681" s="1">
        <v>1</v>
      </c>
      <c r="V681" s="1" t="s">
        <v>71</v>
      </c>
      <c r="W681" s="1" t="s">
        <v>3793</v>
      </c>
      <c r="Y681" s="10">
        <v>44530</v>
      </c>
      <c r="Z681" s="1">
        <v>2021</v>
      </c>
      <c r="AA681" s="2">
        <v>20582737.640000001</v>
      </c>
      <c r="AB681" s="2"/>
      <c r="AC681" s="2">
        <v>19661774.84</v>
      </c>
      <c r="AF681" s="1">
        <v>74</v>
      </c>
      <c r="AG681" s="1" t="s">
        <v>56</v>
      </c>
      <c r="AI681" s="2">
        <v>19661774.84</v>
      </c>
      <c r="AJ681" s="1">
        <v>249.08</v>
      </c>
      <c r="AK681" s="1" t="s">
        <v>2108</v>
      </c>
    </row>
    <row r="682" spans="1:38" ht="12.6" customHeight="1" x14ac:dyDescent="0.2">
      <c r="A682" s="1" t="s">
        <v>57</v>
      </c>
      <c r="B682" s="9" t="s">
        <v>38</v>
      </c>
      <c r="C682" s="1" t="s">
        <v>58</v>
      </c>
      <c r="D682" s="1" t="s">
        <v>1409</v>
      </c>
      <c r="E682" s="1" t="s">
        <v>42</v>
      </c>
      <c r="F682" s="1" t="s">
        <v>3794</v>
      </c>
      <c r="G682" s="1" t="s">
        <v>2146</v>
      </c>
      <c r="H682" s="1" t="s">
        <v>3795</v>
      </c>
      <c r="I682" s="1" t="s">
        <v>3796</v>
      </c>
      <c r="J682" s="1">
        <v>2021</v>
      </c>
      <c r="K682" s="1" t="s">
        <v>3797</v>
      </c>
      <c r="L682" s="1" t="s">
        <v>3798</v>
      </c>
      <c r="P682" s="1" t="s">
        <v>3799</v>
      </c>
      <c r="Q682" s="1" t="s">
        <v>264</v>
      </c>
      <c r="R682" s="1" t="s">
        <v>265</v>
      </c>
      <c r="S682" s="1" t="s">
        <v>306</v>
      </c>
      <c r="T682" s="1" t="s">
        <v>307</v>
      </c>
      <c r="U682" s="1">
        <v>1</v>
      </c>
      <c r="V682" s="1" t="s">
        <v>308</v>
      </c>
      <c r="W682" s="1" t="s">
        <v>3798</v>
      </c>
      <c r="Y682" s="10">
        <v>44732</v>
      </c>
      <c r="Z682" s="1">
        <v>2022</v>
      </c>
      <c r="AA682" s="2">
        <v>999000</v>
      </c>
      <c r="AB682" s="2"/>
      <c r="AC682" s="2">
        <v>999000</v>
      </c>
      <c r="AG682" s="1" t="s">
        <v>3800</v>
      </c>
      <c r="AI682" s="2">
        <v>999000</v>
      </c>
      <c r="AJ682" s="2"/>
      <c r="AL682" s="1" t="s">
        <v>3801</v>
      </c>
    </row>
    <row r="683" spans="1:38" ht="12.6" customHeight="1" x14ac:dyDescent="0.2">
      <c r="A683" s="1" t="s">
        <v>57</v>
      </c>
      <c r="B683" s="9" t="s">
        <v>38</v>
      </c>
      <c r="C683" s="1" t="s">
        <v>40</v>
      </c>
      <c r="D683" s="1" t="s">
        <v>41</v>
      </c>
      <c r="E683" s="1" t="s">
        <v>42</v>
      </c>
      <c r="F683" s="1" t="s">
        <v>3802</v>
      </c>
      <c r="G683" s="1" t="s">
        <v>3803</v>
      </c>
      <c r="H683" s="1" t="s">
        <v>45</v>
      </c>
      <c r="I683" s="1" t="s">
        <v>3804</v>
      </c>
      <c r="K683" s="1" t="s">
        <v>3805</v>
      </c>
      <c r="L683" s="8" t="s">
        <v>3806</v>
      </c>
      <c r="M683" s="1" t="s">
        <v>3807</v>
      </c>
      <c r="P683" s="1" t="s">
        <v>3808</v>
      </c>
      <c r="Q683" s="1" t="s">
        <v>1149</v>
      </c>
      <c r="R683" s="1" t="s">
        <v>1150</v>
      </c>
      <c r="S683" s="1" t="s">
        <v>1535</v>
      </c>
      <c r="T683" s="1" t="s">
        <v>1536</v>
      </c>
      <c r="V683" s="1" t="s">
        <v>1537</v>
      </c>
      <c r="W683" s="1" t="s">
        <v>3805</v>
      </c>
      <c r="X683" s="1" t="s">
        <v>55</v>
      </c>
      <c r="Y683" s="10">
        <v>45224</v>
      </c>
      <c r="Z683" s="1">
        <v>2023</v>
      </c>
      <c r="AA683" s="2">
        <v>24250125</v>
      </c>
      <c r="AB683" s="2"/>
      <c r="AC683" s="2">
        <v>10000000</v>
      </c>
      <c r="AD683" s="1">
        <v>0</v>
      </c>
      <c r="AG683" s="1" t="s">
        <v>56</v>
      </c>
      <c r="AI683" s="2">
        <v>10000000</v>
      </c>
    </row>
    <row r="684" spans="1:38" ht="12.6" customHeight="1" x14ac:dyDescent="0.2">
      <c r="A684" s="1" t="s">
        <v>57</v>
      </c>
      <c r="B684" s="9" t="s">
        <v>38</v>
      </c>
      <c r="C684" s="1" t="s">
        <v>40</v>
      </c>
      <c r="D684" s="1" t="s">
        <v>41</v>
      </c>
      <c r="E684" s="1" t="s">
        <v>42</v>
      </c>
      <c r="F684" s="1" t="s">
        <v>3802</v>
      </c>
      <c r="G684" s="1" t="s">
        <v>3803</v>
      </c>
      <c r="H684" s="1" t="s">
        <v>45</v>
      </c>
      <c r="I684" s="1" t="s">
        <v>3804</v>
      </c>
      <c r="J684" s="1">
        <v>2023</v>
      </c>
      <c r="K684" s="1" t="s">
        <v>3805</v>
      </c>
      <c r="L684" s="8" t="s">
        <v>3809</v>
      </c>
      <c r="M684" s="1" t="s">
        <v>3807</v>
      </c>
      <c r="P684" s="1" t="s">
        <v>3808</v>
      </c>
      <c r="Q684" s="1" t="s">
        <v>1149</v>
      </c>
      <c r="R684" s="1" t="s">
        <v>1150</v>
      </c>
      <c r="S684" s="1" t="s">
        <v>1218</v>
      </c>
      <c r="T684" s="1" t="s">
        <v>1219</v>
      </c>
      <c r="V684" s="1" t="s">
        <v>1153</v>
      </c>
      <c r="W684" s="1" t="s">
        <v>3805</v>
      </c>
      <c r="X684" s="1" t="s">
        <v>55</v>
      </c>
      <c r="Y684" s="10">
        <v>45224</v>
      </c>
      <c r="Z684" s="1">
        <v>2023</v>
      </c>
      <c r="AA684" s="2">
        <v>24250125</v>
      </c>
      <c r="AB684" s="2"/>
      <c r="AC684" s="2">
        <v>10000000</v>
      </c>
      <c r="AD684" s="1">
        <v>0</v>
      </c>
      <c r="AG684" s="1" t="s">
        <v>56</v>
      </c>
      <c r="AI684" s="2">
        <v>10000000</v>
      </c>
    </row>
    <row r="685" spans="1:38" ht="12.6" customHeight="1" x14ac:dyDescent="0.2">
      <c r="A685" s="1" t="s">
        <v>57</v>
      </c>
      <c r="B685" s="9" t="s">
        <v>38</v>
      </c>
      <c r="C685" s="1" t="s">
        <v>40</v>
      </c>
      <c r="D685" s="1" t="s">
        <v>41</v>
      </c>
      <c r="E685" s="1" t="s">
        <v>42</v>
      </c>
      <c r="F685" s="1" t="s">
        <v>3810</v>
      </c>
      <c r="G685" s="1" t="s">
        <v>3811</v>
      </c>
      <c r="H685" s="1" t="s">
        <v>45</v>
      </c>
      <c r="I685" s="1" t="s">
        <v>3812</v>
      </c>
      <c r="J685" s="1">
        <v>2022</v>
      </c>
      <c r="K685" s="1" t="s">
        <v>3813</v>
      </c>
      <c r="L685" s="1" t="s">
        <v>3814</v>
      </c>
      <c r="P685" s="1" t="s">
        <v>3815</v>
      </c>
      <c r="Q685" s="1" t="s">
        <v>110</v>
      </c>
      <c r="R685" s="1" t="s">
        <v>605</v>
      </c>
      <c r="S685" s="1" t="s">
        <v>3816</v>
      </c>
      <c r="T685" s="1" t="s">
        <v>3817</v>
      </c>
      <c r="U685" s="1">
        <v>1</v>
      </c>
      <c r="V685" s="1" t="s">
        <v>80</v>
      </c>
      <c r="W685" s="1" t="s">
        <v>3818</v>
      </c>
      <c r="X685" s="1" t="s">
        <v>3819</v>
      </c>
      <c r="Y685" s="10">
        <v>45287</v>
      </c>
      <c r="Z685" s="1">
        <v>2023</v>
      </c>
      <c r="AA685" s="2">
        <v>14445891.779999999</v>
      </c>
      <c r="AB685" s="2"/>
      <c r="AC685" s="2">
        <v>3702482.06</v>
      </c>
      <c r="AD685" s="1">
        <v>9.4</v>
      </c>
      <c r="AG685" s="1" t="s">
        <v>56</v>
      </c>
      <c r="AI685" s="2">
        <v>3702482.06</v>
      </c>
    </row>
    <row r="686" spans="1:38" ht="12.6" customHeight="1" x14ac:dyDescent="0.2">
      <c r="A686" s="1" t="s">
        <v>57</v>
      </c>
      <c r="B686" s="9" t="s">
        <v>38</v>
      </c>
      <c r="C686" s="1" t="s">
        <v>58</v>
      </c>
      <c r="D686" s="1" t="s">
        <v>146</v>
      </c>
      <c r="E686" s="1" t="s">
        <v>42</v>
      </c>
      <c r="G686" s="1" t="s">
        <v>1172</v>
      </c>
      <c r="H686" s="1" t="s">
        <v>61</v>
      </c>
      <c r="I686" s="1" t="s">
        <v>3820</v>
      </c>
      <c r="J686" s="1">
        <v>2020</v>
      </c>
      <c r="K686" s="1" t="s">
        <v>3821</v>
      </c>
      <c r="L686" s="1" t="s">
        <v>3822</v>
      </c>
      <c r="N686" s="1" t="s">
        <v>3823</v>
      </c>
      <c r="P686" s="1" t="s">
        <v>3381</v>
      </c>
      <c r="Q686" s="1" t="s">
        <v>50</v>
      </c>
      <c r="R686" s="1" t="s">
        <v>68</v>
      </c>
      <c r="S686" s="1" t="s">
        <v>1203</v>
      </c>
      <c r="T686" s="1" t="s">
        <v>1204</v>
      </c>
      <c r="U686" s="1">
        <v>1</v>
      </c>
      <c r="V686" s="1" t="s">
        <v>195</v>
      </c>
      <c r="W686" s="1" t="s">
        <v>3824</v>
      </c>
      <c r="X686" s="1" t="s">
        <v>138</v>
      </c>
      <c r="Y686" s="10">
        <v>44337</v>
      </c>
      <c r="Z686" s="1">
        <v>2021</v>
      </c>
      <c r="AA686" s="2">
        <v>1000000</v>
      </c>
      <c r="AB686" s="2"/>
      <c r="AC686" s="2">
        <v>500000</v>
      </c>
      <c r="AD686" s="1">
        <v>2</v>
      </c>
      <c r="AE686" s="1">
        <v>2</v>
      </c>
      <c r="AG686" s="1" t="s">
        <v>56</v>
      </c>
      <c r="AH686" s="1" t="s">
        <v>154</v>
      </c>
      <c r="AI686" s="2">
        <v>500000</v>
      </c>
      <c r="AK686" s="1">
        <v>2</v>
      </c>
      <c r="AL686" s="1" t="s">
        <v>3825</v>
      </c>
    </row>
    <row r="687" spans="1:38" ht="14.45" customHeight="1" x14ac:dyDescent="0.2">
      <c r="A687" s="1" t="s">
        <v>57</v>
      </c>
      <c r="B687" s="9" t="s">
        <v>38</v>
      </c>
      <c r="C687" s="1" t="s">
        <v>58</v>
      </c>
      <c r="D687" s="1" t="s">
        <v>146</v>
      </c>
      <c r="E687" s="1" t="s">
        <v>42</v>
      </c>
      <c r="G687" s="1" t="s">
        <v>1172</v>
      </c>
      <c r="H687" s="1" t="s">
        <v>61</v>
      </c>
      <c r="I687" s="1" t="s">
        <v>3826</v>
      </c>
      <c r="J687" s="1">
        <v>2020</v>
      </c>
      <c r="K687" s="1" t="s">
        <v>3827</v>
      </c>
      <c r="L687" s="1" t="s">
        <v>3828</v>
      </c>
      <c r="N687" s="1" t="s">
        <v>3829</v>
      </c>
      <c r="P687" s="1" t="s">
        <v>3830</v>
      </c>
      <c r="Q687" s="1" t="s">
        <v>2026</v>
      </c>
      <c r="R687" s="1" t="s">
        <v>2027</v>
      </c>
      <c r="S687" s="1" t="s">
        <v>2028</v>
      </c>
      <c r="T687" s="1" t="s">
        <v>2029</v>
      </c>
      <c r="U687" s="1">
        <v>2</v>
      </c>
      <c r="V687" s="1" t="s">
        <v>101</v>
      </c>
      <c r="W687" s="1" t="s">
        <v>3828</v>
      </c>
      <c r="X687" s="1" t="s">
        <v>138</v>
      </c>
      <c r="Y687" s="10">
        <v>44337</v>
      </c>
      <c r="Z687" s="1">
        <v>2021</v>
      </c>
      <c r="AA687" s="2">
        <v>1000000</v>
      </c>
      <c r="AB687" s="2"/>
      <c r="AC687" s="2">
        <v>500000</v>
      </c>
      <c r="AD687" s="1">
        <v>10</v>
      </c>
      <c r="AE687" s="1">
        <v>17</v>
      </c>
      <c r="AF687" s="1">
        <v>7</v>
      </c>
      <c r="AG687" s="1" t="s">
        <v>56</v>
      </c>
      <c r="AH687" s="1" t="s">
        <v>154</v>
      </c>
      <c r="AI687" s="2">
        <v>500000</v>
      </c>
      <c r="AK687" s="1">
        <v>17</v>
      </c>
      <c r="AL687" s="1" t="s">
        <v>3831</v>
      </c>
    </row>
    <row r="688" spans="1:38" ht="14.45" customHeight="1" x14ac:dyDescent="0.2">
      <c r="A688" s="1" t="s">
        <v>57</v>
      </c>
      <c r="B688" s="9" t="s">
        <v>38</v>
      </c>
      <c r="C688" s="1" t="s">
        <v>40</v>
      </c>
      <c r="D688" s="1" t="s">
        <v>41</v>
      </c>
      <c r="E688" s="1" t="s">
        <v>42</v>
      </c>
      <c r="F688" s="1" t="s">
        <v>3832</v>
      </c>
      <c r="G688" s="1" t="s">
        <v>3833</v>
      </c>
      <c r="H688" s="1" t="s">
        <v>45</v>
      </c>
      <c r="I688" s="1" t="s">
        <v>3834</v>
      </c>
      <c r="J688" s="1">
        <v>2024</v>
      </c>
      <c r="K688" s="1" t="s">
        <v>3835</v>
      </c>
      <c r="L688" s="1" t="s">
        <v>3836</v>
      </c>
      <c r="M688" s="1" t="s">
        <v>3837</v>
      </c>
      <c r="P688" s="1" t="s">
        <v>3838</v>
      </c>
      <c r="Q688" s="1" t="s">
        <v>50</v>
      </c>
      <c r="R688" s="1" t="s">
        <v>68</v>
      </c>
      <c r="S688" s="1" t="s">
        <v>1203</v>
      </c>
      <c r="T688" s="1" t="s">
        <v>1204</v>
      </c>
      <c r="U688" s="1">
        <v>1</v>
      </c>
      <c r="V688" s="1" t="s">
        <v>195</v>
      </c>
      <c r="W688" s="1" t="s">
        <v>3835</v>
      </c>
      <c r="X688" s="1" t="s">
        <v>3839</v>
      </c>
      <c r="Y688" s="10">
        <v>45820</v>
      </c>
      <c r="Z688" s="1">
        <v>2025</v>
      </c>
      <c r="AA688" s="2">
        <v>712000000</v>
      </c>
      <c r="AB688" s="2"/>
      <c r="AC688" s="2">
        <v>179989972.27000001</v>
      </c>
      <c r="AD688" s="1">
        <v>200</v>
      </c>
      <c r="AG688" s="1" t="s">
        <v>56</v>
      </c>
      <c r="AI688" s="2">
        <v>179989972.27000001</v>
      </c>
    </row>
    <row r="689" spans="1:38" x14ac:dyDescent="0.2">
      <c r="A689" s="1" t="s">
        <v>57</v>
      </c>
      <c r="B689" s="9" t="s">
        <v>38</v>
      </c>
      <c r="C689" s="1" t="s">
        <v>40</v>
      </c>
      <c r="D689" s="1" t="s">
        <v>41</v>
      </c>
      <c r="E689" s="1" t="s">
        <v>42</v>
      </c>
      <c r="F689" s="1" t="s">
        <v>3840</v>
      </c>
      <c r="G689" s="1" t="s">
        <v>250</v>
      </c>
      <c r="H689" s="1" t="s">
        <v>45</v>
      </c>
      <c r="I689" s="1" t="s">
        <v>3841</v>
      </c>
      <c r="J689" s="1">
        <v>2024</v>
      </c>
      <c r="K689" s="1" t="s">
        <v>3842</v>
      </c>
      <c r="L689" s="1" t="s">
        <v>3843</v>
      </c>
      <c r="M689" s="1" t="s">
        <v>3844</v>
      </c>
      <c r="P689" s="1" t="s">
        <v>3845</v>
      </c>
      <c r="Q689" s="1" t="s">
        <v>1149</v>
      </c>
      <c r="R689" s="1" t="s">
        <v>1449</v>
      </c>
      <c r="S689" s="1" t="s">
        <v>1450</v>
      </c>
      <c r="T689" s="1" t="s">
        <v>1451</v>
      </c>
      <c r="U689" s="2"/>
      <c r="V689" s="1" t="s">
        <v>1153</v>
      </c>
      <c r="W689" s="2" t="s">
        <v>3843</v>
      </c>
      <c r="X689" s="1" t="s">
        <v>55</v>
      </c>
      <c r="Y689" s="10">
        <v>45960</v>
      </c>
      <c r="Z689" s="1">
        <v>2025</v>
      </c>
      <c r="AA689" s="2">
        <v>166056</v>
      </c>
      <c r="AB689" s="2"/>
      <c r="AC689" s="2">
        <v>89671.79</v>
      </c>
      <c r="AG689" s="1" t="s">
        <v>56</v>
      </c>
      <c r="AI689" s="2">
        <v>89671.79</v>
      </c>
    </row>
    <row r="690" spans="1:38" ht="12.6" customHeight="1" x14ac:dyDescent="0.2">
      <c r="A690" s="1" t="s">
        <v>57</v>
      </c>
      <c r="B690" s="9" t="s">
        <v>38</v>
      </c>
      <c r="C690" s="1" t="s">
        <v>40</v>
      </c>
      <c r="D690" s="1" t="s">
        <v>41</v>
      </c>
      <c r="E690" s="1" t="s">
        <v>200</v>
      </c>
      <c r="F690" s="1" t="s">
        <v>3846</v>
      </c>
      <c r="G690" s="1" t="s">
        <v>3847</v>
      </c>
      <c r="H690" s="1" t="s">
        <v>45</v>
      </c>
      <c r="I690" s="1" t="s">
        <v>3848</v>
      </c>
      <c r="J690" s="1">
        <v>2022</v>
      </c>
      <c r="K690" s="1" t="s">
        <v>3849</v>
      </c>
      <c r="L690" s="1" t="s">
        <v>3850</v>
      </c>
      <c r="M690" s="1" t="s">
        <v>3851</v>
      </c>
      <c r="P690" s="1" t="s">
        <v>3852</v>
      </c>
      <c r="Q690" s="1" t="s">
        <v>1149</v>
      </c>
      <c r="R690" s="1" t="s">
        <v>1150</v>
      </c>
      <c r="S690" s="1" t="s">
        <v>1218</v>
      </c>
      <c r="T690" s="1" t="s">
        <v>1219</v>
      </c>
      <c r="V690" s="1" t="s">
        <v>1153</v>
      </c>
      <c r="W690" s="1" t="s">
        <v>3850</v>
      </c>
      <c r="X690" s="1" t="s">
        <v>55</v>
      </c>
      <c r="Y690" s="10">
        <v>45021</v>
      </c>
      <c r="Z690" s="1">
        <v>2023</v>
      </c>
      <c r="AA690" s="2">
        <v>34288197.890000001</v>
      </c>
      <c r="AB690" s="2"/>
      <c r="AC690" s="2">
        <v>15000000</v>
      </c>
      <c r="AD690" s="1">
        <v>35</v>
      </c>
      <c r="AG690" s="1" t="s">
        <v>56</v>
      </c>
      <c r="AI690" s="2">
        <v>15000000</v>
      </c>
    </row>
    <row r="691" spans="1:38" ht="14.45" customHeight="1" x14ac:dyDescent="0.2">
      <c r="A691" s="1" t="s">
        <v>57</v>
      </c>
      <c r="B691" s="9" t="s">
        <v>38</v>
      </c>
      <c r="C691" s="1" t="s">
        <v>40</v>
      </c>
      <c r="D691" s="1" t="s">
        <v>41</v>
      </c>
      <c r="E691" s="1" t="s">
        <v>42</v>
      </c>
      <c r="F691" s="1" t="s">
        <v>3853</v>
      </c>
      <c r="G691" s="1" t="s">
        <v>3854</v>
      </c>
      <c r="H691" s="1" t="s">
        <v>45</v>
      </c>
      <c r="I691" s="1" t="s">
        <v>3855</v>
      </c>
      <c r="J691" s="1">
        <v>2023</v>
      </c>
      <c r="K691" s="1" t="s">
        <v>3856</v>
      </c>
      <c r="L691" s="1" t="s">
        <v>3857</v>
      </c>
      <c r="P691" s="1" t="s">
        <v>3858</v>
      </c>
      <c r="Q691" s="1" t="s">
        <v>1149</v>
      </c>
      <c r="R691" s="1" t="s">
        <v>1150</v>
      </c>
      <c r="S691" s="1" t="s">
        <v>1218</v>
      </c>
      <c r="T691" s="1" t="s">
        <v>1219</v>
      </c>
      <c r="V691" s="1" t="s">
        <v>1153</v>
      </c>
      <c r="W691" s="1" t="s">
        <v>3859</v>
      </c>
      <c r="X691" s="1" t="s">
        <v>55</v>
      </c>
      <c r="Y691" s="10">
        <v>45282</v>
      </c>
      <c r="Z691" s="1">
        <v>2023</v>
      </c>
      <c r="AA691" s="2">
        <v>68795600</v>
      </c>
      <c r="AB691" s="2"/>
      <c r="AC691" s="2">
        <v>15000000</v>
      </c>
      <c r="AF691" s="1">
        <v>60</v>
      </c>
      <c r="AG691" s="1" t="s">
        <v>56</v>
      </c>
      <c r="AI691" s="2">
        <v>15000000</v>
      </c>
    </row>
    <row r="692" spans="1:38" ht="12.6" customHeight="1" x14ac:dyDescent="0.2">
      <c r="A692" s="1" t="s">
        <v>57</v>
      </c>
      <c r="B692" s="9" t="s">
        <v>38</v>
      </c>
      <c r="C692" s="1" t="s">
        <v>40</v>
      </c>
      <c r="D692" s="1" t="s">
        <v>41</v>
      </c>
      <c r="E692" s="1" t="s">
        <v>42</v>
      </c>
      <c r="F692" s="1" t="s">
        <v>3832</v>
      </c>
      <c r="G692" s="1" t="s">
        <v>3833</v>
      </c>
      <c r="H692" s="1" t="s">
        <v>45</v>
      </c>
      <c r="I692" s="1" t="s">
        <v>3860</v>
      </c>
      <c r="J692" s="1">
        <v>2024</v>
      </c>
      <c r="K692" s="1" t="s">
        <v>3861</v>
      </c>
      <c r="L692" s="1" t="s">
        <v>3862</v>
      </c>
      <c r="M692" s="1" t="s">
        <v>3863</v>
      </c>
      <c r="P692" s="1" t="s">
        <v>3864</v>
      </c>
      <c r="Q692" s="1" t="s">
        <v>50</v>
      </c>
      <c r="R692" s="1" t="s">
        <v>68</v>
      </c>
      <c r="S692" s="1" t="s">
        <v>814</v>
      </c>
      <c r="T692" s="1" t="s">
        <v>815</v>
      </c>
      <c r="U692" s="1">
        <v>2</v>
      </c>
      <c r="V692" s="1" t="s">
        <v>71</v>
      </c>
      <c r="W692" s="1" t="s">
        <v>3865</v>
      </c>
      <c r="X692" s="1" t="s">
        <v>3866</v>
      </c>
      <c r="Y692" s="10">
        <v>45820</v>
      </c>
      <c r="Z692" s="1">
        <v>2025</v>
      </c>
      <c r="AA692" s="2">
        <v>632474369.95000005</v>
      </c>
      <c r="AB692" s="2"/>
      <c r="AC692" s="2">
        <v>81400000</v>
      </c>
      <c r="AD692" s="1">
        <v>240</v>
      </c>
      <c r="AG692" s="1" t="s">
        <v>56</v>
      </c>
      <c r="AI692" s="2">
        <v>81400000</v>
      </c>
    </row>
    <row r="693" spans="1:38" ht="12.6" customHeight="1" x14ac:dyDescent="0.2">
      <c r="A693" s="1" t="s">
        <v>57</v>
      </c>
      <c r="B693" s="9" t="s">
        <v>38</v>
      </c>
      <c r="C693" s="1" t="s">
        <v>58</v>
      </c>
      <c r="D693" s="1" t="s">
        <v>146</v>
      </c>
      <c r="E693" s="1" t="s">
        <v>42</v>
      </c>
      <c r="G693" s="1" t="s">
        <v>1172</v>
      </c>
      <c r="H693" s="1" t="s">
        <v>61</v>
      </c>
      <c r="I693" s="1" t="s">
        <v>3867</v>
      </c>
      <c r="J693" s="1">
        <v>2020</v>
      </c>
      <c r="K693" s="1" t="s">
        <v>3868</v>
      </c>
      <c r="L693" s="1" t="s">
        <v>3869</v>
      </c>
      <c r="M693" s="1" t="s">
        <v>3870</v>
      </c>
      <c r="N693" s="1" t="s">
        <v>3871</v>
      </c>
      <c r="P693" s="1" t="s">
        <v>1534</v>
      </c>
      <c r="Q693" s="1" t="s">
        <v>1149</v>
      </c>
      <c r="R693" s="1" t="s">
        <v>1150</v>
      </c>
      <c r="S693" s="1" t="s">
        <v>1535</v>
      </c>
      <c r="T693" s="1" t="s">
        <v>1536</v>
      </c>
      <c r="V693" s="1" t="s">
        <v>1537</v>
      </c>
      <c r="W693" s="1" t="s">
        <v>3872</v>
      </c>
      <c r="X693" s="1" t="s">
        <v>321</v>
      </c>
      <c r="Y693" s="10">
        <v>44337</v>
      </c>
      <c r="Z693" s="1">
        <v>2021</v>
      </c>
      <c r="AA693" s="2">
        <v>108809.01</v>
      </c>
      <c r="AB693" s="2"/>
      <c r="AC693" s="2">
        <v>77798</v>
      </c>
      <c r="AD693" s="1">
        <v>3</v>
      </c>
      <c r="AE693" s="1">
        <v>3</v>
      </c>
      <c r="AG693" s="1" t="s">
        <v>56</v>
      </c>
      <c r="AH693" s="1" t="s">
        <v>154</v>
      </c>
      <c r="AI693" s="2">
        <v>77798</v>
      </c>
      <c r="AK693" s="1">
        <v>3</v>
      </c>
      <c r="AL693" s="1" t="s">
        <v>3775</v>
      </c>
    </row>
    <row r="694" spans="1:38" ht="12.6" customHeight="1" x14ac:dyDescent="0.2">
      <c r="A694" s="1" t="s">
        <v>57</v>
      </c>
      <c r="B694" s="9" t="s">
        <v>38</v>
      </c>
      <c r="C694" s="1" t="s">
        <v>58</v>
      </c>
      <c r="D694" s="1" t="s">
        <v>146</v>
      </c>
      <c r="E694" s="1" t="s">
        <v>42</v>
      </c>
      <c r="G694" s="1" t="s">
        <v>1172</v>
      </c>
      <c r="H694" s="1" t="s">
        <v>61</v>
      </c>
      <c r="I694" s="1" t="s">
        <v>3873</v>
      </c>
      <c r="J694" s="1">
        <v>2020</v>
      </c>
      <c r="K694" s="1" t="s">
        <v>3874</v>
      </c>
      <c r="L694" s="1" t="s">
        <v>3875</v>
      </c>
      <c r="N694" s="1" t="s">
        <v>3876</v>
      </c>
      <c r="P694" s="1" t="s">
        <v>2122</v>
      </c>
      <c r="Q694" s="1" t="s">
        <v>101</v>
      </c>
      <c r="R694" s="1" t="s">
        <v>102</v>
      </c>
      <c r="S694" s="1" t="s">
        <v>2123</v>
      </c>
      <c r="T694" s="1" t="s">
        <v>2124</v>
      </c>
      <c r="U694" s="1">
        <v>1</v>
      </c>
      <c r="V694" s="1" t="s">
        <v>101</v>
      </c>
      <c r="W694" s="1" t="s">
        <v>3874</v>
      </c>
      <c r="X694" s="1" t="s">
        <v>138</v>
      </c>
      <c r="Y694" s="10">
        <v>44337</v>
      </c>
      <c r="Z694" s="1">
        <v>2021</v>
      </c>
      <c r="AA694" s="2">
        <v>287325.31</v>
      </c>
      <c r="AB694" s="2"/>
      <c r="AC694" s="2">
        <v>184089.32</v>
      </c>
      <c r="AD694" s="1">
        <v>6</v>
      </c>
      <c r="AE694" s="1">
        <v>6</v>
      </c>
      <c r="AF694" s="1">
        <v>2</v>
      </c>
      <c r="AG694" s="1" t="s">
        <v>56</v>
      </c>
      <c r="AH694" s="1" t="s">
        <v>154</v>
      </c>
      <c r="AI694" s="2">
        <v>150617.93</v>
      </c>
      <c r="AK694" s="1">
        <v>8</v>
      </c>
      <c r="AL694" s="1" t="s">
        <v>3877</v>
      </c>
    </row>
    <row r="695" spans="1:38" ht="12.6" customHeight="1" x14ac:dyDescent="0.2">
      <c r="A695" s="1" t="s">
        <v>57</v>
      </c>
      <c r="B695" s="9" t="s">
        <v>38</v>
      </c>
      <c r="C695" s="1" t="s">
        <v>40</v>
      </c>
      <c r="D695" s="1" t="s">
        <v>41</v>
      </c>
      <c r="E695" s="1" t="s">
        <v>200</v>
      </c>
      <c r="F695" s="1" t="s">
        <v>215</v>
      </c>
      <c r="G695" s="1" t="s">
        <v>216</v>
      </c>
      <c r="H695" s="1" t="s">
        <v>45</v>
      </c>
      <c r="I695" s="1" t="s">
        <v>3878</v>
      </c>
      <c r="J695" s="1">
        <v>2022</v>
      </c>
      <c r="K695" s="1" t="s">
        <v>3879</v>
      </c>
      <c r="L695" s="1" t="s">
        <v>3879</v>
      </c>
      <c r="P695" s="1" t="s">
        <v>3880</v>
      </c>
      <c r="Q695" s="1" t="s">
        <v>110</v>
      </c>
      <c r="R695" s="1" t="s">
        <v>605</v>
      </c>
      <c r="S695" s="1" t="s">
        <v>606</v>
      </c>
      <c r="T695" s="1" t="s">
        <v>607</v>
      </c>
      <c r="U695" s="1">
        <v>1</v>
      </c>
      <c r="V695" s="1" t="s">
        <v>80</v>
      </c>
      <c r="W695" s="1" t="s">
        <v>3881</v>
      </c>
      <c r="X695" s="1" t="s">
        <v>55</v>
      </c>
      <c r="Y695" s="10">
        <v>45019</v>
      </c>
      <c r="Z695" s="1">
        <v>2023</v>
      </c>
      <c r="AA695" s="2">
        <v>3420472.79</v>
      </c>
      <c r="AB695" s="2"/>
      <c r="AC695" s="2">
        <v>1621662.03</v>
      </c>
      <c r="AG695" s="1" t="s">
        <v>56</v>
      </c>
      <c r="AI695" s="2">
        <v>1621662.03</v>
      </c>
    </row>
    <row r="696" spans="1:38" ht="12.6" customHeight="1" x14ac:dyDescent="0.2">
      <c r="A696" s="1" t="s">
        <v>57</v>
      </c>
      <c r="B696" s="9" t="s">
        <v>38</v>
      </c>
      <c r="C696" s="1" t="s">
        <v>40</v>
      </c>
      <c r="D696" s="1" t="s">
        <v>41</v>
      </c>
      <c r="E696" s="1" t="s">
        <v>200</v>
      </c>
      <c r="F696" s="1" t="s">
        <v>215</v>
      </c>
      <c r="G696" s="1" t="s">
        <v>216</v>
      </c>
      <c r="H696" s="1" t="s">
        <v>45</v>
      </c>
      <c r="I696" s="1" t="s">
        <v>3882</v>
      </c>
      <c r="J696" s="1">
        <v>2022</v>
      </c>
      <c r="K696" s="1" t="s">
        <v>3883</v>
      </c>
      <c r="L696" s="1" t="s">
        <v>3884</v>
      </c>
      <c r="M696" s="1" t="s">
        <v>3885</v>
      </c>
      <c r="P696" s="1" t="s">
        <v>3880</v>
      </c>
      <c r="Q696" s="1" t="s">
        <v>110</v>
      </c>
      <c r="R696" s="1" t="s">
        <v>605</v>
      </c>
      <c r="S696" s="1" t="s">
        <v>606</v>
      </c>
      <c r="T696" s="1" t="s">
        <v>607</v>
      </c>
      <c r="U696" s="1">
        <v>1</v>
      </c>
      <c r="V696" s="1" t="s">
        <v>80</v>
      </c>
      <c r="W696" s="1" t="s">
        <v>3886</v>
      </c>
      <c r="X696" s="1" t="s">
        <v>55</v>
      </c>
      <c r="Y696" s="10">
        <v>45124</v>
      </c>
      <c r="Z696" s="1">
        <v>2023</v>
      </c>
      <c r="AA696" s="2">
        <v>1636913.3</v>
      </c>
      <c r="AB696" s="2"/>
      <c r="AC696" s="2">
        <v>615566.06000000006</v>
      </c>
      <c r="AG696" s="1" t="s">
        <v>56</v>
      </c>
      <c r="AI696" s="2">
        <v>615566.06000000006</v>
      </c>
    </row>
    <row r="697" spans="1:38" ht="12.6" customHeight="1" x14ac:dyDescent="0.2">
      <c r="A697" s="1" t="s">
        <v>57</v>
      </c>
      <c r="B697" s="9" t="s">
        <v>38</v>
      </c>
      <c r="C697" s="1" t="s">
        <v>40</v>
      </c>
      <c r="D697" s="1" t="s">
        <v>41</v>
      </c>
      <c r="E697" s="1" t="s">
        <v>200</v>
      </c>
      <c r="F697" s="1" t="s">
        <v>215</v>
      </c>
      <c r="G697" s="1" t="s">
        <v>216</v>
      </c>
      <c r="H697" s="1" t="s">
        <v>45</v>
      </c>
      <c r="I697" s="1" t="s">
        <v>3887</v>
      </c>
      <c r="J697" s="1">
        <v>2022</v>
      </c>
      <c r="K697" s="1" t="s">
        <v>3888</v>
      </c>
      <c r="L697" s="1" t="s">
        <v>3889</v>
      </c>
      <c r="P697" s="1" t="s">
        <v>3890</v>
      </c>
      <c r="Q697" s="1" t="s">
        <v>110</v>
      </c>
      <c r="R697" s="1" t="s">
        <v>605</v>
      </c>
      <c r="S697" s="1" t="s">
        <v>606</v>
      </c>
      <c r="T697" s="1" t="s">
        <v>607</v>
      </c>
      <c r="U697" s="1">
        <v>1</v>
      </c>
      <c r="V697" s="1" t="s">
        <v>80</v>
      </c>
      <c r="W697" s="1" t="s">
        <v>3891</v>
      </c>
      <c r="X697" s="1" t="s">
        <v>55</v>
      </c>
      <c r="Y697" s="10">
        <v>45069</v>
      </c>
      <c r="Z697" s="1">
        <v>2023</v>
      </c>
      <c r="AA697" s="2">
        <v>42170749.219999999</v>
      </c>
      <c r="AB697" s="2"/>
      <c r="AC697" s="2">
        <v>10000000</v>
      </c>
      <c r="AG697" s="1" t="s">
        <v>56</v>
      </c>
      <c r="AI697" s="2">
        <v>10000000</v>
      </c>
    </row>
    <row r="698" spans="1:38" ht="12.6" customHeight="1" x14ac:dyDescent="0.25">
      <c r="A698" s="1" t="s">
        <v>57</v>
      </c>
      <c r="B698" s="9" t="s">
        <v>38</v>
      </c>
      <c r="C698" s="1" t="s">
        <v>40</v>
      </c>
      <c r="D698" s="1" t="s">
        <v>41</v>
      </c>
      <c r="E698" s="1" t="s">
        <v>42</v>
      </c>
      <c r="F698" s="1" t="s">
        <v>3892</v>
      </c>
      <c r="G698" s="1" t="s">
        <v>3893</v>
      </c>
      <c r="H698" s="1" t="s">
        <v>45</v>
      </c>
      <c r="I698" s="1" t="s">
        <v>3894</v>
      </c>
      <c r="J698" s="1">
        <v>2023</v>
      </c>
      <c r="K698" s="1" t="s">
        <v>3895</v>
      </c>
      <c r="L698" s="1" t="s">
        <v>3896</v>
      </c>
      <c r="M698" s="1" t="s">
        <v>3897</v>
      </c>
      <c r="P698" s="1" t="s">
        <v>3898</v>
      </c>
      <c r="Q698" s="1" t="s">
        <v>110</v>
      </c>
      <c r="R698" s="1" t="s">
        <v>605</v>
      </c>
      <c r="S698" s="1" t="s">
        <v>606</v>
      </c>
      <c r="T698" s="1" t="s">
        <v>607</v>
      </c>
      <c r="U698" s="1">
        <v>1</v>
      </c>
      <c r="V698" s="1" t="s">
        <v>80</v>
      </c>
      <c r="W698" s="1" t="s">
        <v>3899</v>
      </c>
      <c r="Y698" s="10">
        <v>45505</v>
      </c>
      <c r="Z698" s="1">
        <v>2024</v>
      </c>
      <c r="AA698" s="35">
        <v>2084688.06</v>
      </c>
      <c r="AB698" s="35"/>
      <c r="AC698" s="35">
        <v>1472954.29</v>
      </c>
    </row>
    <row r="699" spans="1:38" ht="12.6" customHeight="1" x14ac:dyDescent="0.25">
      <c r="A699" s="1" t="s">
        <v>57</v>
      </c>
      <c r="B699" s="9" t="s">
        <v>38</v>
      </c>
      <c r="C699" s="1" t="s">
        <v>40</v>
      </c>
      <c r="D699" s="1" t="s">
        <v>41</v>
      </c>
      <c r="E699" s="1" t="s">
        <v>42</v>
      </c>
      <c r="F699" s="1" t="s">
        <v>3900</v>
      </c>
      <c r="G699" s="1" t="s">
        <v>3901</v>
      </c>
      <c r="H699" s="1" t="s">
        <v>45</v>
      </c>
      <c r="I699" s="1" t="s">
        <v>3902</v>
      </c>
      <c r="J699" s="1">
        <v>2023</v>
      </c>
      <c r="K699" s="1" t="s">
        <v>3903</v>
      </c>
      <c r="L699" s="1" t="s">
        <v>3904</v>
      </c>
      <c r="M699" s="1" t="s">
        <v>3905</v>
      </c>
      <c r="P699" s="1" t="s">
        <v>3906</v>
      </c>
      <c r="Q699" s="1" t="s">
        <v>3907</v>
      </c>
      <c r="R699" s="1" t="s">
        <v>3907</v>
      </c>
      <c r="S699" s="1" t="s">
        <v>3908</v>
      </c>
      <c r="T699" s="1" t="s">
        <v>3909</v>
      </c>
      <c r="U699" s="1">
        <v>0</v>
      </c>
      <c r="V699" s="1" t="s">
        <v>3910</v>
      </c>
      <c r="W699" s="1" t="s">
        <v>3911</v>
      </c>
      <c r="Y699" s="10">
        <v>45631</v>
      </c>
      <c r="Z699" s="1">
        <v>2024</v>
      </c>
      <c r="AA699" s="35">
        <v>18743740</v>
      </c>
      <c r="AB699" s="35"/>
      <c r="AC699" s="35">
        <v>6729003</v>
      </c>
      <c r="AG699" s="1" t="s">
        <v>3912</v>
      </c>
      <c r="AI699" s="2">
        <v>6729003</v>
      </c>
    </row>
    <row r="700" spans="1:38" ht="12.6" customHeight="1" x14ac:dyDescent="0.2">
      <c r="A700" s="1" t="s">
        <v>57</v>
      </c>
      <c r="B700" s="9" t="s">
        <v>38</v>
      </c>
      <c r="C700" s="1" t="s">
        <v>40</v>
      </c>
      <c r="D700" s="1" t="s">
        <v>41</v>
      </c>
      <c r="E700" s="1" t="s">
        <v>42</v>
      </c>
      <c r="F700" s="1" t="s">
        <v>3913</v>
      </c>
      <c r="G700" s="1" t="s">
        <v>3914</v>
      </c>
      <c r="H700" s="1" t="s">
        <v>45</v>
      </c>
      <c r="I700" s="1" t="s">
        <v>3915</v>
      </c>
      <c r="J700" s="1">
        <v>2024</v>
      </c>
      <c r="K700" s="1" t="s">
        <v>3916</v>
      </c>
      <c r="L700" s="1" t="s">
        <v>3917</v>
      </c>
      <c r="P700" s="1" t="s">
        <v>3918</v>
      </c>
      <c r="Q700" s="1" t="s">
        <v>842</v>
      </c>
      <c r="R700" s="1" t="s">
        <v>843</v>
      </c>
      <c r="S700" s="1" t="s">
        <v>2707</v>
      </c>
      <c r="T700" s="1" t="s">
        <v>2708</v>
      </c>
      <c r="V700" s="1" t="s">
        <v>846</v>
      </c>
      <c r="W700" s="1" t="s">
        <v>3916</v>
      </c>
      <c r="X700" s="1" t="s">
        <v>258</v>
      </c>
      <c r="Y700" s="10">
        <v>45807</v>
      </c>
      <c r="Z700" s="1">
        <v>2025</v>
      </c>
      <c r="AA700" s="2">
        <v>119000000</v>
      </c>
      <c r="AB700" s="2"/>
      <c r="AC700" s="2">
        <v>78000000</v>
      </c>
      <c r="AI700" s="2">
        <v>78000000</v>
      </c>
    </row>
    <row r="701" spans="1:38" ht="12.6" customHeight="1" x14ac:dyDescent="0.2">
      <c r="A701" s="1" t="s">
        <v>57</v>
      </c>
      <c r="B701" s="9" t="s">
        <v>38</v>
      </c>
      <c r="C701" s="1" t="s">
        <v>40</v>
      </c>
      <c r="D701" s="1" t="s">
        <v>41</v>
      </c>
      <c r="E701" s="1" t="s">
        <v>200</v>
      </c>
      <c r="F701" s="1" t="s">
        <v>215</v>
      </c>
      <c r="G701" s="1" t="s">
        <v>3893</v>
      </c>
      <c r="H701" s="1" t="s">
        <v>45</v>
      </c>
      <c r="I701" s="1" t="s">
        <v>3919</v>
      </c>
      <c r="J701" s="1">
        <v>2023</v>
      </c>
      <c r="K701" s="1" t="s">
        <v>3920</v>
      </c>
      <c r="L701" s="1" t="s">
        <v>3921</v>
      </c>
      <c r="M701" s="1" t="s">
        <v>3922</v>
      </c>
      <c r="P701" s="1" t="s">
        <v>3923</v>
      </c>
      <c r="Q701" s="1" t="s">
        <v>842</v>
      </c>
      <c r="R701" s="1" t="s">
        <v>843</v>
      </c>
      <c r="S701" s="1" t="s">
        <v>2707</v>
      </c>
      <c r="T701" s="1" t="s">
        <v>2708</v>
      </c>
      <c r="V701" s="1" t="s">
        <v>846</v>
      </c>
      <c r="W701" s="1" t="s">
        <v>3920</v>
      </c>
      <c r="X701" s="1" t="s">
        <v>55</v>
      </c>
      <c r="Y701" s="10">
        <v>45127</v>
      </c>
      <c r="Z701" s="1">
        <v>2023</v>
      </c>
      <c r="AA701" s="2">
        <v>3906864.99</v>
      </c>
      <c r="AB701" s="2"/>
      <c r="AC701" s="2">
        <v>2594143.2400000002</v>
      </c>
      <c r="AG701" s="1" t="s">
        <v>56</v>
      </c>
      <c r="AI701" s="2">
        <v>2594143.2400000002</v>
      </c>
    </row>
    <row r="702" spans="1:38" ht="12.6" customHeight="1" x14ac:dyDescent="0.2">
      <c r="A702" s="1" t="s">
        <v>57</v>
      </c>
      <c r="B702" s="9" t="s">
        <v>38</v>
      </c>
      <c r="C702" s="1" t="s">
        <v>40</v>
      </c>
      <c r="D702" s="1" t="s">
        <v>41</v>
      </c>
      <c r="E702" s="1" t="s">
        <v>200</v>
      </c>
      <c r="F702" s="1" t="s">
        <v>215</v>
      </c>
      <c r="G702" s="1" t="s">
        <v>3893</v>
      </c>
      <c r="H702" s="1" t="s">
        <v>45</v>
      </c>
      <c r="I702" s="1" t="s">
        <v>3924</v>
      </c>
      <c r="J702" s="1">
        <v>2023</v>
      </c>
      <c r="K702" s="1" t="s">
        <v>3925</v>
      </c>
      <c r="L702" s="1" t="s">
        <v>3926</v>
      </c>
      <c r="M702" s="1" t="s">
        <v>3927</v>
      </c>
      <c r="P702" s="1" t="s">
        <v>3923</v>
      </c>
      <c r="Q702" s="1" t="s">
        <v>842</v>
      </c>
      <c r="R702" s="1" t="s">
        <v>843</v>
      </c>
      <c r="S702" s="1" t="s">
        <v>2707</v>
      </c>
      <c r="T702" s="1" t="s">
        <v>2708</v>
      </c>
      <c r="V702" s="1" t="s">
        <v>846</v>
      </c>
      <c r="W702" s="1" t="s">
        <v>3925</v>
      </c>
      <c r="X702" s="1" t="s">
        <v>55</v>
      </c>
      <c r="Y702" s="10">
        <v>45127</v>
      </c>
      <c r="Z702" s="1">
        <v>2023</v>
      </c>
      <c r="AA702" s="2">
        <v>1479544.19</v>
      </c>
      <c r="AB702" s="2"/>
      <c r="AC702" s="2">
        <v>739772.09</v>
      </c>
      <c r="AG702" s="1" t="s">
        <v>56</v>
      </c>
      <c r="AI702" s="2">
        <v>739772.09</v>
      </c>
    </row>
    <row r="703" spans="1:38" ht="12.6" customHeight="1" x14ac:dyDescent="0.25">
      <c r="A703" s="1" t="s">
        <v>57</v>
      </c>
      <c r="B703" s="9" t="s">
        <v>38</v>
      </c>
      <c r="C703" s="1" t="s">
        <v>40</v>
      </c>
      <c r="D703" s="1" t="s">
        <v>41</v>
      </c>
      <c r="E703" s="1" t="s">
        <v>200</v>
      </c>
      <c r="F703" s="1" t="s">
        <v>3846</v>
      </c>
      <c r="G703" s="1" t="s">
        <v>3847</v>
      </c>
      <c r="H703" s="1" t="s">
        <v>45</v>
      </c>
      <c r="I703" s="1" t="s">
        <v>3928</v>
      </c>
      <c r="J703" s="1">
        <v>2022</v>
      </c>
      <c r="K703" s="1" t="s">
        <v>3929</v>
      </c>
      <c r="L703" s="1" t="s">
        <v>3929</v>
      </c>
      <c r="M703" s="1" t="s">
        <v>3930</v>
      </c>
      <c r="P703" s="36" t="s">
        <v>3931</v>
      </c>
      <c r="Q703" s="1" t="s">
        <v>842</v>
      </c>
      <c r="R703" s="1" t="s">
        <v>843</v>
      </c>
      <c r="S703" s="1" t="s">
        <v>3932</v>
      </c>
      <c r="T703" s="1" t="s">
        <v>3933</v>
      </c>
      <c r="V703" s="1" t="s">
        <v>846</v>
      </c>
      <c r="W703" s="1" t="s">
        <v>3929</v>
      </c>
      <c r="X703" s="1" t="s">
        <v>55</v>
      </c>
      <c r="Y703" s="10">
        <v>45021</v>
      </c>
      <c r="Z703" s="1">
        <v>2023</v>
      </c>
      <c r="AA703" s="2">
        <v>30155689.73</v>
      </c>
      <c r="AB703" s="2"/>
      <c r="AC703" s="2">
        <v>12711965.99</v>
      </c>
      <c r="AG703" s="1" t="s">
        <v>56</v>
      </c>
      <c r="AI703" s="2">
        <v>12711965.99</v>
      </c>
    </row>
    <row r="704" spans="1:38" ht="12.6" customHeight="1" x14ac:dyDescent="0.25">
      <c r="A704" s="1" t="s">
        <v>57</v>
      </c>
      <c r="B704" s="9" t="s">
        <v>38</v>
      </c>
      <c r="C704" s="1" t="s">
        <v>40</v>
      </c>
      <c r="D704" s="1" t="s">
        <v>41</v>
      </c>
      <c r="E704" s="1" t="s">
        <v>42</v>
      </c>
      <c r="F704" s="1" t="s">
        <v>3900</v>
      </c>
      <c r="G704" s="1" t="s">
        <v>3901</v>
      </c>
      <c r="H704" s="1" t="s">
        <v>45</v>
      </c>
      <c r="I704" s="1" t="s">
        <v>3934</v>
      </c>
      <c r="J704" s="1">
        <v>2023</v>
      </c>
      <c r="K704" s="1" t="s">
        <v>3935</v>
      </c>
      <c r="L704" s="1" t="s">
        <v>3936</v>
      </c>
      <c r="M704" s="1" t="s">
        <v>3937</v>
      </c>
      <c r="P704" s="1" t="s">
        <v>3938</v>
      </c>
      <c r="Q704" s="1" t="s">
        <v>1109</v>
      </c>
      <c r="R704" s="1" t="s">
        <v>1110</v>
      </c>
      <c r="S704" s="1" t="s">
        <v>2040</v>
      </c>
      <c r="T704" s="1" t="s">
        <v>2041</v>
      </c>
      <c r="U704" s="1">
        <v>0</v>
      </c>
      <c r="V704" s="1" t="s">
        <v>54</v>
      </c>
      <c r="W704" s="1" t="s">
        <v>3939</v>
      </c>
      <c r="Y704" s="10">
        <v>45631</v>
      </c>
      <c r="Z704" s="1">
        <v>2024</v>
      </c>
      <c r="AA704" s="35">
        <v>2517557</v>
      </c>
      <c r="AB704" s="35"/>
      <c r="AC704" s="35">
        <v>1007023</v>
      </c>
      <c r="AG704" s="1" t="s">
        <v>3912</v>
      </c>
      <c r="AI704" s="2">
        <v>1007023</v>
      </c>
    </row>
    <row r="705" spans="1:38" ht="12.6" customHeight="1" x14ac:dyDescent="0.2">
      <c r="A705" s="1" t="s">
        <v>57</v>
      </c>
      <c r="B705" s="9" t="s">
        <v>38</v>
      </c>
      <c r="C705" s="1" t="s">
        <v>40</v>
      </c>
      <c r="D705" s="1" t="s">
        <v>41</v>
      </c>
      <c r="E705" s="1" t="s">
        <v>200</v>
      </c>
      <c r="F705" s="1" t="s">
        <v>43</v>
      </c>
      <c r="G705" s="1" t="s">
        <v>44</v>
      </c>
      <c r="H705" s="1" t="s">
        <v>45</v>
      </c>
      <c r="I705" s="1" t="s">
        <v>3940</v>
      </c>
      <c r="J705" s="1">
        <v>2022</v>
      </c>
      <c r="K705" s="1" t="s">
        <v>3941</v>
      </c>
      <c r="L705" s="1" t="s">
        <v>3941</v>
      </c>
      <c r="P705" s="1" t="s">
        <v>3942</v>
      </c>
      <c r="Q705" s="1" t="s">
        <v>1109</v>
      </c>
      <c r="R705" s="1" t="s">
        <v>1110</v>
      </c>
      <c r="S705" s="8" t="s">
        <v>3943</v>
      </c>
      <c r="T705" s="1" t="s">
        <v>3944</v>
      </c>
      <c r="V705" s="1" t="s">
        <v>54</v>
      </c>
      <c r="W705" s="1" t="s">
        <v>3941</v>
      </c>
      <c r="X705" s="1" t="s">
        <v>55</v>
      </c>
      <c r="Y705" s="10">
        <v>45222</v>
      </c>
      <c r="Z705" s="1">
        <v>2023</v>
      </c>
      <c r="AA705" s="2">
        <v>700000</v>
      </c>
      <c r="AB705" s="2" t="s">
        <v>1240</v>
      </c>
      <c r="AC705" s="2">
        <v>560000</v>
      </c>
      <c r="AD705" s="1" t="s">
        <v>1240</v>
      </c>
      <c r="AF705" s="1" t="s">
        <v>1240</v>
      </c>
      <c r="AG705" s="1" t="s">
        <v>56</v>
      </c>
      <c r="AH705" s="1" t="s">
        <v>1240</v>
      </c>
      <c r="AI705" s="2">
        <v>560000</v>
      </c>
    </row>
    <row r="706" spans="1:38" ht="12.6" customHeight="1" x14ac:dyDescent="0.2">
      <c r="A706" s="1" t="s">
        <v>57</v>
      </c>
      <c r="B706" s="9" t="s">
        <v>38</v>
      </c>
      <c r="C706" s="1" t="s">
        <v>40</v>
      </c>
      <c r="D706" s="1" t="s">
        <v>41</v>
      </c>
      <c r="E706" s="1" t="s">
        <v>200</v>
      </c>
      <c r="F706" s="1" t="s">
        <v>3846</v>
      </c>
      <c r="G706" s="1" t="s">
        <v>3847</v>
      </c>
      <c r="H706" s="1" t="s">
        <v>45</v>
      </c>
      <c r="I706" s="1" t="s">
        <v>3945</v>
      </c>
      <c r="J706" s="1">
        <v>2022</v>
      </c>
      <c r="K706" s="1" t="s">
        <v>3946</v>
      </c>
      <c r="L706" s="1" t="s">
        <v>3946</v>
      </c>
      <c r="M706" s="1" t="s">
        <v>3947</v>
      </c>
      <c r="P706" s="1" t="s">
        <v>3948</v>
      </c>
      <c r="Q706" s="1" t="s">
        <v>842</v>
      </c>
      <c r="R706" s="1" t="s">
        <v>843</v>
      </c>
      <c r="S706" s="1" t="s">
        <v>2707</v>
      </c>
      <c r="T706" s="1" t="s">
        <v>2708</v>
      </c>
      <c r="V706" s="1" t="s">
        <v>846</v>
      </c>
      <c r="W706" s="1" t="s">
        <v>3946</v>
      </c>
      <c r="X706" s="1" t="s">
        <v>55</v>
      </c>
      <c r="Y706" s="10">
        <v>45021</v>
      </c>
      <c r="Z706" s="1">
        <v>2023</v>
      </c>
      <c r="AA706" s="2">
        <v>11233346.77</v>
      </c>
      <c r="AB706" s="2"/>
      <c r="AC706" s="2">
        <v>4037894.71</v>
      </c>
      <c r="AG706" s="1" t="s">
        <v>56</v>
      </c>
      <c r="AI706" s="2">
        <v>4037894.71</v>
      </c>
    </row>
    <row r="707" spans="1:38" ht="12.6" customHeight="1" x14ac:dyDescent="0.2">
      <c r="A707" s="1" t="s">
        <v>57</v>
      </c>
      <c r="B707" s="9" t="s">
        <v>38</v>
      </c>
      <c r="C707" s="1" t="s">
        <v>40</v>
      </c>
      <c r="D707" s="1" t="s">
        <v>41</v>
      </c>
      <c r="E707" s="1" t="s">
        <v>42</v>
      </c>
      <c r="F707" s="1" t="s">
        <v>43</v>
      </c>
      <c r="G707" s="1" t="s">
        <v>44</v>
      </c>
      <c r="H707" s="1" t="s">
        <v>45</v>
      </c>
      <c r="I707" s="1" t="s">
        <v>3949</v>
      </c>
      <c r="J707" s="1">
        <v>2022</v>
      </c>
      <c r="K707" s="1" t="s">
        <v>3950</v>
      </c>
      <c r="L707" s="1" t="s">
        <v>3951</v>
      </c>
      <c r="M707" s="1" t="s">
        <v>3952</v>
      </c>
      <c r="P707" s="1" t="s">
        <v>3953</v>
      </c>
      <c r="Q707" s="1" t="s">
        <v>50</v>
      </c>
      <c r="R707" s="1" t="s">
        <v>51</v>
      </c>
      <c r="S707" s="1" t="s">
        <v>52</v>
      </c>
      <c r="T707" s="1" t="s">
        <v>53</v>
      </c>
      <c r="V707" s="1" t="s">
        <v>54</v>
      </c>
      <c r="W707" s="1" t="s">
        <v>3954</v>
      </c>
      <c r="X707" s="1" t="s">
        <v>55</v>
      </c>
      <c r="Y707" s="10">
        <v>45222</v>
      </c>
      <c r="Z707" s="1">
        <v>2023</v>
      </c>
      <c r="AA707" s="2">
        <v>220800</v>
      </c>
      <c r="AB707" s="2"/>
      <c r="AC707" s="2">
        <v>150144</v>
      </c>
      <c r="AG707" s="1" t="s">
        <v>56</v>
      </c>
      <c r="AI707" s="2">
        <v>150144</v>
      </c>
    </row>
    <row r="708" spans="1:38" ht="12.6" customHeight="1" x14ac:dyDescent="0.2">
      <c r="A708" s="1" t="s">
        <v>57</v>
      </c>
      <c r="B708" s="9" t="s">
        <v>38</v>
      </c>
      <c r="C708" s="1" t="s">
        <v>40</v>
      </c>
      <c r="D708" s="1" t="s">
        <v>41</v>
      </c>
      <c r="E708" s="1" t="s">
        <v>42</v>
      </c>
      <c r="F708" s="1" t="s">
        <v>209</v>
      </c>
      <c r="G708" s="1" t="s">
        <v>210</v>
      </c>
      <c r="H708" s="1" t="s">
        <v>45</v>
      </c>
      <c r="I708" s="1" t="s">
        <v>3955</v>
      </c>
      <c r="J708" s="1">
        <v>2022</v>
      </c>
      <c r="K708" s="1" t="s">
        <v>3956</v>
      </c>
      <c r="L708" s="1" t="s">
        <v>3957</v>
      </c>
      <c r="P708" s="1" t="s">
        <v>3958</v>
      </c>
      <c r="Q708" s="1" t="s">
        <v>1109</v>
      </c>
      <c r="R708" s="1" t="s">
        <v>1110</v>
      </c>
      <c r="S708" s="1" t="s">
        <v>2040</v>
      </c>
      <c r="T708" s="1" t="s">
        <v>2041</v>
      </c>
      <c r="U708" s="2"/>
      <c r="V708" s="2" t="s">
        <v>54</v>
      </c>
      <c r="W708" s="2" t="s">
        <v>3956</v>
      </c>
      <c r="X708" s="1" t="s">
        <v>55</v>
      </c>
      <c r="Y708" s="1">
        <v>44840</v>
      </c>
      <c r="Z708" s="1">
        <v>2022</v>
      </c>
      <c r="AA708" s="1">
        <v>1233442</v>
      </c>
      <c r="AC708" s="2">
        <v>740065.2</v>
      </c>
      <c r="AF708" s="1" t="s">
        <v>3959</v>
      </c>
      <c r="AG708" s="1" t="s">
        <v>56</v>
      </c>
      <c r="AH708" s="1" t="s">
        <v>3959</v>
      </c>
      <c r="AI708" s="1">
        <v>740065.2</v>
      </c>
    </row>
    <row r="709" spans="1:38" ht="12.6" customHeight="1" x14ac:dyDescent="0.2">
      <c r="A709" s="1" t="s">
        <v>57</v>
      </c>
      <c r="B709" s="9" t="s">
        <v>38</v>
      </c>
      <c r="C709" s="1" t="s">
        <v>40</v>
      </c>
      <c r="D709" s="1" t="s">
        <v>41</v>
      </c>
      <c r="E709" s="1" t="s">
        <v>200</v>
      </c>
      <c r="F709" s="1" t="s">
        <v>3853</v>
      </c>
      <c r="G709" s="1" t="s">
        <v>3854</v>
      </c>
      <c r="H709" s="1" t="s">
        <v>45</v>
      </c>
      <c r="I709" s="1" t="s">
        <v>3960</v>
      </c>
      <c r="J709" s="1">
        <v>2023</v>
      </c>
      <c r="K709" s="1" t="s">
        <v>3961</v>
      </c>
      <c r="L709" s="1" t="s">
        <v>3962</v>
      </c>
      <c r="M709" s="1" t="s">
        <v>3963</v>
      </c>
      <c r="P709" s="1" t="s">
        <v>3948</v>
      </c>
      <c r="Q709" s="1" t="s">
        <v>842</v>
      </c>
      <c r="R709" s="1" t="s">
        <v>843</v>
      </c>
      <c r="S709" s="1" t="s">
        <v>2707</v>
      </c>
      <c r="T709" s="1" t="s">
        <v>2708</v>
      </c>
      <c r="V709" s="1" t="s">
        <v>846</v>
      </c>
      <c r="W709" s="1" t="s">
        <v>3961</v>
      </c>
      <c r="X709" s="1" t="s">
        <v>240</v>
      </c>
      <c r="Y709" s="10">
        <v>45282</v>
      </c>
      <c r="Z709" s="1">
        <v>2023</v>
      </c>
      <c r="AA709" s="2">
        <v>34850835.079999998</v>
      </c>
      <c r="AB709" s="2"/>
      <c r="AC709" s="2">
        <v>14955410.609999999</v>
      </c>
      <c r="AG709" s="1" t="s">
        <v>56</v>
      </c>
      <c r="AI709" s="2">
        <v>14955410.609999999</v>
      </c>
    </row>
    <row r="710" spans="1:38" ht="14.45" customHeight="1" x14ac:dyDescent="0.2">
      <c r="A710" s="1" t="s">
        <v>57</v>
      </c>
      <c r="B710" s="9" t="s">
        <v>38</v>
      </c>
      <c r="C710" s="1" t="s">
        <v>40</v>
      </c>
      <c r="D710" s="1" t="s">
        <v>41</v>
      </c>
      <c r="E710" s="1" t="s">
        <v>42</v>
      </c>
      <c r="F710" s="1" t="s">
        <v>3964</v>
      </c>
      <c r="G710" s="1" t="s">
        <v>3965</v>
      </c>
      <c r="H710" s="1" t="s">
        <v>45</v>
      </c>
      <c r="I710" s="1" t="s">
        <v>3966</v>
      </c>
      <c r="J710" s="1">
        <v>2023</v>
      </c>
      <c r="K710" s="1" t="s">
        <v>3967</v>
      </c>
      <c r="L710" s="1" t="s">
        <v>3968</v>
      </c>
      <c r="M710" s="1" t="s">
        <v>3969</v>
      </c>
      <c r="P710" s="1" t="s">
        <v>3970</v>
      </c>
      <c r="Q710" s="1" t="s">
        <v>842</v>
      </c>
      <c r="R710" s="1" t="s">
        <v>884</v>
      </c>
      <c r="S710" s="1" t="s">
        <v>3971</v>
      </c>
      <c r="T710" s="1" t="s">
        <v>3972</v>
      </c>
      <c r="V710" s="1" t="s">
        <v>887</v>
      </c>
      <c r="W710" s="1" t="s">
        <v>3967</v>
      </c>
      <c r="X710" s="1" t="s">
        <v>55</v>
      </c>
      <c r="Y710" s="10">
        <v>45282</v>
      </c>
      <c r="Z710" s="1">
        <v>2023</v>
      </c>
      <c r="AA710" s="2">
        <v>1936116</v>
      </c>
      <c r="AB710" s="2"/>
      <c r="AC710" s="2">
        <v>1150053</v>
      </c>
      <c r="AG710" s="1" t="s">
        <v>56</v>
      </c>
      <c r="AI710" s="2">
        <v>1150053</v>
      </c>
    </row>
    <row r="711" spans="1:38" ht="12.6" customHeight="1" x14ac:dyDescent="0.2">
      <c r="A711" s="1" t="s">
        <v>57</v>
      </c>
      <c r="B711" s="9" t="s">
        <v>38</v>
      </c>
      <c r="C711" s="1" t="s">
        <v>40</v>
      </c>
      <c r="D711" s="1" t="s">
        <v>41</v>
      </c>
      <c r="E711" s="1" t="s">
        <v>42</v>
      </c>
      <c r="F711" s="1" t="s">
        <v>3964</v>
      </c>
      <c r="G711" s="1" t="s">
        <v>3965</v>
      </c>
      <c r="H711" s="1" t="s">
        <v>45</v>
      </c>
      <c r="I711" s="1" t="s">
        <v>3973</v>
      </c>
      <c r="J711" s="1">
        <v>2023</v>
      </c>
      <c r="K711" s="1" t="s">
        <v>3967</v>
      </c>
      <c r="L711" s="1" t="s">
        <v>3968</v>
      </c>
      <c r="M711" s="1" t="s">
        <v>3974</v>
      </c>
      <c r="P711" s="1" t="s">
        <v>3975</v>
      </c>
      <c r="Q711" s="1" t="s">
        <v>842</v>
      </c>
      <c r="R711" s="1" t="s">
        <v>884</v>
      </c>
      <c r="S711" s="1" t="s">
        <v>3976</v>
      </c>
      <c r="T711" s="1" t="s">
        <v>3977</v>
      </c>
      <c r="V711" s="1" t="s">
        <v>887</v>
      </c>
      <c r="W711" s="1" t="s">
        <v>3967</v>
      </c>
      <c r="X711" s="1" t="s">
        <v>55</v>
      </c>
      <c r="Y711" s="10">
        <v>45282</v>
      </c>
      <c r="Z711" s="1">
        <v>2023</v>
      </c>
      <c r="AA711" s="2">
        <v>1936119.69</v>
      </c>
      <c r="AB711" s="2"/>
      <c r="AC711" s="2">
        <v>1150055.1000000001</v>
      </c>
      <c r="AG711" s="1" t="s">
        <v>56</v>
      </c>
      <c r="AI711" s="2">
        <v>1150055.1000000001</v>
      </c>
    </row>
    <row r="712" spans="1:38" ht="12.6" customHeight="1" x14ac:dyDescent="0.2">
      <c r="A712" s="1" t="s">
        <v>57</v>
      </c>
      <c r="B712" s="9" t="s">
        <v>38</v>
      </c>
      <c r="C712" s="1" t="s">
        <v>40</v>
      </c>
      <c r="D712" s="1" t="s">
        <v>41</v>
      </c>
      <c r="E712" s="1" t="s">
        <v>42</v>
      </c>
      <c r="F712" s="1" t="s">
        <v>3913</v>
      </c>
      <c r="G712" s="1" t="s">
        <v>3914</v>
      </c>
      <c r="H712" s="1" t="s">
        <v>45</v>
      </c>
      <c r="I712" s="1" t="s">
        <v>3978</v>
      </c>
      <c r="J712" s="1">
        <v>2024</v>
      </c>
      <c r="K712" s="1" t="s">
        <v>3979</v>
      </c>
      <c r="L712" s="1" t="s">
        <v>3980</v>
      </c>
      <c r="M712" s="1" t="s">
        <v>3981</v>
      </c>
      <c r="P712" s="1" t="s">
        <v>3918</v>
      </c>
      <c r="Q712" s="1" t="s">
        <v>264</v>
      </c>
      <c r="R712" s="1" t="s">
        <v>265</v>
      </c>
      <c r="S712" s="1" t="s">
        <v>299</v>
      </c>
      <c r="T712" s="1" t="s">
        <v>300</v>
      </c>
      <c r="U712" s="1">
        <v>2</v>
      </c>
      <c r="V712" s="1" t="s">
        <v>268</v>
      </c>
      <c r="W712" s="1" t="s">
        <v>3982</v>
      </c>
      <c r="X712" s="1" t="s">
        <v>258</v>
      </c>
      <c r="Y712" s="10">
        <v>45807</v>
      </c>
      <c r="Z712" s="1">
        <v>2025</v>
      </c>
      <c r="AA712" s="2">
        <v>119000000</v>
      </c>
      <c r="AB712" s="2"/>
      <c r="AC712" s="2">
        <v>78000000</v>
      </c>
      <c r="AD712" s="1">
        <v>31</v>
      </c>
      <c r="AI712" s="2">
        <v>78000000</v>
      </c>
    </row>
    <row r="713" spans="1:38" ht="14.45" customHeight="1" x14ac:dyDescent="0.2">
      <c r="A713" s="1" t="s">
        <v>57</v>
      </c>
      <c r="B713" s="9" t="s">
        <v>38</v>
      </c>
      <c r="C713" s="1" t="s">
        <v>40</v>
      </c>
      <c r="D713" s="1" t="s">
        <v>41</v>
      </c>
      <c r="E713" s="1" t="s">
        <v>200</v>
      </c>
      <c r="F713" s="1" t="s">
        <v>201</v>
      </c>
      <c r="G713" s="1" t="s">
        <v>202</v>
      </c>
      <c r="H713" s="1" t="s">
        <v>45</v>
      </c>
      <c r="I713" s="1" t="s">
        <v>3983</v>
      </c>
      <c r="J713" s="1">
        <v>2022</v>
      </c>
      <c r="K713" s="1" t="s">
        <v>3984</v>
      </c>
      <c r="L713" s="1" t="s">
        <v>3985</v>
      </c>
      <c r="P713" s="1" t="s">
        <v>2691</v>
      </c>
      <c r="Q713" s="1" t="s">
        <v>264</v>
      </c>
      <c r="R713" s="1" t="s">
        <v>265</v>
      </c>
      <c r="S713" s="1" t="s">
        <v>935</v>
      </c>
      <c r="T713" s="1" t="s">
        <v>936</v>
      </c>
      <c r="U713" s="1">
        <v>1</v>
      </c>
      <c r="V713" s="1" t="s">
        <v>308</v>
      </c>
      <c r="W713" s="1" t="s">
        <v>3984</v>
      </c>
      <c r="Y713" s="10">
        <v>45112</v>
      </c>
      <c r="Z713" s="1">
        <v>2023</v>
      </c>
      <c r="AA713" s="2">
        <v>3123700.8</v>
      </c>
      <c r="AB713" s="2"/>
      <c r="AC713" s="2">
        <v>2498960.64</v>
      </c>
      <c r="AD713" s="1">
        <v>3</v>
      </c>
      <c r="AG713" s="1" t="s">
        <v>56</v>
      </c>
      <c r="AI713" s="2">
        <v>2498960.64</v>
      </c>
    </row>
    <row r="714" spans="1:38" ht="14.45" customHeight="1" x14ac:dyDescent="0.2">
      <c r="A714" s="1" t="s">
        <v>57</v>
      </c>
      <c r="B714" s="9" t="s">
        <v>38</v>
      </c>
      <c r="C714" s="1" t="s">
        <v>40</v>
      </c>
      <c r="D714" s="1" t="s">
        <v>41</v>
      </c>
      <c r="E714" s="1" t="s">
        <v>200</v>
      </c>
      <c r="F714" s="1" t="s">
        <v>215</v>
      </c>
      <c r="G714" s="1" t="s">
        <v>3986</v>
      </c>
      <c r="H714" s="1" t="s">
        <v>45</v>
      </c>
      <c r="I714" s="1" t="s">
        <v>3987</v>
      </c>
      <c r="J714" s="1">
        <v>2022</v>
      </c>
      <c r="K714" s="1" t="s">
        <v>3988</v>
      </c>
      <c r="L714" s="1" t="s">
        <v>3989</v>
      </c>
      <c r="P714" s="1" t="s">
        <v>3990</v>
      </c>
      <c r="Q714" s="1" t="s">
        <v>264</v>
      </c>
      <c r="R714" s="1" t="s">
        <v>265</v>
      </c>
      <c r="S714" s="1" t="s">
        <v>266</v>
      </c>
      <c r="T714" s="1" t="s">
        <v>267</v>
      </c>
      <c r="U714" s="1">
        <v>2</v>
      </c>
      <c r="V714" s="1" t="s">
        <v>268</v>
      </c>
      <c r="W714" s="1" t="s">
        <v>3991</v>
      </c>
      <c r="Y714" s="10">
        <v>45021</v>
      </c>
      <c r="Z714" s="1">
        <v>2023</v>
      </c>
      <c r="AA714" s="2">
        <v>8557583.9199999999</v>
      </c>
      <c r="AB714" s="2"/>
      <c r="AC714" s="2">
        <v>3541376.9</v>
      </c>
      <c r="AD714" s="1">
        <v>85</v>
      </c>
      <c r="AG714" s="1" t="s">
        <v>56</v>
      </c>
      <c r="AI714" s="2">
        <v>3541376.9</v>
      </c>
      <c r="AL714" s="1" t="s">
        <v>3992</v>
      </c>
    </row>
    <row r="715" spans="1:38" ht="14.45" customHeight="1" x14ac:dyDescent="0.2">
      <c r="A715" s="1" t="s">
        <v>57</v>
      </c>
      <c r="B715" s="9" t="s">
        <v>38</v>
      </c>
      <c r="C715" s="1" t="s">
        <v>40</v>
      </c>
      <c r="D715" s="1" t="s">
        <v>41</v>
      </c>
      <c r="E715" s="1" t="s">
        <v>200</v>
      </c>
      <c r="F715" s="1" t="s">
        <v>215</v>
      </c>
      <c r="G715" s="1" t="s">
        <v>3993</v>
      </c>
      <c r="H715" s="1" t="s">
        <v>45</v>
      </c>
      <c r="I715" s="1" t="s">
        <v>3994</v>
      </c>
      <c r="J715" s="1">
        <v>2022</v>
      </c>
      <c r="K715" s="1" t="s">
        <v>3995</v>
      </c>
      <c r="L715" s="1" t="s">
        <v>3996</v>
      </c>
      <c r="M715" s="1" t="s">
        <v>3981</v>
      </c>
      <c r="P715" s="1" t="s">
        <v>3997</v>
      </c>
      <c r="Q715" s="1" t="s">
        <v>264</v>
      </c>
      <c r="R715" s="1" t="s">
        <v>265</v>
      </c>
      <c r="S715" s="1" t="s">
        <v>299</v>
      </c>
      <c r="T715" s="1" t="s">
        <v>300</v>
      </c>
      <c r="U715" s="1">
        <v>2</v>
      </c>
      <c r="V715" s="1" t="s">
        <v>268</v>
      </c>
      <c r="W715" s="1" t="s">
        <v>3998</v>
      </c>
      <c r="X715" s="1" t="s">
        <v>55</v>
      </c>
      <c r="Y715" s="10">
        <v>45082</v>
      </c>
      <c r="Z715" s="1">
        <v>2023</v>
      </c>
      <c r="AA715" s="2">
        <v>37422500</v>
      </c>
      <c r="AB715" s="2"/>
      <c r="AC715" s="2">
        <v>15000000</v>
      </c>
      <c r="AD715" s="1">
        <v>7</v>
      </c>
      <c r="AG715" s="1" t="s">
        <v>56</v>
      </c>
      <c r="AI715" s="2">
        <v>15000000</v>
      </c>
    </row>
    <row r="716" spans="1:38" ht="14.45" customHeight="1" x14ac:dyDescent="0.2">
      <c r="A716" s="1" t="s">
        <v>57</v>
      </c>
      <c r="B716" s="9" t="s">
        <v>38</v>
      </c>
      <c r="C716" s="1" t="s">
        <v>40</v>
      </c>
      <c r="D716" s="1" t="s">
        <v>41</v>
      </c>
      <c r="E716" s="1" t="s">
        <v>200</v>
      </c>
      <c r="F716" s="1" t="s">
        <v>215</v>
      </c>
      <c r="G716" s="1" t="s">
        <v>3893</v>
      </c>
      <c r="H716" s="1" t="s">
        <v>45</v>
      </c>
      <c r="I716" s="1" t="s">
        <v>3999</v>
      </c>
      <c r="J716" s="1">
        <v>2022</v>
      </c>
      <c r="K716" s="1" t="s">
        <v>4000</v>
      </c>
      <c r="L716" s="1" t="s">
        <v>4001</v>
      </c>
      <c r="M716" s="1" t="s">
        <v>4002</v>
      </c>
      <c r="P716" s="1" t="s">
        <v>4003</v>
      </c>
      <c r="Q716" s="1" t="s">
        <v>264</v>
      </c>
      <c r="R716" s="1" t="s">
        <v>265</v>
      </c>
      <c r="S716" s="1" t="s">
        <v>266</v>
      </c>
      <c r="T716" s="1" t="s">
        <v>267</v>
      </c>
      <c r="U716" s="1">
        <v>2</v>
      </c>
      <c r="V716" s="1" t="s">
        <v>268</v>
      </c>
      <c r="W716" s="1" t="s">
        <v>4004</v>
      </c>
      <c r="Y716" s="10">
        <v>45124</v>
      </c>
      <c r="Z716" s="1">
        <v>2023</v>
      </c>
      <c r="AA716" s="2">
        <v>1972026.66</v>
      </c>
      <c r="AB716" s="2"/>
      <c r="AC716" s="2">
        <v>1434140.6</v>
      </c>
      <c r="AG716" s="1" t="s">
        <v>56</v>
      </c>
      <c r="AI716" s="2">
        <v>1434140.6</v>
      </c>
      <c r="AL716" s="1" t="s">
        <v>4005</v>
      </c>
    </row>
    <row r="717" spans="1:38" ht="14.45" customHeight="1" x14ac:dyDescent="0.2">
      <c r="A717" s="1" t="s">
        <v>57</v>
      </c>
      <c r="B717" s="9" t="s">
        <v>38</v>
      </c>
      <c r="C717" s="1" t="s">
        <v>40</v>
      </c>
      <c r="D717" s="1" t="s">
        <v>41</v>
      </c>
      <c r="E717" s="1" t="s">
        <v>200</v>
      </c>
      <c r="F717" s="1" t="s">
        <v>3846</v>
      </c>
      <c r="G717" s="1" t="s">
        <v>3847</v>
      </c>
      <c r="H717" s="1" t="s">
        <v>45</v>
      </c>
      <c r="I717" s="1" t="s">
        <v>4006</v>
      </c>
      <c r="J717" s="1">
        <v>2022</v>
      </c>
      <c r="K717" s="1" t="s">
        <v>4007</v>
      </c>
      <c r="L717" s="1" t="s">
        <v>4008</v>
      </c>
      <c r="M717" s="1" t="s">
        <v>4009</v>
      </c>
      <c r="P717" s="1" t="s">
        <v>4010</v>
      </c>
      <c r="Q717" s="1" t="s">
        <v>264</v>
      </c>
      <c r="R717" s="1" t="s">
        <v>265</v>
      </c>
      <c r="S717" s="1" t="s">
        <v>1334</v>
      </c>
      <c r="T717" s="1" t="s">
        <v>1335</v>
      </c>
      <c r="U717" s="1">
        <v>1</v>
      </c>
      <c r="V717" s="1" t="s">
        <v>268</v>
      </c>
      <c r="W717" s="1" t="s">
        <v>4011</v>
      </c>
      <c r="X717" s="1" t="s">
        <v>55</v>
      </c>
      <c r="Y717" s="10">
        <v>45021</v>
      </c>
      <c r="Z717" s="1">
        <v>2023</v>
      </c>
      <c r="AA717" s="2">
        <v>13892011.109999999</v>
      </c>
      <c r="AB717" s="2"/>
      <c r="AC717" s="2">
        <v>6028593.1299999999</v>
      </c>
      <c r="AD717" s="1">
        <v>7</v>
      </c>
      <c r="AG717" s="1" t="s">
        <v>56</v>
      </c>
      <c r="AI717" s="2">
        <v>6028593.1299999999</v>
      </c>
    </row>
    <row r="718" spans="1:38" ht="12.6" customHeight="1" x14ac:dyDescent="0.2">
      <c r="A718" s="1" t="s">
        <v>57</v>
      </c>
      <c r="B718" s="9" t="s">
        <v>38</v>
      </c>
      <c r="C718" s="1" t="s">
        <v>40</v>
      </c>
      <c r="D718" s="1" t="s">
        <v>41</v>
      </c>
      <c r="E718" s="1" t="s">
        <v>200</v>
      </c>
      <c r="F718" s="1" t="s">
        <v>3846</v>
      </c>
      <c r="G718" s="1" t="s">
        <v>3847</v>
      </c>
      <c r="H718" s="1" t="s">
        <v>45</v>
      </c>
      <c r="I718" s="1" t="s">
        <v>4012</v>
      </c>
      <c r="J718" s="1">
        <v>2022</v>
      </c>
      <c r="K718" s="1" t="s">
        <v>4013</v>
      </c>
      <c r="L718" s="1" t="s">
        <v>4014</v>
      </c>
      <c r="M718" s="1" t="s">
        <v>3981</v>
      </c>
      <c r="P718" s="1" t="s">
        <v>3997</v>
      </c>
      <c r="Q718" s="1" t="s">
        <v>264</v>
      </c>
      <c r="R718" s="1" t="s">
        <v>265</v>
      </c>
      <c r="S718" s="1" t="s">
        <v>299</v>
      </c>
      <c r="T718" s="1" t="s">
        <v>300</v>
      </c>
      <c r="U718" s="1">
        <v>2</v>
      </c>
      <c r="V718" s="1" t="s">
        <v>268</v>
      </c>
      <c r="W718" s="1" t="s">
        <v>4015</v>
      </c>
      <c r="X718" s="1" t="s">
        <v>55</v>
      </c>
      <c r="Y718" s="10">
        <v>45021</v>
      </c>
      <c r="Z718" s="1">
        <v>2023</v>
      </c>
      <c r="AA718" s="2">
        <v>34303738.109999999</v>
      </c>
      <c r="AB718" s="2"/>
      <c r="AC718" s="2">
        <v>14877521.310000001</v>
      </c>
      <c r="AD718" s="1">
        <v>7</v>
      </c>
      <c r="AG718" s="1" t="s">
        <v>56</v>
      </c>
      <c r="AI718" s="2">
        <v>14877521.310000001</v>
      </c>
    </row>
    <row r="719" spans="1:38" ht="14.45" customHeight="1" x14ac:dyDescent="0.2">
      <c r="A719" s="1" t="s">
        <v>57</v>
      </c>
      <c r="B719" s="9" t="s">
        <v>38</v>
      </c>
      <c r="C719" s="1" t="s">
        <v>40</v>
      </c>
      <c r="D719" s="1" t="s">
        <v>41</v>
      </c>
      <c r="E719" s="1" t="s">
        <v>200</v>
      </c>
      <c r="F719" s="1" t="s">
        <v>3853</v>
      </c>
      <c r="G719" s="1" t="s">
        <v>3854</v>
      </c>
      <c r="H719" s="1" t="s">
        <v>45</v>
      </c>
      <c r="I719" s="1" t="s">
        <v>4016</v>
      </c>
      <c r="J719" s="1">
        <v>2023</v>
      </c>
      <c r="K719" s="1" t="s">
        <v>4017</v>
      </c>
      <c r="L719" s="1" t="s">
        <v>4018</v>
      </c>
      <c r="M719" s="1" t="s">
        <v>4019</v>
      </c>
      <c r="P719" s="1" t="s">
        <v>4020</v>
      </c>
      <c r="Q719" s="1" t="s">
        <v>264</v>
      </c>
      <c r="R719" s="1" t="s">
        <v>265</v>
      </c>
      <c r="S719" s="1" t="s">
        <v>266</v>
      </c>
      <c r="T719" s="1" t="s">
        <v>267</v>
      </c>
      <c r="U719" s="1">
        <v>2</v>
      </c>
      <c r="V719" s="1" t="s">
        <v>268</v>
      </c>
      <c r="W719" s="1" t="s">
        <v>4021</v>
      </c>
      <c r="X719" s="1" t="s">
        <v>55</v>
      </c>
      <c r="Y719" s="10">
        <v>45282</v>
      </c>
      <c r="Z719" s="1">
        <v>2023</v>
      </c>
      <c r="AA719" s="2">
        <v>71700000</v>
      </c>
      <c r="AB719" s="2" t="s">
        <v>1240</v>
      </c>
      <c r="AC719" s="2">
        <v>15000000</v>
      </c>
      <c r="AD719" s="1" t="s">
        <v>1240</v>
      </c>
      <c r="AF719" s="1" t="s">
        <v>1240</v>
      </c>
      <c r="AG719" s="1" t="s">
        <v>56</v>
      </c>
      <c r="AH719" s="1" t="s">
        <v>1240</v>
      </c>
      <c r="AI719" s="2">
        <v>15000000</v>
      </c>
      <c r="AK719" s="1" t="s">
        <v>1240</v>
      </c>
    </row>
    <row r="720" spans="1:38" ht="14.45" customHeight="1" x14ac:dyDescent="0.2">
      <c r="A720" s="1" t="s">
        <v>57</v>
      </c>
      <c r="B720" s="9" t="s">
        <v>38</v>
      </c>
      <c r="C720" s="1" t="s">
        <v>40</v>
      </c>
      <c r="D720" s="1" t="s">
        <v>41</v>
      </c>
      <c r="E720" s="1" t="s">
        <v>42</v>
      </c>
      <c r="G720" s="1" t="s">
        <v>4022</v>
      </c>
      <c r="H720" s="1" t="s">
        <v>45</v>
      </c>
      <c r="I720" s="1" t="s">
        <v>4023</v>
      </c>
      <c r="J720" s="1">
        <v>2022</v>
      </c>
      <c r="K720" s="1" t="s">
        <v>4024</v>
      </c>
      <c r="L720" s="1" t="s">
        <v>4025</v>
      </c>
      <c r="M720" s="1" t="s">
        <v>4026</v>
      </c>
      <c r="P720" s="1" t="s">
        <v>4027</v>
      </c>
      <c r="Q720" s="1" t="s">
        <v>264</v>
      </c>
      <c r="R720" s="1" t="s">
        <v>265</v>
      </c>
      <c r="S720" s="1" t="s">
        <v>1334</v>
      </c>
      <c r="T720" s="1" t="s">
        <v>1335</v>
      </c>
      <c r="U720" s="1">
        <v>1</v>
      </c>
      <c r="V720" s="1" t="s">
        <v>4028</v>
      </c>
      <c r="W720" s="1" t="s">
        <v>4029</v>
      </c>
      <c r="Y720" s="10">
        <v>44970</v>
      </c>
      <c r="Z720" s="1">
        <v>2023</v>
      </c>
      <c r="AA720" s="2">
        <v>2791749.5</v>
      </c>
      <c r="AB720" s="2"/>
      <c r="AC720" s="2">
        <v>1233759.56</v>
      </c>
      <c r="AD720" s="1">
        <v>30</v>
      </c>
      <c r="AG720" s="1" t="s">
        <v>56</v>
      </c>
      <c r="AI720" s="2">
        <v>1233759.56</v>
      </c>
    </row>
    <row r="721" spans="1:38" ht="14.45" customHeight="1" x14ac:dyDescent="0.25">
      <c r="A721" s="1" t="s">
        <v>57</v>
      </c>
      <c r="B721" s="9" t="s">
        <v>38</v>
      </c>
      <c r="C721" s="1" t="s">
        <v>40</v>
      </c>
      <c r="D721" s="1" t="s">
        <v>41</v>
      </c>
      <c r="E721" s="1" t="s">
        <v>42</v>
      </c>
      <c r="F721" s="1" t="s">
        <v>3900</v>
      </c>
      <c r="G721" s="1" t="s">
        <v>3901</v>
      </c>
      <c r="H721" s="1" t="s">
        <v>45</v>
      </c>
      <c r="I721" s="1" t="s">
        <v>4030</v>
      </c>
      <c r="J721" s="1">
        <v>2023</v>
      </c>
      <c r="K721" s="1" t="s">
        <v>4031</v>
      </c>
      <c r="L721" s="1" t="s">
        <v>4032</v>
      </c>
      <c r="P721" s="1" t="s">
        <v>4033</v>
      </c>
      <c r="Q721" s="1" t="s">
        <v>264</v>
      </c>
      <c r="R721" s="1" t="s">
        <v>265</v>
      </c>
      <c r="S721" s="1" t="s">
        <v>266</v>
      </c>
      <c r="T721" s="1" t="s">
        <v>267</v>
      </c>
      <c r="U721" s="1">
        <v>2</v>
      </c>
      <c r="V721" s="1" t="s">
        <v>268</v>
      </c>
      <c r="W721" s="1" t="s">
        <v>4031</v>
      </c>
      <c r="Y721" s="10">
        <v>45631</v>
      </c>
      <c r="Z721" s="1">
        <v>2024</v>
      </c>
      <c r="AA721" s="35">
        <v>6235469</v>
      </c>
      <c r="AB721" s="35"/>
      <c r="AC721" s="35">
        <v>2182414</v>
      </c>
      <c r="AG721" s="1" t="s">
        <v>3912</v>
      </c>
      <c r="AI721" s="2">
        <v>2182414</v>
      </c>
    </row>
    <row r="722" spans="1:38" ht="14.45" customHeight="1" x14ac:dyDescent="0.25">
      <c r="A722" s="1" t="s">
        <v>57</v>
      </c>
      <c r="B722" s="9" t="s">
        <v>38</v>
      </c>
      <c r="C722" s="1" t="s">
        <v>40</v>
      </c>
      <c r="D722" s="1" t="s">
        <v>41</v>
      </c>
      <c r="E722" s="1" t="s">
        <v>42</v>
      </c>
      <c r="F722" s="1" t="s">
        <v>3900</v>
      </c>
      <c r="G722" s="1" t="s">
        <v>3901</v>
      </c>
      <c r="H722" s="1" t="s">
        <v>45</v>
      </c>
      <c r="I722" s="1" t="s">
        <v>4034</v>
      </c>
      <c r="J722" s="1">
        <v>2023</v>
      </c>
      <c r="K722" s="1" t="s">
        <v>4035</v>
      </c>
      <c r="L722" s="1" t="s">
        <v>4036</v>
      </c>
      <c r="P722" s="1" t="s">
        <v>4037</v>
      </c>
      <c r="Q722" s="1" t="s">
        <v>264</v>
      </c>
      <c r="R722" s="1" t="s">
        <v>265</v>
      </c>
      <c r="S722" s="1" t="s">
        <v>542</v>
      </c>
      <c r="T722" s="1" t="s">
        <v>543</v>
      </c>
      <c r="U722" s="1">
        <v>1</v>
      </c>
      <c r="V722" s="1" t="s">
        <v>268</v>
      </c>
      <c r="W722" s="1" t="s">
        <v>4035</v>
      </c>
      <c r="Y722" s="10">
        <v>45631</v>
      </c>
      <c r="Z722" s="1">
        <v>2024</v>
      </c>
      <c r="AA722" s="35">
        <v>19284419</v>
      </c>
      <c r="AB722" s="35"/>
      <c r="AC722" s="35">
        <v>4782536</v>
      </c>
      <c r="AG722" s="1" t="s">
        <v>3912</v>
      </c>
      <c r="AI722" s="2">
        <v>4782536</v>
      </c>
    </row>
    <row r="723" spans="1:38" ht="14.45" customHeight="1" x14ac:dyDescent="0.25">
      <c r="A723" s="1" t="s">
        <v>57</v>
      </c>
      <c r="B723" s="9" t="s">
        <v>38</v>
      </c>
      <c r="C723" s="1" t="s">
        <v>40</v>
      </c>
      <c r="D723" s="1" t="s">
        <v>41</v>
      </c>
      <c r="E723" s="1" t="s">
        <v>42</v>
      </c>
      <c r="F723" s="1" t="s">
        <v>3900</v>
      </c>
      <c r="G723" s="1" t="s">
        <v>3901</v>
      </c>
      <c r="H723" s="1" t="s">
        <v>45</v>
      </c>
      <c r="I723" s="1" t="s">
        <v>4038</v>
      </c>
      <c r="J723" s="1">
        <v>2023</v>
      </c>
      <c r="K723" s="1" t="s">
        <v>4039</v>
      </c>
      <c r="L723" s="1" t="s">
        <v>4040</v>
      </c>
      <c r="P723" s="1" t="s">
        <v>4041</v>
      </c>
      <c r="Q723" s="1" t="s">
        <v>264</v>
      </c>
      <c r="R723" s="1" t="s">
        <v>265</v>
      </c>
      <c r="S723" s="1" t="s">
        <v>315</v>
      </c>
      <c r="T723" s="1" t="s">
        <v>316</v>
      </c>
      <c r="U723" s="1">
        <v>1</v>
      </c>
      <c r="V723" s="1" t="s">
        <v>268</v>
      </c>
      <c r="W723" s="1" t="s">
        <v>4039</v>
      </c>
      <c r="Y723" s="10">
        <v>45631</v>
      </c>
      <c r="Z723" s="1">
        <v>2024</v>
      </c>
      <c r="AA723" s="35">
        <v>15425544</v>
      </c>
      <c r="AB723" s="35"/>
      <c r="AC723" s="35">
        <v>5398941</v>
      </c>
      <c r="AG723" s="1" t="s">
        <v>3912</v>
      </c>
      <c r="AI723" s="2">
        <v>5398941</v>
      </c>
    </row>
    <row r="724" spans="1:38" ht="14.45" customHeight="1" x14ac:dyDescent="0.25">
      <c r="A724" s="1" t="s">
        <v>57</v>
      </c>
      <c r="B724" s="9" t="s">
        <v>38</v>
      </c>
      <c r="C724" s="1" t="s">
        <v>40</v>
      </c>
      <c r="D724" s="1" t="s">
        <v>41</v>
      </c>
      <c r="E724" s="1" t="s">
        <v>42</v>
      </c>
      <c r="F724" s="1" t="s">
        <v>3900</v>
      </c>
      <c r="G724" s="1" t="s">
        <v>3901</v>
      </c>
      <c r="H724" s="1" t="s">
        <v>45</v>
      </c>
      <c r="I724" s="1" t="s">
        <v>4042</v>
      </c>
      <c r="J724" s="1">
        <v>2023</v>
      </c>
      <c r="K724" s="1" t="s">
        <v>4043</v>
      </c>
      <c r="L724" s="1" t="s">
        <v>4044</v>
      </c>
      <c r="P724" s="1" t="s">
        <v>4045</v>
      </c>
      <c r="Q724" s="1" t="s">
        <v>264</v>
      </c>
      <c r="R724" s="1" t="s">
        <v>265</v>
      </c>
      <c r="S724" s="1" t="s">
        <v>350</v>
      </c>
      <c r="T724" s="1" t="s">
        <v>351</v>
      </c>
      <c r="U724" s="1">
        <v>1</v>
      </c>
      <c r="V724" s="1" t="s">
        <v>80</v>
      </c>
      <c r="W724" s="1" t="s">
        <v>4043</v>
      </c>
      <c r="Y724" s="10">
        <v>45631</v>
      </c>
      <c r="Z724" s="1">
        <v>2024</v>
      </c>
      <c r="AA724" s="35">
        <v>12203519</v>
      </c>
      <c r="AB724" s="35"/>
      <c r="AC724" s="35">
        <v>2810000</v>
      </c>
    </row>
    <row r="725" spans="1:38" ht="15.6" customHeight="1" x14ac:dyDescent="0.25">
      <c r="A725" s="1" t="s">
        <v>57</v>
      </c>
      <c r="B725" s="9" t="s">
        <v>38</v>
      </c>
      <c r="C725" s="1" t="s">
        <v>40</v>
      </c>
      <c r="D725" s="1" t="s">
        <v>41</v>
      </c>
      <c r="E725" s="1" t="s">
        <v>42</v>
      </c>
      <c r="F725" s="1" t="s">
        <v>3900</v>
      </c>
      <c r="G725" s="1" t="s">
        <v>3901</v>
      </c>
      <c r="H725" s="1" t="s">
        <v>45</v>
      </c>
      <c r="I725" s="1" t="s">
        <v>4046</v>
      </c>
      <c r="J725" s="1">
        <v>2023</v>
      </c>
      <c r="K725" s="1" t="s">
        <v>4047</v>
      </c>
      <c r="L725" s="1" t="s">
        <v>4048</v>
      </c>
      <c r="P725" s="1" t="s">
        <v>4045</v>
      </c>
      <c r="Q725" s="1" t="s">
        <v>264</v>
      </c>
      <c r="R725" s="1" t="s">
        <v>265</v>
      </c>
      <c r="S725" s="1" t="s">
        <v>350</v>
      </c>
      <c r="T725" s="1" t="s">
        <v>351</v>
      </c>
      <c r="U725" s="1">
        <v>1</v>
      </c>
      <c r="V725" s="1" t="s">
        <v>80</v>
      </c>
      <c r="W725" s="1" t="s">
        <v>4047</v>
      </c>
      <c r="Y725" s="10">
        <v>45631</v>
      </c>
      <c r="Z725" s="1">
        <v>2024</v>
      </c>
      <c r="AA725" s="35">
        <v>9491189</v>
      </c>
      <c r="AB725" s="35"/>
      <c r="AC725" s="35">
        <v>2510000</v>
      </c>
    </row>
    <row r="726" spans="1:38" ht="14.45" customHeight="1" x14ac:dyDescent="0.25">
      <c r="A726" s="1" t="s">
        <v>57</v>
      </c>
      <c r="B726" s="9" t="s">
        <v>38</v>
      </c>
      <c r="C726" s="1" t="s">
        <v>40</v>
      </c>
      <c r="D726" s="1" t="s">
        <v>41</v>
      </c>
      <c r="E726" s="1" t="s">
        <v>42</v>
      </c>
      <c r="F726" s="1" t="s">
        <v>3900</v>
      </c>
      <c r="G726" s="1" t="s">
        <v>3901</v>
      </c>
      <c r="H726" s="1" t="s">
        <v>45</v>
      </c>
      <c r="I726" s="1" t="s">
        <v>4049</v>
      </c>
      <c r="J726" s="1">
        <v>2023</v>
      </c>
      <c r="K726" s="1" t="s">
        <v>4050</v>
      </c>
      <c r="L726" s="1" t="s">
        <v>4051</v>
      </c>
      <c r="P726" s="1" t="s">
        <v>4052</v>
      </c>
      <c r="Q726" s="1" t="s">
        <v>264</v>
      </c>
      <c r="R726" s="1" t="s">
        <v>265</v>
      </c>
      <c r="S726" s="1" t="s">
        <v>350</v>
      </c>
      <c r="T726" s="1" t="s">
        <v>351</v>
      </c>
      <c r="U726" s="1">
        <v>1</v>
      </c>
      <c r="V726" s="1" t="s">
        <v>80</v>
      </c>
      <c r="W726" s="1" t="s">
        <v>4053</v>
      </c>
      <c r="Y726" s="10">
        <v>45631</v>
      </c>
      <c r="Z726" s="1">
        <v>2024</v>
      </c>
      <c r="AA726" s="35">
        <v>42639021</v>
      </c>
      <c r="AB726" s="35"/>
      <c r="AC726" s="35">
        <v>5411028</v>
      </c>
    </row>
    <row r="727" spans="1:38" ht="12.6" customHeight="1" x14ac:dyDescent="0.25">
      <c r="A727" s="1" t="s">
        <v>57</v>
      </c>
      <c r="B727" s="9" t="s">
        <v>38</v>
      </c>
      <c r="C727" s="1" t="s">
        <v>40</v>
      </c>
      <c r="D727" s="1" t="s">
        <v>41</v>
      </c>
      <c r="E727" s="1" t="s">
        <v>42</v>
      </c>
      <c r="F727" s="1" t="s">
        <v>3900</v>
      </c>
      <c r="G727" s="1" t="s">
        <v>3901</v>
      </c>
      <c r="H727" s="1" t="s">
        <v>45</v>
      </c>
      <c r="I727" s="1" t="s">
        <v>4054</v>
      </c>
      <c r="J727" s="1">
        <v>2023</v>
      </c>
      <c r="K727" s="1" t="s">
        <v>4055</v>
      </c>
      <c r="L727" s="1" t="s">
        <v>4056</v>
      </c>
      <c r="M727" s="1" t="s">
        <v>4057</v>
      </c>
      <c r="P727" s="1" t="s">
        <v>4058</v>
      </c>
      <c r="Q727" s="1" t="s">
        <v>264</v>
      </c>
      <c r="R727" s="1" t="s">
        <v>265</v>
      </c>
      <c r="S727" s="1" t="s">
        <v>379</v>
      </c>
      <c r="T727" s="1" t="s">
        <v>380</v>
      </c>
      <c r="U727" s="1">
        <v>2</v>
      </c>
      <c r="V727" s="1" t="s">
        <v>268</v>
      </c>
      <c r="W727" s="1" t="s">
        <v>4059</v>
      </c>
      <c r="Y727" s="10">
        <v>45631</v>
      </c>
      <c r="Z727" s="1">
        <v>2024</v>
      </c>
      <c r="AA727" s="35">
        <v>27241999</v>
      </c>
      <c r="AB727" s="35"/>
      <c r="AC727" s="35">
        <v>5000000</v>
      </c>
      <c r="AG727" s="1" t="s">
        <v>3912</v>
      </c>
      <c r="AI727" s="2">
        <v>5000000</v>
      </c>
    </row>
    <row r="728" spans="1:38" ht="12.6" customHeight="1" x14ac:dyDescent="0.25">
      <c r="A728" s="1" t="s">
        <v>57</v>
      </c>
      <c r="B728" s="9" t="s">
        <v>38</v>
      </c>
      <c r="C728" s="1" t="s">
        <v>40</v>
      </c>
      <c r="D728" s="1" t="s">
        <v>41</v>
      </c>
      <c r="E728" s="1" t="s">
        <v>42</v>
      </c>
      <c r="F728" s="1" t="s">
        <v>3900</v>
      </c>
      <c r="G728" s="1" t="s">
        <v>3901</v>
      </c>
      <c r="H728" s="1" t="s">
        <v>45</v>
      </c>
      <c r="I728" s="1" t="s">
        <v>4060</v>
      </c>
      <c r="J728" s="1">
        <v>2023</v>
      </c>
      <c r="K728" s="1" t="s">
        <v>4061</v>
      </c>
      <c r="L728" s="1" t="s">
        <v>4062</v>
      </c>
      <c r="P728" s="1" t="s">
        <v>4063</v>
      </c>
      <c r="Q728" s="1" t="s">
        <v>264</v>
      </c>
      <c r="R728" s="1" t="s">
        <v>265</v>
      </c>
      <c r="S728" s="1" t="s">
        <v>379</v>
      </c>
      <c r="T728" s="1" t="s">
        <v>380</v>
      </c>
      <c r="U728" s="1">
        <v>2</v>
      </c>
      <c r="V728" s="1" t="s">
        <v>268</v>
      </c>
      <c r="W728" s="1" t="s">
        <v>4061</v>
      </c>
      <c r="Y728" s="10">
        <v>45631</v>
      </c>
      <c r="Z728" s="1">
        <v>2024</v>
      </c>
      <c r="AA728" s="35">
        <v>45628059</v>
      </c>
      <c r="AB728" s="35"/>
      <c r="AC728" s="35">
        <v>9760000</v>
      </c>
      <c r="AG728" s="1" t="s">
        <v>3912</v>
      </c>
      <c r="AI728" s="2">
        <v>9760000</v>
      </c>
    </row>
    <row r="729" spans="1:38" ht="14.45" customHeight="1" x14ac:dyDescent="0.25">
      <c r="A729" s="1" t="s">
        <v>57</v>
      </c>
      <c r="B729" s="9" t="s">
        <v>38</v>
      </c>
      <c r="C729" s="1" t="s">
        <v>40</v>
      </c>
      <c r="D729" s="1" t="s">
        <v>41</v>
      </c>
      <c r="E729" s="1" t="s">
        <v>42</v>
      </c>
      <c r="F729" s="1" t="s">
        <v>3900</v>
      </c>
      <c r="G729" s="1" t="s">
        <v>3901</v>
      </c>
      <c r="H729" s="1" t="s">
        <v>45</v>
      </c>
      <c r="I729" s="1" t="s">
        <v>4064</v>
      </c>
      <c r="J729" s="1">
        <v>2023</v>
      </c>
      <c r="K729" s="1" t="s">
        <v>4065</v>
      </c>
      <c r="L729" s="1" t="s">
        <v>4066</v>
      </c>
      <c r="M729" s="1" t="s">
        <v>4067</v>
      </c>
      <c r="P729" s="1" t="s">
        <v>4068</v>
      </c>
      <c r="Q729" s="1" t="s">
        <v>264</v>
      </c>
      <c r="R729" s="1" t="s">
        <v>265</v>
      </c>
      <c r="S729" s="1" t="s">
        <v>350</v>
      </c>
      <c r="T729" s="1" t="s">
        <v>351</v>
      </c>
      <c r="U729" s="1">
        <v>1</v>
      </c>
      <c r="V729" s="1" t="s">
        <v>80</v>
      </c>
      <c r="W729" s="1" t="s">
        <v>4065</v>
      </c>
      <c r="Y729" s="10">
        <v>45631</v>
      </c>
      <c r="Z729" s="1">
        <v>2024</v>
      </c>
      <c r="AA729" s="35">
        <v>14523470</v>
      </c>
      <c r="AB729" s="35"/>
      <c r="AC729" s="35">
        <v>3650000</v>
      </c>
    </row>
    <row r="730" spans="1:38" ht="14.45" customHeight="1" x14ac:dyDescent="0.25">
      <c r="A730" s="1" t="s">
        <v>57</v>
      </c>
      <c r="B730" s="9" t="s">
        <v>38</v>
      </c>
      <c r="C730" s="1" t="s">
        <v>40</v>
      </c>
      <c r="D730" s="1" t="s">
        <v>41</v>
      </c>
      <c r="E730" s="1" t="s">
        <v>42</v>
      </c>
      <c r="F730" s="1" t="s">
        <v>3900</v>
      </c>
      <c r="G730" s="1" t="s">
        <v>3901</v>
      </c>
      <c r="H730" s="1" t="s">
        <v>45</v>
      </c>
      <c r="I730" s="1" t="s">
        <v>4069</v>
      </c>
      <c r="J730" s="1">
        <v>2023</v>
      </c>
      <c r="K730" s="1" t="s">
        <v>4070</v>
      </c>
      <c r="L730" s="1" t="s">
        <v>4071</v>
      </c>
      <c r="M730" s="1" t="s">
        <v>4072</v>
      </c>
      <c r="P730" s="1" t="s">
        <v>4073</v>
      </c>
      <c r="Q730" s="1" t="s">
        <v>264</v>
      </c>
      <c r="R730" s="1" t="s">
        <v>265</v>
      </c>
      <c r="S730" s="1" t="s">
        <v>1251</v>
      </c>
      <c r="T730" s="1" t="s">
        <v>1252</v>
      </c>
      <c r="U730" s="1">
        <v>2</v>
      </c>
      <c r="V730" s="1" t="s">
        <v>268</v>
      </c>
      <c r="W730" s="1" t="s">
        <v>4070</v>
      </c>
      <c r="Y730" s="10">
        <v>45631</v>
      </c>
      <c r="Z730" s="1">
        <v>2024</v>
      </c>
      <c r="AA730" s="35">
        <v>50167673</v>
      </c>
      <c r="AB730" s="35"/>
      <c r="AC730" s="35">
        <v>11538565</v>
      </c>
      <c r="AG730" s="1" t="s">
        <v>3912</v>
      </c>
      <c r="AI730" s="2">
        <v>11538565</v>
      </c>
    </row>
    <row r="731" spans="1:38" ht="14.45" customHeight="1" x14ac:dyDescent="0.25">
      <c r="A731" s="1" t="s">
        <v>57</v>
      </c>
      <c r="B731" s="9" t="s">
        <v>38</v>
      </c>
      <c r="C731" s="1" t="s">
        <v>40</v>
      </c>
      <c r="D731" s="1" t="s">
        <v>41</v>
      </c>
      <c r="E731" s="1" t="s">
        <v>42</v>
      </c>
      <c r="F731" s="1" t="s">
        <v>3900</v>
      </c>
      <c r="G731" s="1" t="s">
        <v>3901</v>
      </c>
      <c r="H731" s="1" t="s">
        <v>45</v>
      </c>
      <c r="I731" s="1" t="s">
        <v>4074</v>
      </c>
      <c r="J731" s="1">
        <v>2023</v>
      </c>
      <c r="K731" s="1" t="s">
        <v>4075</v>
      </c>
      <c r="L731" s="1" t="s">
        <v>4076</v>
      </c>
      <c r="P731" s="1" t="s">
        <v>4077</v>
      </c>
      <c r="Q731" s="1" t="s">
        <v>264</v>
      </c>
      <c r="R731" s="1" t="s">
        <v>265</v>
      </c>
      <c r="S731" s="1" t="s">
        <v>315</v>
      </c>
      <c r="T731" s="1" t="s">
        <v>316</v>
      </c>
      <c r="U731" s="1">
        <v>1</v>
      </c>
      <c r="V731" s="1" t="s">
        <v>268</v>
      </c>
      <c r="W731" s="1" t="s">
        <v>4075</v>
      </c>
      <c r="Y731" s="10">
        <v>45631</v>
      </c>
      <c r="Z731" s="1">
        <v>2024</v>
      </c>
      <c r="AA731" s="35">
        <v>12561878</v>
      </c>
      <c r="AB731" s="35"/>
      <c r="AC731" s="35">
        <v>1645943</v>
      </c>
      <c r="AG731" s="1" t="s">
        <v>3912</v>
      </c>
      <c r="AI731" s="2">
        <v>1645943</v>
      </c>
    </row>
    <row r="732" spans="1:38" ht="14.45" customHeight="1" x14ac:dyDescent="0.25">
      <c r="A732" s="1" t="s">
        <v>57</v>
      </c>
      <c r="B732" s="9" t="s">
        <v>38</v>
      </c>
      <c r="C732" s="1" t="s">
        <v>40</v>
      </c>
      <c r="D732" s="1" t="s">
        <v>41</v>
      </c>
      <c r="E732" s="1" t="s">
        <v>42</v>
      </c>
      <c r="F732" s="1" t="s">
        <v>3900</v>
      </c>
      <c r="G732" s="1" t="s">
        <v>3901</v>
      </c>
      <c r="H732" s="1" t="s">
        <v>45</v>
      </c>
      <c r="I732" s="1" t="s">
        <v>4078</v>
      </c>
      <c r="J732" s="1">
        <v>2023</v>
      </c>
      <c r="K732" s="1" t="s">
        <v>4079</v>
      </c>
      <c r="L732" s="1" t="s">
        <v>4080</v>
      </c>
      <c r="M732" s="1" t="s">
        <v>4081</v>
      </c>
      <c r="P732" s="1" t="s">
        <v>4082</v>
      </c>
      <c r="Q732" s="1" t="s">
        <v>264</v>
      </c>
      <c r="R732" s="1" t="s">
        <v>265</v>
      </c>
      <c r="S732" s="1" t="s">
        <v>275</v>
      </c>
      <c r="T732" s="1" t="s">
        <v>276</v>
      </c>
      <c r="U732" s="1">
        <v>2</v>
      </c>
      <c r="V732" s="1" t="s">
        <v>80</v>
      </c>
      <c r="W732" s="1" t="s">
        <v>4079</v>
      </c>
      <c r="Y732" s="10">
        <v>45631</v>
      </c>
      <c r="Z732" s="1">
        <v>2024</v>
      </c>
      <c r="AA732" s="35">
        <v>17484302</v>
      </c>
      <c r="AB732" s="35"/>
      <c r="AC732" s="35">
        <v>2166613</v>
      </c>
    </row>
    <row r="733" spans="1:38" ht="14.45" customHeight="1" x14ac:dyDescent="0.2">
      <c r="A733" s="1" t="s">
        <v>57</v>
      </c>
      <c r="B733" s="9" t="s">
        <v>38</v>
      </c>
      <c r="C733" s="1" t="s">
        <v>58</v>
      </c>
      <c r="D733" s="1" t="s">
        <v>146</v>
      </c>
      <c r="E733" s="1" t="s">
        <v>42</v>
      </c>
      <c r="G733" s="1" t="s">
        <v>1172</v>
      </c>
      <c r="H733" s="1" t="s">
        <v>61</v>
      </c>
      <c r="I733" s="1" t="s">
        <v>4083</v>
      </c>
      <c r="J733" s="1">
        <v>2020</v>
      </c>
      <c r="K733" s="1" t="s">
        <v>4084</v>
      </c>
      <c r="L733" s="1" t="s">
        <v>4085</v>
      </c>
      <c r="N733" s="1" t="s">
        <v>4086</v>
      </c>
      <c r="O733" s="1" t="s">
        <v>4087</v>
      </c>
      <c r="P733" s="1" t="s">
        <v>4088</v>
      </c>
      <c r="Q733" s="1" t="s">
        <v>842</v>
      </c>
      <c r="R733" s="1" t="s">
        <v>884</v>
      </c>
      <c r="S733" s="1" t="s">
        <v>2669</v>
      </c>
      <c r="T733" s="1" t="s">
        <v>2670</v>
      </c>
      <c r="V733" s="1" t="s">
        <v>887</v>
      </c>
      <c r="W733" s="1" t="s">
        <v>4084</v>
      </c>
      <c r="X733" s="1" t="s">
        <v>138</v>
      </c>
      <c r="Y733" s="10">
        <v>44337</v>
      </c>
      <c r="Z733" s="1">
        <v>2021</v>
      </c>
      <c r="AA733" s="2">
        <v>114882.85</v>
      </c>
      <c r="AB733" s="2"/>
      <c r="AC733" s="2">
        <v>81854.03</v>
      </c>
      <c r="AD733" s="1">
        <v>10</v>
      </c>
      <c r="AE733" s="1">
        <v>9</v>
      </c>
      <c r="AG733" s="1" t="s">
        <v>56</v>
      </c>
      <c r="AH733" s="1" t="s">
        <v>154</v>
      </c>
      <c r="AI733" s="2">
        <v>64088.18</v>
      </c>
      <c r="AK733" s="1">
        <v>10</v>
      </c>
      <c r="AL733" s="1" t="s">
        <v>4089</v>
      </c>
    </row>
    <row r="734" spans="1:38" ht="14.45" customHeight="1" x14ac:dyDescent="0.25">
      <c r="A734" s="1" t="s">
        <v>57</v>
      </c>
      <c r="B734" s="9" t="s">
        <v>38</v>
      </c>
      <c r="C734" s="1" t="s">
        <v>40</v>
      </c>
      <c r="D734" s="1" t="s">
        <v>41</v>
      </c>
      <c r="E734" s="1" t="s">
        <v>42</v>
      </c>
      <c r="F734" s="1" t="s">
        <v>3900</v>
      </c>
      <c r="G734" s="1" t="s">
        <v>3901</v>
      </c>
      <c r="H734" s="1" t="s">
        <v>45</v>
      </c>
      <c r="I734" s="1" t="s">
        <v>4090</v>
      </c>
      <c r="J734" s="1">
        <v>2023</v>
      </c>
      <c r="K734" s="1" t="s">
        <v>4091</v>
      </c>
      <c r="L734" s="37" t="s">
        <v>4092</v>
      </c>
      <c r="P734" s="1" t="s">
        <v>4093</v>
      </c>
      <c r="Q734" s="1" t="s">
        <v>264</v>
      </c>
      <c r="R734" s="1" t="s">
        <v>265</v>
      </c>
      <c r="S734" s="1" t="s">
        <v>315</v>
      </c>
      <c r="T734" s="1" t="s">
        <v>316</v>
      </c>
      <c r="U734" s="1">
        <v>1</v>
      </c>
      <c r="V734" s="1" t="s">
        <v>268</v>
      </c>
      <c r="W734" s="1" t="s">
        <v>4094</v>
      </c>
      <c r="Y734" s="10">
        <v>45631</v>
      </c>
      <c r="Z734" s="1">
        <v>2024</v>
      </c>
      <c r="AA734" s="35">
        <v>13495448</v>
      </c>
      <c r="AB734" s="35"/>
      <c r="AC734" s="35">
        <v>2429181</v>
      </c>
      <c r="AG734" s="1" t="s">
        <v>3912</v>
      </c>
      <c r="AI734" s="2">
        <v>2429181</v>
      </c>
    </row>
    <row r="735" spans="1:38" ht="14.45" customHeight="1" x14ac:dyDescent="0.25">
      <c r="A735" s="1" t="s">
        <v>57</v>
      </c>
      <c r="B735" s="9" t="s">
        <v>38</v>
      </c>
      <c r="C735" s="1" t="s">
        <v>40</v>
      </c>
      <c r="D735" s="1" t="s">
        <v>41</v>
      </c>
      <c r="E735" s="1" t="s">
        <v>42</v>
      </c>
      <c r="F735" s="1" t="s">
        <v>3900</v>
      </c>
      <c r="G735" s="1" t="s">
        <v>3901</v>
      </c>
      <c r="H735" s="1" t="s">
        <v>45</v>
      </c>
      <c r="I735" s="1" t="s">
        <v>4095</v>
      </c>
      <c r="J735" s="1">
        <v>2023</v>
      </c>
      <c r="K735" s="1" t="s">
        <v>4096</v>
      </c>
      <c r="L735" s="1" t="s">
        <v>4097</v>
      </c>
      <c r="P735" s="1" t="s">
        <v>4093</v>
      </c>
      <c r="Q735" s="1" t="s">
        <v>264</v>
      </c>
      <c r="R735" s="1" t="s">
        <v>265</v>
      </c>
      <c r="S735" s="1" t="s">
        <v>266</v>
      </c>
      <c r="T735" s="1" t="s">
        <v>267</v>
      </c>
      <c r="U735" s="1">
        <v>2</v>
      </c>
      <c r="V735" s="1" t="s">
        <v>268</v>
      </c>
      <c r="W735" s="1" t="s">
        <v>4098</v>
      </c>
      <c r="Y735" s="10">
        <v>45631</v>
      </c>
      <c r="Z735" s="1">
        <v>2024</v>
      </c>
      <c r="AA735" s="35">
        <v>5178682</v>
      </c>
      <c r="AB735" s="35"/>
      <c r="AC735" s="35">
        <v>786745</v>
      </c>
      <c r="AG735" s="1" t="s">
        <v>3912</v>
      </c>
      <c r="AI735" s="2">
        <v>786745</v>
      </c>
    </row>
    <row r="736" spans="1:38" ht="14.45" customHeight="1" x14ac:dyDescent="0.25">
      <c r="A736" s="1" t="s">
        <v>57</v>
      </c>
      <c r="B736" s="9" t="s">
        <v>38</v>
      </c>
      <c r="C736" s="1" t="s">
        <v>40</v>
      </c>
      <c r="D736" s="1" t="s">
        <v>41</v>
      </c>
      <c r="E736" s="1" t="s">
        <v>42</v>
      </c>
      <c r="F736" s="1" t="s">
        <v>3900</v>
      </c>
      <c r="G736" s="1" t="s">
        <v>3901</v>
      </c>
      <c r="H736" s="1" t="s">
        <v>45</v>
      </c>
      <c r="I736" s="1" t="s">
        <v>4099</v>
      </c>
      <c r="J736" s="1">
        <v>2023</v>
      </c>
      <c r="K736" s="1" t="s">
        <v>4100</v>
      </c>
      <c r="L736" s="1" t="s">
        <v>4101</v>
      </c>
      <c r="P736" s="1" t="s">
        <v>4093</v>
      </c>
      <c r="Q736" s="1" t="s">
        <v>264</v>
      </c>
      <c r="R736" s="1" t="s">
        <v>265</v>
      </c>
      <c r="S736" s="1" t="s">
        <v>266</v>
      </c>
      <c r="T736" s="1" t="s">
        <v>267</v>
      </c>
      <c r="U736" s="1">
        <v>2</v>
      </c>
      <c r="V736" s="1" t="s">
        <v>268</v>
      </c>
      <c r="W736" s="1" t="s">
        <v>4102</v>
      </c>
      <c r="Y736" s="10">
        <v>45631</v>
      </c>
      <c r="Z736" s="1">
        <v>2024</v>
      </c>
      <c r="AA736" s="35">
        <v>5190846</v>
      </c>
      <c r="AB736" s="35"/>
      <c r="AC736" s="35">
        <v>808212</v>
      </c>
      <c r="AG736" s="1" t="s">
        <v>3912</v>
      </c>
      <c r="AI736" s="2">
        <v>808212</v>
      </c>
    </row>
    <row r="737" spans="1:38" ht="14.45" customHeight="1" x14ac:dyDescent="0.2">
      <c r="A737" s="1" t="s">
        <v>57</v>
      </c>
      <c r="B737" s="9" t="s">
        <v>38</v>
      </c>
      <c r="C737" s="1" t="s">
        <v>40</v>
      </c>
      <c r="D737" s="1" t="s">
        <v>41</v>
      </c>
      <c r="E737" s="1" t="s">
        <v>42</v>
      </c>
      <c r="F737" s="1" t="s">
        <v>223</v>
      </c>
      <c r="G737" s="1" t="s">
        <v>224</v>
      </c>
      <c r="H737" s="1" t="s">
        <v>45</v>
      </c>
      <c r="I737" s="1" t="s">
        <v>4103</v>
      </c>
      <c r="J737" s="1">
        <v>2024</v>
      </c>
      <c r="K737" s="1" t="s">
        <v>4104</v>
      </c>
      <c r="L737" s="1" t="s">
        <v>4104</v>
      </c>
      <c r="P737" s="1" t="s">
        <v>4105</v>
      </c>
      <c r="Q737" s="1" t="s">
        <v>1149</v>
      </c>
      <c r="R737" s="1" t="s">
        <v>1150</v>
      </c>
      <c r="S737" s="1" t="s">
        <v>1535</v>
      </c>
      <c r="T737" s="1" t="s">
        <v>1536</v>
      </c>
      <c r="V737" s="1" t="s">
        <v>1537</v>
      </c>
      <c r="W737" s="1" t="s">
        <v>4104</v>
      </c>
      <c r="X737" s="1" t="s">
        <v>55</v>
      </c>
      <c r="Y737" s="10">
        <v>45786</v>
      </c>
      <c r="Z737" s="1">
        <v>2025</v>
      </c>
      <c r="AA737" s="2">
        <v>537446.49</v>
      </c>
      <c r="AB737" s="2"/>
      <c r="AC737" s="2">
        <v>134361.62</v>
      </c>
      <c r="AD737" s="1">
        <v>12</v>
      </c>
      <c r="AG737" s="2" t="s">
        <v>56</v>
      </c>
      <c r="AI737" s="2">
        <v>134361.62</v>
      </c>
    </row>
    <row r="738" spans="1:38" ht="14.45" customHeight="1" x14ac:dyDescent="0.2">
      <c r="A738" s="1" t="s">
        <v>57</v>
      </c>
      <c r="B738" s="9" t="s">
        <v>38</v>
      </c>
      <c r="C738" s="1" t="s">
        <v>40</v>
      </c>
      <c r="D738" s="1" t="s">
        <v>41</v>
      </c>
      <c r="E738" s="1" t="s">
        <v>42</v>
      </c>
      <c r="F738" s="1" t="s">
        <v>223</v>
      </c>
      <c r="G738" s="1" t="s">
        <v>224</v>
      </c>
      <c r="H738" s="1" t="s">
        <v>45</v>
      </c>
      <c r="I738" s="1" t="s">
        <v>4106</v>
      </c>
      <c r="J738" s="1">
        <v>2023</v>
      </c>
      <c r="K738" s="1" t="s">
        <v>4107</v>
      </c>
      <c r="L738" s="1" t="s">
        <v>4108</v>
      </c>
      <c r="P738" s="1" t="s">
        <v>3948</v>
      </c>
      <c r="Q738" s="1" t="s">
        <v>264</v>
      </c>
      <c r="R738" s="1" t="s">
        <v>265</v>
      </c>
      <c r="S738" s="1" t="s">
        <v>275</v>
      </c>
      <c r="T738" s="1" t="s">
        <v>276</v>
      </c>
      <c r="U738" s="1">
        <v>2</v>
      </c>
      <c r="V738" s="1" t="s">
        <v>80</v>
      </c>
      <c r="W738" s="1" t="s">
        <v>4109</v>
      </c>
      <c r="X738" s="1" t="s">
        <v>55</v>
      </c>
      <c r="Y738" s="10">
        <v>45790</v>
      </c>
      <c r="Z738" s="1">
        <v>2025</v>
      </c>
      <c r="AA738" s="2">
        <v>10896385</v>
      </c>
      <c r="AB738" s="2"/>
      <c r="AC738" s="2">
        <v>4358554</v>
      </c>
      <c r="AD738" s="1">
        <v>0</v>
      </c>
      <c r="AF738" s="2"/>
      <c r="AI738" s="2">
        <v>4358554</v>
      </c>
      <c r="AL738" s="1" t="s">
        <v>4110</v>
      </c>
    </row>
    <row r="739" spans="1:38" ht="14.45" customHeight="1" x14ac:dyDescent="0.2">
      <c r="A739" s="1" t="s">
        <v>57</v>
      </c>
      <c r="B739" s="9" t="s">
        <v>38</v>
      </c>
      <c r="C739" s="1" t="s">
        <v>40</v>
      </c>
      <c r="D739" s="1" t="s">
        <v>41</v>
      </c>
      <c r="E739" s="1" t="s">
        <v>42</v>
      </c>
      <c r="F739" s="1" t="s">
        <v>223</v>
      </c>
      <c r="G739" s="1" t="s">
        <v>224</v>
      </c>
      <c r="H739" s="1" t="s">
        <v>45</v>
      </c>
      <c r="I739" s="1" t="s">
        <v>4111</v>
      </c>
      <c r="J739" s="1">
        <v>2023</v>
      </c>
      <c r="K739" s="1" t="s">
        <v>4112</v>
      </c>
      <c r="L739" s="1" t="s">
        <v>4113</v>
      </c>
      <c r="P739" s="1" t="s">
        <v>4114</v>
      </c>
      <c r="Q739" s="1" t="s">
        <v>110</v>
      </c>
      <c r="R739" s="1" t="s">
        <v>605</v>
      </c>
      <c r="S739" s="1" t="s">
        <v>606</v>
      </c>
      <c r="T739" s="1" t="s">
        <v>607</v>
      </c>
      <c r="U739" s="1">
        <v>1</v>
      </c>
      <c r="V739" s="1" t="s">
        <v>80</v>
      </c>
      <c r="W739" s="1" t="s">
        <v>4115</v>
      </c>
      <c r="X739" s="1" t="s">
        <v>55</v>
      </c>
      <c r="Y739" s="10">
        <v>45744</v>
      </c>
      <c r="Z739" s="1">
        <v>2025</v>
      </c>
      <c r="AA739" s="2">
        <v>1886474</v>
      </c>
      <c r="AB739" s="2"/>
      <c r="AC739" s="2">
        <v>754589.6</v>
      </c>
      <c r="AF739" s="2" t="s">
        <v>56</v>
      </c>
      <c r="AI739" s="2">
        <v>754589.6</v>
      </c>
    </row>
    <row r="740" spans="1:38" ht="14.45" customHeight="1" x14ac:dyDescent="0.2">
      <c r="A740" s="1" t="s">
        <v>57</v>
      </c>
      <c r="B740" s="9" t="s">
        <v>38</v>
      </c>
      <c r="C740" s="1" t="s">
        <v>40</v>
      </c>
      <c r="D740" s="1" t="s">
        <v>41</v>
      </c>
      <c r="E740" s="1" t="s">
        <v>42</v>
      </c>
      <c r="F740" s="1" t="s">
        <v>223</v>
      </c>
      <c r="G740" s="1" t="s">
        <v>224</v>
      </c>
      <c r="H740" s="1" t="s">
        <v>45</v>
      </c>
      <c r="I740" s="1" t="s">
        <v>4116</v>
      </c>
      <c r="J740" s="1">
        <v>2023</v>
      </c>
      <c r="K740" s="1" t="s">
        <v>4117</v>
      </c>
      <c r="L740" s="1" t="s">
        <v>4118</v>
      </c>
      <c r="P740" s="1" t="s">
        <v>3948</v>
      </c>
      <c r="Q740" s="1" t="s">
        <v>264</v>
      </c>
      <c r="R740" s="1" t="s">
        <v>265</v>
      </c>
      <c r="S740" s="1" t="s">
        <v>315</v>
      </c>
      <c r="T740" s="1" t="s">
        <v>316</v>
      </c>
      <c r="U740" s="1">
        <v>1</v>
      </c>
      <c r="V740" s="1" t="s">
        <v>268</v>
      </c>
      <c r="W740" s="1" t="s">
        <v>4119</v>
      </c>
      <c r="X740" s="1" t="s">
        <v>55</v>
      </c>
      <c r="Y740" s="10">
        <v>45790</v>
      </c>
      <c r="Z740" s="1">
        <v>2025</v>
      </c>
      <c r="AA740" s="2">
        <v>1455825</v>
      </c>
      <c r="AB740" s="2"/>
      <c r="AC740" s="2">
        <v>383684.5</v>
      </c>
      <c r="AD740" s="1">
        <v>0</v>
      </c>
      <c r="AF740" s="2" t="s">
        <v>56</v>
      </c>
      <c r="AI740" s="2">
        <v>383684.5</v>
      </c>
      <c r="AL740" s="1" t="s">
        <v>4120</v>
      </c>
    </row>
    <row r="741" spans="1:38" ht="14.45" customHeight="1" x14ac:dyDescent="0.2">
      <c r="A741" s="1" t="s">
        <v>57</v>
      </c>
      <c r="B741" s="9" t="s">
        <v>38</v>
      </c>
      <c r="C741" s="1" t="s">
        <v>40</v>
      </c>
      <c r="D741" s="1" t="s">
        <v>41</v>
      </c>
      <c r="E741" s="1" t="s">
        <v>42</v>
      </c>
      <c r="F741" s="1" t="s">
        <v>3840</v>
      </c>
      <c r="G741" s="1" t="s">
        <v>250</v>
      </c>
      <c r="H741" s="1" t="s">
        <v>45</v>
      </c>
      <c r="I741" s="1" t="s">
        <v>4121</v>
      </c>
      <c r="J741" s="1">
        <v>2024</v>
      </c>
      <c r="K741" s="1" t="s">
        <v>4122</v>
      </c>
      <c r="L741" s="1" t="s">
        <v>4123</v>
      </c>
      <c r="P741" s="1" t="s">
        <v>1678</v>
      </c>
      <c r="Q741" s="1" t="s">
        <v>50</v>
      </c>
      <c r="R741" s="1" t="s">
        <v>68</v>
      </c>
      <c r="S741" s="1" t="s">
        <v>69</v>
      </c>
      <c r="T741" s="10" t="s">
        <v>70</v>
      </c>
      <c r="V741" s="2" t="s">
        <v>71</v>
      </c>
      <c r="W741" s="2" t="s">
        <v>4122</v>
      </c>
      <c r="X741" s="2" t="s">
        <v>55</v>
      </c>
      <c r="Y741" s="1">
        <v>45960</v>
      </c>
      <c r="Z741" s="1">
        <v>2025</v>
      </c>
      <c r="AA741" s="1">
        <v>749852.15</v>
      </c>
      <c r="AC741" s="1">
        <v>260822.34</v>
      </c>
      <c r="AD741" s="2"/>
      <c r="AG741" s="1" t="s">
        <v>56</v>
      </c>
      <c r="AI741" s="1">
        <v>260822.34</v>
      </c>
    </row>
    <row r="742" spans="1:38" ht="14.45" customHeight="1" x14ac:dyDescent="0.25">
      <c r="A742" s="1" t="s">
        <v>57</v>
      </c>
      <c r="B742" s="9" t="s">
        <v>38</v>
      </c>
      <c r="C742" s="1" t="s">
        <v>40</v>
      </c>
      <c r="D742" s="1" t="s">
        <v>41</v>
      </c>
      <c r="E742" s="1" t="s">
        <v>42</v>
      </c>
      <c r="F742" s="1" t="s">
        <v>3840</v>
      </c>
      <c r="G742" s="1" t="s">
        <v>250</v>
      </c>
      <c r="H742" s="1" t="s">
        <v>45</v>
      </c>
      <c r="I742" s="1" t="s">
        <v>4124</v>
      </c>
      <c r="J742" s="1">
        <v>2024</v>
      </c>
      <c r="K742" s="1" t="s">
        <v>4125</v>
      </c>
      <c r="L742" s="1" t="s">
        <v>4126</v>
      </c>
      <c r="P742" s="25" t="s">
        <v>1704</v>
      </c>
      <c r="Q742" s="25" t="s">
        <v>1109</v>
      </c>
      <c r="R742" s="3" t="s">
        <v>4127</v>
      </c>
      <c r="S742" s="1" t="s">
        <v>1705</v>
      </c>
      <c r="T742" s="1" t="s">
        <v>1706</v>
      </c>
      <c r="V742" s="1" t="s">
        <v>54</v>
      </c>
      <c r="W742" s="3" t="s">
        <v>4125</v>
      </c>
      <c r="X742" s="1" t="s">
        <v>55</v>
      </c>
      <c r="Y742" s="10">
        <v>45960</v>
      </c>
      <c r="Z742" s="1">
        <v>2025</v>
      </c>
      <c r="AA742" s="2">
        <v>283979.23</v>
      </c>
      <c r="AB742" s="2"/>
      <c r="AC742" s="2">
        <v>113125.47</v>
      </c>
      <c r="AG742" s="1" t="s">
        <v>56</v>
      </c>
      <c r="AI742" s="2">
        <v>113125.47</v>
      </c>
    </row>
    <row r="743" spans="1:38" ht="12.6" customHeight="1" x14ac:dyDescent="0.2">
      <c r="A743" s="1" t="s">
        <v>57</v>
      </c>
      <c r="B743" s="9" t="s">
        <v>38</v>
      </c>
      <c r="C743" s="1" t="s">
        <v>40</v>
      </c>
      <c r="D743" s="1" t="s">
        <v>41</v>
      </c>
      <c r="E743" s="1" t="s">
        <v>42</v>
      </c>
      <c r="F743" s="1" t="s">
        <v>223</v>
      </c>
      <c r="G743" s="1" t="s">
        <v>224</v>
      </c>
      <c r="H743" s="1" t="s">
        <v>45</v>
      </c>
      <c r="I743" s="1" t="s">
        <v>4128</v>
      </c>
      <c r="J743" s="1">
        <v>2023</v>
      </c>
      <c r="K743" s="1" t="s">
        <v>4129</v>
      </c>
      <c r="L743" s="1" t="s">
        <v>4130</v>
      </c>
      <c r="P743" s="1" t="s">
        <v>4131</v>
      </c>
      <c r="Q743" s="1" t="s">
        <v>264</v>
      </c>
      <c r="R743" s="1" t="s">
        <v>265</v>
      </c>
      <c r="S743" s="1" t="s">
        <v>266</v>
      </c>
      <c r="T743" s="1" t="s">
        <v>267</v>
      </c>
      <c r="U743" s="1">
        <v>2</v>
      </c>
      <c r="V743" s="1" t="s">
        <v>268</v>
      </c>
      <c r="W743" s="1" t="s">
        <v>4132</v>
      </c>
      <c r="X743" s="1" t="s">
        <v>55</v>
      </c>
      <c r="Y743" s="10">
        <v>45790</v>
      </c>
      <c r="Z743" s="1">
        <v>2025</v>
      </c>
      <c r="AA743" s="2">
        <v>1200000</v>
      </c>
      <c r="AB743" s="2"/>
      <c r="AC743" s="2">
        <v>1200000</v>
      </c>
      <c r="AD743" s="1">
        <v>11</v>
      </c>
      <c r="AF743" s="2" t="s">
        <v>56</v>
      </c>
      <c r="AI743" s="2">
        <v>1200000</v>
      </c>
      <c r="AL743" s="1" t="s">
        <v>4133</v>
      </c>
    </row>
    <row r="744" spans="1:38" ht="14.45" customHeight="1" x14ac:dyDescent="0.2">
      <c r="A744" s="1" t="s">
        <v>57</v>
      </c>
      <c r="B744" s="9" t="s">
        <v>38</v>
      </c>
      <c r="C744" s="1" t="s">
        <v>40</v>
      </c>
      <c r="D744" s="1" t="s">
        <v>41</v>
      </c>
      <c r="E744" s="1" t="s">
        <v>42</v>
      </c>
      <c r="F744" s="1" t="s">
        <v>223</v>
      </c>
      <c r="G744" s="1" t="s">
        <v>224</v>
      </c>
      <c r="H744" s="1" t="s">
        <v>45</v>
      </c>
      <c r="I744" s="1" t="s">
        <v>4134</v>
      </c>
      <c r="J744" s="1">
        <v>2023</v>
      </c>
      <c r="K744" s="1" t="s">
        <v>4135</v>
      </c>
      <c r="L744" s="1" t="s">
        <v>4136</v>
      </c>
      <c r="P744" s="1" t="s">
        <v>4137</v>
      </c>
      <c r="Q744" s="1" t="s">
        <v>264</v>
      </c>
      <c r="R744" s="1" t="s">
        <v>265</v>
      </c>
      <c r="S744" s="1" t="s">
        <v>533</v>
      </c>
      <c r="T744" s="1" t="s">
        <v>534</v>
      </c>
      <c r="U744" s="1">
        <v>1</v>
      </c>
      <c r="V744" s="1" t="s">
        <v>535</v>
      </c>
      <c r="W744" s="1" t="s">
        <v>4136</v>
      </c>
      <c r="X744" s="1" t="s">
        <v>55</v>
      </c>
      <c r="Y744" s="10">
        <v>45790</v>
      </c>
      <c r="Z744" s="1">
        <v>2025</v>
      </c>
      <c r="AA744" s="2">
        <v>17861783.27</v>
      </c>
      <c r="AB744" s="2"/>
      <c r="AC744" s="2">
        <v>5254481.16</v>
      </c>
      <c r="AD744" s="1">
        <v>0</v>
      </c>
      <c r="AF744" s="2" t="s">
        <v>56</v>
      </c>
      <c r="AI744" s="2">
        <v>5254481.16</v>
      </c>
      <c r="AL744" s="1" t="s">
        <v>4138</v>
      </c>
    </row>
    <row r="745" spans="1:38" ht="12.6" customHeight="1" x14ac:dyDescent="0.2">
      <c r="A745" s="1" t="s">
        <v>57</v>
      </c>
      <c r="B745" s="9" t="s">
        <v>38</v>
      </c>
      <c r="C745" s="1" t="s">
        <v>40</v>
      </c>
      <c r="D745" s="1" t="s">
        <v>41</v>
      </c>
      <c r="E745" s="1" t="s">
        <v>42</v>
      </c>
      <c r="F745" s="1" t="s">
        <v>223</v>
      </c>
      <c r="G745" s="1" t="s">
        <v>224</v>
      </c>
      <c r="H745" s="1" t="s">
        <v>45</v>
      </c>
      <c r="I745" s="1" t="s">
        <v>4139</v>
      </c>
      <c r="J745" s="1">
        <v>2023</v>
      </c>
      <c r="K745" s="1" t="s">
        <v>4140</v>
      </c>
      <c r="L745" s="1" t="s">
        <v>4140</v>
      </c>
      <c r="P745" s="1" t="s">
        <v>4141</v>
      </c>
      <c r="Q745" s="1" t="s">
        <v>264</v>
      </c>
      <c r="R745" s="1" t="s">
        <v>265</v>
      </c>
      <c r="S745" s="1" t="s">
        <v>266</v>
      </c>
      <c r="T745" s="1" t="s">
        <v>267</v>
      </c>
      <c r="U745" s="1">
        <v>2</v>
      </c>
      <c r="V745" s="1" t="s">
        <v>268</v>
      </c>
      <c r="W745" s="1" t="s">
        <v>4130</v>
      </c>
      <c r="X745" s="1" t="s">
        <v>55</v>
      </c>
      <c r="Y745" s="10">
        <v>45790</v>
      </c>
      <c r="Z745" s="1">
        <v>2025</v>
      </c>
      <c r="AA745" s="2">
        <v>737411.2</v>
      </c>
      <c r="AB745" s="2"/>
      <c r="AC745" s="2">
        <v>737411.2</v>
      </c>
      <c r="AD745" s="1">
        <v>14.5</v>
      </c>
      <c r="AF745" s="2" t="s">
        <v>56</v>
      </c>
      <c r="AI745" s="2">
        <v>737411.2</v>
      </c>
      <c r="AL745" s="1" t="s">
        <v>4133</v>
      </c>
    </row>
    <row r="746" spans="1:38" ht="14.45" customHeight="1" x14ac:dyDescent="0.2">
      <c r="A746" s="1" t="s">
        <v>57</v>
      </c>
      <c r="B746" s="9" t="s">
        <v>38</v>
      </c>
      <c r="C746" s="1" t="s">
        <v>40</v>
      </c>
      <c r="D746" s="1" t="s">
        <v>41</v>
      </c>
      <c r="E746" s="1" t="s">
        <v>200</v>
      </c>
      <c r="F746" s="1" t="s">
        <v>43</v>
      </c>
      <c r="G746" s="1" t="s">
        <v>44</v>
      </c>
      <c r="H746" s="1" t="s">
        <v>45</v>
      </c>
      <c r="I746" s="1" t="s">
        <v>4142</v>
      </c>
      <c r="J746" s="1">
        <v>2022</v>
      </c>
      <c r="K746" s="1" t="s">
        <v>4143</v>
      </c>
      <c r="L746" s="1" t="s">
        <v>4144</v>
      </c>
      <c r="P746" s="1" t="s">
        <v>4145</v>
      </c>
      <c r="Q746" s="1" t="s">
        <v>264</v>
      </c>
      <c r="R746" s="1" t="s">
        <v>265</v>
      </c>
      <c r="S746" s="1" t="s">
        <v>542</v>
      </c>
      <c r="T746" s="1" t="s">
        <v>543</v>
      </c>
      <c r="U746" s="1">
        <v>1</v>
      </c>
      <c r="V746" s="1" t="s">
        <v>268</v>
      </c>
      <c r="W746" s="1" t="s">
        <v>44</v>
      </c>
      <c r="X746" s="1" t="s">
        <v>55</v>
      </c>
      <c r="Y746" s="10">
        <v>45222</v>
      </c>
      <c r="Z746" s="1">
        <v>2023</v>
      </c>
      <c r="AA746" s="2">
        <v>580612.5</v>
      </c>
      <c r="AB746" s="2"/>
      <c r="AC746" s="2">
        <v>199962.94</v>
      </c>
      <c r="AG746" s="1" t="s">
        <v>56</v>
      </c>
      <c r="AI746" s="2">
        <v>199962.94</v>
      </c>
    </row>
    <row r="747" spans="1:38" ht="14.45" customHeight="1" x14ac:dyDescent="0.2">
      <c r="A747" s="1" t="s">
        <v>57</v>
      </c>
      <c r="B747" s="9" t="s">
        <v>38</v>
      </c>
      <c r="C747" s="1" t="s">
        <v>40</v>
      </c>
      <c r="D747" s="1" t="s">
        <v>41</v>
      </c>
      <c r="E747" s="1" t="s">
        <v>42</v>
      </c>
      <c r="F747" s="1" t="s">
        <v>4146</v>
      </c>
      <c r="G747" s="1" t="s">
        <v>4147</v>
      </c>
      <c r="H747" s="1" t="s">
        <v>45</v>
      </c>
      <c r="I747" s="1" t="s">
        <v>4148</v>
      </c>
      <c r="J747" s="1">
        <v>2024</v>
      </c>
      <c r="K747" s="1" t="s">
        <v>4149</v>
      </c>
      <c r="L747" s="1" t="s">
        <v>4150</v>
      </c>
      <c r="P747" s="1" t="s">
        <v>4151</v>
      </c>
      <c r="Q747" s="1" t="s">
        <v>842</v>
      </c>
      <c r="R747" s="1" t="s">
        <v>843</v>
      </c>
      <c r="S747" s="1" t="s">
        <v>3932</v>
      </c>
      <c r="T747" s="1" t="s">
        <v>3933</v>
      </c>
      <c r="V747" s="1" t="s">
        <v>846</v>
      </c>
      <c r="W747" s="1" t="s">
        <v>4150</v>
      </c>
      <c r="Y747" s="10">
        <v>45834</v>
      </c>
      <c r="Z747" s="1">
        <v>2025</v>
      </c>
      <c r="AA747" s="2">
        <v>7922856</v>
      </c>
      <c r="AB747" s="2"/>
      <c r="AC747" s="2">
        <v>3030492</v>
      </c>
      <c r="AG747" s="1" t="s">
        <v>56</v>
      </c>
      <c r="AI747" s="2">
        <v>3030492</v>
      </c>
    </row>
    <row r="748" spans="1:38" ht="14.45" customHeight="1" x14ac:dyDescent="0.2">
      <c r="A748" s="1" t="s">
        <v>57</v>
      </c>
      <c r="B748" s="9" t="s">
        <v>38</v>
      </c>
      <c r="C748" s="1" t="s">
        <v>40</v>
      </c>
      <c r="D748" s="1" t="s">
        <v>41</v>
      </c>
      <c r="E748" s="1" t="s">
        <v>42</v>
      </c>
      <c r="F748" s="1" t="s">
        <v>4146</v>
      </c>
      <c r="G748" s="1" t="s">
        <v>4147</v>
      </c>
      <c r="H748" s="1" t="s">
        <v>45</v>
      </c>
      <c r="I748" s="1" t="s">
        <v>4152</v>
      </c>
      <c r="J748" s="1">
        <v>2024</v>
      </c>
      <c r="K748" s="1" t="s">
        <v>4153</v>
      </c>
      <c r="L748" s="1" t="s">
        <v>4154</v>
      </c>
      <c r="M748" s="1" t="s">
        <v>4155</v>
      </c>
      <c r="P748" s="1" t="s">
        <v>4156</v>
      </c>
      <c r="Q748" s="1" t="s">
        <v>110</v>
      </c>
      <c r="R748" s="1" t="s">
        <v>605</v>
      </c>
      <c r="S748" s="1" t="s">
        <v>606</v>
      </c>
      <c r="T748" s="1" t="s">
        <v>607</v>
      </c>
      <c r="U748" s="1">
        <v>1</v>
      </c>
      <c r="V748" s="1" t="s">
        <v>80</v>
      </c>
      <c r="W748" s="1" t="s">
        <v>4157</v>
      </c>
      <c r="Y748" s="10">
        <v>45834</v>
      </c>
      <c r="Z748" s="1">
        <v>2025</v>
      </c>
      <c r="AA748" s="2">
        <v>1736203</v>
      </c>
      <c r="AB748" s="2"/>
      <c r="AC748" s="2">
        <v>750040</v>
      </c>
      <c r="AG748" s="1" t="s">
        <v>56</v>
      </c>
      <c r="AI748" s="2">
        <v>750040</v>
      </c>
    </row>
    <row r="749" spans="1:38" ht="14.45" customHeight="1" x14ac:dyDescent="0.2">
      <c r="A749" s="1" t="s">
        <v>57</v>
      </c>
      <c r="B749" s="9" t="s">
        <v>38</v>
      </c>
      <c r="C749" s="1" t="s">
        <v>40</v>
      </c>
      <c r="D749" s="1" t="s">
        <v>41</v>
      </c>
      <c r="E749" s="1" t="s">
        <v>200</v>
      </c>
      <c r="F749" s="1" t="s">
        <v>43</v>
      </c>
      <c r="G749" s="1" t="s">
        <v>44</v>
      </c>
      <c r="H749" s="1" t="s">
        <v>45</v>
      </c>
      <c r="I749" s="1" t="s">
        <v>4158</v>
      </c>
      <c r="J749" s="1">
        <v>2022</v>
      </c>
      <c r="K749" s="1" t="s">
        <v>4159</v>
      </c>
      <c r="L749" s="1" t="s">
        <v>4159</v>
      </c>
      <c r="P749" s="1" t="s">
        <v>4160</v>
      </c>
      <c r="Q749" s="1" t="s">
        <v>264</v>
      </c>
      <c r="R749" s="1" t="s">
        <v>265</v>
      </c>
      <c r="S749" s="1" t="s">
        <v>282</v>
      </c>
      <c r="T749" s="1" t="s">
        <v>283</v>
      </c>
      <c r="U749" s="1">
        <v>2</v>
      </c>
      <c r="V749" s="1" t="s">
        <v>80</v>
      </c>
      <c r="W749" s="1" t="s">
        <v>4159</v>
      </c>
      <c r="X749" s="1" t="s">
        <v>55</v>
      </c>
      <c r="Y749" s="10">
        <v>45208</v>
      </c>
      <c r="Z749" s="1">
        <v>2023</v>
      </c>
      <c r="AA749" s="2">
        <v>175000</v>
      </c>
      <c r="AB749" s="2"/>
      <c r="AC749" s="2">
        <v>140000</v>
      </c>
      <c r="AG749" s="1" t="s">
        <v>56</v>
      </c>
      <c r="AI749" s="2">
        <v>140000</v>
      </c>
    </row>
    <row r="750" spans="1:38" ht="14.45" customHeight="1" x14ac:dyDescent="0.2">
      <c r="A750" s="1" t="s">
        <v>57</v>
      </c>
      <c r="B750" s="9" t="s">
        <v>38</v>
      </c>
      <c r="C750" s="1" t="s">
        <v>58</v>
      </c>
      <c r="D750" s="1" t="s">
        <v>146</v>
      </c>
      <c r="E750" s="1" t="s">
        <v>42</v>
      </c>
      <c r="G750" s="1" t="s">
        <v>1172</v>
      </c>
      <c r="H750" s="1" t="s">
        <v>61</v>
      </c>
      <c r="I750" s="1" t="s">
        <v>4161</v>
      </c>
      <c r="J750" s="1">
        <v>2020</v>
      </c>
      <c r="K750" s="1" t="s">
        <v>4162</v>
      </c>
      <c r="L750" s="1" t="s">
        <v>4163</v>
      </c>
      <c r="N750" s="1" t="s">
        <v>4164</v>
      </c>
      <c r="P750" s="1" t="s">
        <v>2129</v>
      </c>
      <c r="Q750" s="1" t="s">
        <v>101</v>
      </c>
      <c r="R750" s="1" t="s">
        <v>102</v>
      </c>
      <c r="S750" s="1" t="s">
        <v>637</v>
      </c>
      <c r="T750" s="1" t="s">
        <v>638</v>
      </c>
      <c r="U750" s="1">
        <v>1</v>
      </c>
      <c r="V750" s="1" t="s">
        <v>101</v>
      </c>
      <c r="W750" s="1" t="s">
        <v>4162</v>
      </c>
      <c r="X750" s="1" t="s">
        <v>138</v>
      </c>
      <c r="Y750" s="10">
        <v>44337</v>
      </c>
      <c r="Z750" s="1">
        <v>2021</v>
      </c>
      <c r="AA750" s="2">
        <v>1000000</v>
      </c>
      <c r="AB750" s="2"/>
      <c r="AC750" s="2">
        <v>500000</v>
      </c>
      <c r="AD750" s="1">
        <v>10</v>
      </c>
      <c r="AE750" s="1">
        <v>7</v>
      </c>
      <c r="AG750" s="1" t="s">
        <v>56</v>
      </c>
      <c r="AH750" s="1" t="s">
        <v>154</v>
      </c>
      <c r="AI750" s="2">
        <v>500000</v>
      </c>
      <c r="AK750" s="1">
        <v>10</v>
      </c>
      <c r="AL750" s="1" t="s">
        <v>4089</v>
      </c>
    </row>
    <row r="751" spans="1:38" ht="14.45" customHeight="1" x14ac:dyDescent="0.2">
      <c r="A751" s="1" t="s">
        <v>57</v>
      </c>
      <c r="B751" s="9" t="s">
        <v>38</v>
      </c>
      <c r="C751" s="1" t="s">
        <v>40</v>
      </c>
      <c r="D751" s="1" t="s">
        <v>41</v>
      </c>
      <c r="E751" s="1" t="s">
        <v>42</v>
      </c>
      <c r="F751" s="1" t="s">
        <v>4146</v>
      </c>
      <c r="G751" s="1" t="s">
        <v>4147</v>
      </c>
      <c r="H751" s="1" t="s">
        <v>45</v>
      </c>
      <c r="I751" s="1" t="s">
        <v>4165</v>
      </c>
      <c r="J751" s="1">
        <v>2024</v>
      </c>
      <c r="K751" s="1" t="s">
        <v>4166</v>
      </c>
      <c r="L751" s="1" t="s">
        <v>4167</v>
      </c>
      <c r="M751" s="1" t="s">
        <v>4168</v>
      </c>
      <c r="P751" s="1" t="s">
        <v>4169</v>
      </c>
      <c r="Q751" s="1" t="s">
        <v>1149</v>
      </c>
      <c r="R751" s="1" t="s">
        <v>1150</v>
      </c>
      <c r="S751" s="1" t="s">
        <v>1151</v>
      </c>
      <c r="T751" s="1" t="s">
        <v>1152</v>
      </c>
      <c r="V751" s="1" t="s">
        <v>1153</v>
      </c>
      <c r="W751" s="1" t="s">
        <v>4170</v>
      </c>
      <c r="Y751" s="10">
        <v>45834</v>
      </c>
      <c r="Z751" s="1">
        <v>2025</v>
      </c>
      <c r="AA751" s="2">
        <v>6385850</v>
      </c>
      <c r="AB751" s="2"/>
      <c r="AC751" s="2">
        <v>1277170</v>
      </c>
      <c r="AG751" s="1" t="s">
        <v>56</v>
      </c>
      <c r="AI751" s="2">
        <v>1277170</v>
      </c>
    </row>
    <row r="752" spans="1:38" ht="12.6" customHeight="1" x14ac:dyDescent="0.2">
      <c r="A752" s="1" t="s">
        <v>57</v>
      </c>
      <c r="B752" s="9" t="s">
        <v>38</v>
      </c>
      <c r="C752" s="1" t="s">
        <v>40</v>
      </c>
      <c r="D752" s="1" t="s">
        <v>41</v>
      </c>
      <c r="E752" s="1" t="s">
        <v>42</v>
      </c>
      <c r="F752" s="1" t="s">
        <v>3964</v>
      </c>
      <c r="G752" s="1" t="s">
        <v>4171</v>
      </c>
      <c r="H752" s="1" t="s">
        <v>45</v>
      </c>
      <c r="I752" s="1" t="s">
        <v>4172</v>
      </c>
      <c r="J752" s="1">
        <v>2023</v>
      </c>
      <c r="K752" s="1" t="s">
        <v>4173</v>
      </c>
      <c r="L752" s="1" t="s">
        <v>4174</v>
      </c>
      <c r="P752" s="1" t="s">
        <v>4175</v>
      </c>
      <c r="Q752" s="1" t="s">
        <v>264</v>
      </c>
      <c r="R752" s="1" t="s">
        <v>265</v>
      </c>
      <c r="S752" s="1" t="s">
        <v>266</v>
      </c>
      <c r="T752" s="1" t="s">
        <v>267</v>
      </c>
      <c r="U752" s="1">
        <v>2</v>
      </c>
      <c r="V752" s="1" t="s">
        <v>268</v>
      </c>
      <c r="W752" s="1" t="s">
        <v>4176</v>
      </c>
      <c r="X752" s="1" t="s">
        <v>55</v>
      </c>
      <c r="Y752" s="10">
        <v>45282</v>
      </c>
      <c r="Z752" s="1">
        <v>2023</v>
      </c>
      <c r="AA752" s="2">
        <v>135001.67000000001</v>
      </c>
      <c r="AB752" s="2"/>
      <c r="AC752" s="2">
        <v>81001</v>
      </c>
      <c r="AG752" s="1" t="s">
        <v>56</v>
      </c>
      <c r="AI752" s="2">
        <v>81001</v>
      </c>
    </row>
    <row r="753" spans="1:38" ht="14.45" customHeight="1" x14ac:dyDescent="0.2">
      <c r="A753" s="1" t="s">
        <v>57</v>
      </c>
      <c r="B753" s="9" t="s">
        <v>38</v>
      </c>
      <c r="C753" s="1" t="s">
        <v>40</v>
      </c>
      <c r="D753" s="1" t="s">
        <v>41</v>
      </c>
      <c r="E753" s="1" t="s">
        <v>42</v>
      </c>
      <c r="F753" s="1" t="s">
        <v>3802</v>
      </c>
      <c r="G753" s="1" t="s">
        <v>3803</v>
      </c>
      <c r="H753" s="1" t="s">
        <v>45</v>
      </c>
      <c r="I753" s="1" t="s">
        <v>4177</v>
      </c>
      <c r="J753" s="1">
        <v>2023</v>
      </c>
      <c r="K753" s="1" t="s">
        <v>4178</v>
      </c>
      <c r="L753" s="1" t="s">
        <v>4179</v>
      </c>
      <c r="P753" s="1" t="s">
        <v>4180</v>
      </c>
      <c r="Q753" s="1" t="s">
        <v>264</v>
      </c>
      <c r="R753" s="1" t="s">
        <v>265</v>
      </c>
      <c r="S753" s="1" t="s">
        <v>266</v>
      </c>
      <c r="T753" s="1" t="s">
        <v>267</v>
      </c>
      <c r="U753" s="1">
        <v>2</v>
      </c>
      <c r="V753" s="1" t="s">
        <v>80</v>
      </c>
      <c r="W753" s="1" t="s">
        <v>4181</v>
      </c>
      <c r="X753" s="1" t="s">
        <v>240</v>
      </c>
      <c r="Y753" s="10">
        <v>45224</v>
      </c>
      <c r="Z753" s="1">
        <v>2023</v>
      </c>
      <c r="AA753" s="2">
        <v>5589069.75</v>
      </c>
      <c r="AB753" s="2"/>
      <c r="AC753" s="2">
        <v>2175000</v>
      </c>
      <c r="AG753" s="1" t="s">
        <v>56</v>
      </c>
      <c r="AI753" s="2">
        <v>2175000</v>
      </c>
    </row>
    <row r="754" spans="1:38" ht="13.15" customHeight="1" x14ac:dyDescent="0.25">
      <c r="A754" s="1" t="s">
        <v>57</v>
      </c>
      <c r="B754" s="9" t="s">
        <v>38</v>
      </c>
      <c r="C754" s="1" t="s">
        <v>40</v>
      </c>
      <c r="D754" s="1" t="s">
        <v>41</v>
      </c>
      <c r="E754" s="1" t="s">
        <v>42</v>
      </c>
      <c r="F754" s="1" t="s">
        <v>4182</v>
      </c>
      <c r="G754" s="1" t="s">
        <v>4183</v>
      </c>
      <c r="H754" s="1" t="s">
        <v>45</v>
      </c>
      <c r="I754" s="1" t="s">
        <v>4184</v>
      </c>
      <c r="J754" s="3">
        <v>2024</v>
      </c>
      <c r="K754" s="23" t="s">
        <v>4185</v>
      </c>
      <c r="L754" s="23" t="s">
        <v>4186</v>
      </c>
      <c r="M754" s="3"/>
      <c r="N754" s="3"/>
      <c r="O754" s="3"/>
      <c r="P754" s="25" t="s">
        <v>4187</v>
      </c>
      <c r="Q754" s="1" t="s">
        <v>264</v>
      </c>
      <c r="R754" s="1" t="s">
        <v>265</v>
      </c>
      <c r="S754" s="1" t="s">
        <v>1046</v>
      </c>
      <c r="T754" s="1" t="s">
        <v>1047</v>
      </c>
      <c r="U754" s="1">
        <v>1</v>
      </c>
      <c r="V754" s="1" t="s">
        <v>535</v>
      </c>
      <c r="W754" s="1" t="s">
        <v>4186</v>
      </c>
      <c r="Y754" s="10">
        <v>45869</v>
      </c>
      <c r="Z754" s="1">
        <v>2025</v>
      </c>
      <c r="AA754" s="2">
        <v>7258965.8700000001</v>
      </c>
      <c r="AB754" s="2"/>
      <c r="AC754" s="2">
        <v>4174500</v>
      </c>
      <c r="AG754" s="1" t="s">
        <v>56</v>
      </c>
      <c r="AI754" s="2">
        <v>4174500</v>
      </c>
    </row>
    <row r="755" spans="1:38" ht="14.45" customHeight="1" x14ac:dyDescent="0.2">
      <c r="A755" s="1" t="s">
        <v>57</v>
      </c>
      <c r="B755" s="9" t="s">
        <v>38</v>
      </c>
      <c r="C755" s="1" t="s">
        <v>58</v>
      </c>
      <c r="D755" s="1" t="s">
        <v>146</v>
      </c>
      <c r="E755" s="1" t="s">
        <v>42</v>
      </c>
      <c r="G755" s="1" t="s">
        <v>1172</v>
      </c>
      <c r="H755" s="1" t="s">
        <v>61</v>
      </c>
      <c r="I755" s="1" t="s">
        <v>4188</v>
      </c>
      <c r="J755" s="1">
        <v>2020</v>
      </c>
      <c r="K755" s="1" t="s">
        <v>4189</v>
      </c>
      <c r="L755" s="1" t="s">
        <v>4190</v>
      </c>
      <c r="N755" s="1" t="s">
        <v>4191</v>
      </c>
      <c r="P755" s="1" t="s">
        <v>3033</v>
      </c>
      <c r="Q755" s="1" t="s">
        <v>1149</v>
      </c>
      <c r="R755" s="1" t="s">
        <v>1150</v>
      </c>
      <c r="S755" s="1" t="s">
        <v>1218</v>
      </c>
      <c r="T755" s="1" t="s">
        <v>1219</v>
      </c>
      <c r="V755" s="1" t="s">
        <v>1153</v>
      </c>
      <c r="W755" s="1" t="s">
        <v>4192</v>
      </c>
      <c r="X755" s="1" t="s">
        <v>309</v>
      </c>
      <c r="Y755" s="10">
        <v>44337</v>
      </c>
      <c r="Z755" s="1">
        <v>2021</v>
      </c>
      <c r="AA755" s="2">
        <v>997050.58</v>
      </c>
      <c r="AB755" s="2"/>
      <c r="AC755" s="2">
        <v>498525.29</v>
      </c>
      <c r="AD755" s="1">
        <v>6</v>
      </c>
      <c r="AE755" s="1">
        <v>2</v>
      </c>
      <c r="AG755" s="1" t="s">
        <v>56</v>
      </c>
      <c r="AH755" s="1" t="s">
        <v>154</v>
      </c>
      <c r="AI755" s="2">
        <v>498525.29</v>
      </c>
      <c r="AK755" s="1">
        <v>6</v>
      </c>
      <c r="AL755" s="1" t="s">
        <v>4193</v>
      </c>
    </row>
    <row r="756" spans="1:38" ht="14.45" customHeight="1" x14ac:dyDescent="0.25">
      <c r="A756" s="1" t="s">
        <v>57</v>
      </c>
      <c r="B756" s="9" t="s">
        <v>38</v>
      </c>
      <c r="C756" s="1" t="s">
        <v>40</v>
      </c>
      <c r="D756" s="1" t="s">
        <v>41</v>
      </c>
      <c r="E756" s="1" t="s">
        <v>200</v>
      </c>
      <c r="F756" s="1" t="s">
        <v>230</v>
      </c>
      <c r="G756" s="1" t="s">
        <v>231</v>
      </c>
      <c r="H756" s="1" t="s">
        <v>45</v>
      </c>
      <c r="I756" s="1" t="s">
        <v>4194</v>
      </c>
      <c r="J756" s="1">
        <v>2022</v>
      </c>
      <c r="K756" s="1" t="s">
        <v>4195</v>
      </c>
      <c r="L756" s="1" t="s">
        <v>4196</v>
      </c>
      <c r="P756" s="1" t="s">
        <v>4197</v>
      </c>
      <c r="Q756" s="1" t="s">
        <v>50</v>
      </c>
      <c r="R756" s="1" t="s">
        <v>68</v>
      </c>
      <c r="S756" s="16" t="s">
        <v>814</v>
      </c>
      <c r="T756" s="1" t="s">
        <v>815</v>
      </c>
      <c r="U756" s="1">
        <v>2</v>
      </c>
      <c r="V756" s="1" t="s">
        <v>71</v>
      </c>
      <c r="W756" s="1" t="s">
        <v>4198</v>
      </c>
      <c r="X756" s="1" t="s">
        <v>240</v>
      </c>
      <c r="Y756" s="10">
        <v>45254</v>
      </c>
      <c r="Z756" s="1">
        <v>2023</v>
      </c>
      <c r="AA756" s="2">
        <v>11873420</v>
      </c>
      <c r="AB756" s="2"/>
      <c r="AC756" s="2">
        <v>3511697</v>
      </c>
      <c r="AG756" s="1" t="s">
        <v>56</v>
      </c>
      <c r="AI756" s="2">
        <v>3511697</v>
      </c>
    </row>
    <row r="757" spans="1:38" ht="14.45" customHeight="1" x14ac:dyDescent="0.2">
      <c r="A757" s="1" t="s">
        <v>57</v>
      </c>
      <c r="B757" s="9" t="s">
        <v>38</v>
      </c>
      <c r="C757" s="1" t="s">
        <v>40</v>
      </c>
      <c r="D757" s="1" t="s">
        <v>41</v>
      </c>
      <c r="E757" s="1" t="s">
        <v>200</v>
      </c>
      <c r="F757" s="1" t="s">
        <v>230</v>
      </c>
      <c r="G757" s="1" t="s">
        <v>231</v>
      </c>
      <c r="H757" s="1" t="s">
        <v>45</v>
      </c>
      <c r="I757" s="1" t="s">
        <v>4199</v>
      </c>
      <c r="J757" s="1">
        <v>2022</v>
      </c>
      <c r="K757" s="1" t="s">
        <v>4200</v>
      </c>
      <c r="L757" s="1" t="s">
        <v>4200</v>
      </c>
      <c r="M757" s="1" t="s">
        <v>4201</v>
      </c>
      <c r="P757" s="1" t="s">
        <v>4202</v>
      </c>
      <c r="Q757" s="1" t="s">
        <v>50</v>
      </c>
      <c r="R757" s="1" t="s">
        <v>68</v>
      </c>
      <c r="S757" s="1" t="s">
        <v>2986</v>
      </c>
      <c r="T757" s="1" t="s">
        <v>2987</v>
      </c>
      <c r="U757" s="1">
        <v>2</v>
      </c>
      <c r="V757" s="1" t="s">
        <v>195</v>
      </c>
      <c r="W757" s="1" t="s">
        <v>4203</v>
      </c>
      <c r="X757" s="1" t="s">
        <v>240</v>
      </c>
      <c r="Y757" s="10">
        <v>45254</v>
      </c>
      <c r="Z757" s="1">
        <v>2023</v>
      </c>
      <c r="AA757" s="2">
        <v>167600</v>
      </c>
      <c r="AB757" s="2"/>
      <c r="AC757" s="2">
        <v>100560</v>
      </c>
      <c r="AG757" s="1" t="s">
        <v>56</v>
      </c>
      <c r="AI757" s="2">
        <v>100560</v>
      </c>
    </row>
    <row r="758" spans="1:38" ht="14.45" customHeight="1" x14ac:dyDescent="0.2">
      <c r="A758" s="1" t="s">
        <v>57</v>
      </c>
      <c r="B758" s="9" t="s">
        <v>38</v>
      </c>
      <c r="C758" s="1" t="s">
        <v>40</v>
      </c>
      <c r="D758" s="1" t="s">
        <v>41</v>
      </c>
      <c r="E758" s="1" t="s">
        <v>200</v>
      </c>
      <c r="F758" s="1" t="s">
        <v>230</v>
      </c>
      <c r="G758" s="1" t="s">
        <v>231</v>
      </c>
      <c r="H758" s="1" t="s">
        <v>45</v>
      </c>
      <c r="I758" s="1" t="s">
        <v>4204</v>
      </c>
      <c r="J758" s="1">
        <v>2022</v>
      </c>
      <c r="K758" s="1" t="s">
        <v>4205</v>
      </c>
      <c r="L758" s="1" t="s">
        <v>4206</v>
      </c>
      <c r="P758" s="1" t="s">
        <v>4207</v>
      </c>
      <c r="Q758" s="1" t="s">
        <v>1149</v>
      </c>
      <c r="R758" s="1" t="s">
        <v>1150</v>
      </c>
      <c r="S758" s="1" t="s">
        <v>1959</v>
      </c>
      <c r="T758" s="1" t="s">
        <v>1960</v>
      </c>
      <c r="V758" s="1" t="s">
        <v>1153</v>
      </c>
      <c r="W758" s="1" t="s">
        <v>4208</v>
      </c>
      <c r="X758" s="1" t="s">
        <v>240</v>
      </c>
      <c r="Y758" s="10">
        <v>45254</v>
      </c>
      <c r="Z758" s="1">
        <v>2023</v>
      </c>
      <c r="AA758" s="2">
        <v>61648173</v>
      </c>
      <c r="AB758" s="2"/>
      <c r="AC758" s="2">
        <v>13436550</v>
      </c>
      <c r="AG758" s="1" t="s">
        <v>56</v>
      </c>
      <c r="AI758" s="2">
        <v>13436550</v>
      </c>
    </row>
    <row r="759" spans="1:38" ht="14.45" customHeight="1" x14ac:dyDescent="0.2">
      <c r="A759" s="1" t="s">
        <v>57</v>
      </c>
      <c r="B759" s="9" t="s">
        <v>38</v>
      </c>
      <c r="C759" s="1" t="s">
        <v>40</v>
      </c>
      <c r="D759" s="1" t="s">
        <v>41</v>
      </c>
      <c r="E759" s="1" t="s">
        <v>200</v>
      </c>
      <c r="F759" s="1" t="s">
        <v>230</v>
      </c>
      <c r="G759" s="1" t="s">
        <v>231</v>
      </c>
      <c r="H759" s="1" t="s">
        <v>45</v>
      </c>
      <c r="I759" s="1" t="s">
        <v>4209</v>
      </c>
      <c r="J759" s="1">
        <v>2022</v>
      </c>
      <c r="K759" s="1" t="s">
        <v>4210</v>
      </c>
      <c r="L759" s="1" t="s">
        <v>4211</v>
      </c>
      <c r="M759" s="1" t="s">
        <v>4212</v>
      </c>
      <c r="P759" s="1" t="s">
        <v>4213</v>
      </c>
      <c r="Q759" s="1" t="s">
        <v>50</v>
      </c>
      <c r="R759" s="1" t="s">
        <v>68</v>
      </c>
      <c r="S759" s="1" t="s">
        <v>193</v>
      </c>
      <c r="T759" s="1" t="s">
        <v>194</v>
      </c>
      <c r="U759" s="1">
        <v>1</v>
      </c>
      <c r="V759" s="1" t="s">
        <v>195</v>
      </c>
      <c r="W759" s="1" t="s">
        <v>4210</v>
      </c>
      <c r="X759" s="1" t="s">
        <v>240</v>
      </c>
      <c r="Y759" s="10">
        <v>45254</v>
      </c>
      <c r="Z759" s="1">
        <v>2023</v>
      </c>
      <c r="AA759" s="2">
        <v>65515</v>
      </c>
      <c r="AB759" s="2"/>
      <c r="AC759" s="2">
        <v>26206</v>
      </c>
      <c r="AG759" s="1" t="s">
        <v>56</v>
      </c>
      <c r="AI759" s="2">
        <v>26206</v>
      </c>
    </row>
    <row r="760" spans="1:38" ht="14.45" customHeight="1" x14ac:dyDescent="0.2">
      <c r="A760" s="1" t="s">
        <v>57</v>
      </c>
      <c r="B760" s="9" t="s">
        <v>38</v>
      </c>
      <c r="C760" s="1" t="s">
        <v>40</v>
      </c>
      <c r="D760" s="1" t="s">
        <v>41</v>
      </c>
      <c r="E760" s="1" t="s">
        <v>200</v>
      </c>
      <c r="F760" s="1" t="s">
        <v>230</v>
      </c>
      <c r="G760" s="1" t="s">
        <v>231</v>
      </c>
      <c r="H760" s="1" t="s">
        <v>45</v>
      </c>
      <c r="I760" s="1" t="s">
        <v>4214</v>
      </c>
      <c r="J760" s="1">
        <v>2022</v>
      </c>
      <c r="K760" s="1" t="s">
        <v>4215</v>
      </c>
      <c r="L760" s="1" t="s">
        <v>4215</v>
      </c>
      <c r="M760" s="1" t="s">
        <v>4216</v>
      </c>
      <c r="P760" s="1" t="s">
        <v>4217</v>
      </c>
      <c r="Q760" s="1" t="s">
        <v>50</v>
      </c>
      <c r="R760" s="1" t="s">
        <v>68</v>
      </c>
      <c r="S760" s="1" t="s">
        <v>3437</v>
      </c>
      <c r="T760" s="1" t="s">
        <v>3438</v>
      </c>
      <c r="U760" s="1">
        <v>1</v>
      </c>
      <c r="V760" s="1" t="s">
        <v>195</v>
      </c>
      <c r="W760" s="1" t="s">
        <v>4218</v>
      </c>
      <c r="X760" s="1" t="s">
        <v>240</v>
      </c>
      <c r="Y760" s="10">
        <v>45254</v>
      </c>
      <c r="Z760" s="1">
        <v>2023</v>
      </c>
      <c r="AA760" s="2">
        <v>157238</v>
      </c>
      <c r="AB760" s="2"/>
      <c r="AC760" s="2">
        <v>62895</v>
      </c>
      <c r="AG760" s="1" t="s">
        <v>56</v>
      </c>
      <c r="AI760" s="2">
        <v>62895</v>
      </c>
    </row>
    <row r="761" spans="1:38" ht="14.45" customHeight="1" x14ac:dyDescent="0.2">
      <c r="A761" s="1" t="s">
        <v>57</v>
      </c>
      <c r="B761" s="9" t="s">
        <v>38</v>
      </c>
      <c r="C761" s="1" t="s">
        <v>40</v>
      </c>
      <c r="D761" s="1" t="s">
        <v>41</v>
      </c>
      <c r="E761" s="1" t="s">
        <v>200</v>
      </c>
      <c r="F761" s="1" t="s">
        <v>230</v>
      </c>
      <c r="G761" s="1" t="s">
        <v>231</v>
      </c>
      <c r="H761" s="1" t="s">
        <v>45</v>
      </c>
      <c r="I761" s="1" t="s">
        <v>4219</v>
      </c>
      <c r="J761" s="1">
        <v>2022</v>
      </c>
      <c r="K761" s="1" t="s">
        <v>4220</v>
      </c>
      <c r="L761" s="1" t="s">
        <v>4221</v>
      </c>
      <c r="P761" s="1" t="s">
        <v>4222</v>
      </c>
      <c r="Q761" s="1" t="s">
        <v>1149</v>
      </c>
      <c r="R761" s="1" t="s">
        <v>1150</v>
      </c>
      <c r="S761" s="1" t="s">
        <v>3594</v>
      </c>
      <c r="T761" s="1" t="s">
        <v>3595</v>
      </c>
      <c r="V761" s="1" t="s">
        <v>1153</v>
      </c>
      <c r="W761" s="1" t="s">
        <v>4220</v>
      </c>
      <c r="X761" s="1" t="s">
        <v>240</v>
      </c>
      <c r="Y761" s="10">
        <v>45254</v>
      </c>
      <c r="Z761" s="1">
        <v>2023</v>
      </c>
      <c r="AA761" s="2">
        <v>19618523</v>
      </c>
      <c r="AB761" s="2"/>
      <c r="AC761" s="2">
        <v>4456343</v>
      </c>
      <c r="AG761" s="1" t="s">
        <v>56</v>
      </c>
      <c r="AI761" s="2">
        <v>4456343</v>
      </c>
    </row>
    <row r="762" spans="1:38" ht="14.45" customHeight="1" x14ac:dyDescent="0.2">
      <c r="A762" s="1" t="s">
        <v>57</v>
      </c>
      <c r="B762" s="9" t="s">
        <v>38</v>
      </c>
      <c r="C762" s="1" t="s">
        <v>40</v>
      </c>
      <c r="D762" s="1" t="s">
        <v>41</v>
      </c>
      <c r="E762" s="1" t="s">
        <v>200</v>
      </c>
      <c r="F762" s="1" t="s">
        <v>230</v>
      </c>
      <c r="G762" s="1" t="s">
        <v>231</v>
      </c>
      <c r="H762" s="1" t="s">
        <v>45</v>
      </c>
      <c r="I762" s="1" t="s">
        <v>4223</v>
      </c>
      <c r="J762" s="1">
        <v>2022</v>
      </c>
      <c r="K762" s="1" t="s">
        <v>4224</v>
      </c>
      <c r="L762" s="1" t="s">
        <v>4225</v>
      </c>
      <c r="P762" s="1" t="s">
        <v>4222</v>
      </c>
      <c r="Q762" s="1" t="s">
        <v>1149</v>
      </c>
      <c r="R762" s="1" t="s">
        <v>1449</v>
      </c>
      <c r="S762" s="1" t="s">
        <v>2068</v>
      </c>
      <c r="T762" s="1" t="s">
        <v>2069</v>
      </c>
      <c r="V762" s="1" t="s">
        <v>1153</v>
      </c>
      <c r="W762" s="1" t="s">
        <v>4224</v>
      </c>
      <c r="X762" s="1" t="s">
        <v>240</v>
      </c>
      <c r="Y762" s="10">
        <v>45254</v>
      </c>
      <c r="Z762" s="1">
        <v>2023</v>
      </c>
      <c r="AA762" s="2">
        <v>55174919</v>
      </c>
      <c r="AB762" s="2"/>
      <c r="AC762" s="2">
        <v>11000000</v>
      </c>
      <c r="AG762" s="1" t="s">
        <v>56</v>
      </c>
      <c r="AI762" s="2">
        <v>11000000</v>
      </c>
    </row>
    <row r="763" spans="1:38" ht="14.45" customHeight="1" x14ac:dyDescent="0.2">
      <c r="A763" s="1" t="s">
        <v>57</v>
      </c>
      <c r="B763" s="9" t="s">
        <v>38</v>
      </c>
      <c r="C763" s="1" t="s">
        <v>40</v>
      </c>
      <c r="D763" s="1" t="s">
        <v>41</v>
      </c>
      <c r="E763" s="1" t="s">
        <v>200</v>
      </c>
      <c r="F763" s="1" t="s">
        <v>230</v>
      </c>
      <c r="G763" s="1" t="s">
        <v>231</v>
      </c>
      <c r="H763" s="1" t="s">
        <v>45</v>
      </c>
      <c r="I763" s="1" t="s">
        <v>4226</v>
      </c>
      <c r="J763" s="1">
        <v>2022</v>
      </c>
      <c r="K763" s="1" t="s">
        <v>4227</v>
      </c>
      <c r="L763" s="1" t="s">
        <v>4228</v>
      </c>
      <c r="M763" s="1" t="s">
        <v>4229</v>
      </c>
      <c r="P763" s="1" t="s">
        <v>4230</v>
      </c>
      <c r="Q763" s="1" t="s">
        <v>50</v>
      </c>
      <c r="R763" s="1" t="s">
        <v>68</v>
      </c>
      <c r="S763" s="1" t="s">
        <v>4231</v>
      </c>
      <c r="T763" s="1" t="s">
        <v>4232</v>
      </c>
      <c r="U763" s="1">
        <v>2</v>
      </c>
      <c r="V763" s="1" t="s">
        <v>195</v>
      </c>
      <c r="W763" s="1" t="s">
        <v>4233</v>
      </c>
      <c r="X763" s="1" t="s">
        <v>240</v>
      </c>
      <c r="Y763" s="10">
        <v>45254</v>
      </c>
      <c r="Z763" s="1">
        <v>2023</v>
      </c>
      <c r="AA763" s="2">
        <v>1588495</v>
      </c>
      <c r="AB763" s="2"/>
      <c r="AC763" s="2">
        <v>499990</v>
      </c>
      <c r="AG763" s="1" t="s">
        <v>56</v>
      </c>
      <c r="AI763" s="2">
        <v>499990</v>
      </c>
    </row>
    <row r="764" spans="1:38" ht="14.45" customHeight="1" x14ac:dyDescent="0.2">
      <c r="A764" s="1" t="s">
        <v>57</v>
      </c>
      <c r="B764" s="9" t="s">
        <v>38</v>
      </c>
      <c r="C764" s="1" t="s">
        <v>40</v>
      </c>
      <c r="D764" s="1" t="s">
        <v>41</v>
      </c>
      <c r="E764" s="1" t="s">
        <v>200</v>
      </c>
      <c r="F764" s="1" t="s">
        <v>230</v>
      </c>
      <c r="G764" s="1" t="s">
        <v>231</v>
      </c>
      <c r="H764" s="1" t="s">
        <v>45</v>
      </c>
      <c r="I764" s="1" t="s">
        <v>4234</v>
      </c>
      <c r="J764" s="1">
        <v>2022</v>
      </c>
      <c r="K764" s="1" t="s">
        <v>4235</v>
      </c>
      <c r="L764" s="1" t="s">
        <v>4236</v>
      </c>
      <c r="M764" s="1" t="s">
        <v>4237</v>
      </c>
      <c r="P764" s="1" t="s">
        <v>4238</v>
      </c>
      <c r="Q764" s="1" t="s">
        <v>50</v>
      </c>
      <c r="R764" s="1" t="s">
        <v>68</v>
      </c>
      <c r="S764" s="1" t="s">
        <v>4231</v>
      </c>
      <c r="T764" s="1" t="s">
        <v>4232</v>
      </c>
      <c r="U764" s="1">
        <v>2</v>
      </c>
      <c r="V764" s="1" t="s">
        <v>195</v>
      </c>
      <c r="W764" s="1" t="s">
        <v>4239</v>
      </c>
      <c r="X764" s="1" t="s">
        <v>240</v>
      </c>
      <c r="Y764" s="10">
        <v>45254</v>
      </c>
      <c r="Z764" s="1">
        <v>2023</v>
      </c>
      <c r="AA764" s="2">
        <v>61000</v>
      </c>
      <c r="AB764" s="2"/>
      <c r="AC764" s="2">
        <v>32574</v>
      </c>
      <c r="AG764" s="1" t="s">
        <v>56</v>
      </c>
      <c r="AI764" s="2">
        <v>32574</v>
      </c>
    </row>
    <row r="765" spans="1:38" ht="14.45" customHeight="1" x14ac:dyDescent="0.2">
      <c r="A765" s="1" t="s">
        <v>57</v>
      </c>
      <c r="B765" s="9" t="s">
        <v>38</v>
      </c>
      <c r="C765" s="1" t="s">
        <v>40</v>
      </c>
      <c r="D765" s="1" t="s">
        <v>41</v>
      </c>
      <c r="E765" s="1" t="s">
        <v>42</v>
      </c>
      <c r="F765" s="1" t="s">
        <v>4240</v>
      </c>
      <c r="G765" s="1" t="s">
        <v>4241</v>
      </c>
      <c r="H765" s="1" t="s">
        <v>45</v>
      </c>
      <c r="I765" s="1" t="s">
        <v>4242</v>
      </c>
      <c r="J765" s="1">
        <v>2022</v>
      </c>
      <c r="K765" s="1" t="s">
        <v>4243</v>
      </c>
      <c r="L765" s="1" t="s">
        <v>4244</v>
      </c>
      <c r="P765" s="1" t="s">
        <v>4245</v>
      </c>
      <c r="Q765" s="1" t="s">
        <v>264</v>
      </c>
      <c r="R765" s="1" t="s">
        <v>265</v>
      </c>
      <c r="S765" s="1" t="s">
        <v>533</v>
      </c>
      <c r="T765" s="1" t="s">
        <v>534</v>
      </c>
      <c r="U765" s="1">
        <v>1</v>
      </c>
      <c r="V765" s="1" t="s">
        <v>535</v>
      </c>
      <c r="W765" s="1" t="s">
        <v>4246</v>
      </c>
      <c r="Y765" s="10">
        <v>45113</v>
      </c>
      <c r="Z765" s="1">
        <v>2023</v>
      </c>
      <c r="AA765" s="2">
        <v>550843.52</v>
      </c>
      <c r="AB765" s="2"/>
      <c r="AC765" s="2">
        <v>159054.70000000001</v>
      </c>
      <c r="AG765" s="1" t="s">
        <v>56</v>
      </c>
      <c r="AI765" s="2">
        <v>159054.70000000001</v>
      </c>
    </row>
    <row r="766" spans="1:38" ht="14.45" customHeight="1" x14ac:dyDescent="0.2">
      <c r="A766" s="1" t="s">
        <v>57</v>
      </c>
      <c r="B766" s="9" t="s">
        <v>38</v>
      </c>
      <c r="C766" s="1" t="s">
        <v>40</v>
      </c>
      <c r="D766" s="1" t="s">
        <v>41</v>
      </c>
      <c r="E766" s="1" t="s">
        <v>200</v>
      </c>
      <c r="F766" s="1" t="s">
        <v>230</v>
      </c>
      <c r="G766" s="1" t="s">
        <v>231</v>
      </c>
      <c r="H766" s="1" t="s">
        <v>45</v>
      </c>
      <c r="I766" s="1" t="s">
        <v>4247</v>
      </c>
      <c r="J766" s="1">
        <v>2022</v>
      </c>
      <c r="K766" s="1" t="s">
        <v>4248</v>
      </c>
      <c r="L766" s="1" t="s">
        <v>4249</v>
      </c>
      <c r="P766" s="1" t="s">
        <v>4250</v>
      </c>
      <c r="Q766" s="1" t="s">
        <v>1149</v>
      </c>
      <c r="R766" s="1" t="s">
        <v>1150</v>
      </c>
      <c r="S766" s="1" t="s">
        <v>1635</v>
      </c>
      <c r="T766" s="1" t="s">
        <v>1636</v>
      </c>
      <c r="V766" s="1" t="s">
        <v>1153</v>
      </c>
      <c r="W766" s="1" t="s">
        <v>4248</v>
      </c>
      <c r="X766" s="1" t="s">
        <v>240</v>
      </c>
      <c r="Y766" s="10">
        <v>45254</v>
      </c>
      <c r="Z766" s="1">
        <v>2023</v>
      </c>
      <c r="AA766" s="2">
        <v>31201475</v>
      </c>
      <c r="AB766" s="2"/>
      <c r="AC766" s="2">
        <v>3699465</v>
      </c>
      <c r="AG766" s="1" t="s">
        <v>56</v>
      </c>
      <c r="AI766" s="2">
        <v>3699465</v>
      </c>
    </row>
    <row r="767" spans="1:38" ht="14.45" customHeight="1" x14ac:dyDescent="0.2">
      <c r="A767" s="1" t="s">
        <v>57</v>
      </c>
      <c r="B767" s="9" t="s">
        <v>38</v>
      </c>
      <c r="C767" s="1" t="s">
        <v>40</v>
      </c>
      <c r="D767" s="1" t="s">
        <v>41</v>
      </c>
      <c r="E767" s="1" t="s">
        <v>42</v>
      </c>
      <c r="F767" s="1" t="s">
        <v>230</v>
      </c>
      <c r="G767" s="1" t="s">
        <v>231</v>
      </c>
      <c r="H767" s="1" t="s">
        <v>45</v>
      </c>
      <c r="I767" s="1" t="s">
        <v>4251</v>
      </c>
      <c r="J767" s="1">
        <v>2022</v>
      </c>
      <c r="K767" s="1" t="s">
        <v>4252</v>
      </c>
      <c r="L767" s="1" t="s">
        <v>4253</v>
      </c>
      <c r="P767" s="1" t="s">
        <v>4254</v>
      </c>
      <c r="Q767" s="1" t="s">
        <v>1149</v>
      </c>
      <c r="R767" s="1" t="s">
        <v>1449</v>
      </c>
      <c r="S767" s="1" t="s">
        <v>1450</v>
      </c>
      <c r="T767" s="1" t="s">
        <v>1451</v>
      </c>
      <c r="V767" s="1" t="s">
        <v>1153</v>
      </c>
      <c r="W767" s="1" t="s">
        <v>4255</v>
      </c>
      <c r="X767" s="1" t="s">
        <v>240</v>
      </c>
      <c r="Y767" s="10">
        <v>45254</v>
      </c>
      <c r="Z767" s="1">
        <v>2023</v>
      </c>
      <c r="AA767" s="2">
        <v>8964942</v>
      </c>
      <c r="AB767" s="2"/>
      <c r="AC767" s="2">
        <v>499000</v>
      </c>
      <c r="AG767" s="1" t="s">
        <v>56</v>
      </c>
      <c r="AI767" s="2">
        <v>499000</v>
      </c>
    </row>
    <row r="768" spans="1:38" ht="14.45" customHeight="1" x14ac:dyDescent="0.2">
      <c r="A768" s="1" t="s">
        <v>57</v>
      </c>
      <c r="B768" s="9" t="s">
        <v>38</v>
      </c>
      <c r="C768" s="1" t="s">
        <v>40</v>
      </c>
      <c r="D768" s="1" t="s">
        <v>41</v>
      </c>
      <c r="E768" s="1" t="s">
        <v>200</v>
      </c>
      <c r="F768" s="1" t="s">
        <v>230</v>
      </c>
      <c r="G768" s="1" t="s">
        <v>231</v>
      </c>
      <c r="H768" s="1" t="s">
        <v>45</v>
      </c>
      <c r="I768" s="1" t="s">
        <v>4256</v>
      </c>
      <c r="J768" s="1">
        <v>2022</v>
      </c>
      <c r="K768" s="1" t="s">
        <v>4257</v>
      </c>
      <c r="L768" s="1" t="s">
        <v>4258</v>
      </c>
      <c r="P768" s="1" t="s">
        <v>4259</v>
      </c>
      <c r="Q768" s="1" t="s">
        <v>1149</v>
      </c>
      <c r="R768" s="1" t="s">
        <v>1150</v>
      </c>
      <c r="S768" s="1" t="s">
        <v>3507</v>
      </c>
      <c r="T768" s="1" t="s">
        <v>3508</v>
      </c>
      <c r="V768" s="1" t="s">
        <v>1537</v>
      </c>
      <c r="W768" s="1" t="s">
        <v>4257</v>
      </c>
      <c r="X768" s="1" t="s">
        <v>240</v>
      </c>
      <c r="Y768" s="10">
        <v>45254</v>
      </c>
      <c r="Z768" s="1">
        <v>2023</v>
      </c>
      <c r="AA768" s="2">
        <v>5091549</v>
      </c>
      <c r="AB768" s="2"/>
      <c r="AC768" s="2">
        <v>495000</v>
      </c>
      <c r="AG768" s="1" t="s">
        <v>56</v>
      </c>
      <c r="AI768" s="2">
        <v>495000</v>
      </c>
    </row>
    <row r="769" spans="1:38" ht="14.45" customHeight="1" x14ac:dyDescent="0.2">
      <c r="A769" s="1" t="s">
        <v>57</v>
      </c>
      <c r="B769" s="9" t="s">
        <v>38</v>
      </c>
      <c r="C769" s="1" t="s">
        <v>40</v>
      </c>
      <c r="D769" s="1" t="s">
        <v>41</v>
      </c>
      <c r="E769" s="1" t="s">
        <v>42</v>
      </c>
      <c r="F769" s="1" t="s">
        <v>4146</v>
      </c>
      <c r="G769" s="1" t="s">
        <v>4147</v>
      </c>
      <c r="H769" s="1" t="s">
        <v>45</v>
      </c>
      <c r="I769" s="1" t="s">
        <v>4260</v>
      </c>
      <c r="J769" s="1">
        <v>2024</v>
      </c>
      <c r="K769" s="1" t="s">
        <v>4261</v>
      </c>
      <c r="L769" s="1" t="s">
        <v>4262</v>
      </c>
      <c r="M769" s="1" t="s">
        <v>1240</v>
      </c>
      <c r="P769" s="1" t="s">
        <v>4263</v>
      </c>
      <c r="Q769" s="1" t="s">
        <v>264</v>
      </c>
      <c r="R769" s="1" t="s">
        <v>265</v>
      </c>
      <c r="S769" s="1" t="s">
        <v>266</v>
      </c>
      <c r="T769" s="1" t="s">
        <v>267</v>
      </c>
      <c r="U769" s="1">
        <v>2</v>
      </c>
      <c r="V769" s="1" t="s">
        <v>268</v>
      </c>
      <c r="W769" s="1" t="s">
        <v>4262</v>
      </c>
      <c r="Y769" s="10">
        <v>45834</v>
      </c>
      <c r="Z769" s="1">
        <v>2025</v>
      </c>
      <c r="AA769" s="2">
        <v>670000000</v>
      </c>
      <c r="AB769" s="2"/>
      <c r="AC769" s="2">
        <v>199995000</v>
      </c>
      <c r="AD769" s="1">
        <v>2600</v>
      </c>
      <c r="AG769" s="1" t="s">
        <v>56</v>
      </c>
      <c r="AI769" s="2">
        <v>199995000</v>
      </c>
    </row>
    <row r="770" spans="1:38" ht="14.45" customHeight="1" x14ac:dyDescent="0.2">
      <c r="A770" s="1" t="s">
        <v>57</v>
      </c>
      <c r="B770" s="9" t="s">
        <v>38</v>
      </c>
      <c r="C770" s="1" t="s">
        <v>40</v>
      </c>
      <c r="D770" s="1" t="s">
        <v>41</v>
      </c>
      <c r="E770" s="1" t="s">
        <v>42</v>
      </c>
      <c r="F770" s="1" t="s">
        <v>4146</v>
      </c>
      <c r="G770" s="1" t="s">
        <v>4147</v>
      </c>
      <c r="H770" s="1" t="s">
        <v>45</v>
      </c>
      <c r="I770" s="1" t="s">
        <v>4264</v>
      </c>
      <c r="J770" s="1">
        <v>2024</v>
      </c>
      <c r="K770" s="1" t="s">
        <v>4265</v>
      </c>
      <c r="L770" s="1" t="s">
        <v>4266</v>
      </c>
      <c r="M770" s="1" t="s">
        <v>1240</v>
      </c>
      <c r="P770" s="1" t="s">
        <v>4267</v>
      </c>
      <c r="Q770" s="1" t="s">
        <v>264</v>
      </c>
      <c r="R770" s="1" t="s">
        <v>265</v>
      </c>
      <c r="S770" s="1" t="s">
        <v>266</v>
      </c>
      <c r="T770" s="1" t="s">
        <v>267</v>
      </c>
      <c r="U770" s="1">
        <v>2</v>
      </c>
      <c r="V770" s="1" t="s">
        <v>268</v>
      </c>
      <c r="W770" s="1" t="s">
        <v>4266</v>
      </c>
      <c r="Y770" s="10">
        <v>45834</v>
      </c>
      <c r="Z770" s="1">
        <v>2025</v>
      </c>
      <c r="AA770" s="2">
        <v>86693992</v>
      </c>
      <c r="AB770" s="2"/>
      <c r="AC770" s="2">
        <v>9987148</v>
      </c>
      <c r="AD770" s="1">
        <v>300</v>
      </c>
      <c r="AG770" s="1" t="s">
        <v>56</v>
      </c>
      <c r="AI770" s="2">
        <v>9987148</v>
      </c>
    </row>
    <row r="771" spans="1:38" ht="14.45" customHeight="1" x14ac:dyDescent="0.2">
      <c r="A771" s="1" t="s">
        <v>57</v>
      </c>
      <c r="B771" s="9" t="s">
        <v>38</v>
      </c>
      <c r="C771" s="1" t="s">
        <v>40</v>
      </c>
      <c r="D771" s="1" t="s">
        <v>41</v>
      </c>
      <c r="E771" s="1" t="s">
        <v>200</v>
      </c>
      <c r="F771" s="1" t="s">
        <v>230</v>
      </c>
      <c r="G771" s="1" t="s">
        <v>231</v>
      </c>
      <c r="H771" s="1" t="s">
        <v>45</v>
      </c>
      <c r="I771" s="1" t="s">
        <v>4268</v>
      </c>
      <c r="J771" s="1">
        <v>2022</v>
      </c>
      <c r="K771" s="1" t="s">
        <v>4269</v>
      </c>
      <c r="L771" s="1" t="s">
        <v>4270</v>
      </c>
      <c r="P771" s="1" t="s">
        <v>4271</v>
      </c>
      <c r="Q771" s="1" t="s">
        <v>264</v>
      </c>
      <c r="R771" s="1" t="s">
        <v>265</v>
      </c>
      <c r="S771" s="1" t="s">
        <v>923</v>
      </c>
      <c r="T771" s="1" t="s">
        <v>924</v>
      </c>
      <c r="U771" s="1">
        <v>1</v>
      </c>
      <c r="V771" s="1" t="s">
        <v>268</v>
      </c>
      <c r="W771" s="1" t="s">
        <v>4272</v>
      </c>
      <c r="Y771" s="10">
        <v>45254</v>
      </c>
      <c r="Z771" s="1">
        <v>2023</v>
      </c>
      <c r="AA771" s="2">
        <v>4539800</v>
      </c>
      <c r="AB771" s="2"/>
      <c r="AC771" s="2">
        <v>1271144</v>
      </c>
      <c r="AG771" s="1" t="s">
        <v>56</v>
      </c>
      <c r="AI771" s="2">
        <v>1271144</v>
      </c>
    </row>
    <row r="772" spans="1:38" ht="14.45" customHeight="1" x14ac:dyDescent="0.2">
      <c r="A772" s="1" t="s">
        <v>57</v>
      </c>
      <c r="B772" s="9" t="s">
        <v>38</v>
      </c>
      <c r="C772" s="1" t="s">
        <v>40</v>
      </c>
      <c r="D772" s="1" t="s">
        <v>41</v>
      </c>
      <c r="E772" s="1" t="s">
        <v>200</v>
      </c>
      <c r="F772" s="1" t="s">
        <v>230</v>
      </c>
      <c r="G772" s="1" t="s">
        <v>231</v>
      </c>
      <c r="H772" s="1" t="s">
        <v>45</v>
      </c>
      <c r="I772" s="1" t="s">
        <v>4273</v>
      </c>
      <c r="J772" s="1">
        <v>2022</v>
      </c>
      <c r="K772" s="1" t="s">
        <v>4274</v>
      </c>
      <c r="L772" s="1" t="s">
        <v>4274</v>
      </c>
      <c r="P772" s="1" t="s">
        <v>3918</v>
      </c>
      <c r="Q772" s="1" t="s">
        <v>264</v>
      </c>
      <c r="R772" s="1" t="s">
        <v>265</v>
      </c>
      <c r="S772" s="1" t="s">
        <v>1783</v>
      </c>
      <c r="T772" s="1" t="s">
        <v>1784</v>
      </c>
      <c r="U772" s="1">
        <v>1</v>
      </c>
      <c r="V772" s="1" t="s">
        <v>4275</v>
      </c>
      <c r="W772" s="1" t="s">
        <v>4274</v>
      </c>
      <c r="Y772" s="10">
        <v>45254</v>
      </c>
      <c r="Z772" s="1">
        <v>2023</v>
      </c>
      <c r="AA772" s="2">
        <v>247350</v>
      </c>
      <c r="AB772" s="2"/>
      <c r="AC772" s="2">
        <v>98940</v>
      </c>
      <c r="AG772" s="1" t="s">
        <v>56</v>
      </c>
      <c r="AI772" s="2">
        <v>98940</v>
      </c>
    </row>
    <row r="773" spans="1:38" ht="14.45" customHeight="1" x14ac:dyDescent="0.2">
      <c r="A773" s="1" t="s">
        <v>57</v>
      </c>
      <c r="B773" s="9" t="s">
        <v>38</v>
      </c>
      <c r="C773" s="1" t="s">
        <v>40</v>
      </c>
      <c r="D773" s="1" t="s">
        <v>41</v>
      </c>
      <c r="E773" s="1" t="s">
        <v>200</v>
      </c>
      <c r="F773" s="1" t="s">
        <v>230</v>
      </c>
      <c r="G773" s="1" t="s">
        <v>231</v>
      </c>
      <c r="H773" s="1" t="s">
        <v>45</v>
      </c>
      <c r="I773" s="1" t="s">
        <v>4276</v>
      </c>
      <c r="J773" s="1">
        <v>2022</v>
      </c>
      <c r="K773" s="1" t="s">
        <v>4277</v>
      </c>
      <c r="L773" s="1" t="s">
        <v>4277</v>
      </c>
      <c r="P773" s="1" t="s">
        <v>3948</v>
      </c>
      <c r="Q773" s="1" t="s">
        <v>264</v>
      </c>
      <c r="R773" s="1" t="s">
        <v>265</v>
      </c>
      <c r="S773" s="1" t="s">
        <v>275</v>
      </c>
      <c r="T773" s="1" t="s">
        <v>276</v>
      </c>
      <c r="U773" s="1">
        <v>2</v>
      </c>
      <c r="V773" s="1" t="s">
        <v>80</v>
      </c>
      <c r="W773" s="1" t="s">
        <v>4277</v>
      </c>
      <c r="X773" s="1" t="s">
        <v>240</v>
      </c>
      <c r="Y773" s="10">
        <v>45254</v>
      </c>
      <c r="Z773" s="1">
        <v>2023</v>
      </c>
      <c r="AA773" s="2">
        <v>330858</v>
      </c>
      <c r="AB773" s="2"/>
      <c r="AC773" s="2">
        <v>132343</v>
      </c>
      <c r="AG773" s="1" t="s">
        <v>56</v>
      </c>
      <c r="AI773" s="2">
        <v>132343</v>
      </c>
    </row>
    <row r="774" spans="1:38" ht="14.45" customHeight="1" x14ac:dyDescent="0.2">
      <c r="A774" s="1" t="s">
        <v>57</v>
      </c>
      <c r="B774" s="9" t="s">
        <v>38</v>
      </c>
      <c r="C774" s="1" t="s">
        <v>40</v>
      </c>
      <c r="D774" s="1" t="s">
        <v>41</v>
      </c>
      <c r="E774" s="1" t="s">
        <v>42</v>
      </c>
      <c r="F774" s="1" t="s">
        <v>3913</v>
      </c>
      <c r="G774" s="1" t="s">
        <v>3914</v>
      </c>
      <c r="H774" s="1" t="s">
        <v>45</v>
      </c>
      <c r="I774" s="1" t="s">
        <v>4278</v>
      </c>
      <c r="J774" s="1">
        <v>2024</v>
      </c>
      <c r="K774" s="1" t="s">
        <v>4279</v>
      </c>
      <c r="L774" s="1" t="s">
        <v>4280</v>
      </c>
      <c r="P774" s="1" t="s">
        <v>4281</v>
      </c>
      <c r="Q774" s="1" t="s">
        <v>101</v>
      </c>
      <c r="R774" s="1" t="s">
        <v>102</v>
      </c>
      <c r="S774" s="1" t="s">
        <v>637</v>
      </c>
      <c r="T774" s="1" t="s">
        <v>638</v>
      </c>
      <c r="U774" s="1">
        <v>1</v>
      </c>
      <c r="V774" s="1" t="s">
        <v>101</v>
      </c>
      <c r="W774" s="1" t="s">
        <v>4282</v>
      </c>
      <c r="X774" s="1" t="s">
        <v>258</v>
      </c>
      <c r="Y774" s="10">
        <v>45807</v>
      </c>
      <c r="Z774" s="1">
        <v>2025</v>
      </c>
      <c r="AA774" s="2">
        <v>55000000</v>
      </c>
      <c r="AB774" s="2"/>
      <c r="AC774" s="2">
        <v>53000000</v>
      </c>
      <c r="AI774" s="2">
        <v>53000000</v>
      </c>
    </row>
    <row r="775" spans="1:38" ht="14.45" customHeight="1" x14ac:dyDescent="0.2">
      <c r="A775" s="1" t="s">
        <v>57</v>
      </c>
      <c r="B775" s="9" t="s">
        <v>38</v>
      </c>
      <c r="C775" s="1" t="s">
        <v>40</v>
      </c>
      <c r="D775" s="1" t="s">
        <v>41</v>
      </c>
      <c r="E775" s="1" t="s">
        <v>200</v>
      </c>
      <c r="F775" s="1" t="s">
        <v>201</v>
      </c>
      <c r="G775" s="1" t="s">
        <v>202</v>
      </c>
      <c r="H775" s="1" t="s">
        <v>45</v>
      </c>
      <c r="I775" s="1" t="s">
        <v>4283</v>
      </c>
      <c r="J775" s="1">
        <v>2022</v>
      </c>
      <c r="K775" s="1" t="s">
        <v>4284</v>
      </c>
      <c r="L775" s="1" t="s">
        <v>4284</v>
      </c>
      <c r="P775" s="1" t="s">
        <v>4285</v>
      </c>
      <c r="Q775" s="1" t="s">
        <v>101</v>
      </c>
      <c r="R775" s="1" t="s">
        <v>326</v>
      </c>
      <c r="S775" s="1" t="s">
        <v>327</v>
      </c>
      <c r="T775" s="1" t="s">
        <v>328</v>
      </c>
      <c r="U775" s="1">
        <v>2</v>
      </c>
      <c r="V775" s="1" t="s">
        <v>80</v>
      </c>
      <c r="W775" s="1" t="s">
        <v>4286</v>
      </c>
      <c r="X775" s="1" t="s">
        <v>55</v>
      </c>
      <c r="Y775" s="10">
        <v>45112</v>
      </c>
      <c r="Z775" s="1">
        <v>2023</v>
      </c>
      <c r="AA775" s="2">
        <v>9687543</v>
      </c>
      <c r="AB775" s="2"/>
      <c r="AC775" s="2">
        <v>629690.30000000005</v>
      </c>
      <c r="AG775" s="1" t="s">
        <v>56</v>
      </c>
      <c r="AI775" s="2">
        <v>629690.30000000005</v>
      </c>
    </row>
    <row r="776" spans="1:38" ht="14.45" customHeight="1" x14ac:dyDescent="0.2">
      <c r="A776" s="1" t="s">
        <v>57</v>
      </c>
      <c r="B776" s="9" t="s">
        <v>38</v>
      </c>
      <c r="C776" s="1" t="s">
        <v>40</v>
      </c>
      <c r="D776" s="1" t="s">
        <v>41</v>
      </c>
      <c r="E776" s="1" t="s">
        <v>200</v>
      </c>
      <c r="F776" s="1" t="s">
        <v>201</v>
      </c>
      <c r="G776" s="1" t="s">
        <v>202</v>
      </c>
      <c r="H776" s="1" t="s">
        <v>45</v>
      </c>
      <c r="I776" s="1" t="s">
        <v>4287</v>
      </c>
      <c r="J776" s="1">
        <v>2022</v>
      </c>
      <c r="K776" s="1" t="s">
        <v>4288</v>
      </c>
      <c r="L776" s="1" t="s">
        <v>4289</v>
      </c>
      <c r="P776" s="1" t="s">
        <v>4290</v>
      </c>
      <c r="Q776" s="1" t="s">
        <v>101</v>
      </c>
      <c r="R776" s="1" t="s">
        <v>102</v>
      </c>
      <c r="S776" s="1" t="s">
        <v>372</v>
      </c>
      <c r="T776" s="1" t="s">
        <v>373</v>
      </c>
      <c r="U776" s="1">
        <v>1</v>
      </c>
      <c r="V776" s="1" t="s">
        <v>101</v>
      </c>
      <c r="W776" s="1" t="s">
        <v>4291</v>
      </c>
      <c r="Y776" s="10">
        <v>45112</v>
      </c>
      <c r="Z776" s="1">
        <v>2023</v>
      </c>
      <c r="AA776" s="2">
        <v>823328.81</v>
      </c>
      <c r="AB776" s="2"/>
      <c r="AC776" s="2">
        <v>592796.74</v>
      </c>
      <c r="AD776" s="1">
        <v>1</v>
      </c>
      <c r="AG776" s="1" t="s">
        <v>56</v>
      </c>
      <c r="AI776" s="2">
        <v>592796.74</v>
      </c>
    </row>
    <row r="777" spans="1:38" ht="14.45" customHeight="1" x14ac:dyDescent="0.2">
      <c r="A777" s="1" t="s">
        <v>57</v>
      </c>
      <c r="B777" s="9" t="s">
        <v>38</v>
      </c>
      <c r="C777" s="1" t="s">
        <v>40</v>
      </c>
      <c r="D777" s="1" t="s">
        <v>41</v>
      </c>
      <c r="E777" s="1" t="s">
        <v>200</v>
      </c>
      <c r="F777" s="1" t="s">
        <v>201</v>
      </c>
      <c r="G777" s="1" t="s">
        <v>202</v>
      </c>
      <c r="H777" s="1" t="s">
        <v>45</v>
      </c>
      <c r="I777" s="1" t="s">
        <v>4292</v>
      </c>
      <c r="J777" s="1">
        <v>2022</v>
      </c>
      <c r="K777" s="1" t="s">
        <v>4293</v>
      </c>
      <c r="L777" s="1" t="s">
        <v>4293</v>
      </c>
      <c r="P777" s="1" t="s">
        <v>4294</v>
      </c>
      <c r="Q777" s="1" t="s">
        <v>101</v>
      </c>
      <c r="R777" s="1" t="s">
        <v>339</v>
      </c>
      <c r="S777" s="1" t="s">
        <v>340</v>
      </c>
      <c r="T777" s="1" t="s">
        <v>341</v>
      </c>
      <c r="U777" s="1">
        <v>1</v>
      </c>
      <c r="V777" s="1" t="s">
        <v>80</v>
      </c>
      <c r="W777" s="1" t="s">
        <v>4295</v>
      </c>
      <c r="X777" s="1">
        <v>1</v>
      </c>
      <c r="Y777" s="10">
        <v>45112</v>
      </c>
      <c r="Z777" s="1">
        <v>2023</v>
      </c>
      <c r="AA777" s="2">
        <v>924707.81</v>
      </c>
      <c r="AB777" s="2"/>
      <c r="AC777" s="2">
        <v>231176.95</v>
      </c>
      <c r="AG777" s="1" t="s">
        <v>56</v>
      </c>
      <c r="AI777" s="2">
        <v>231176.95</v>
      </c>
    </row>
    <row r="778" spans="1:38" ht="14.45" customHeight="1" x14ac:dyDescent="0.2">
      <c r="A778" s="1" t="s">
        <v>57</v>
      </c>
      <c r="B778" s="9" t="s">
        <v>38</v>
      </c>
      <c r="C778" s="1" t="s">
        <v>40</v>
      </c>
      <c r="D778" s="1" t="s">
        <v>41</v>
      </c>
      <c r="E778" s="1" t="s">
        <v>42</v>
      </c>
      <c r="F778" s="1" t="s">
        <v>3832</v>
      </c>
      <c r="G778" s="1" t="s">
        <v>3833</v>
      </c>
      <c r="H778" s="1" t="s">
        <v>45</v>
      </c>
      <c r="I778" s="1" t="s">
        <v>4296</v>
      </c>
      <c r="J778" s="1">
        <v>2024</v>
      </c>
      <c r="K778" s="1" t="s">
        <v>4297</v>
      </c>
      <c r="L778" s="1" t="s">
        <v>4298</v>
      </c>
      <c r="M778" s="1" t="s">
        <v>4299</v>
      </c>
      <c r="P778" s="1" t="s">
        <v>4300</v>
      </c>
      <c r="Q778" s="1" t="s">
        <v>101</v>
      </c>
      <c r="R778" s="1" t="s">
        <v>102</v>
      </c>
      <c r="S778" s="1" t="s">
        <v>637</v>
      </c>
      <c r="T778" s="1" t="s">
        <v>638</v>
      </c>
      <c r="U778" s="1">
        <v>1</v>
      </c>
      <c r="V778" s="1" t="s">
        <v>101</v>
      </c>
      <c r="W778" s="1" t="s">
        <v>4298</v>
      </c>
      <c r="X778" s="1" t="s">
        <v>3839</v>
      </c>
      <c r="Y778" s="10">
        <v>45820</v>
      </c>
      <c r="Z778" s="1">
        <v>2025</v>
      </c>
      <c r="AA778" s="2">
        <v>534942519.5</v>
      </c>
      <c r="AB778" s="2"/>
      <c r="AC778" s="2">
        <v>245000000</v>
      </c>
      <c r="AD778" s="1">
        <v>396</v>
      </c>
      <c r="AG778" s="1" t="s">
        <v>56</v>
      </c>
      <c r="AI778" s="2">
        <v>245000000</v>
      </c>
    </row>
    <row r="779" spans="1:38" ht="14.45" customHeight="1" x14ac:dyDescent="0.2">
      <c r="A779" s="1" t="s">
        <v>57</v>
      </c>
      <c r="B779" s="9" t="s">
        <v>38</v>
      </c>
      <c r="C779" s="1" t="s">
        <v>40</v>
      </c>
      <c r="D779" s="1" t="s">
        <v>41</v>
      </c>
      <c r="E779" s="1" t="s">
        <v>42</v>
      </c>
      <c r="F779" s="1" t="s">
        <v>3853</v>
      </c>
      <c r="G779" s="1" t="s">
        <v>3854</v>
      </c>
      <c r="H779" s="1" t="s">
        <v>45</v>
      </c>
      <c r="I779" s="1" t="s">
        <v>4301</v>
      </c>
      <c r="J779" s="1">
        <v>2023</v>
      </c>
      <c r="K779" s="1" t="s">
        <v>4302</v>
      </c>
      <c r="L779" s="1" t="s">
        <v>4303</v>
      </c>
      <c r="P779" s="1" t="s">
        <v>4304</v>
      </c>
      <c r="Q779" s="1" t="s">
        <v>101</v>
      </c>
      <c r="R779" s="1" t="s">
        <v>339</v>
      </c>
      <c r="S779" s="1" t="s">
        <v>515</v>
      </c>
      <c r="T779" s="1" t="s">
        <v>516</v>
      </c>
      <c r="U779" s="1">
        <v>2</v>
      </c>
      <c r="V779" s="1" t="s">
        <v>80</v>
      </c>
      <c r="W779" s="1" t="s">
        <v>4303</v>
      </c>
      <c r="X779" s="1" t="s">
        <v>55</v>
      </c>
      <c r="Y779" s="10">
        <v>45282</v>
      </c>
      <c r="Z779" s="1">
        <v>2023</v>
      </c>
      <c r="AA779" s="2">
        <v>27678571.43</v>
      </c>
      <c r="AB779" s="2"/>
      <c r="AC779" s="2">
        <v>15000000</v>
      </c>
      <c r="AG779" s="1" t="s">
        <v>56</v>
      </c>
      <c r="AI779" s="2">
        <v>15000000</v>
      </c>
    </row>
    <row r="780" spans="1:38" ht="14.45" customHeight="1" x14ac:dyDescent="0.2">
      <c r="A780" s="1" t="s">
        <v>57</v>
      </c>
      <c r="B780" s="9" t="s">
        <v>38</v>
      </c>
      <c r="C780" s="1" t="s">
        <v>40</v>
      </c>
      <c r="D780" s="1" t="s">
        <v>41</v>
      </c>
      <c r="E780" s="1" t="s">
        <v>42</v>
      </c>
      <c r="F780" s="1" t="s">
        <v>3810</v>
      </c>
      <c r="G780" s="1" t="s">
        <v>3811</v>
      </c>
      <c r="H780" s="1" t="s">
        <v>45</v>
      </c>
      <c r="I780" s="1" t="s">
        <v>4305</v>
      </c>
      <c r="J780" s="1">
        <v>2022</v>
      </c>
      <c r="K780" s="1" t="s">
        <v>4306</v>
      </c>
      <c r="L780" s="1" t="s">
        <v>4307</v>
      </c>
      <c r="P780" s="1" t="s">
        <v>4308</v>
      </c>
      <c r="Q780" s="1" t="s">
        <v>101</v>
      </c>
      <c r="R780" s="1" t="s">
        <v>102</v>
      </c>
      <c r="S780" s="1" t="s">
        <v>4309</v>
      </c>
      <c r="T780" s="1" t="s">
        <v>4310</v>
      </c>
      <c r="U780" s="1">
        <v>1</v>
      </c>
      <c r="V780" s="1" t="s">
        <v>101</v>
      </c>
      <c r="W780" s="1" t="s">
        <v>4311</v>
      </c>
      <c r="X780" s="1" t="s">
        <v>3819</v>
      </c>
      <c r="Y780" s="10">
        <v>45287</v>
      </c>
      <c r="Z780" s="1">
        <v>2023</v>
      </c>
      <c r="AA780" s="2">
        <v>25190703.77</v>
      </c>
      <c r="AB780" s="2"/>
      <c r="AC780" s="2">
        <v>7557211.1299999999</v>
      </c>
      <c r="AD780" s="1">
        <v>2</v>
      </c>
      <c r="AG780" s="1" t="s">
        <v>56</v>
      </c>
      <c r="AI780" s="2">
        <v>7557211.1299999999</v>
      </c>
    </row>
    <row r="781" spans="1:38" ht="14.45" customHeight="1" x14ac:dyDescent="0.25">
      <c r="A781" s="1" t="s">
        <v>57</v>
      </c>
      <c r="B781" s="9" t="s">
        <v>38</v>
      </c>
      <c r="C781" s="1" t="s">
        <v>40</v>
      </c>
      <c r="D781" s="1" t="s">
        <v>41</v>
      </c>
      <c r="E781" s="1" t="s">
        <v>42</v>
      </c>
      <c r="F781" s="1" t="s">
        <v>4182</v>
      </c>
      <c r="G781" s="1" t="s">
        <v>4183</v>
      </c>
      <c r="H781" s="1" t="s">
        <v>45</v>
      </c>
      <c r="I781" s="1" t="s">
        <v>4312</v>
      </c>
      <c r="J781" s="1">
        <v>2024</v>
      </c>
      <c r="K781" s="1" t="s">
        <v>4313</v>
      </c>
      <c r="L781" s="1" t="s">
        <v>4313</v>
      </c>
      <c r="P781" s="1" t="s">
        <v>4314</v>
      </c>
      <c r="Q781" s="1" t="s">
        <v>101</v>
      </c>
      <c r="R781" s="1" t="s">
        <v>102</v>
      </c>
      <c r="S781" s="1" t="s">
        <v>1950</v>
      </c>
      <c r="T781" s="1" t="s">
        <v>1951</v>
      </c>
      <c r="V781" s="1" t="s">
        <v>101</v>
      </c>
      <c r="W781" s="1" t="s">
        <v>4313</v>
      </c>
      <c r="Y781" s="10">
        <v>45869</v>
      </c>
      <c r="Z781" s="1">
        <v>2025</v>
      </c>
      <c r="AA781" s="2">
        <v>1610951</v>
      </c>
      <c r="AB781" s="3"/>
      <c r="AC781" s="2">
        <v>563125</v>
      </c>
      <c r="AG781" s="1" t="s">
        <v>56</v>
      </c>
      <c r="AI781" s="2">
        <v>563125</v>
      </c>
      <c r="AJ781" s="2"/>
    </row>
    <row r="782" spans="1:38" ht="14.45" customHeight="1" x14ac:dyDescent="0.2">
      <c r="A782" s="1" t="s">
        <v>57</v>
      </c>
      <c r="B782" s="9" t="s">
        <v>39</v>
      </c>
      <c r="C782" s="1" t="s">
        <v>58</v>
      </c>
      <c r="D782" s="1" t="s">
        <v>4315</v>
      </c>
      <c r="E782" s="1" t="s">
        <v>42</v>
      </c>
      <c r="G782" s="1" t="s">
        <v>4316</v>
      </c>
      <c r="H782" s="1" t="s">
        <v>61</v>
      </c>
      <c r="I782" s="1" t="s">
        <v>4317</v>
      </c>
      <c r="J782" s="1">
        <v>2024</v>
      </c>
      <c r="P782" s="1" t="s">
        <v>4318</v>
      </c>
      <c r="Q782" s="1" t="s">
        <v>101</v>
      </c>
      <c r="R782" s="1" t="s">
        <v>102</v>
      </c>
      <c r="S782" s="1" t="s">
        <v>103</v>
      </c>
      <c r="T782" s="1" t="s">
        <v>104</v>
      </c>
      <c r="U782" s="1">
        <v>1</v>
      </c>
      <c r="V782" s="1" t="s">
        <v>101</v>
      </c>
      <c r="Y782" s="10">
        <v>45588</v>
      </c>
      <c r="Z782" s="1">
        <v>2024</v>
      </c>
      <c r="AA782" s="2"/>
      <c r="AB782" s="2"/>
      <c r="AC782" s="2">
        <v>467324.14327060163</v>
      </c>
      <c r="AG782" s="1" t="s">
        <v>56</v>
      </c>
      <c r="AI782" s="2">
        <v>467324.14327060163</v>
      </c>
      <c r="AL782" s="1" t="s">
        <v>4319</v>
      </c>
    </row>
    <row r="783" spans="1:38" ht="14.45" customHeight="1" x14ac:dyDescent="0.2">
      <c r="A783" s="1" t="s">
        <v>57</v>
      </c>
      <c r="B783" s="9" t="s">
        <v>39</v>
      </c>
      <c r="C783" s="1" t="s">
        <v>58</v>
      </c>
      <c r="D783" s="1" t="s">
        <v>4315</v>
      </c>
      <c r="E783" s="1" t="s">
        <v>42</v>
      </c>
      <c r="G783" s="1" t="s">
        <v>4316</v>
      </c>
      <c r="H783" s="1" t="s">
        <v>61</v>
      </c>
      <c r="I783" s="1" t="s">
        <v>4320</v>
      </c>
      <c r="J783" s="1">
        <v>2019</v>
      </c>
      <c r="P783" s="1" t="s">
        <v>4318</v>
      </c>
      <c r="Q783" s="1" t="s">
        <v>101</v>
      </c>
      <c r="R783" s="1" t="s">
        <v>102</v>
      </c>
      <c r="S783" s="1" t="s">
        <v>103</v>
      </c>
      <c r="T783" s="1" t="s">
        <v>104</v>
      </c>
      <c r="U783" s="1">
        <v>1</v>
      </c>
      <c r="V783" s="1" t="s">
        <v>101</v>
      </c>
      <c r="Y783" s="10">
        <v>43647</v>
      </c>
      <c r="Z783" s="1">
        <v>2019</v>
      </c>
      <c r="AA783" s="2"/>
      <c r="AB783" s="2"/>
      <c r="AC783" s="2">
        <v>766629.14999999991</v>
      </c>
      <c r="AG783" s="1" t="s">
        <v>56</v>
      </c>
      <c r="AI783" s="2">
        <v>766629.14999999991</v>
      </c>
      <c r="AL783" s="1" t="s">
        <v>4319</v>
      </c>
    </row>
    <row r="784" spans="1:38" ht="14.45" customHeight="1" x14ac:dyDescent="0.2">
      <c r="A784" s="1" t="s">
        <v>57</v>
      </c>
      <c r="B784" s="9" t="s">
        <v>39</v>
      </c>
      <c r="C784" s="1" t="s">
        <v>58</v>
      </c>
      <c r="D784" s="1" t="s">
        <v>4315</v>
      </c>
      <c r="E784" s="1" t="s">
        <v>42</v>
      </c>
      <c r="G784" s="1" t="s">
        <v>4316</v>
      </c>
      <c r="H784" s="1" t="s">
        <v>61</v>
      </c>
      <c r="I784" s="1" t="s">
        <v>4321</v>
      </c>
      <c r="J784" s="1">
        <v>2020</v>
      </c>
      <c r="P784" s="1" t="s">
        <v>4318</v>
      </c>
      <c r="Q784" s="1" t="s">
        <v>101</v>
      </c>
      <c r="R784" s="1" t="s">
        <v>102</v>
      </c>
      <c r="S784" s="1" t="s">
        <v>103</v>
      </c>
      <c r="T784" s="1" t="s">
        <v>104</v>
      </c>
      <c r="U784" s="1">
        <v>1</v>
      </c>
      <c r="V784" s="1" t="s">
        <v>101</v>
      </c>
      <c r="Y784" s="10">
        <v>44184</v>
      </c>
      <c r="Z784" s="1">
        <v>2020</v>
      </c>
      <c r="AA784" s="2"/>
      <c r="AB784" s="2"/>
      <c r="AC784" s="2">
        <v>531386.74</v>
      </c>
      <c r="AG784" s="1" t="s">
        <v>56</v>
      </c>
      <c r="AI784" s="2">
        <v>531386.74</v>
      </c>
      <c r="AL784" s="1" t="s">
        <v>4319</v>
      </c>
    </row>
    <row r="785" spans="1:38" ht="14.45" customHeight="1" x14ac:dyDescent="0.2">
      <c r="A785" s="1" t="s">
        <v>57</v>
      </c>
      <c r="B785" s="9" t="s">
        <v>39</v>
      </c>
      <c r="C785" s="1" t="s">
        <v>58</v>
      </c>
      <c r="D785" s="1" t="s">
        <v>4315</v>
      </c>
      <c r="E785" s="1" t="s">
        <v>42</v>
      </c>
      <c r="G785" s="1" t="s">
        <v>4316</v>
      </c>
      <c r="H785" s="1" t="s">
        <v>61</v>
      </c>
      <c r="I785" s="1" t="s">
        <v>4322</v>
      </c>
      <c r="J785" s="1">
        <v>2018</v>
      </c>
      <c r="P785" s="1" t="s">
        <v>4318</v>
      </c>
      <c r="Q785" s="1" t="s">
        <v>101</v>
      </c>
      <c r="R785" s="1" t="s">
        <v>102</v>
      </c>
      <c r="S785" s="1" t="s">
        <v>103</v>
      </c>
      <c r="T785" s="1" t="s">
        <v>104</v>
      </c>
      <c r="U785" s="1">
        <v>1</v>
      </c>
      <c r="V785" s="1" t="s">
        <v>101</v>
      </c>
      <c r="Y785" s="10">
        <v>43464</v>
      </c>
      <c r="Z785" s="1">
        <v>2018</v>
      </c>
      <c r="AA785" s="2"/>
      <c r="AB785" s="2"/>
      <c r="AC785" s="2">
        <v>573838.32000000007</v>
      </c>
      <c r="AG785" s="1" t="s">
        <v>56</v>
      </c>
      <c r="AI785" s="2">
        <v>573838.32000000007</v>
      </c>
      <c r="AL785" s="1" t="s">
        <v>4319</v>
      </c>
    </row>
    <row r="786" spans="1:38" ht="14.45" customHeight="1" x14ac:dyDescent="0.2">
      <c r="A786" s="1" t="s">
        <v>57</v>
      </c>
      <c r="B786" s="9" t="s">
        <v>39</v>
      </c>
      <c r="C786" s="1" t="s">
        <v>58</v>
      </c>
      <c r="D786" s="1" t="s">
        <v>4315</v>
      </c>
      <c r="E786" s="1" t="s">
        <v>42</v>
      </c>
      <c r="G786" s="1" t="s">
        <v>4316</v>
      </c>
      <c r="H786" s="1" t="s">
        <v>61</v>
      </c>
      <c r="I786" s="1" t="s">
        <v>4323</v>
      </c>
      <c r="J786" s="1">
        <v>2018</v>
      </c>
      <c r="P786" s="1" t="s">
        <v>4318</v>
      </c>
      <c r="Q786" s="1" t="s">
        <v>101</v>
      </c>
      <c r="R786" s="1" t="s">
        <v>102</v>
      </c>
      <c r="S786" s="1" t="s">
        <v>103</v>
      </c>
      <c r="T786" s="1" t="s">
        <v>104</v>
      </c>
      <c r="U786" s="1">
        <v>1</v>
      </c>
      <c r="V786" s="1" t="s">
        <v>101</v>
      </c>
      <c r="Y786" s="10">
        <v>43464</v>
      </c>
      <c r="Z786" s="1">
        <v>2018</v>
      </c>
      <c r="AA786" s="2"/>
      <c r="AB786" s="2"/>
      <c r="AC786" s="2">
        <v>171920.86</v>
      </c>
      <c r="AG786" s="1" t="s">
        <v>56</v>
      </c>
      <c r="AI786" s="2">
        <v>171920.86</v>
      </c>
      <c r="AL786" s="1" t="s">
        <v>4319</v>
      </c>
    </row>
    <row r="787" spans="1:38" ht="14.45" customHeight="1" x14ac:dyDescent="0.2">
      <c r="A787" s="1" t="s">
        <v>57</v>
      </c>
      <c r="B787" s="9" t="s">
        <v>39</v>
      </c>
      <c r="C787" s="1" t="s">
        <v>58</v>
      </c>
      <c r="D787" s="1" t="s">
        <v>4315</v>
      </c>
      <c r="E787" s="1" t="s">
        <v>42</v>
      </c>
      <c r="G787" s="1" t="s">
        <v>4316</v>
      </c>
      <c r="H787" s="1" t="s">
        <v>61</v>
      </c>
      <c r="I787" s="1" t="s">
        <v>4324</v>
      </c>
      <c r="J787" s="1">
        <v>2018</v>
      </c>
      <c r="P787" s="1" t="s">
        <v>4318</v>
      </c>
      <c r="Q787" s="1" t="s">
        <v>101</v>
      </c>
      <c r="R787" s="1" t="s">
        <v>102</v>
      </c>
      <c r="S787" s="1" t="s">
        <v>103</v>
      </c>
      <c r="T787" s="1" t="s">
        <v>104</v>
      </c>
      <c r="U787" s="1">
        <v>1</v>
      </c>
      <c r="V787" s="1" t="s">
        <v>101</v>
      </c>
      <c r="Y787" s="10">
        <v>43464</v>
      </c>
      <c r="Z787" s="1">
        <v>2018</v>
      </c>
      <c r="AA787" s="2"/>
      <c r="AB787" s="2"/>
      <c r="AC787" s="2">
        <v>521507.92000000004</v>
      </c>
      <c r="AG787" s="1" t="s">
        <v>56</v>
      </c>
      <c r="AI787" s="2">
        <v>521507.92000000004</v>
      </c>
      <c r="AL787" s="1" t="s">
        <v>4319</v>
      </c>
    </row>
    <row r="788" spans="1:38" ht="14.45" customHeight="1" x14ac:dyDescent="0.2">
      <c r="A788" s="1" t="s">
        <v>57</v>
      </c>
      <c r="B788" s="9" t="s">
        <v>39</v>
      </c>
      <c r="C788" s="1" t="s">
        <v>58</v>
      </c>
      <c r="D788" s="1" t="s">
        <v>4315</v>
      </c>
      <c r="E788" s="1" t="s">
        <v>42</v>
      </c>
      <c r="G788" s="1" t="s">
        <v>4316</v>
      </c>
      <c r="H788" s="1" t="s">
        <v>61</v>
      </c>
      <c r="I788" s="1" t="s">
        <v>4325</v>
      </c>
      <c r="J788" s="1">
        <v>2019</v>
      </c>
      <c r="P788" s="1" t="s">
        <v>4318</v>
      </c>
      <c r="Q788" s="1" t="s">
        <v>101</v>
      </c>
      <c r="R788" s="1" t="s">
        <v>102</v>
      </c>
      <c r="S788" s="1" t="s">
        <v>103</v>
      </c>
      <c r="T788" s="1" t="s">
        <v>104</v>
      </c>
      <c r="U788" s="1">
        <v>1</v>
      </c>
      <c r="V788" s="1" t="s">
        <v>101</v>
      </c>
      <c r="Y788" s="10">
        <v>43814</v>
      </c>
      <c r="Z788" s="1">
        <v>2019</v>
      </c>
      <c r="AA788" s="2"/>
      <c r="AB788" s="2"/>
      <c r="AC788" s="2">
        <v>431997.16</v>
      </c>
      <c r="AG788" s="1" t="s">
        <v>56</v>
      </c>
      <c r="AI788" s="2">
        <v>431997.16</v>
      </c>
      <c r="AL788" s="1" t="s">
        <v>4319</v>
      </c>
    </row>
    <row r="789" spans="1:38" ht="14.45" customHeight="1" x14ac:dyDescent="0.2">
      <c r="A789" s="1" t="s">
        <v>57</v>
      </c>
      <c r="B789" s="9" t="s">
        <v>39</v>
      </c>
      <c r="C789" s="1" t="s">
        <v>58</v>
      </c>
      <c r="D789" s="1" t="s">
        <v>4315</v>
      </c>
      <c r="E789" s="1" t="s">
        <v>42</v>
      </c>
      <c r="G789" s="1" t="s">
        <v>4316</v>
      </c>
      <c r="H789" s="1" t="s">
        <v>61</v>
      </c>
      <c r="I789" s="1" t="s">
        <v>4326</v>
      </c>
      <c r="J789" s="1">
        <v>2018</v>
      </c>
      <c r="P789" s="1" t="s">
        <v>4318</v>
      </c>
      <c r="Q789" s="1" t="s">
        <v>101</v>
      </c>
      <c r="R789" s="1" t="s">
        <v>102</v>
      </c>
      <c r="S789" s="1" t="s">
        <v>103</v>
      </c>
      <c r="T789" s="1" t="s">
        <v>104</v>
      </c>
      <c r="U789" s="1">
        <v>1</v>
      </c>
      <c r="V789" s="1" t="s">
        <v>101</v>
      </c>
      <c r="Y789" s="10">
        <v>43465</v>
      </c>
      <c r="Z789" s="1">
        <v>2018</v>
      </c>
      <c r="AA789" s="2"/>
      <c r="AB789" s="2"/>
      <c r="AC789" s="2">
        <v>605503.97</v>
      </c>
      <c r="AG789" s="1" t="s">
        <v>56</v>
      </c>
      <c r="AI789" s="2">
        <v>605503.97</v>
      </c>
      <c r="AL789" s="1" t="s">
        <v>4319</v>
      </c>
    </row>
    <row r="790" spans="1:38" ht="14.45" customHeight="1" x14ac:dyDescent="0.2">
      <c r="A790" s="1" t="s">
        <v>57</v>
      </c>
      <c r="B790" s="9" t="s">
        <v>39</v>
      </c>
      <c r="C790" s="1" t="s">
        <v>58</v>
      </c>
      <c r="D790" s="1" t="s">
        <v>4315</v>
      </c>
      <c r="E790" s="1" t="s">
        <v>42</v>
      </c>
      <c r="G790" s="1" t="s">
        <v>4316</v>
      </c>
      <c r="H790" s="1" t="s">
        <v>61</v>
      </c>
      <c r="I790" s="1" t="s">
        <v>4327</v>
      </c>
      <c r="J790" s="1">
        <v>2020</v>
      </c>
      <c r="P790" s="1" t="s">
        <v>4318</v>
      </c>
      <c r="Q790" s="1" t="s">
        <v>101</v>
      </c>
      <c r="R790" s="1" t="s">
        <v>102</v>
      </c>
      <c r="S790" s="1" t="s">
        <v>103</v>
      </c>
      <c r="T790" s="1" t="s">
        <v>104</v>
      </c>
      <c r="U790" s="1">
        <v>1</v>
      </c>
      <c r="V790" s="1" t="s">
        <v>101</v>
      </c>
      <c r="Y790" s="10">
        <v>43820</v>
      </c>
      <c r="Z790" s="1">
        <v>2019</v>
      </c>
      <c r="AA790" s="2"/>
      <c r="AB790" s="2"/>
      <c r="AC790" s="2">
        <v>217845.13999999998</v>
      </c>
      <c r="AG790" s="1" t="s">
        <v>56</v>
      </c>
      <c r="AI790" s="2">
        <v>217845.13999999998</v>
      </c>
      <c r="AL790" s="1" t="s">
        <v>4319</v>
      </c>
    </row>
    <row r="791" spans="1:38" ht="14.45" customHeight="1" x14ac:dyDescent="0.2">
      <c r="A791" s="1" t="s">
        <v>57</v>
      </c>
      <c r="B791" s="9" t="s">
        <v>39</v>
      </c>
      <c r="C791" s="1" t="s">
        <v>58</v>
      </c>
      <c r="D791" s="1" t="s">
        <v>4315</v>
      </c>
      <c r="E791" s="1" t="s">
        <v>42</v>
      </c>
      <c r="G791" s="1" t="s">
        <v>4316</v>
      </c>
      <c r="H791" s="1" t="s">
        <v>61</v>
      </c>
      <c r="I791" s="1" t="s">
        <v>4328</v>
      </c>
      <c r="J791" s="1">
        <v>2019</v>
      </c>
      <c r="P791" s="1" t="s">
        <v>4329</v>
      </c>
      <c r="Q791" s="1" t="s">
        <v>101</v>
      </c>
      <c r="R791" s="1" t="s">
        <v>102</v>
      </c>
      <c r="S791" s="1" t="s">
        <v>1486</v>
      </c>
      <c r="T791" s="1" t="s">
        <v>1487</v>
      </c>
      <c r="U791" s="1">
        <v>1</v>
      </c>
      <c r="V791" s="1" t="s">
        <v>101</v>
      </c>
      <c r="Y791" s="10">
        <v>43524</v>
      </c>
      <c r="Z791" s="1">
        <v>2019</v>
      </c>
      <c r="AA791" s="2"/>
      <c r="AB791" s="2"/>
      <c r="AC791" s="2">
        <v>407356.35000000003</v>
      </c>
      <c r="AG791" s="1" t="s">
        <v>56</v>
      </c>
      <c r="AI791" s="2">
        <v>407356.35000000003</v>
      </c>
      <c r="AL791" s="1" t="s">
        <v>4319</v>
      </c>
    </row>
    <row r="792" spans="1:38" ht="14.45" customHeight="1" x14ac:dyDescent="0.2">
      <c r="A792" s="1" t="s">
        <v>57</v>
      </c>
      <c r="B792" s="9" t="s">
        <v>39</v>
      </c>
      <c r="C792" s="1" t="s">
        <v>58</v>
      </c>
      <c r="D792" s="1" t="s">
        <v>4315</v>
      </c>
      <c r="E792" s="1" t="s">
        <v>42</v>
      </c>
      <c r="G792" s="1" t="s">
        <v>4316</v>
      </c>
      <c r="H792" s="1" t="s">
        <v>61</v>
      </c>
      <c r="I792" s="1" t="s">
        <v>4330</v>
      </c>
      <c r="J792" s="1">
        <v>2018</v>
      </c>
      <c r="P792" s="1" t="s">
        <v>4318</v>
      </c>
      <c r="Q792" s="1" t="s">
        <v>101</v>
      </c>
      <c r="R792" s="1" t="s">
        <v>102</v>
      </c>
      <c r="S792" s="1" t="s">
        <v>103</v>
      </c>
      <c r="T792" s="1" t="s">
        <v>104</v>
      </c>
      <c r="U792" s="1">
        <v>1</v>
      </c>
      <c r="V792" s="1" t="s">
        <v>101</v>
      </c>
      <c r="Y792" s="10">
        <v>43464</v>
      </c>
      <c r="Z792" s="1">
        <v>2018</v>
      </c>
      <c r="AA792" s="2"/>
      <c r="AB792" s="2"/>
      <c r="AC792" s="2">
        <v>143657.57</v>
      </c>
      <c r="AG792" s="1" t="s">
        <v>56</v>
      </c>
      <c r="AI792" s="2">
        <v>143657.57</v>
      </c>
      <c r="AL792" s="1" t="s">
        <v>4319</v>
      </c>
    </row>
    <row r="793" spans="1:38" ht="14.45" customHeight="1" x14ac:dyDescent="0.2">
      <c r="A793" s="1" t="s">
        <v>57</v>
      </c>
      <c r="B793" s="9" t="s">
        <v>39</v>
      </c>
      <c r="C793" s="1" t="s">
        <v>58</v>
      </c>
      <c r="D793" s="1" t="s">
        <v>4315</v>
      </c>
      <c r="E793" s="1" t="s">
        <v>42</v>
      </c>
      <c r="G793" s="1" t="s">
        <v>4316</v>
      </c>
      <c r="H793" s="1" t="s">
        <v>61</v>
      </c>
      <c r="I793" s="1" t="s">
        <v>4331</v>
      </c>
      <c r="J793" s="1">
        <v>2018</v>
      </c>
      <c r="P793" s="1" t="s">
        <v>4318</v>
      </c>
      <c r="Q793" s="1" t="s">
        <v>101</v>
      </c>
      <c r="R793" s="1" t="s">
        <v>102</v>
      </c>
      <c r="S793" s="1" t="s">
        <v>103</v>
      </c>
      <c r="T793" s="1" t="s">
        <v>104</v>
      </c>
      <c r="U793" s="1">
        <v>1</v>
      </c>
      <c r="V793" s="1" t="s">
        <v>101</v>
      </c>
      <c r="Y793" s="10">
        <v>43464</v>
      </c>
      <c r="Z793" s="1">
        <v>2018</v>
      </c>
      <c r="AA793" s="2"/>
      <c r="AB793" s="2"/>
      <c r="AC793" s="2">
        <v>199446.48000000004</v>
      </c>
      <c r="AG793" s="1" t="s">
        <v>56</v>
      </c>
      <c r="AI793" s="2">
        <v>199446.48000000004</v>
      </c>
      <c r="AL793" s="1" t="s">
        <v>4319</v>
      </c>
    </row>
    <row r="794" spans="1:38" ht="14.45" customHeight="1" x14ac:dyDescent="0.2">
      <c r="A794" s="1" t="s">
        <v>57</v>
      </c>
      <c r="B794" s="9" t="s">
        <v>39</v>
      </c>
      <c r="C794" s="1" t="s">
        <v>58</v>
      </c>
      <c r="D794" s="1" t="s">
        <v>4315</v>
      </c>
      <c r="E794" s="1" t="s">
        <v>42</v>
      </c>
      <c r="G794" s="1" t="s">
        <v>4316</v>
      </c>
      <c r="H794" s="1" t="s">
        <v>61</v>
      </c>
      <c r="I794" s="1" t="s">
        <v>4332</v>
      </c>
      <c r="J794" s="1">
        <v>2018</v>
      </c>
      <c r="P794" s="1" t="s">
        <v>4318</v>
      </c>
      <c r="Q794" s="1" t="s">
        <v>101</v>
      </c>
      <c r="R794" s="1" t="s">
        <v>102</v>
      </c>
      <c r="S794" s="1" t="s">
        <v>103</v>
      </c>
      <c r="T794" s="1" t="s">
        <v>104</v>
      </c>
      <c r="U794" s="1">
        <v>1</v>
      </c>
      <c r="V794" s="1" t="s">
        <v>101</v>
      </c>
      <c r="Y794" s="10">
        <v>43464</v>
      </c>
      <c r="Z794" s="1">
        <v>2018</v>
      </c>
      <c r="AA794" s="2"/>
      <c r="AB794" s="2"/>
      <c r="AC794" s="2">
        <v>191005.44</v>
      </c>
      <c r="AG794" s="1" t="s">
        <v>56</v>
      </c>
      <c r="AI794" s="2">
        <v>191005.44</v>
      </c>
      <c r="AL794" s="1" t="s">
        <v>4319</v>
      </c>
    </row>
    <row r="795" spans="1:38" ht="14.45" customHeight="1" x14ac:dyDescent="0.2">
      <c r="A795" s="1" t="s">
        <v>57</v>
      </c>
      <c r="B795" s="9" t="s">
        <v>39</v>
      </c>
      <c r="C795" s="1" t="s">
        <v>58</v>
      </c>
      <c r="D795" s="1" t="s">
        <v>4315</v>
      </c>
      <c r="E795" s="1" t="s">
        <v>42</v>
      </c>
      <c r="G795" s="1" t="s">
        <v>4316</v>
      </c>
      <c r="H795" s="1" t="s">
        <v>61</v>
      </c>
      <c r="I795" s="1" t="s">
        <v>4333</v>
      </c>
      <c r="J795" s="1">
        <v>2018</v>
      </c>
      <c r="P795" s="1" t="s">
        <v>4318</v>
      </c>
      <c r="Q795" s="1" t="s">
        <v>101</v>
      </c>
      <c r="R795" s="1" t="s">
        <v>102</v>
      </c>
      <c r="S795" s="1" t="s">
        <v>103</v>
      </c>
      <c r="T795" s="1" t="s">
        <v>104</v>
      </c>
      <c r="U795" s="1">
        <v>1</v>
      </c>
      <c r="V795" s="1" t="s">
        <v>101</v>
      </c>
      <c r="Y795" s="10">
        <v>43464</v>
      </c>
      <c r="Z795" s="1">
        <v>2018</v>
      </c>
      <c r="AA795" s="2"/>
      <c r="AB795" s="2"/>
      <c r="AC795" s="2">
        <v>287159.90000000002</v>
      </c>
      <c r="AG795" s="1" t="s">
        <v>56</v>
      </c>
      <c r="AI795" s="2">
        <v>287159.90000000002</v>
      </c>
      <c r="AL795" s="1" t="s">
        <v>4319</v>
      </c>
    </row>
    <row r="796" spans="1:38" ht="14.45" customHeight="1" x14ac:dyDescent="0.2">
      <c r="A796" s="1" t="s">
        <v>57</v>
      </c>
      <c r="B796" s="9" t="s">
        <v>39</v>
      </c>
      <c r="C796" s="1" t="s">
        <v>58</v>
      </c>
      <c r="D796" s="1" t="s">
        <v>4315</v>
      </c>
      <c r="E796" s="1" t="s">
        <v>42</v>
      </c>
      <c r="G796" s="1" t="s">
        <v>4316</v>
      </c>
      <c r="H796" s="1" t="s">
        <v>61</v>
      </c>
      <c r="I796" s="1" t="s">
        <v>4334</v>
      </c>
      <c r="J796" s="1">
        <v>2018</v>
      </c>
      <c r="P796" s="1" t="s">
        <v>4318</v>
      </c>
      <c r="Q796" s="1" t="s">
        <v>101</v>
      </c>
      <c r="R796" s="1" t="s">
        <v>102</v>
      </c>
      <c r="S796" s="1" t="s">
        <v>103</v>
      </c>
      <c r="T796" s="1" t="s">
        <v>104</v>
      </c>
      <c r="U796" s="1">
        <v>1</v>
      </c>
      <c r="V796" s="1" t="s">
        <v>101</v>
      </c>
      <c r="Y796" s="10">
        <v>43464</v>
      </c>
      <c r="Z796" s="1">
        <v>2018</v>
      </c>
      <c r="AA796" s="2"/>
      <c r="AB796" s="2"/>
      <c r="AC796" s="2">
        <v>257188.06</v>
      </c>
      <c r="AG796" s="1" t="s">
        <v>56</v>
      </c>
      <c r="AI796" s="2">
        <v>257188.06</v>
      </c>
      <c r="AL796" s="1" t="s">
        <v>4319</v>
      </c>
    </row>
    <row r="797" spans="1:38" ht="14.45" customHeight="1" x14ac:dyDescent="0.2">
      <c r="A797" s="1" t="s">
        <v>57</v>
      </c>
      <c r="B797" s="9" t="s">
        <v>39</v>
      </c>
      <c r="C797" s="1" t="s">
        <v>58</v>
      </c>
      <c r="D797" s="1" t="s">
        <v>4315</v>
      </c>
      <c r="E797" s="1" t="s">
        <v>42</v>
      </c>
      <c r="G797" s="1" t="s">
        <v>4316</v>
      </c>
      <c r="H797" s="1" t="s">
        <v>61</v>
      </c>
      <c r="I797" s="1" t="s">
        <v>4335</v>
      </c>
      <c r="J797" s="1">
        <v>2022</v>
      </c>
      <c r="P797" s="1" t="s">
        <v>4329</v>
      </c>
      <c r="Q797" s="1" t="s">
        <v>101</v>
      </c>
      <c r="R797" s="1" t="s">
        <v>102</v>
      </c>
      <c r="S797" s="1" t="s">
        <v>103</v>
      </c>
      <c r="T797" s="1" t="s">
        <v>104</v>
      </c>
      <c r="U797" s="1">
        <v>1</v>
      </c>
      <c r="V797" s="1" t="s">
        <v>101</v>
      </c>
      <c r="Y797" s="10">
        <v>44562</v>
      </c>
      <c r="Z797" s="1">
        <v>2022</v>
      </c>
      <c r="AA797" s="2"/>
      <c r="AB797" s="2"/>
      <c r="AC797" s="2">
        <v>713597.1</v>
      </c>
      <c r="AG797" s="1" t="s">
        <v>56</v>
      </c>
      <c r="AI797" s="2">
        <v>713597.1</v>
      </c>
      <c r="AL797" s="1" t="s">
        <v>4319</v>
      </c>
    </row>
    <row r="798" spans="1:38" ht="14.45" customHeight="1" x14ac:dyDescent="0.2">
      <c r="A798" s="1" t="s">
        <v>57</v>
      </c>
      <c r="B798" s="9" t="s">
        <v>39</v>
      </c>
      <c r="C798" s="1" t="s">
        <v>58</v>
      </c>
      <c r="D798" s="1" t="s">
        <v>4315</v>
      </c>
      <c r="E798" s="1" t="s">
        <v>42</v>
      </c>
      <c r="G798" s="1" t="s">
        <v>4316</v>
      </c>
      <c r="H798" s="1" t="s">
        <v>61</v>
      </c>
      <c r="I798" s="1" t="s">
        <v>4336</v>
      </c>
      <c r="J798" s="1">
        <v>2023</v>
      </c>
      <c r="P798" s="1" t="s">
        <v>4318</v>
      </c>
      <c r="Q798" s="1" t="s">
        <v>101</v>
      </c>
      <c r="R798" s="1" t="s">
        <v>102</v>
      </c>
      <c r="S798" s="1" t="s">
        <v>103</v>
      </c>
      <c r="T798" s="1" t="s">
        <v>104</v>
      </c>
      <c r="U798" s="1">
        <v>1</v>
      </c>
      <c r="V798" s="1" t="s">
        <v>101</v>
      </c>
      <c r="Y798" s="10">
        <v>45069</v>
      </c>
      <c r="Z798" s="1">
        <v>2023</v>
      </c>
      <c r="AA798" s="2"/>
      <c r="AB798" s="2"/>
      <c r="AC798" s="2">
        <v>561147.15</v>
      </c>
      <c r="AG798" s="1" t="s">
        <v>56</v>
      </c>
      <c r="AI798" s="2">
        <v>561147.15</v>
      </c>
      <c r="AL798" s="1" t="s">
        <v>4319</v>
      </c>
    </row>
    <row r="799" spans="1:38" ht="14.45" customHeight="1" x14ac:dyDescent="0.2">
      <c r="A799" s="1" t="s">
        <v>57</v>
      </c>
      <c r="B799" s="9" t="s">
        <v>39</v>
      </c>
      <c r="C799" s="1" t="s">
        <v>58</v>
      </c>
      <c r="D799" s="1" t="s">
        <v>4315</v>
      </c>
      <c r="E799" s="1" t="s">
        <v>42</v>
      </c>
      <c r="G799" s="1" t="s">
        <v>4316</v>
      </c>
      <c r="H799" s="1" t="s">
        <v>61</v>
      </c>
      <c r="I799" s="1" t="s">
        <v>4337</v>
      </c>
      <c r="J799" s="1">
        <v>2022</v>
      </c>
      <c r="P799" s="1" t="s">
        <v>4318</v>
      </c>
      <c r="Q799" s="1" t="s">
        <v>101</v>
      </c>
      <c r="R799" s="1" t="s">
        <v>102</v>
      </c>
      <c r="S799" s="1" t="s">
        <v>103</v>
      </c>
      <c r="T799" s="1" t="s">
        <v>104</v>
      </c>
      <c r="U799" s="1">
        <v>1</v>
      </c>
      <c r="V799" s="1" t="s">
        <v>101</v>
      </c>
      <c r="Y799" s="10">
        <v>44599</v>
      </c>
      <c r="Z799" s="1">
        <v>2022</v>
      </c>
      <c r="AA799" s="2"/>
      <c r="AB799" s="2"/>
      <c r="AC799" s="2">
        <v>651464.41999999993</v>
      </c>
      <c r="AG799" s="1" t="s">
        <v>56</v>
      </c>
      <c r="AI799" s="2">
        <v>651464.41999999993</v>
      </c>
      <c r="AL799" s="1" t="s">
        <v>4319</v>
      </c>
    </row>
    <row r="800" spans="1:38" ht="14.45" customHeight="1" x14ac:dyDescent="0.2">
      <c r="A800" s="1" t="s">
        <v>57</v>
      </c>
      <c r="B800" s="9" t="s">
        <v>39</v>
      </c>
      <c r="C800" s="1" t="s">
        <v>58</v>
      </c>
      <c r="D800" s="1" t="s">
        <v>4315</v>
      </c>
      <c r="E800" s="1" t="s">
        <v>42</v>
      </c>
      <c r="G800" s="1" t="s">
        <v>4316</v>
      </c>
      <c r="H800" s="1" t="s">
        <v>61</v>
      </c>
      <c r="I800" s="1" t="s">
        <v>4338</v>
      </c>
      <c r="J800" s="1">
        <v>2018</v>
      </c>
      <c r="P800" s="1" t="s">
        <v>4318</v>
      </c>
      <c r="Q800" s="1" t="s">
        <v>101</v>
      </c>
      <c r="R800" s="1" t="s">
        <v>102</v>
      </c>
      <c r="S800" s="1" t="s">
        <v>103</v>
      </c>
      <c r="T800" s="1" t="s">
        <v>104</v>
      </c>
      <c r="U800" s="1">
        <v>1</v>
      </c>
      <c r="V800" s="1" t="s">
        <v>101</v>
      </c>
      <c r="Y800" s="10">
        <v>43464</v>
      </c>
      <c r="Z800" s="1">
        <v>2018</v>
      </c>
      <c r="AA800" s="2"/>
      <c r="AB800" s="2"/>
      <c r="AC800" s="2">
        <v>531071.92000000004</v>
      </c>
      <c r="AG800" s="1" t="s">
        <v>56</v>
      </c>
      <c r="AI800" s="2">
        <v>531071.92000000004</v>
      </c>
      <c r="AL800" s="1" t="s">
        <v>4319</v>
      </c>
    </row>
    <row r="801" spans="1:38" ht="14.45" customHeight="1" x14ac:dyDescent="0.2">
      <c r="A801" s="1" t="s">
        <v>57</v>
      </c>
      <c r="B801" s="9" t="s">
        <v>39</v>
      </c>
      <c r="C801" s="1" t="s">
        <v>58</v>
      </c>
      <c r="D801" s="1" t="s">
        <v>4315</v>
      </c>
      <c r="E801" s="1" t="s">
        <v>42</v>
      </c>
      <c r="G801" s="1" t="s">
        <v>4316</v>
      </c>
      <c r="H801" s="1" t="s">
        <v>61</v>
      </c>
      <c r="I801" s="1" t="s">
        <v>4339</v>
      </c>
      <c r="J801" s="1">
        <v>2018</v>
      </c>
      <c r="P801" s="1" t="s">
        <v>4318</v>
      </c>
      <c r="Q801" s="1" t="s">
        <v>101</v>
      </c>
      <c r="R801" s="1" t="s">
        <v>102</v>
      </c>
      <c r="S801" s="1" t="s">
        <v>103</v>
      </c>
      <c r="T801" s="1" t="s">
        <v>104</v>
      </c>
      <c r="U801" s="1">
        <v>1</v>
      </c>
      <c r="V801" s="1" t="s">
        <v>101</v>
      </c>
      <c r="Y801" s="10">
        <v>43464</v>
      </c>
      <c r="Z801" s="1">
        <v>2018</v>
      </c>
      <c r="AA801" s="2"/>
      <c r="AB801" s="2"/>
      <c r="AC801" s="2">
        <v>713820.4800000001</v>
      </c>
      <c r="AG801" s="1" t="s">
        <v>56</v>
      </c>
      <c r="AI801" s="2">
        <v>713820.4800000001</v>
      </c>
      <c r="AL801" s="1" t="s">
        <v>4319</v>
      </c>
    </row>
    <row r="802" spans="1:38" ht="14.45" customHeight="1" x14ac:dyDescent="0.2">
      <c r="A802" s="1" t="s">
        <v>57</v>
      </c>
      <c r="B802" s="9" t="s">
        <v>39</v>
      </c>
      <c r="C802" s="1" t="s">
        <v>58</v>
      </c>
      <c r="D802" s="1" t="s">
        <v>4315</v>
      </c>
      <c r="E802" s="1" t="s">
        <v>42</v>
      </c>
      <c r="G802" s="1" t="s">
        <v>4340</v>
      </c>
      <c r="H802" s="1" t="s">
        <v>61</v>
      </c>
      <c r="I802" s="1" t="s">
        <v>4341</v>
      </c>
      <c r="J802" s="1">
        <v>2019</v>
      </c>
      <c r="P802" s="1" t="s">
        <v>4329</v>
      </c>
      <c r="Q802" s="1" t="s">
        <v>101</v>
      </c>
      <c r="R802" s="1" t="s">
        <v>102</v>
      </c>
      <c r="S802" s="1" t="s">
        <v>1486</v>
      </c>
      <c r="T802" s="1" t="s">
        <v>1487</v>
      </c>
      <c r="U802" s="1">
        <v>1</v>
      </c>
      <c r="V802" s="1" t="s">
        <v>101</v>
      </c>
      <c r="Y802" s="10">
        <v>43809</v>
      </c>
      <c r="Z802" s="1">
        <v>2019</v>
      </c>
      <c r="AA802" s="2"/>
      <c r="AB802" s="2"/>
      <c r="AC802" s="2">
        <v>19025.36</v>
      </c>
      <c r="AG802" s="1" t="s">
        <v>56</v>
      </c>
      <c r="AI802" s="2">
        <v>19025.36</v>
      </c>
    </row>
    <row r="803" spans="1:38" ht="14.45" customHeight="1" x14ac:dyDescent="0.2">
      <c r="A803" s="1" t="s">
        <v>57</v>
      </c>
      <c r="B803" s="9" t="s">
        <v>39</v>
      </c>
      <c r="C803" s="1" t="s">
        <v>58</v>
      </c>
      <c r="D803" s="1" t="s">
        <v>4315</v>
      </c>
      <c r="E803" s="1" t="s">
        <v>42</v>
      </c>
      <c r="G803" s="1" t="s">
        <v>4340</v>
      </c>
      <c r="H803" s="1" t="s">
        <v>61</v>
      </c>
      <c r="I803" s="1" t="s">
        <v>4342</v>
      </c>
      <c r="J803" s="1">
        <v>2019</v>
      </c>
      <c r="P803" s="1" t="s">
        <v>4329</v>
      </c>
      <c r="Q803" s="1" t="s">
        <v>101</v>
      </c>
      <c r="R803" s="1" t="s">
        <v>102</v>
      </c>
      <c r="S803" s="1" t="s">
        <v>1486</v>
      </c>
      <c r="T803" s="1" t="s">
        <v>1487</v>
      </c>
      <c r="U803" s="1">
        <v>1</v>
      </c>
      <c r="V803" s="1" t="s">
        <v>101</v>
      </c>
      <c r="Y803" s="10">
        <v>43809</v>
      </c>
      <c r="Z803" s="1">
        <v>2019</v>
      </c>
      <c r="AA803" s="2"/>
      <c r="AB803" s="2"/>
      <c r="AC803" s="2">
        <v>19273.78</v>
      </c>
      <c r="AG803" s="1" t="s">
        <v>56</v>
      </c>
      <c r="AI803" s="2">
        <v>19273.78</v>
      </c>
    </row>
    <row r="804" spans="1:38" ht="14.45" customHeight="1" x14ac:dyDescent="0.2">
      <c r="A804" s="1" t="s">
        <v>57</v>
      </c>
      <c r="B804" s="9" t="s">
        <v>39</v>
      </c>
      <c r="C804" s="1" t="s">
        <v>58</v>
      </c>
      <c r="D804" s="1" t="s">
        <v>4315</v>
      </c>
      <c r="E804" s="1" t="s">
        <v>42</v>
      </c>
      <c r="G804" s="1" t="s">
        <v>4340</v>
      </c>
      <c r="H804" s="1" t="s">
        <v>61</v>
      </c>
      <c r="I804" s="1" t="s">
        <v>4343</v>
      </c>
      <c r="J804" s="1">
        <v>2021</v>
      </c>
      <c r="P804" s="1" t="s">
        <v>4329</v>
      </c>
      <c r="Q804" s="1" t="s">
        <v>101</v>
      </c>
      <c r="R804" s="1" t="s">
        <v>102</v>
      </c>
      <c r="S804" s="1" t="s">
        <v>1486</v>
      </c>
      <c r="T804" s="1" t="s">
        <v>1487</v>
      </c>
      <c r="U804" s="1">
        <v>1</v>
      </c>
      <c r="V804" s="1" t="s">
        <v>101</v>
      </c>
      <c r="Y804" s="10">
        <v>44322</v>
      </c>
      <c r="Z804" s="1">
        <v>2021</v>
      </c>
      <c r="AA804" s="2"/>
      <c r="AB804" s="2"/>
      <c r="AC804" s="2">
        <v>15658.45</v>
      </c>
      <c r="AG804" s="1" t="s">
        <v>56</v>
      </c>
      <c r="AI804" s="2">
        <v>15658.45</v>
      </c>
    </row>
    <row r="805" spans="1:38" ht="14.45" customHeight="1" x14ac:dyDescent="0.2">
      <c r="A805" s="1" t="s">
        <v>57</v>
      </c>
      <c r="B805" s="9" t="s">
        <v>39</v>
      </c>
      <c r="C805" s="1" t="s">
        <v>58</v>
      </c>
      <c r="D805" s="1" t="s">
        <v>59</v>
      </c>
      <c r="E805" s="1" t="s">
        <v>42</v>
      </c>
      <c r="G805" s="1" t="s">
        <v>60</v>
      </c>
      <c r="H805" s="1" t="s">
        <v>61</v>
      </c>
      <c r="I805" s="1" t="s">
        <v>4344</v>
      </c>
      <c r="J805" s="1" t="s">
        <v>82</v>
      </c>
      <c r="K805" s="1" t="s">
        <v>4345</v>
      </c>
      <c r="P805" s="1" t="s">
        <v>4346</v>
      </c>
      <c r="Q805" s="1" t="s">
        <v>101</v>
      </c>
      <c r="R805" s="1" t="s">
        <v>339</v>
      </c>
      <c r="S805" s="1" t="s">
        <v>340</v>
      </c>
      <c r="T805" s="1" t="s">
        <v>341</v>
      </c>
      <c r="U805" s="1">
        <v>1</v>
      </c>
      <c r="V805" s="1" t="s">
        <v>80</v>
      </c>
      <c r="W805" s="1" t="s">
        <v>4345</v>
      </c>
      <c r="X805" s="1" t="s">
        <v>145</v>
      </c>
      <c r="Y805" s="10">
        <v>44113</v>
      </c>
      <c r="Z805" s="1">
        <v>2020</v>
      </c>
      <c r="AA805" s="2">
        <v>5980017.9100000001</v>
      </c>
      <c r="AB805" s="2"/>
      <c r="AC805" s="2">
        <v>673750</v>
      </c>
      <c r="AD805" s="1">
        <v>21</v>
      </c>
      <c r="AE805" s="1">
        <v>14</v>
      </c>
      <c r="AG805" s="1" t="s">
        <v>432</v>
      </c>
      <c r="AH805" s="1" t="s">
        <v>492</v>
      </c>
      <c r="AI805" s="2">
        <v>0</v>
      </c>
    </row>
    <row r="806" spans="1:38" ht="14.45" customHeight="1" x14ac:dyDescent="0.2">
      <c r="A806" s="1" t="s">
        <v>57</v>
      </c>
      <c r="B806" s="9" t="s">
        <v>39</v>
      </c>
      <c r="C806" s="1" t="s">
        <v>58</v>
      </c>
      <c r="D806" s="1" t="s">
        <v>59</v>
      </c>
      <c r="E806" s="1" t="s">
        <v>42</v>
      </c>
      <c r="G806" s="1" t="s">
        <v>60</v>
      </c>
      <c r="H806" s="1" t="s">
        <v>61</v>
      </c>
      <c r="I806" s="1" t="s">
        <v>4347</v>
      </c>
      <c r="J806" s="1" t="s">
        <v>82</v>
      </c>
      <c r="K806" s="38" t="s">
        <v>4348</v>
      </c>
      <c r="P806" s="1" t="s">
        <v>4349</v>
      </c>
      <c r="Q806" s="1" t="s">
        <v>101</v>
      </c>
      <c r="R806" s="1" t="s">
        <v>102</v>
      </c>
      <c r="S806" s="1" t="s">
        <v>103</v>
      </c>
      <c r="T806" s="1" t="s">
        <v>104</v>
      </c>
      <c r="U806" s="1">
        <v>1</v>
      </c>
      <c r="V806" s="1" t="s">
        <v>101</v>
      </c>
      <c r="W806" s="1" t="s">
        <v>4350</v>
      </c>
      <c r="X806" s="1" t="s">
        <v>87</v>
      </c>
      <c r="Y806" s="10">
        <v>44299</v>
      </c>
      <c r="Z806" s="1">
        <v>2021</v>
      </c>
      <c r="AA806" s="2">
        <v>307741.19</v>
      </c>
      <c r="AB806" s="2"/>
      <c r="AC806" s="2">
        <v>76935.3</v>
      </c>
      <c r="AD806" s="1">
        <v>3</v>
      </c>
      <c r="AE806" s="1">
        <v>1</v>
      </c>
      <c r="AG806" s="1" t="s">
        <v>432</v>
      </c>
      <c r="AH806" s="1" t="s">
        <v>492</v>
      </c>
      <c r="AI806" s="2">
        <v>0</v>
      </c>
    </row>
    <row r="807" spans="1:38" ht="14.45" customHeight="1" x14ac:dyDescent="0.2">
      <c r="A807" s="1" t="s">
        <v>57</v>
      </c>
      <c r="B807" s="9" t="s">
        <v>39</v>
      </c>
      <c r="C807" s="1" t="s">
        <v>58</v>
      </c>
      <c r="D807" s="1" t="s">
        <v>59</v>
      </c>
      <c r="E807" s="1" t="s">
        <v>42</v>
      </c>
      <c r="G807" s="1" t="s">
        <v>60</v>
      </c>
      <c r="H807" s="1" t="s">
        <v>61</v>
      </c>
      <c r="I807" s="1" t="s">
        <v>4351</v>
      </c>
      <c r="J807" s="1" t="s">
        <v>82</v>
      </c>
      <c r="K807" s="1" t="s">
        <v>4352</v>
      </c>
      <c r="P807" s="1" t="s">
        <v>4353</v>
      </c>
      <c r="Q807" s="1" t="s">
        <v>101</v>
      </c>
      <c r="R807" s="1" t="s">
        <v>102</v>
      </c>
      <c r="S807" s="1" t="s">
        <v>1486</v>
      </c>
      <c r="T807" s="1" t="s">
        <v>1487</v>
      </c>
      <c r="U807" s="1">
        <v>1</v>
      </c>
      <c r="V807" s="1" t="s">
        <v>101</v>
      </c>
      <c r="W807" s="1" t="s">
        <v>4354</v>
      </c>
      <c r="X807" s="1" t="s">
        <v>321</v>
      </c>
      <c r="Y807" s="10">
        <v>44181</v>
      </c>
      <c r="Z807" s="1">
        <v>2020</v>
      </c>
      <c r="AA807" s="2">
        <v>636316.31000000006</v>
      </c>
      <c r="AB807" s="2"/>
      <c r="AC807" s="2">
        <v>78750</v>
      </c>
      <c r="AD807" s="1">
        <v>3</v>
      </c>
      <c r="AG807" s="1" t="s">
        <v>432</v>
      </c>
      <c r="AH807" s="1" t="s">
        <v>492</v>
      </c>
      <c r="AI807" s="2">
        <v>0</v>
      </c>
    </row>
    <row r="808" spans="1:38" ht="14.45" customHeight="1" x14ac:dyDescent="0.2">
      <c r="A808" s="1" t="s">
        <v>57</v>
      </c>
      <c r="B808" s="9" t="s">
        <v>39</v>
      </c>
      <c r="C808" s="1" t="s">
        <v>58</v>
      </c>
      <c r="D808" s="1" t="s">
        <v>59</v>
      </c>
      <c r="E808" s="1" t="s">
        <v>42</v>
      </c>
      <c r="G808" s="1" t="s">
        <v>60</v>
      </c>
      <c r="H808" s="1" t="s">
        <v>61</v>
      </c>
      <c r="I808" s="1" t="s">
        <v>4355</v>
      </c>
      <c r="J808" s="1" t="s">
        <v>82</v>
      </c>
      <c r="K808" s="1" t="s">
        <v>4356</v>
      </c>
      <c r="P808" s="1" t="s">
        <v>4357</v>
      </c>
      <c r="Q808" s="1" t="s">
        <v>101</v>
      </c>
      <c r="R808" s="1" t="s">
        <v>326</v>
      </c>
      <c r="S808" s="1" t="s">
        <v>327</v>
      </c>
      <c r="T808" s="1" t="s">
        <v>328</v>
      </c>
      <c r="U808" s="1">
        <v>2</v>
      </c>
      <c r="V808" s="1" t="s">
        <v>80</v>
      </c>
      <c r="W808" s="1" t="s">
        <v>4358</v>
      </c>
      <c r="X808" s="1" t="s">
        <v>400</v>
      </c>
      <c r="Y808" s="10">
        <v>44817</v>
      </c>
      <c r="Z808" s="1">
        <v>2022</v>
      </c>
      <c r="AA808" s="2">
        <v>1391894.47</v>
      </c>
      <c r="AB808" s="2"/>
      <c r="AC808" s="2">
        <v>139189.45000000001</v>
      </c>
      <c r="AD808" s="1">
        <v>10</v>
      </c>
      <c r="AE808" s="1">
        <v>6</v>
      </c>
      <c r="AG808" s="1" t="s">
        <v>432</v>
      </c>
      <c r="AH808" s="1" t="s">
        <v>4359</v>
      </c>
      <c r="AI808" s="2">
        <v>0</v>
      </c>
    </row>
    <row r="809" spans="1:38" ht="14.45" customHeight="1" x14ac:dyDescent="0.2">
      <c r="A809" s="1" t="s">
        <v>57</v>
      </c>
      <c r="B809" s="9" t="s">
        <v>39</v>
      </c>
      <c r="C809" s="1" t="s">
        <v>58</v>
      </c>
      <c r="D809" s="1" t="s">
        <v>59</v>
      </c>
      <c r="E809" s="1" t="s">
        <v>42</v>
      </c>
      <c r="G809" s="1" t="s">
        <v>60</v>
      </c>
      <c r="H809" s="1" t="s">
        <v>61</v>
      </c>
      <c r="I809" s="1" t="s">
        <v>4360</v>
      </c>
      <c r="J809" s="1" t="s">
        <v>82</v>
      </c>
      <c r="K809" s="1" t="s">
        <v>4361</v>
      </c>
      <c r="P809" s="1" t="s">
        <v>1933</v>
      </c>
      <c r="Q809" s="1" t="s">
        <v>101</v>
      </c>
      <c r="R809" s="1" t="s">
        <v>102</v>
      </c>
      <c r="S809" s="1" t="s">
        <v>103</v>
      </c>
      <c r="T809" s="1" t="s">
        <v>104</v>
      </c>
      <c r="U809" s="1">
        <v>1</v>
      </c>
      <c r="V809" s="1" t="s">
        <v>101</v>
      </c>
      <c r="W809" s="1" t="s">
        <v>4362</v>
      </c>
      <c r="X809" s="1" t="s">
        <v>145</v>
      </c>
      <c r="Y809" s="10">
        <v>44299</v>
      </c>
      <c r="Z809" s="1">
        <v>2021</v>
      </c>
      <c r="AA809" s="2">
        <v>468160.4</v>
      </c>
      <c r="AB809" s="2"/>
      <c r="AC809" s="2">
        <v>105000</v>
      </c>
      <c r="AD809" s="1">
        <v>3</v>
      </c>
      <c r="AE809" s="1">
        <v>3</v>
      </c>
      <c r="AG809" s="1" t="s">
        <v>432</v>
      </c>
      <c r="AH809" s="1" t="s">
        <v>492</v>
      </c>
      <c r="AI809" s="2">
        <v>0</v>
      </c>
      <c r="AK809" s="1" t="s">
        <v>301</v>
      </c>
    </row>
    <row r="810" spans="1:38" ht="14.45" customHeight="1" x14ac:dyDescent="0.2">
      <c r="A810" s="1" t="s">
        <v>57</v>
      </c>
      <c r="B810" s="9" t="s">
        <v>39</v>
      </c>
      <c r="C810" s="1" t="s">
        <v>58</v>
      </c>
      <c r="D810" s="1" t="s">
        <v>59</v>
      </c>
      <c r="E810" s="1" t="s">
        <v>42</v>
      </c>
      <c r="G810" s="1" t="s">
        <v>60</v>
      </c>
      <c r="H810" s="1" t="s">
        <v>61</v>
      </c>
      <c r="I810" s="1" t="s">
        <v>4363</v>
      </c>
      <c r="J810" s="1" t="s">
        <v>82</v>
      </c>
      <c r="K810" s="1" t="s">
        <v>4356</v>
      </c>
      <c r="P810" s="1" t="s">
        <v>4364</v>
      </c>
      <c r="Q810" s="1" t="s">
        <v>101</v>
      </c>
      <c r="R810" s="1" t="s">
        <v>326</v>
      </c>
      <c r="S810" s="1" t="s">
        <v>327</v>
      </c>
      <c r="T810" s="1" t="s">
        <v>328</v>
      </c>
      <c r="U810" s="1">
        <v>2</v>
      </c>
      <c r="V810" s="1" t="s">
        <v>80</v>
      </c>
      <c r="W810" s="1" t="s">
        <v>4358</v>
      </c>
      <c r="X810" s="1" t="s">
        <v>400</v>
      </c>
      <c r="Y810" s="10">
        <v>44299</v>
      </c>
      <c r="Z810" s="1">
        <v>2021</v>
      </c>
      <c r="AA810" s="2">
        <v>2381991.61</v>
      </c>
      <c r="AB810" s="2"/>
      <c r="AC810" s="2">
        <v>154000</v>
      </c>
      <c r="AD810" s="1">
        <v>8</v>
      </c>
      <c r="AE810" s="1">
        <v>5</v>
      </c>
      <c r="AG810" s="1" t="s">
        <v>432</v>
      </c>
      <c r="AH810" s="1" t="s">
        <v>492</v>
      </c>
      <c r="AI810" s="2">
        <v>0</v>
      </c>
    </row>
    <row r="811" spans="1:38" ht="14.45" customHeight="1" x14ac:dyDescent="0.2">
      <c r="A811" s="1" t="s">
        <v>57</v>
      </c>
      <c r="B811" s="9" t="s">
        <v>39</v>
      </c>
      <c r="C811" s="1" t="s">
        <v>58</v>
      </c>
      <c r="D811" s="1" t="s">
        <v>59</v>
      </c>
      <c r="E811" s="1" t="s">
        <v>42</v>
      </c>
      <c r="G811" s="1" t="s">
        <v>60</v>
      </c>
      <c r="H811" s="1" t="s">
        <v>61</v>
      </c>
      <c r="I811" s="1" t="s">
        <v>4365</v>
      </c>
      <c r="J811" s="1" t="s">
        <v>82</v>
      </c>
      <c r="K811" s="1" t="s">
        <v>4366</v>
      </c>
      <c r="P811" s="1" t="s">
        <v>4367</v>
      </c>
      <c r="Q811" s="1" t="s">
        <v>101</v>
      </c>
      <c r="R811" s="1" t="s">
        <v>102</v>
      </c>
      <c r="S811" s="1" t="s">
        <v>255</v>
      </c>
      <c r="T811" s="1" t="s">
        <v>256</v>
      </c>
      <c r="U811" s="1">
        <v>1</v>
      </c>
      <c r="V811" s="1" t="s">
        <v>101</v>
      </c>
      <c r="W811" s="1" t="s">
        <v>4366</v>
      </c>
      <c r="X811" s="1" t="s">
        <v>87</v>
      </c>
      <c r="Y811" s="10">
        <v>44747</v>
      </c>
      <c r="Z811" s="1">
        <v>2022</v>
      </c>
      <c r="AA811" s="2">
        <v>819166.4</v>
      </c>
      <c r="AB811" s="2"/>
      <c r="AC811" s="2">
        <v>87500</v>
      </c>
      <c r="AD811" s="1">
        <v>3</v>
      </c>
      <c r="AE811" s="1">
        <v>1</v>
      </c>
      <c r="AG811" s="1" t="s">
        <v>432</v>
      </c>
      <c r="AH811" s="1" t="s">
        <v>492</v>
      </c>
      <c r="AI811" s="2">
        <v>0</v>
      </c>
      <c r="AK811" s="1" t="s">
        <v>600</v>
      </c>
    </row>
    <row r="812" spans="1:38" ht="14.45" customHeight="1" x14ac:dyDescent="0.2">
      <c r="A812" s="1" t="s">
        <v>57</v>
      </c>
      <c r="B812" s="9" t="s">
        <v>39</v>
      </c>
      <c r="C812" s="1" t="s">
        <v>58</v>
      </c>
      <c r="D812" s="1" t="s">
        <v>59</v>
      </c>
      <c r="E812" s="1" t="s">
        <v>42</v>
      </c>
      <c r="G812" s="1" t="s">
        <v>60</v>
      </c>
      <c r="H812" s="1" t="s">
        <v>61</v>
      </c>
      <c r="I812" s="1" t="s">
        <v>4368</v>
      </c>
      <c r="J812" s="1" t="s">
        <v>82</v>
      </c>
      <c r="K812" s="1" t="s">
        <v>4369</v>
      </c>
      <c r="P812" s="1" t="s">
        <v>4370</v>
      </c>
      <c r="Q812" s="1" t="s">
        <v>101</v>
      </c>
      <c r="R812" s="1" t="s">
        <v>102</v>
      </c>
      <c r="S812" s="1" t="s">
        <v>637</v>
      </c>
      <c r="T812" s="1" t="s">
        <v>638</v>
      </c>
      <c r="U812" s="1">
        <v>1</v>
      </c>
      <c r="V812" s="1" t="s">
        <v>101</v>
      </c>
      <c r="W812" s="1" t="s">
        <v>4369</v>
      </c>
      <c r="X812" s="1" t="s">
        <v>87</v>
      </c>
      <c r="Y812" s="10">
        <v>44893</v>
      </c>
      <c r="Z812" s="1">
        <v>2022</v>
      </c>
      <c r="AA812" s="2">
        <v>1065512</v>
      </c>
      <c r="AB812" s="2"/>
      <c r="AC812" s="2">
        <v>201250</v>
      </c>
      <c r="AD812" s="1">
        <v>6</v>
      </c>
      <c r="AE812" s="1">
        <v>5</v>
      </c>
      <c r="AG812" s="1" t="s">
        <v>432</v>
      </c>
      <c r="AH812" s="1" t="s">
        <v>4371</v>
      </c>
      <c r="AI812" s="2">
        <v>0</v>
      </c>
      <c r="AK812" s="1" t="s">
        <v>2075</v>
      </c>
    </row>
    <row r="813" spans="1:38" ht="14.45" customHeight="1" x14ac:dyDescent="0.2">
      <c r="A813" s="1" t="s">
        <v>57</v>
      </c>
      <c r="B813" s="9" t="s">
        <v>39</v>
      </c>
      <c r="C813" s="1" t="s">
        <v>58</v>
      </c>
      <c r="D813" s="1" t="s">
        <v>59</v>
      </c>
      <c r="E813" s="1" t="s">
        <v>42</v>
      </c>
      <c r="G813" s="1" t="s">
        <v>60</v>
      </c>
      <c r="H813" s="1" t="s">
        <v>61</v>
      </c>
      <c r="I813" s="1" t="s">
        <v>4372</v>
      </c>
      <c r="J813" s="1" t="s">
        <v>82</v>
      </c>
      <c r="K813" s="1" t="s">
        <v>4373</v>
      </c>
      <c r="P813" s="1" t="s">
        <v>4374</v>
      </c>
      <c r="Q813" s="1" t="s">
        <v>101</v>
      </c>
      <c r="R813" s="1" t="s">
        <v>102</v>
      </c>
      <c r="S813" s="1" t="s">
        <v>4375</v>
      </c>
      <c r="T813" s="1" t="s">
        <v>4376</v>
      </c>
      <c r="U813" s="1">
        <v>2</v>
      </c>
      <c r="V813" s="1" t="s">
        <v>80</v>
      </c>
      <c r="W813" s="1" t="s">
        <v>4373</v>
      </c>
      <c r="X813" s="1" t="s">
        <v>87</v>
      </c>
      <c r="Y813" s="10">
        <v>44895</v>
      </c>
      <c r="Z813" s="1">
        <v>2022</v>
      </c>
      <c r="AA813" s="2">
        <v>984202.82</v>
      </c>
      <c r="AB813" s="2"/>
      <c r="AC813" s="2">
        <v>42000</v>
      </c>
      <c r="AD813" s="1">
        <v>3</v>
      </c>
      <c r="AG813" s="1" t="s">
        <v>432</v>
      </c>
      <c r="AH813" s="1" t="s">
        <v>433</v>
      </c>
      <c r="AI813" s="2">
        <v>0</v>
      </c>
      <c r="AK813" s="1" t="s">
        <v>600</v>
      </c>
    </row>
    <row r="814" spans="1:38" ht="14.45" customHeight="1" x14ac:dyDescent="0.2">
      <c r="A814" s="1" t="s">
        <v>57</v>
      </c>
      <c r="B814" s="9" t="s">
        <v>39</v>
      </c>
      <c r="C814" s="1" t="s">
        <v>58</v>
      </c>
      <c r="D814" s="1" t="s">
        <v>59</v>
      </c>
      <c r="E814" s="1" t="s">
        <v>42</v>
      </c>
      <c r="G814" s="1" t="s">
        <v>60</v>
      </c>
      <c r="H814" s="1" t="s">
        <v>61</v>
      </c>
      <c r="I814" s="1" t="s">
        <v>4377</v>
      </c>
      <c r="J814" s="1" t="s">
        <v>82</v>
      </c>
      <c r="K814" s="1" t="s">
        <v>4378</v>
      </c>
      <c r="P814" s="1" t="s">
        <v>1916</v>
      </c>
      <c r="Q814" s="1" t="s">
        <v>101</v>
      </c>
      <c r="R814" s="1" t="s">
        <v>102</v>
      </c>
      <c r="S814" s="1" t="s">
        <v>1917</v>
      </c>
      <c r="T814" s="1" t="s">
        <v>1918</v>
      </c>
      <c r="U814" s="1">
        <v>2</v>
      </c>
      <c r="V814" s="1" t="s">
        <v>101</v>
      </c>
      <c r="W814" s="1" t="s">
        <v>4378</v>
      </c>
      <c r="X814" s="1" t="s">
        <v>153</v>
      </c>
      <c r="Y814" s="10">
        <v>44187</v>
      </c>
      <c r="Z814" s="1">
        <v>2020</v>
      </c>
      <c r="AA814" s="2">
        <v>6328168</v>
      </c>
      <c r="AB814" s="2"/>
      <c r="AC814" s="2">
        <v>1225000</v>
      </c>
      <c r="AD814" s="1">
        <v>35</v>
      </c>
      <c r="AG814" s="1" t="s">
        <v>432</v>
      </c>
      <c r="AH814" s="1" t="s">
        <v>492</v>
      </c>
      <c r="AI814" s="2">
        <v>0</v>
      </c>
    </row>
    <row r="815" spans="1:38" ht="14.45" customHeight="1" x14ac:dyDescent="0.2">
      <c r="A815" s="1" t="s">
        <v>57</v>
      </c>
      <c r="B815" s="9" t="s">
        <v>39</v>
      </c>
      <c r="C815" s="1" t="s">
        <v>58</v>
      </c>
      <c r="D815" s="1" t="s">
        <v>59</v>
      </c>
      <c r="E815" s="1" t="s">
        <v>42</v>
      </c>
      <c r="G815" s="1" t="s">
        <v>60</v>
      </c>
      <c r="H815" s="1" t="s">
        <v>61</v>
      </c>
      <c r="I815" s="1" t="s">
        <v>4379</v>
      </c>
      <c r="J815" s="1" t="s">
        <v>82</v>
      </c>
      <c r="K815" s="1" t="s">
        <v>4380</v>
      </c>
      <c r="P815" s="1" t="s">
        <v>4381</v>
      </c>
      <c r="Q815" s="1" t="s">
        <v>101</v>
      </c>
      <c r="R815" s="1" t="s">
        <v>339</v>
      </c>
      <c r="S815" s="1" t="s">
        <v>340</v>
      </c>
      <c r="T815" s="1" t="s">
        <v>341</v>
      </c>
      <c r="U815" s="1">
        <v>1</v>
      </c>
      <c r="V815" s="1" t="s">
        <v>80</v>
      </c>
      <c r="W815" s="1" t="s">
        <v>4380</v>
      </c>
      <c r="X815" s="1" t="s">
        <v>87</v>
      </c>
      <c r="Y815" s="10">
        <v>44321</v>
      </c>
      <c r="Z815" s="1">
        <v>2021</v>
      </c>
      <c r="AA815" s="2">
        <v>9625422</v>
      </c>
      <c r="AB815" s="2"/>
      <c r="AC815" s="2">
        <v>1155000</v>
      </c>
      <c r="AD815" s="1">
        <v>35</v>
      </c>
      <c r="AE815" s="1">
        <v>8</v>
      </c>
      <c r="AG815" s="1" t="s">
        <v>432</v>
      </c>
      <c r="AH815" s="1" t="s">
        <v>492</v>
      </c>
      <c r="AI815" s="2">
        <v>0</v>
      </c>
    </row>
    <row r="816" spans="1:38" ht="14.45" customHeight="1" x14ac:dyDescent="0.2">
      <c r="A816" s="1" t="s">
        <v>57</v>
      </c>
      <c r="B816" s="9" t="s">
        <v>39</v>
      </c>
      <c r="C816" s="1" t="s">
        <v>58</v>
      </c>
      <c r="D816" s="1" t="s">
        <v>59</v>
      </c>
      <c r="E816" s="1" t="s">
        <v>42</v>
      </c>
      <c r="G816" s="1" t="s">
        <v>88</v>
      </c>
      <c r="H816" s="1" t="s">
        <v>61</v>
      </c>
      <c r="I816" s="1" t="s">
        <v>4382</v>
      </c>
      <c r="J816" s="1" t="s">
        <v>82</v>
      </c>
      <c r="K816" s="1" t="s">
        <v>4383</v>
      </c>
      <c r="P816" s="1" t="s">
        <v>1164</v>
      </c>
      <c r="Q816" s="1" t="s">
        <v>101</v>
      </c>
      <c r="R816" s="1" t="s">
        <v>102</v>
      </c>
      <c r="S816" s="1" t="s">
        <v>637</v>
      </c>
      <c r="T816" s="1" t="s">
        <v>638</v>
      </c>
      <c r="U816" s="1">
        <v>1</v>
      </c>
      <c r="V816" s="1" t="s">
        <v>101</v>
      </c>
      <c r="W816" s="1" t="s">
        <v>4384</v>
      </c>
      <c r="X816" s="1" t="s">
        <v>153</v>
      </c>
      <c r="Y816" s="10">
        <v>44514</v>
      </c>
      <c r="Z816" s="1">
        <v>2021</v>
      </c>
      <c r="AA816" s="2">
        <v>302068</v>
      </c>
      <c r="AB816" s="2"/>
      <c r="AC816" s="2">
        <v>50000</v>
      </c>
      <c r="AD816" s="1">
        <v>1</v>
      </c>
      <c r="AG816" s="1" t="s">
        <v>432</v>
      </c>
      <c r="AH816" s="1" t="s">
        <v>492</v>
      </c>
      <c r="AI816" s="2">
        <v>0</v>
      </c>
      <c r="AK816" s="1" t="s">
        <v>418</v>
      </c>
    </row>
    <row r="817" spans="1:38" ht="14.45" customHeight="1" x14ac:dyDescent="0.2">
      <c r="A817" s="1" t="s">
        <v>57</v>
      </c>
      <c r="B817" s="9" t="s">
        <v>39</v>
      </c>
      <c r="C817" s="1" t="s">
        <v>58</v>
      </c>
      <c r="D817" s="1" t="s">
        <v>59</v>
      </c>
      <c r="E817" s="1" t="s">
        <v>42</v>
      </c>
      <c r="G817" s="1" t="s">
        <v>88</v>
      </c>
      <c r="H817" s="1" t="s">
        <v>61</v>
      </c>
      <c r="I817" s="1" t="s">
        <v>4385</v>
      </c>
      <c r="J817" s="1" t="s">
        <v>82</v>
      </c>
      <c r="K817" s="1" t="s">
        <v>4386</v>
      </c>
      <c r="P817" s="1" t="s">
        <v>4387</v>
      </c>
      <c r="Q817" s="1" t="s">
        <v>101</v>
      </c>
      <c r="R817" s="1" t="s">
        <v>102</v>
      </c>
      <c r="S817" s="1" t="s">
        <v>1486</v>
      </c>
      <c r="T817" s="1" t="s">
        <v>1487</v>
      </c>
      <c r="U817" s="1">
        <v>1</v>
      </c>
      <c r="V817" s="1" t="s">
        <v>101</v>
      </c>
      <c r="W817" s="1" t="s">
        <v>4388</v>
      </c>
      <c r="X817" s="1" t="s">
        <v>321</v>
      </c>
      <c r="Y817" s="10">
        <v>44181</v>
      </c>
      <c r="Z817" s="1">
        <v>2020</v>
      </c>
      <c r="AA817" s="2">
        <v>343532.53</v>
      </c>
      <c r="AB817" s="2"/>
      <c r="AC817" s="2">
        <v>50000</v>
      </c>
      <c r="AD817" s="1">
        <v>1</v>
      </c>
      <c r="AG817" s="1" t="s">
        <v>432</v>
      </c>
      <c r="AH817" s="1" t="s">
        <v>492</v>
      </c>
      <c r="AI817" s="2">
        <v>0</v>
      </c>
    </row>
    <row r="818" spans="1:38" ht="14.45" customHeight="1" x14ac:dyDescent="0.25">
      <c r="A818" s="1" t="s">
        <v>57</v>
      </c>
      <c r="B818" s="9" t="s">
        <v>39</v>
      </c>
      <c r="C818" s="1" t="s">
        <v>58</v>
      </c>
      <c r="D818" s="1" t="s">
        <v>59</v>
      </c>
      <c r="E818" s="1" t="s">
        <v>42</v>
      </c>
      <c r="G818" s="1" t="s">
        <v>88</v>
      </c>
      <c r="H818" s="1" t="s">
        <v>61</v>
      </c>
      <c r="I818" s="1" t="s">
        <v>4389</v>
      </c>
      <c r="J818" s="1" t="s">
        <v>82</v>
      </c>
      <c r="K818" s="1" t="s">
        <v>567</v>
      </c>
      <c r="P818" s="1" t="s">
        <v>4390</v>
      </c>
      <c r="Q818" s="1" t="s">
        <v>101</v>
      </c>
      <c r="R818" s="1" t="s">
        <v>326</v>
      </c>
      <c r="S818" s="16" t="s">
        <v>361</v>
      </c>
      <c r="T818" s="1" t="s">
        <v>362</v>
      </c>
      <c r="U818" s="1">
        <v>2</v>
      </c>
      <c r="V818" s="1" t="s">
        <v>80</v>
      </c>
      <c r="W818" s="1" t="s">
        <v>4391</v>
      </c>
      <c r="X818" s="1" t="s">
        <v>400</v>
      </c>
      <c r="Y818" s="10">
        <v>44881</v>
      </c>
      <c r="Z818" s="1">
        <v>2022</v>
      </c>
      <c r="AA818" s="2">
        <v>174852.66</v>
      </c>
      <c r="AB818" s="2"/>
      <c r="AC818" s="2">
        <v>33227.9</v>
      </c>
      <c r="AD818" s="1">
        <v>1</v>
      </c>
      <c r="AE818" s="1">
        <v>1</v>
      </c>
      <c r="AG818" s="1" t="s">
        <v>432</v>
      </c>
      <c r="AH818" s="1" t="s">
        <v>492</v>
      </c>
      <c r="AI818" s="2">
        <v>0</v>
      </c>
    </row>
    <row r="819" spans="1:38" ht="12.6" customHeight="1" x14ac:dyDescent="0.2">
      <c r="A819" s="1" t="s">
        <v>57</v>
      </c>
      <c r="B819" s="9" t="s">
        <v>39</v>
      </c>
      <c r="C819" s="1" t="s">
        <v>58</v>
      </c>
      <c r="D819" s="1" t="s">
        <v>59</v>
      </c>
      <c r="E819" s="1" t="s">
        <v>42</v>
      </c>
      <c r="G819" s="1" t="s">
        <v>88</v>
      </c>
      <c r="H819" s="1" t="s">
        <v>61</v>
      </c>
      <c r="I819" s="1" t="s">
        <v>4392</v>
      </c>
      <c r="J819" s="1" t="s">
        <v>82</v>
      </c>
      <c r="K819" s="1" t="s">
        <v>4393</v>
      </c>
      <c r="P819" s="1" t="s">
        <v>4394</v>
      </c>
      <c r="Q819" s="1" t="s">
        <v>101</v>
      </c>
      <c r="R819" s="1" t="s">
        <v>102</v>
      </c>
      <c r="S819" s="1" t="s">
        <v>523</v>
      </c>
      <c r="T819" s="1" t="s">
        <v>524</v>
      </c>
      <c r="U819" s="1">
        <v>1</v>
      </c>
      <c r="V819" s="1" t="s">
        <v>101</v>
      </c>
      <c r="W819" s="1" t="s">
        <v>4393</v>
      </c>
      <c r="X819" s="1" t="s">
        <v>87</v>
      </c>
      <c r="Y819" s="10">
        <v>44343</v>
      </c>
      <c r="Z819" s="1">
        <v>2021</v>
      </c>
      <c r="AA819" s="2">
        <v>396810</v>
      </c>
      <c r="AB819" s="2"/>
      <c r="AC819" s="2">
        <v>100000</v>
      </c>
      <c r="AD819" s="1">
        <v>0</v>
      </c>
      <c r="AG819" s="1" t="s">
        <v>432</v>
      </c>
      <c r="AH819" s="1" t="s">
        <v>492</v>
      </c>
      <c r="AI819" s="2">
        <v>0</v>
      </c>
      <c r="AK819" s="1" t="s">
        <v>418</v>
      </c>
    </row>
    <row r="820" spans="1:38" ht="14.45" customHeight="1" x14ac:dyDescent="0.2">
      <c r="A820" s="1" t="s">
        <v>57</v>
      </c>
      <c r="B820" s="9" t="s">
        <v>39</v>
      </c>
      <c r="C820" s="1" t="s">
        <v>58</v>
      </c>
      <c r="D820" s="1" t="s">
        <v>59</v>
      </c>
      <c r="E820" s="1" t="s">
        <v>42</v>
      </c>
      <c r="G820" s="1" t="s">
        <v>88</v>
      </c>
      <c r="H820" s="1" t="s">
        <v>61</v>
      </c>
      <c r="I820" s="1" t="s">
        <v>4395</v>
      </c>
      <c r="J820" s="1" t="s">
        <v>82</v>
      </c>
      <c r="K820" s="1" t="s">
        <v>4396</v>
      </c>
      <c r="P820" s="1" t="s">
        <v>2997</v>
      </c>
      <c r="Q820" s="1" t="s">
        <v>101</v>
      </c>
      <c r="R820" s="1" t="s">
        <v>102</v>
      </c>
      <c r="S820" s="1" t="s">
        <v>2998</v>
      </c>
      <c r="T820" s="1" t="s">
        <v>2999</v>
      </c>
      <c r="U820" s="1">
        <v>2</v>
      </c>
      <c r="V820" s="1" t="s">
        <v>101</v>
      </c>
      <c r="W820" s="1" t="s">
        <v>4396</v>
      </c>
      <c r="X820" s="1" t="s">
        <v>87</v>
      </c>
      <c r="Y820" s="10">
        <v>44726</v>
      </c>
      <c r="Z820" s="1">
        <v>2022</v>
      </c>
      <c r="AA820" s="2">
        <v>41392.11</v>
      </c>
      <c r="AB820" s="2"/>
      <c r="AC820" s="2">
        <v>7243.62</v>
      </c>
      <c r="AD820" s="1">
        <v>0</v>
      </c>
      <c r="AG820" s="1" t="s">
        <v>432</v>
      </c>
      <c r="AH820" s="1" t="s">
        <v>492</v>
      </c>
      <c r="AI820" s="2">
        <v>0</v>
      </c>
      <c r="AL820" s="1" t="s">
        <v>4397</v>
      </c>
    </row>
    <row r="821" spans="1:38" ht="14.45" customHeight="1" x14ac:dyDescent="0.2">
      <c r="A821" s="1" t="s">
        <v>57</v>
      </c>
      <c r="B821" s="9" t="s">
        <v>39</v>
      </c>
      <c r="C821" s="1" t="s">
        <v>58</v>
      </c>
      <c r="D821" s="1" t="s">
        <v>59</v>
      </c>
      <c r="E821" s="1" t="s">
        <v>42</v>
      </c>
      <c r="G821" s="1" t="s">
        <v>60</v>
      </c>
      <c r="H821" s="1" t="s">
        <v>61</v>
      </c>
      <c r="I821" s="1" t="s">
        <v>4398</v>
      </c>
      <c r="J821" s="1">
        <v>2021</v>
      </c>
      <c r="K821" s="1" t="s">
        <v>4399</v>
      </c>
      <c r="P821" s="1" t="s">
        <v>4400</v>
      </c>
      <c r="Q821" s="1" t="s">
        <v>101</v>
      </c>
      <c r="R821" s="1" t="s">
        <v>326</v>
      </c>
      <c r="S821" s="1" t="s">
        <v>327</v>
      </c>
      <c r="T821" s="1" t="s">
        <v>328</v>
      </c>
      <c r="U821" s="1">
        <v>2</v>
      </c>
      <c r="V821" s="1" t="s">
        <v>80</v>
      </c>
      <c r="W821" s="1" t="s">
        <v>4401</v>
      </c>
      <c r="X821" s="1" t="s">
        <v>138</v>
      </c>
      <c r="Y821" s="10">
        <v>45104</v>
      </c>
      <c r="Z821" s="1">
        <v>2023</v>
      </c>
      <c r="AA821" s="2">
        <v>6466494.8799999999</v>
      </c>
      <c r="AB821" s="2"/>
      <c r="AC821" s="2">
        <v>969974.23200000008</v>
      </c>
      <c r="AD821" s="1">
        <v>73</v>
      </c>
      <c r="AE821" s="1">
        <v>73</v>
      </c>
      <c r="AG821" s="1" t="s">
        <v>432</v>
      </c>
      <c r="AH821" s="1" t="s">
        <v>4371</v>
      </c>
      <c r="AI821" s="2">
        <v>0</v>
      </c>
    </row>
    <row r="822" spans="1:38" ht="14.45" customHeight="1" x14ac:dyDescent="0.2">
      <c r="A822" s="1" t="s">
        <v>57</v>
      </c>
      <c r="B822" s="9" t="s">
        <v>39</v>
      </c>
      <c r="C822" s="1" t="s">
        <v>58</v>
      </c>
      <c r="D822" s="1" t="s">
        <v>59</v>
      </c>
      <c r="E822" s="1" t="s">
        <v>42</v>
      </c>
      <c r="G822" s="1" t="s">
        <v>60</v>
      </c>
      <c r="H822" s="1" t="s">
        <v>61</v>
      </c>
      <c r="I822" s="1" t="s">
        <v>4402</v>
      </c>
      <c r="J822" s="1">
        <v>2021</v>
      </c>
      <c r="K822" s="1" t="s">
        <v>4403</v>
      </c>
      <c r="P822" s="1" t="s">
        <v>4353</v>
      </c>
      <c r="Q822" s="1" t="s">
        <v>101</v>
      </c>
      <c r="R822" s="1" t="s">
        <v>102</v>
      </c>
      <c r="S822" s="1" t="s">
        <v>1486</v>
      </c>
      <c r="T822" s="1" t="s">
        <v>1487</v>
      </c>
      <c r="U822" s="1">
        <v>1</v>
      </c>
      <c r="V822" s="1" t="s">
        <v>101</v>
      </c>
      <c r="W822" s="1" t="s">
        <v>4403</v>
      </c>
      <c r="X822" s="1" t="s">
        <v>321</v>
      </c>
      <c r="Y822" s="10">
        <v>44844</v>
      </c>
      <c r="Z822" s="1">
        <v>2022</v>
      </c>
      <c r="AA822" s="2">
        <v>914865.39</v>
      </c>
      <c r="AB822" s="2"/>
      <c r="AC822" s="2">
        <v>240000</v>
      </c>
      <c r="AD822" s="1">
        <v>8</v>
      </c>
      <c r="AG822" s="1" t="s">
        <v>432</v>
      </c>
      <c r="AH822" s="1" t="s">
        <v>492</v>
      </c>
      <c r="AI822" s="2">
        <v>0</v>
      </c>
    </row>
    <row r="823" spans="1:38" ht="14.45" customHeight="1" x14ac:dyDescent="0.2">
      <c r="A823" s="1" t="s">
        <v>57</v>
      </c>
      <c r="B823" s="9" t="s">
        <v>39</v>
      </c>
      <c r="C823" s="1" t="s">
        <v>58</v>
      </c>
      <c r="D823" s="1" t="s">
        <v>59</v>
      </c>
      <c r="E823" s="1" t="s">
        <v>42</v>
      </c>
      <c r="G823" s="1" t="s">
        <v>60</v>
      </c>
      <c r="H823" s="1" t="s">
        <v>61</v>
      </c>
      <c r="I823" s="1" t="s">
        <v>4404</v>
      </c>
      <c r="J823" s="1">
        <v>2021</v>
      </c>
      <c r="K823" s="1" t="s">
        <v>4405</v>
      </c>
      <c r="P823" s="1" t="s">
        <v>4406</v>
      </c>
      <c r="Q823" s="1" t="s">
        <v>101</v>
      </c>
      <c r="R823" s="1" t="s">
        <v>326</v>
      </c>
      <c r="S823" s="1" t="s">
        <v>327</v>
      </c>
      <c r="T823" s="1" t="s">
        <v>328</v>
      </c>
      <c r="U823" s="1">
        <v>2</v>
      </c>
      <c r="V823" s="1" t="s">
        <v>80</v>
      </c>
      <c r="W823" s="1" t="s">
        <v>4407</v>
      </c>
      <c r="X823" s="1" t="s">
        <v>609</v>
      </c>
      <c r="Y823" s="10">
        <v>45104</v>
      </c>
      <c r="Z823" s="1">
        <v>2023</v>
      </c>
      <c r="AA823" s="2">
        <v>3331757.85</v>
      </c>
      <c r="AB823" s="2"/>
      <c r="AC823" s="2">
        <v>105000</v>
      </c>
      <c r="AD823" s="1">
        <v>5</v>
      </c>
      <c r="AE823" s="1">
        <v>2</v>
      </c>
      <c r="AG823" s="1" t="s">
        <v>432</v>
      </c>
      <c r="AH823" s="1" t="s">
        <v>4371</v>
      </c>
      <c r="AI823" s="2">
        <v>0</v>
      </c>
    </row>
    <row r="824" spans="1:38" ht="14.45" customHeight="1" x14ac:dyDescent="0.2">
      <c r="A824" s="1" t="s">
        <v>57</v>
      </c>
      <c r="B824" s="9" t="s">
        <v>39</v>
      </c>
      <c r="C824" s="1" t="s">
        <v>58</v>
      </c>
      <c r="D824" s="1" t="s">
        <v>59</v>
      </c>
      <c r="E824" s="1" t="s">
        <v>42</v>
      </c>
      <c r="G824" s="1" t="s">
        <v>60</v>
      </c>
      <c r="H824" s="1" t="s">
        <v>61</v>
      </c>
      <c r="I824" s="1" t="s">
        <v>4408</v>
      </c>
      <c r="J824" s="1">
        <v>2021</v>
      </c>
      <c r="K824" s="1" t="s">
        <v>4409</v>
      </c>
      <c r="P824" s="1" t="s">
        <v>1933</v>
      </c>
      <c r="Q824" s="1" t="s">
        <v>101</v>
      </c>
      <c r="R824" s="1" t="s">
        <v>102</v>
      </c>
      <c r="S824" s="1" t="s">
        <v>103</v>
      </c>
      <c r="T824" s="1" t="s">
        <v>104</v>
      </c>
      <c r="U824" s="1">
        <v>1</v>
      </c>
      <c r="V824" s="1" t="s">
        <v>101</v>
      </c>
      <c r="W824" s="1" t="s">
        <v>4410</v>
      </c>
      <c r="X824" s="1" t="s">
        <v>145</v>
      </c>
      <c r="Y824" s="10">
        <v>44764</v>
      </c>
      <c r="Z824" s="1">
        <v>2022</v>
      </c>
      <c r="AA824" s="2">
        <v>293367.40000000002</v>
      </c>
      <c r="AB824" s="2"/>
      <c r="AC824" s="2">
        <v>102678.59</v>
      </c>
      <c r="AD824" s="1">
        <v>3</v>
      </c>
      <c r="AE824" s="1">
        <v>2</v>
      </c>
      <c r="AG824" s="1" t="s">
        <v>432</v>
      </c>
      <c r="AH824" s="1" t="s">
        <v>492</v>
      </c>
      <c r="AI824" s="2">
        <v>0</v>
      </c>
    </row>
    <row r="825" spans="1:38" ht="12.6" customHeight="1" x14ac:dyDescent="0.2">
      <c r="A825" s="1" t="s">
        <v>57</v>
      </c>
      <c r="B825" s="9" t="s">
        <v>39</v>
      </c>
      <c r="C825" s="1" t="s">
        <v>58</v>
      </c>
      <c r="D825" s="1" t="s">
        <v>59</v>
      </c>
      <c r="E825" s="1" t="s">
        <v>42</v>
      </c>
      <c r="G825" s="1" t="s">
        <v>60</v>
      </c>
      <c r="H825" s="1" t="s">
        <v>61</v>
      </c>
      <c r="I825" s="1" t="s">
        <v>4411</v>
      </c>
      <c r="J825" s="1">
        <v>2021</v>
      </c>
      <c r="K825" s="1" t="s">
        <v>4412</v>
      </c>
      <c r="P825" s="1" t="s">
        <v>4413</v>
      </c>
      <c r="Q825" s="1" t="s">
        <v>101</v>
      </c>
      <c r="R825" s="1" t="s">
        <v>102</v>
      </c>
      <c r="S825" s="1" t="s">
        <v>637</v>
      </c>
      <c r="T825" s="1" t="s">
        <v>638</v>
      </c>
      <c r="U825" s="1">
        <v>1</v>
      </c>
      <c r="V825" s="1" t="s">
        <v>101</v>
      </c>
      <c r="W825" s="1" t="s">
        <v>4414</v>
      </c>
      <c r="X825" s="1" t="s">
        <v>609</v>
      </c>
      <c r="Y825" s="10">
        <v>44557</v>
      </c>
      <c r="Z825" s="1">
        <v>2021</v>
      </c>
      <c r="AA825" s="2">
        <v>2555861</v>
      </c>
      <c r="AB825" s="2"/>
      <c r="AC825" s="2">
        <v>180000</v>
      </c>
      <c r="AD825" s="1">
        <v>6</v>
      </c>
      <c r="AG825" s="1" t="s">
        <v>56</v>
      </c>
      <c r="AI825" s="2">
        <v>180000</v>
      </c>
    </row>
    <row r="826" spans="1:38" ht="12.6" customHeight="1" x14ac:dyDescent="0.2">
      <c r="A826" s="1" t="s">
        <v>57</v>
      </c>
      <c r="B826" s="9" t="s">
        <v>39</v>
      </c>
      <c r="C826" s="1" t="s">
        <v>58</v>
      </c>
      <c r="D826" s="1" t="s">
        <v>59</v>
      </c>
      <c r="E826" s="1" t="s">
        <v>42</v>
      </c>
      <c r="G826" s="1" t="s">
        <v>60</v>
      </c>
      <c r="H826" s="1" t="s">
        <v>61</v>
      </c>
      <c r="I826" s="1" t="s">
        <v>4415</v>
      </c>
      <c r="J826" s="1">
        <v>2021</v>
      </c>
      <c r="K826" s="1" t="s">
        <v>4416</v>
      </c>
      <c r="P826" s="1" t="s">
        <v>4417</v>
      </c>
      <c r="Q826" s="1" t="s">
        <v>101</v>
      </c>
      <c r="R826" s="1" t="s">
        <v>102</v>
      </c>
      <c r="S826" s="1" t="s">
        <v>523</v>
      </c>
      <c r="T826" s="1" t="s">
        <v>524</v>
      </c>
      <c r="U826" s="1">
        <v>1</v>
      </c>
      <c r="V826" s="1" t="s">
        <v>101</v>
      </c>
      <c r="W826" s="1" t="s">
        <v>4416</v>
      </c>
      <c r="X826" s="1" t="s">
        <v>400</v>
      </c>
      <c r="Y826" s="10">
        <v>45104</v>
      </c>
      <c r="Z826" s="1">
        <v>2023</v>
      </c>
      <c r="AA826" s="2">
        <v>5136677.6900000004</v>
      </c>
      <c r="AB826" s="2"/>
      <c r="AC826" s="2">
        <v>130000</v>
      </c>
      <c r="AD826" s="1">
        <v>3</v>
      </c>
      <c r="AE826" s="1">
        <v>1</v>
      </c>
      <c r="AG826" s="1" t="s">
        <v>432</v>
      </c>
      <c r="AH826" s="1" t="s">
        <v>4371</v>
      </c>
      <c r="AI826" s="2">
        <v>0</v>
      </c>
    </row>
    <row r="827" spans="1:38" ht="12.6" customHeight="1" x14ac:dyDescent="0.2">
      <c r="A827" s="1" t="s">
        <v>57</v>
      </c>
      <c r="B827" s="9" t="s">
        <v>39</v>
      </c>
      <c r="C827" s="1" t="s">
        <v>58</v>
      </c>
      <c r="D827" s="1" t="s">
        <v>59</v>
      </c>
      <c r="E827" s="1" t="s">
        <v>42</v>
      </c>
      <c r="G827" s="1" t="s">
        <v>60</v>
      </c>
      <c r="H827" s="1" t="s">
        <v>61</v>
      </c>
      <c r="I827" s="1" t="s">
        <v>4418</v>
      </c>
      <c r="J827" s="1">
        <v>2021</v>
      </c>
      <c r="K827" s="1" t="s">
        <v>4419</v>
      </c>
      <c r="P827" s="1" t="s">
        <v>476</v>
      </c>
      <c r="Q827" s="1" t="s">
        <v>101</v>
      </c>
      <c r="R827" s="1" t="s">
        <v>326</v>
      </c>
      <c r="S827" s="1" t="s">
        <v>327</v>
      </c>
      <c r="T827" s="1" t="s">
        <v>328</v>
      </c>
      <c r="U827" s="1">
        <v>2</v>
      </c>
      <c r="V827" s="1" t="s">
        <v>80</v>
      </c>
      <c r="W827" s="1" t="s">
        <v>4420</v>
      </c>
      <c r="X827" s="1" t="s">
        <v>571</v>
      </c>
      <c r="Y827" s="10">
        <v>44557</v>
      </c>
      <c r="Z827" s="1">
        <v>2021</v>
      </c>
      <c r="AA827" s="2">
        <v>717933.88</v>
      </c>
      <c r="AB827" s="2"/>
      <c r="AC827" s="2">
        <v>75000</v>
      </c>
      <c r="AD827" s="1">
        <v>3</v>
      </c>
      <c r="AE827" s="1">
        <v>3</v>
      </c>
      <c r="AG827" s="1" t="s">
        <v>432</v>
      </c>
      <c r="AH827" s="1" t="s">
        <v>492</v>
      </c>
      <c r="AI827" s="2">
        <v>0</v>
      </c>
    </row>
    <row r="828" spans="1:38" ht="14.45" customHeight="1" x14ac:dyDescent="0.2">
      <c r="A828" s="1" t="s">
        <v>57</v>
      </c>
      <c r="B828" s="9" t="s">
        <v>39</v>
      </c>
      <c r="C828" s="1" t="s">
        <v>58</v>
      </c>
      <c r="D828" s="1" t="s">
        <v>59</v>
      </c>
      <c r="E828" s="1" t="s">
        <v>42</v>
      </c>
      <c r="G828" s="1" t="s">
        <v>60</v>
      </c>
      <c r="H828" s="1" t="s">
        <v>61</v>
      </c>
      <c r="I828" s="1" t="s">
        <v>4421</v>
      </c>
      <c r="J828" s="1">
        <v>2021</v>
      </c>
      <c r="K828" s="1" t="s">
        <v>4422</v>
      </c>
      <c r="P828" s="1" t="s">
        <v>1933</v>
      </c>
      <c r="Q828" s="1" t="s">
        <v>101</v>
      </c>
      <c r="R828" s="1" t="s">
        <v>102</v>
      </c>
      <c r="S828" s="1" t="s">
        <v>103</v>
      </c>
      <c r="T828" s="1" t="s">
        <v>104</v>
      </c>
      <c r="U828" s="1">
        <v>1</v>
      </c>
      <c r="V828" s="1" t="s">
        <v>101</v>
      </c>
      <c r="W828" s="1" t="s">
        <v>4423</v>
      </c>
      <c r="X828" s="1" t="s">
        <v>145</v>
      </c>
      <c r="Y828" s="10">
        <v>44764</v>
      </c>
      <c r="Z828" s="1">
        <v>2022</v>
      </c>
      <c r="AA828" s="2">
        <v>406053.62</v>
      </c>
      <c r="AB828" s="2"/>
      <c r="AC828" s="2">
        <v>142118.76699999999</v>
      </c>
      <c r="AD828" s="1">
        <v>3</v>
      </c>
      <c r="AG828" s="1" t="s">
        <v>432</v>
      </c>
      <c r="AH828" s="1" t="s">
        <v>492</v>
      </c>
      <c r="AI828" s="2">
        <v>0</v>
      </c>
    </row>
    <row r="829" spans="1:38" ht="14.45" customHeight="1" x14ac:dyDescent="0.2">
      <c r="A829" s="1" t="s">
        <v>57</v>
      </c>
      <c r="B829" s="9" t="s">
        <v>39</v>
      </c>
      <c r="C829" s="1" t="s">
        <v>58</v>
      </c>
      <c r="D829" s="1" t="s">
        <v>59</v>
      </c>
      <c r="E829" s="1" t="s">
        <v>42</v>
      </c>
      <c r="G829" s="1" t="s">
        <v>60</v>
      </c>
      <c r="H829" s="1" t="s">
        <v>61</v>
      </c>
      <c r="I829" s="1" t="s">
        <v>4424</v>
      </c>
      <c r="J829" s="1">
        <v>2021</v>
      </c>
      <c r="K829" s="1" t="s">
        <v>4425</v>
      </c>
      <c r="P829" s="1" t="s">
        <v>4374</v>
      </c>
      <c r="Q829" s="1" t="s">
        <v>101</v>
      </c>
      <c r="R829" s="1" t="s">
        <v>102</v>
      </c>
      <c r="S829" s="1" t="s">
        <v>4375</v>
      </c>
      <c r="T829" s="1" t="s">
        <v>4376</v>
      </c>
      <c r="U829" s="1">
        <v>2</v>
      </c>
      <c r="V829" s="1" t="s">
        <v>80</v>
      </c>
      <c r="W829" s="1" t="s">
        <v>4425</v>
      </c>
      <c r="X829" s="1" t="s">
        <v>609</v>
      </c>
      <c r="Y829" s="10">
        <v>45098</v>
      </c>
      <c r="Z829" s="1">
        <v>2023</v>
      </c>
      <c r="AA829" s="2">
        <v>1964443.68</v>
      </c>
      <c r="AB829" s="2"/>
      <c r="AC829" s="2">
        <v>220000</v>
      </c>
      <c r="AD829" s="1">
        <v>12</v>
      </c>
      <c r="AG829" s="1" t="s">
        <v>432</v>
      </c>
      <c r="AH829" s="1" t="s">
        <v>4371</v>
      </c>
      <c r="AI829" s="2">
        <v>0</v>
      </c>
    </row>
    <row r="830" spans="1:38" ht="14.45" customHeight="1" x14ac:dyDescent="0.2">
      <c r="A830" s="1" t="s">
        <v>57</v>
      </c>
      <c r="B830" s="9" t="s">
        <v>39</v>
      </c>
      <c r="C830" s="1" t="s">
        <v>58</v>
      </c>
      <c r="D830" s="1" t="s">
        <v>59</v>
      </c>
      <c r="E830" s="1" t="s">
        <v>42</v>
      </c>
      <c r="G830" s="1" t="s">
        <v>88</v>
      </c>
      <c r="H830" s="1" t="s">
        <v>61</v>
      </c>
      <c r="I830" s="1" t="s">
        <v>4426</v>
      </c>
      <c r="J830" s="1">
        <v>2021</v>
      </c>
      <c r="K830" s="1" t="s">
        <v>2508</v>
      </c>
      <c r="L830" s="1" t="s">
        <v>2508</v>
      </c>
      <c r="P830" s="1" t="s">
        <v>2509</v>
      </c>
      <c r="Q830" s="1" t="s">
        <v>101</v>
      </c>
      <c r="R830" s="1" t="s">
        <v>326</v>
      </c>
      <c r="S830" s="1" t="s">
        <v>327</v>
      </c>
      <c r="T830" s="1" t="s">
        <v>328</v>
      </c>
      <c r="U830" s="1">
        <v>2</v>
      </c>
      <c r="V830" s="1" t="s">
        <v>80</v>
      </c>
      <c r="W830" s="1" t="s">
        <v>4427</v>
      </c>
      <c r="X830" s="1" t="s">
        <v>571</v>
      </c>
      <c r="Y830" s="10">
        <v>44557</v>
      </c>
      <c r="Z830" s="1">
        <v>2021</v>
      </c>
      <c r="AA830" s="2">
        <v>466070.88</v>
      </c>
      <c r="AB830" s="2"/>
      <c r="AC830" s="2">
        <v>46607.09</v>
      </c>
      <c r="AD830" s="1">
        <v>2</v>
      </c>
      <c r="AE830" s="1">
        <v>2</v>
      </c>
      <c r="AG830" s="1" t="s">
        <v>432</v>
      </c>
      <c r="AH830" s="1" t="s">
        <v>492</v>
      </c>
      <c r="AI830" s="2">
        <v>0</v>
      </c>
    </row>
    <row r="831" spans="1:38" ht="14.45" customHeight="1" x14ac:dyDescent="0.2">
      <c r="A831" s="1" t="s">
        <v>57</v>
      </c>
      <c r="B831" s="9" t="s">
        <v>39</v>
      </c>
      <c r="C831" s="1" t="s">
        <v>58</v>
      </c>
      <c r="D831" s="1" t="s">
        <v>59</v>
      </c>
      <c r="E831" s="1" t="s">
        <v>42</v>
      </c>
      <c r="G831" s="1" t="s">
        <v>88</v>
      </c>
      <c r="H831" s="1" t="s">
        <v>61</v>
      </c>
      <c r="I831" s="1" t="s">
        <v>4428</v>
      </c>
      <c r="J831" s="1">
        <v>2021</v>
      </c>
      <c r="K831" s="1" t="s">
        <v>4429</v>
      </c>
      <c r="P831" s="1" t="s">
        <v>4430</v>
      </c>
      <c r="Q831" s="1" t="s">
        <v>101</v>
      </c>
      <c r="R831" s="1" t="s">
        <v>102</v>
      </c>
      <c r="S831" s="1" t="s">
        <v>372</v>
      </c>
      <c r="T831" s="1" t="s">
        <v>373</v>
      </c>
      <c r="U831" s="1">
        <v>1</v>
      </c>
      <c r="V831" s="1" t="s">
        <v>101</v>
      </c>
      <c r="W831" s="1" t="s">
        <v>4429</v>
      </c>
      <c r="X831" s="1" t="s">
        <v>609</v>
      </c>
      <c r="Y831" s="10">
        <v>44747</v>
      </c>
      <c r="Z831" s="1">
        <v>2022</v>
      </c>
      <c r="AA831" s="2">
        <v>458045.41</v>
      </c>
      <c r="AB831" s="2"/>
      <c r="AC831" s="2">
        <v>160315.89000000001</v>
      </c>
      <c r="AD831" s="1">
        <v>4</v>
      </c>
      <c r="AG831" s="1" t="s">
        <v>432</v>
      </c>
      <c r="AH831" s="1" t="s">
        <v>492</v>
      </c>
      <c r="AI831" s="2">
        <v>0</v>
      </c>
    </row>
    <row r="832" spans="1:38" ht="14.45" customHeight="1" x14ac:dyDescent="0.2">
      <c r="A832" s="1" t="s">
        <v>57</v>
      </c>
      <c r="B832" s="9" t="s">
        <v>39</v>
      </c>
      <c r="C832" s="1" t="s">
        <v>58</v>
      </c>
      <c r="D832" s="1" t="s">
        <v>59</v>
      </c>
      <c r="E832" s="1" t="s">
        <v>42</v>
      </c>
      <c r="G832" s="1" t="s">
        <v>88</v>
      </c>
      <c r="H832" s="1" t="s">
        <v>61</v>
      </c>
      <c r="I832" s="1" t="s">
        <v>4431</v>
      </c>
      <c r="J832" s="1">
        <v>2021</v>
      </c>
      <c r="K832" s="1" t="s">
        <v>4432</v>
      </c>
      <c r="P832" s="1" t="s">
        <v>4433</v>
      </c>
      <c r="Q832" s="1" t="s">
        <v>101</v>
      </c>
      <c r="R832" s="1" t="s">
        <v>102</v>
      </c>
      <c r="S832" s="1" t="s">
        <v>637</v>
      </c>
      <c r="T832" s="1" t="s">
        <v>638</v>
      </c>
      <c r="U832" s="1">
        <v>1</v>
      </c>
      <c r="V832" s="1" t="s">
        <v>101</v>
      </c>
      <c r="W832" s="1" t="s">
        <v>4432</v>
      </c>
      <c r="X832" s="1" t="s">
        <v>153</v>
      </c>
      <c r="Y832" s="10">
        <v>44619</v>
      </c>
      <c r="Z832" s="1">
        <v>2022</v>
      </c>
      <c r="AA832" s="2">
        <v>217230.05</v>
      </c>
      <c r="AB832" s="2"/>
      <c r="AC832" s="2">
        <v>30000</v>
      </c>
      <c r="AD832" s="1">
        <v>0</v>
      </c>
      <c r="AG832" s="1" t="s">
        <v>432</v>
      </c>
      <c r="AH832" s="1" t="s">
        <v>492</v>
      </c>
      <c r="AI832" s="2">
        <v>0</v>
      </c>
    </row>
    <row r="833" spans="1:35" ht="14.45" customHeight="1" x14ac:dyDescent="0.2">
      <c r="A833" s="1" t="s">
        <v>57</v>
      </c>
      <c r="B833" s="9" t="s">
        <v>39</v>
      </c>
      <c r="C833" s="1" t="s">
        <v>58</v>
      </c>
      <c r="D833" s="1" t="s">
        <v>59</v>
      </c>
      <c r="E833" s="1" t="s">
        <v>42</v>
      </c>
      <c r="G833" s="1" t="s">
        <v>88</v>
      </c>
      <c r="H833" s="1" t="s">
        <v>61</v>
      </c>
      <c r="I833" s="1" t="s">
        <v>4434</v>
      </c>
      <c r="J833" s="1">
        <v>2021</v>
      </c>
      <c r="K833" s="1" t="s">
        <v>4435</v>
      </c>
      <c r="P833" s="1" t="s">
        <v>4436</v>
      </c>
      <c r="Q833" s="1" t="s">
        <v>101</v>
      </c>
      <c r="R833" s="1" t="s">
        <v>339</v>
      </c>
      <c r="S833" s="1" t="s">
        <v>340</v>
      </c>
      <c r="T833" s="1" t="s">
        <v>341</v>
      </c>
      <c r="U833" s="1">
        <v>1</v>
      </c>
      <c r="V833" s="1" t="s">
        <v>80</v>
      </c>
      <c r="W833" s="1" t="s">
        <v>4437</v>
      </c>
      <c r="X833" s="1" t="s">
        <v>400</v>
      </c>
      <c r="Y833" s="10">
        <v>44557</v>
      </c>
      <c r="Z833" s="1">
        <v>2021</v>
      </c>
      <c r="AA833" s="2">
        <v>39541.79</v>
      </c>
      <c r="AB833" s="2"/>
      <c r="AC833" s="2">
        <v>11862.54</v>
      </c>
      <c r="AD833" s="1">
        <v>0</v>
      </c>
      <c r="AG833" s="1" t="s">
        <v>432</v>
      </c>
      <c r="AH833" s="1" t="s">
        <v>4438</v>
      </c>
      <c r="AI833" s="2">
        <v>0</v>
      </c>
    </row>
    <row r="834" spans="1:35" ht="14.45" customHeight="1" x14ac:dyDescent="0.2">
      <c r="A834" s="1" t="s">
        <v>57</v>
      </c>
      <c r="B834" s="9" t="s">
        <v>39</v>
      </c>
      <c r="C834" s="1" t="s">
        <v>58</v>
      </c>
      <c r="D834" s="1" t="s">
        <v>59</v>
      </c>
      <c r="E834" s="1" t="s">
        <v>42</v>
      </c>
      <c r="G834" s="1" t="s">
        <v>88</v>
      </c>
      <c r="H834" s="1" t="s">
        <v>61</v>
      </c>
      <c r="I834" s="1" t="s">
        <v>4439</v>
      </c>
      <c r="J834" s="1">
        <v>2021</v>
      </c>
      <c r="K834" s="1" t="s">
        <v>4440</v>
      </c>
      <c r="P834" s="1" t="s">
        <v>4441</v>
      </c>
      <c r="Q834" s="1" t="s">
        <v>101</v>
      </c>
      <c r="R834" s="1" t="s">
        <v>102</v>
      </c>
      <c r="S834" s="1" t="s">
        <v>4442</v>
      </c>
      <c r="T834" s="1" t="s">
        <v>4443</v>
      </c>
      <c r="U834" s="1">
        <v>2</v>
      </c>
      <c r="V834" s="1" t="s">
        <v>80</v>
      </c>
      <c r="W834" s="1" t="s">
        <v>4440</v>
      </c>
      <c r="X834" s="1" t="s">
        <v>87</v>
      </c>
      <c r="Y834" s="10">
        <v>44727</v>
      </c>
      <c r="Z834" s="1">
        <v>2022</v>
      </c>
      <c r="AA834" s="2">
        <v>65100</v>
      </c>
      <c r="AB834" s="2"/>
      <c r="AC834" s="2">
        <v>11392.5</v>
      </c>
      <c r="AD834" s="1">
        <v>0</v>
      </c>
      <c r="AG834" s="1" t="s">
        <v>432</v>
      </c>
      <c r="AH834" s="1" t="s">
        <v>492</v>
      </c>
      <c r="AI834" s="2">
        <v>0</v>
      </c>
    </row>
    <row r="835" spans="1:35" ht="14.45" customHeight="1" x14ac:dyDescent="0.2">
      <c r="A835" s="1" t="s">
        <v>57</v>
      </c>
      <c r="B835" s="9" t="s">
        <v>39</v>
      </c>
      <c r="C835" s="1" t="s">
        <v>58</v>
      </c>
      <c r="D835" s="1" t="s">
        <v>59</v>
      </c>
      <c r="E835" s="1" t="s">
        <v>42</v>
      </c>
      <c r="G835" s="1" t="s">
        <v>88</v>
      </c>
      <c r="H835" s="1" t="s">
        <v>61</v>
      </c>
      <c r="I835" s="1" t="s">
        <v>4444</v>
      </c>
      <c r="J835" s="1">
        <v>2021</v>
      </c>
      <c r="K835" s="1" t="s">
        <v>999</v>
      </c>
      <c r="P835" s="1" t="s">
        <v>4445</v>
      </c>
      <c r="Q835" s="1" t="s">
        <v>101</v>
      </c>
      <c r="R835" s="1" t="s">
        <v>326</v>
      </c>
      <c r="S835" s="1" t="s">
        <v>327</v>
      </c>
      <c r="T835" s="1" t="s">
        <v>328</v>
      </c>
      <c r="U835" s="1">
        <v>2</v>
      </c>
      <c r="V835" s="1" t="s">
        <v>80</v>
      </c>
      <c r="W835" s="1" t="s">
        <v>4446</v>
      </c>
      <c r="X835" s="1" t="s">
        <v>87</v>
      </c>
      <c r="Y835" s="10">
        <v>44557</v>
      </c>
      <c r="Z835" s="1">
        <v>2021</v>
      </c>
      <c r="AA835" s="2">
        <v>126749.78</v>
      </c>
      <c r="AB835" s="2"/>
      <c r="AC835" s="2">
        <v>19012.47</v>
      </c>
      <c r="AD835" s="1">
        <v>0</v>
      </c>
      <c r="AG835" s="1" t="s">
        <v>432</v>
      </c>
      <c r="AH835" s="1" t="s">
        <v>492</v>
      </c>
      <c r="AI835" s="2">
        <v>0</v>
      </c>
    </row>
    <row r="836" spans="1:35" ht="14.45" customHeight="1" x14ac:dyDescent="0.2">
      <c r="A836" s="1" t="s">
        <v>57</v>
      </c>
      <c r="B836" s="9" t="s">
        <v>39</v>
      </c>
      <c r="C836" s="1" t="s">
        <v>58</v>
      </c>
      <c r="D836" s="1" t="s">
        <v>59</v>
      </c>
      <c r="E836" s="1" t="s">
        <v>42</v>
      </c>
      <c r="G836" s="1" t="s">
        <v>105</v>
      </c>
      <c r="H836" s="1" t="s">
        <v>61</v>
      </c>
      <c r="I836" s="1" t="s">
        <v>4447</v>
      </c>
      <c r="J836" s="1">
        <v>2023</v>
      </c>
      <c r="K836" s="1" t="s">
        <v>4448</v>
      </c>
      <c r="L836" s="1" t="s">
        <v>4449</v>
      </c>
      <c r="P836" s="1" t="s">
        <v>4450</v>
      </c>
      <c r="Q836" s="1" t="s">
        <v>101</v>
      </c>
      <c r="R836" s="1" t="s">
        <v>102</v>
      </c>
      <c r="S836" s="1" t="s">
        <v>3025</v>
      </c>
      <c r="T836" s="1" t="s">
        <v>3026</v>
      </c>
      <c r="U836" s="1">
        <v>1</v>
      </c>
      <c r="V836" s="1" t="s">
        <v>101</v>
      </c>
      <c r="W836" s="1" t="s">
        <v>4451</v>
      </c>
      <c r="Y836" s="10">
        <v>45462</v>
      </c>
      <c r="Z836" s="1">
        <v>2024</v>
      </c>
      <c r="AA836" s="2">
        <v>3651748</v>
      </c>
      <c r="AB836" s="2"/>
      <c r="AC836" s="2">
        <v>590174.80000000005</v>
      </c>
      <c r="AD836" s="1">
        <v>15</v>
      </c>
      <c r="AE836" s="1">
        <v>6</v>
      </c>
      <c r="AG836" s="1" t="s">
        <v>56</v>
      </c>
      <c r="AI836" s="2">
        <v>590174.80000000005</v>
      </c>
    </row>
    <row r="837" spans="1:35" ht="14.45" customHeight="1" x14ac:dyDescent="0.25">
      <c r="A837" s="1" t="s">
        <v>57</v>
      </c>
      <c r="B837" s="9" t="s">
        <v>39</v>
      </c>
      <c r="C837" s="1" t="s">
        <v>58</v>
      </c>
      <c r="D837" s="1" t="s">
        <v>4315</v>
      </c>
      <c r="E837" s="1" t="s">
        <v>42</v>
      </c>
      <c r="G837" s="1" t="s">
        <v>4340</v>
      </c>
      <c r="H837" s="1" t="s">
        <v>61</v>
      </c>
      <c r="I837" s="1" t="s">
        <v>4452</v>
      </c>
      <c r="J837" s="1">
        <v>2020</v>
      </c>
      <c r="P837" s="1" t="s">
        <v>4453</v>
      </c>
      <c r="Q837" s="1" t="s">
        <v>264</v>
      </c>
      <c r="R837" s="1" t="s">
        <v>265</v>
      </c>
      <c r="S837" s="16" t="s">
        <v>306</v>
      </c>
      <c r="T837" s="1" t="s">
        <v>307</v>
      </c>
      <c r="U837" s="1">
        <v>1</v>
      </c>
      <c r="V837" s="1" t="s">
        <v>308</v>
      </c>
      <c r="Y837" s="10">
        <v>44005</v>
      </c>
      <c r="Z837" s="1">
        <v>2020</v>
      </c>
      <c r="AA837" s="2"/>
      <c r="AB837" s="2"/>
      <c r="AC837" s="2">
        <v>28199.88</v>
      </c>
      <c r="AG837" s="1" t="s">
        <v>56</v>
      </c>
      <c r="AI837" s="2">
        <v>28199.88</v>
      </c>
    </row>
    <row r="838" spans="1:35" ht="14.45" customHeight="1" x14ac:dyDescent="0.25">
      <c r="A838" s="1" t="s">
        <v>57</v>
      </c>
      <c r="B838" s="9" t="s">
        <v>39</v>
      </c>
      <c r="C838" s="1" t="s">
        <v>58</v>
      </c>
      <c r="D838" s="1" t="s">
        <v>4315</v>
      </c>
      <c r="E838" s="1" t="s">
        <v>42</v>
      </c>
      <c r="G838" s="1" t="s">
        <v>4340</v>
      </c>
      <c r="H838" s="1" t="s">
        <v>61</v>
      </c>
      <c r="I838" s="1" t="s">
        <v>4454</v>
      </c>
      <c r="J838" s="1">
        <v>2020</v>
      </c>
      <c r="P838" s="1" t="s">
        <v>4453</v>
      </c>
      <c r="Q838" s="1" t="s">
        <v>264</v>
      </c>
      <c r="R838" s="1" t="s">
        <v>265</v>
      </c>
      <c r="S838" s="16" t="s">
        <v>306</v>
      </c>
      <c r="T838" s="1" t="s">
        <v>307</v>
      </c>
      <c r="U838" s="1">
        <v>1</v>
      </c>
      <c r="V838" s="1" t="s">
        <v>308</v>
      </c>
      <c r="Y838" s="10">
        <v>44005</v>
      </c>
      <c r="Z838" s="1">
        <v>2020</v>
      </c>
      <c r="AA838" s="2"/>
      <c r="AB838" s="2"/>
      <c r="AC838" s="2">
        <v>61417.18</v>
      </c>
      <c r="AG838" s="1" t="s">
        <v>56</v>
      </c>
      <c r="AI838" s="2">
        <v>61417.18</v>
      </c>
    </row>
    <row r="839" spans="1:35" ht="14.45" customHeight="1" x14ac:dyDescent="0.25">
      <c r="A839" s="1" t="s">
        <v>57</v>
      </c>
      <c r="B839" s="9" t="s">
        <v>39</v>
      </c>
      <c r="C839" s="1" t="s">
        <v>58</v>
      </c>
      <c r="D839" s="1" t="s">
        <v>4315</v>
      </c>
      <c r="E839" s="1" t="s">
        <v>42</v>
      </c>
      <c r="G839" s="39" t="s">
        <v>4340</v>
      </c>
      <c r="H839" s="1" t="s">
        <v>61</v>
      </c>
      <c r="I839" s="1" t="s">
        <v>4455</v>
      </c>
      <c r="J839" s="1">
        <v>2020</v>
      </c>
      <c r="P839" s="1" t="s">
        <v>4453</v>
      </c>
      <c r="Q839" s="1" t="s">
        <v>264</v>
      </c>
      <c r="R839" s="1" t="s">
        <v>265</v>
      </c>
      <c r="S839" s="16" t="s">
        <v>306</v>
      </c>
      <c r="T839" s="39" t="s">
        <v>307</v>
      </c>
      <c r="U839" s="1">
        <v>1</v>
      </c>
      <c r="V839" s="39" t="s">
        <v>308</v>
      </c>
      <c r="Y839" s="10">
        <v>44005</v>
      </c>
      <c r="Z839" s="1">
        <v>2020</v>
      </c>
      <c r="AA839" s="2"/>
      <c r="AB839" s="2"/>
      <c r="AC839" s="2">
        <v>46284.959999999999</v>
      </c>
      <c r="AG839" s="1" t="s">
        <v>56</v>
      </c>
      <c r="AI839" s="2">
        <v>46284.959999999999</v>
      </c>
    </row>
    <row r="840" spans="1:35" ht="14.45" customHeight="1" x14ac:dyDescent="0.2">
      <c r="A840" s="1" t="s">
        <v>57</v>
      </c>
      <c r="B840" s="9" t="s">
        <v>39</v>
      </c>
      <c r="C840" s="1" t="s">
        <v>58</v>
      </c>
      <c r="D840" s="1" t="s">
        <v>4315</v>
      </c>
      <c r="E840" s="1" t="s">
        <v>42</v>
      </c>
      <c r="G840" s="1" t="s">
        <v>4340</v>
      </c>
      <c r="H840" s="1" t="s">
        <v>61</v>
      </c>
      <c r="I840" s="1" t="s">
        <v>4456</v>
      </c>
      <c r="J840" s="1">
        <v>2020</v>
      </c>
      <c r="P840" s="1" t="s">
        <v>4457</v>
      </c>
      <c r="Q840" s="1" t="s">
        <v>264</v>
      </c>
      <c r="R840" s="1" t="s">
        <v>265</v>
      </c>
      <c r="S840" s="1" t="s">
        <v>2680</v>
      </c>
      <c r="T840" s="39" t="s">
        <v>2681</v>
      </c>
      <c r="U840" s="1">
        <v>1</v>
      </c>
      <c r="V840" s="39" t="s">
        <v>308</v>
      </c>
      <c r="Y840" s="10">
        <v>44005</v>
      </c>
      <c r="Z840" s="1">
        <v>2020</v>
      </c>
      <c r="AA840" s="2"/>
      <c r="AB840" s="2"/>
      <c r="AC840" s="2">
        <v>35219.72</v>
      </c>
      <c r="AG840" s="1" t="s">
        <v>56</v>
      </c>
      <c r="AI840" s="2">
        <v>35219.72</v>
      </c>
    </row>
    <row r="841" spans="1:35" ht="14.45" customHeight="1" x14ac:dyDescent="0.2">
      <c r="A841" s="1" t="s">
        <v>57</v>
      </c>
      <c r="B841" s="9" t="s">
        <v>39</v>
      </c>
      <c r="C841" s="1" t="s">
        <v>58</v>
      </c>
      <c r="D841" s="1" t="s">
        <v>4315</v>
      </c>
      <c r="E841" s="1" t="s">
        <v>42</v>
      </c>
      <c r="G841" s="1" t="s">
        <v>4340</v>
      </c>
      <c r="H841" s="1" t="s">
        <v>61</v>
      </c>
      <c r="I841" s="1" t="s">
        <v>4458</v>
      </c>
      <c r="J841" s="1">
        <v>2020</v>
      </c>
      <c r="P841" s="1" t="s">
        <v>4457</v>
      </c>
      <c r="Q841" s="1" t="s">
        <v>264</v>
      </c>
      <c r="R841" s="1" t="s">
        <v>265</v>
      </c>
      <c r="S841" s="1" t="s">
        <v>2680</v>
      </c>
      <c r="T841" s="1" t="s">
        <v>2681</v>
      </c>
      <c r="U841" s="1">
        <v>1</v>
      </c>
      <c r="V841" s="39" t="s">
        <v>308</v>
      </c>
      <c r="Y841" s="10">
        <v>44005</v>
      </c>
      <c r="Z841" s="1">
        <v>2020</v>
      </c>
      <c r="AA841" s="2"/>
      <c r="AB841" s="2"/>
      <c r="AC841" s="2">
        <v>14501.13</v>
      </c>
      <c r="AG841" s="1" t="s">
        <v>56</v>
      </c>
      <c r="AI841" s="2">
        <v>14501.13</v>
      </c>
    </row>
    <row r="842" spans="1:35" ht="14.45" customHeight="1" x14ac:dyDescent="0.2">
      <c r="A842" s="1" t="s">
        <v>57</v>
      </c>
      <c r="B842" s="9" t="s">
        <v>39</v>
      </c>
      <c r="C842" s="1" t="s">
        <v>58</v>
      </c>
      <c r="D842" s="1" t="s">
        <v>4315</v>
      </c>
      <c r="E842" s="1" t="s">
        <v>42</v>
      </c>
      <c r="G842" s="1" t="s">
        <v>4340</v>
      </c>
      <c r="H842" s="1" t="s">
        <v>61</v>
      </c>
      <c r="I842" s="1" t="s">
        <v>4459</v>
      </c>
      <c r="J842" s="1">
        <v>2020</v>
      </c>
      <c r="P842" s="1" t="s">
        <v>4457</v>
      </c>
      <c r="Q842" s="1" t="s">
        <v>264</v>
      </c>
      <c r="R842" s="1" t="s">
        <v>265</v>
      </c>
      <c r="S842" s="1" t="s">
        <v>2680</v>
      </c>
      <c r="T842" s="39" t="s">
        <v>2681</v>
      </c>
      <c r="U842" s="1">
        <v>1</v>
      </c>
      <c r="V842" s="39" t="s">
        <v>308</v>
      </c>
      <c r="Y842" s="10">
        <v>44005</v>
      </c>
      <c r="Z842" s="1">
        <v>2020</v>
      </c>
      <c r="AA842" s="2"/>
      <c r="AB842" s="2"/>
      <c r="AC842" s="2">
        <v>13968.52</v>
      </c>
      <c r="AG842" s="1" t="s">
        <v>56</v>
      </c>
      <c r="AI842" s="2">
        <v>13968.52</v>
      </c>
    </row>
    <row r="843" spans="1:35" ht="14.45" customHeight="1" x14ac:dyDescent="0.2">
      <c r="A843" s="1" t="s">
        <v>57</v>
      </c>
      <c r="B843" s="9" t="s">
        <v>39</v>
      </c>
      <c r="C843" s="1" t="s">
        <v>58</v>
      </c>
      <c r="D843" s="1" t="s">
        <v>4315</v>
      </c>
      <c r="E843" s="1" t="s">
        <v>42</v>
      </c>
      <c r="G843" s="1" t="s">
        <v>4340</v>
      </c>
      <c r="H843" s="1" t="s">
        <v>61</v>
      </c>
      <c r="I843" s="1" t="s">
        <v>4460</v>
      </c>
      <c r="J843" s="1">
        <v>2020</v>
      </c>
      <c r="P843" s="1" t="s">
        <v>4457</v>
      </c>
      <c r="Q843" s="1" t="s">
        <v>264</v>
      </c>
      <c r="R843" s="1" t="s">
        <v>265</v>
      </c>
      <c r="S843" s="1" t="s">
        <v>2680</v>
      </c>
      <c r="T843" s="1" t="s">
        <v>2681</v>
      </c>
      <c r="U843" s="1">
        <v>1</v>
      </c>
      <c r="V843" s="39" t="s">
        <v>308</v>
      </c>
      <c r="Y843" s="10">
        <v>44005</v>
      </c>
      <c r="Z843" s="1">
        <v>2020</v>
      </c>
      <c r="AA843" s="2"/>
      <c r="AB843" s="2"/>
      <c r="AC843" s="2">
        <v>14001.26</v>
      </c>
      <c r="AG843" s="1" t="s">
        <v>56</v>
      </c>
      <c r="AI843" s="2">
        <v>14001.26</v>
      </c>
    </row>
    <row r="844" spans="1:35" ht="12.6" customHeight="1" x14ac:dyDescent="0.2">
      <c r="A844" s="1" t="s">
        <v>57</v>
      </c>
      <c r="B844" s="9" t="s">
        <v>39</v>
      </c>
      <c r="C844" s="1" t="s">
        <v>58</v>
      </c>
      <c r="D844" s="1" t="s">
        <v>4315</v>
      </c>
      <c r="E844" s="1" t="s">
        <v>42</v>
      </c>
      <c r="G844" s="1" t="s">
        <v>4340</v>
      </c>
      <c r="H844" s="1" t="s">
        <v>61</v>
      </c>
      <c r="I844" s="1" t="s">
        <v>4461</v>
      </c>
      <c r="J844" s="1">
        <v>2021</v>
      </c>
      <c r="P844" s="1" t="s">
        <v>4457</v>
      </c>
      <c r="Q844" s="1" t="s">
        <v>264</v>
      </c>
      <c r="R844" s="1" t="s">
        <v>265</v>
      </c>
      <c r="S844" s="1" t="s">
        <v>2680</v>
      </c>
      <c r="T844" s="39" t="s">
        <v>2681</v>
      </c>
      <c r="U844" s="1">
        <v>1</v>
      </c>
      <c r="V844" s="39" t="s">
        <v>308</v>
      </c>
      <c r="Y844" s="10">
        <v>44299</v>
      </c>
      <c r="Z844" s="1">
        <v>2021</v>
      </c>
      <c r="AA844" s="2"/>
      <c r="AB844" s="2"/>
      <c r="AC844" s="2">
        <v>19185.91</v>
      </c>
      <c r="AG844" s="1" t="s">
        <v>56</v>
      </c>
      <c r="AI844" s="2">
        <v>19185.91</v>
      </c>
    </row>
    <row r="845" spans="1:35" ht="14.45" customHeight="1" x14ac:dyDescent="0.2">
      <c r="A845" s="1" t="s">
        <v>57</v>
      </c>
      <c r="B845" s="9" t="s">
        <v>39</v>
      </c>
      <c r="C845" s="1" t="s">
        <v>58</v>
      </c>
      <c r="D845" s="1" t="s">
        <v>4315</v>
      </c>
      <c r="E845" s="1" t="s">
        <v>42</v>
      </c>
      <c r="G845" s="39" t="s">
        <v>4340</v>
      </c>
      <c r="H845" s="1" t="s">
        <v>61</v>
      </c>
      <c r="I845" s="1" t="s">
        <v>4462</v>
      </c>
      <c r="J845" s="1">
        <v>2020</v>
      </c>
      <c r="P845" s="1" t="s">
        <v>4457</v>
      </c>
      <c r="Q845" s="1" t="s">
        <v>264</v>
      </c>
      <c r="R845" s="1" t="s">
        <v>265</v>
      </c>
      <c r="S845" s="1" t="s">
        <v>2680</v>
      </c>
      <c r="T845" s="39" t="s">
        <v>2681</v>
      </c>
      <c r="U845" s="1">
        <v>1</v>
      </c>
      <c r="V845" s="39" t="s">
        <v>308</v>
      </c>
      <c r="Y845" s="10">
        <v>44005</v>
      </c>
      <c r="Z845" s="1">
        <v>2020</v>
      </c>
      <c r="AA845" s="2"/>
      <c r="AB845" s="2"/>
      <c r="AC845" s="2">
        <v>13949.23</v>
      </c>
      <c r="AG845" s="1" t="s">
        <v>56</v>
      </c>
      <c r="AI845" s="2">
        <v>13949.23</v>
      </c>
    </row>
    <row r="846" spans="1:35" ht="14.45" customHeight="1" x14ac:dyDescent="0.2">
      <c r="A846" s="1" t="s">
        <v>57</v>
      </c>
      <c r="B846" s="9" t="s">
        <v>39</v>
      </c>
      <c r="C846" s="1" t="s">
        <v>58</v>
      </c>
      <c r="D846" s="1" t="s">
        <v>4315</v>
      </c>
      <c r="E846" s="1" t="s">
        <v>42</v>
      </c>
      <c r="G846" s="39" t="s">
        <v>4340</v>
      </c>
      <c r="H846" s="1" t="s">
        <v>61</v>
      </c>
      <c r="I846" s="1" t="s">
        <v>4463</v>
      </c>
      <c r="J846" s="1">
        <v>2020</v>
      </c>
      <c r="P846" s="1" t="s">
        <v>4457</v>
      </c>
      <c r="Q846" s="1" t="s">
        <v>264</v>
      </c>
      <c r="R846" s="1" t="s">
        <v>265</v>
      </c>
      <c r="S846" s="1" t="s">
        <v>2680</v>
      </c>
      <c r="T846" s="39" t="s">
        <v>2681</v>
      </c>
      <c r="U846" s="1">
        <v>1</v>
      </c>
      <c r="V846" s="39" t="s">
        <v>308</v>
      </c>
      <c r="Y846" s="10">
        <v>44005</v>
      </c>
      <c r="Z846" s="1">
        <v>2020</v>
      </c>
      <c r="AA846" s="2"/>
      <c r="AB846" s="2"/>
      <c r="AC846" s="2">
        <v>48114.43</v>
      </c>
      <c r="AG846" s="1" t="s">
        <v>56</v>
      </c>
      <c r="AI846" s="2">
        <v>48114.43</v>
      </c>
    </row>
    <row r="847" spans="1:35" ht="14.45" customHeight="1" x14ac:dyDescent="0.2">
      <c r="A847" s="1" t="s">
        <v>57</v>
      </c>
      <c r="B847" s="9" t="s">
        <v>39</v>
      </c>
      <c r="C847" s="1" t="s">
        <v>58</v>
      </c>
      <c r="D847" s="1" t="s">
        <v>4315</v>
      </c>
      <c r="E847" s="1" t="s">
        <v>42</v>
      </c>
      <c r="G847" s="39" t="s">
        <v>4340</v>
      </c>
      <c r="H847" s="1" t="s">
        <v>61</v>
      </c>
      <c r="I847" s="1" t="s">
        <v>4464</v>
      </c>
      <c r="J847" s="1">
        <v>2020</v>
      </c>
      <c r="P847" s="1" t="s">
        <v>4457</v>
      </c>
      <c r="Q847" s="1" t="s">
        <v>264</v>
      </c>
      <c r="R847" s="1" t="s">
        <v>265</v>
      </c>
      <c r="S847" s="1" t="s">
        <v>2680</v>
      </c>
      <c r="T847" s="39" t="s">
        <v>2681</v>
      </c>
      <c r="U847" s="1">
        <v>1</v>
      </c>
      <c r="V847" s="39" t="s">
        <v>308</v>
      </c>
      <c r="Y847" s="10">
        <v>44005</v>
      </c>
      <c r="Z847" s="1">
        <v>2020</v>
      </c>
      <c r="AA847" s="2"/>
      <c r="AB847" s="2"/>
      <c r="AC847" s="2">
        <v>19956.560000000001</v>
      </c>
      <c r="AG847" s="1" t="s">
        <v>56</v>
      </c>
      <c r="AI847" s="2">
        <v>19956.560000000001</v>
      </c>
    </row>
    <row r="848" spans="1:35" ht="14.45" customHeight="1" x14ac:dyDescent="0.2">
      <c r="A848" s="1" t="s">
        <v>57</v>
      </c>
      <c r="B848" s="9" t="s">
        <v>39</v>
      </c>
      <c r="C848" s="1" t="s">
        <v>58</v>
      </c>
      <c r="D848" s="1" t="s">
        <v>4315</v>
      </c>
      <c r="E848" s="1" t="s">
        <v>42</v>
      </c>
      <c r="G848" s="39" t="s">
        <v>4340</v>
      </c>
      <c r="H848" s="1" t="s">
        <v>61</v>
      </c>
      <c r="I848" s="1" t="s">
        <v>4465</v>
      </c>
      <c r="J848" s="1">
        <v>2020</v>
      </c>
      <c r="P848" s="1" t="s">
        <v>4457</v>
      </c>
      <c r="Q848" s="1" t="s">
        <v>264</v>
      </c>
      <c r="R848" s="1" t="s">
        <v>265</v>
      </c>
      <c r="S848" s="1" t="s">
        <v>2680</v>
      </c>
      <c r="T848" s="39" t="s">
        <v>2681</v>
      </c>
      <c r="U848" s="1">
        <v>1</v>
      </c>
      <c r="V848" s="39" t="s">
        <v>308</v>
      </c>
      <c r="Y848" s="10">
        <v>44005</v>
      </c>
      <c r="Z848" s="1">
        <v>2020</v>
      </c>
      <c r="AA848" s="2"/>
      <c r="AB848" s="2"/>
      <c r="AC848" s="2">
        <v>12726.67</v>
      </c>
      <c r="AG848" s="1" t="s">
        <v>56</v>
      </c>
      <c r="AI848" s="2">
        <v>12726.67</v>
      </c>
    </row>
    <row r="849" spans="1:38" ht="14.45" customHeight="1" x14ac:dyDescent="0.2">
      <c r="A849" s="1" t="s">
        <v>57</v>
      </c>
      <c r="B849" s="9" t="s">
        <v>39</v>
      </c>
      <c r="C849" s="1" t="s">
        <v>58</v>
      </c>
      <c r="D849" s="1" t="s">
        <v>4315</v>
      </c>
      <c r="E849" s="1" t="s">
        <v>42</v>
      </c>
      <c r="G849" s="39" t="s">
        <v>4340</v>
      </c>
      <c r="H849" s="1" t="s">
        <v>61</v>
      </c>
      <c r="I849" s="1" t="s">
        <v>4466</v>
      </c>
      <c r="J849" s="1">
        <v>2020</v>
      </c>
      <c r="P849" s="1" t="s">
        <v>4457</v>
      </c>
      <c r="Q849" s="1" t="s">
        <v>264</v>
      </c>
      <c r="R849" s="1" t="s">
        <v>265</v>
      </c>
      <c r="S849" s="1" t="s">
        <v>2680</v>
      </c>
      <c r="T849" s="39" t="s">
        <v>2681</v>
      </c>
      <c r="U849" s="1">
        <v>1</v>
      </c>
      <c r="V849" s="39" t="s">
        <v>308</v>
      </c>
      <c r="Y849" s="10">
        <v>44005</v>
      </c>
      <c r="Z849" s="1">
        <v>2020</v>
      </c>
      <c r="AA849" s="2"/>
      <c r="AB849" s="2"/>
      <c r="AC849" s="2">
        <v>20068.2</v>
      </c>
      <c r="AG849" s="1" t="s">
        <v>56</v>
      </c>
      <c r="AI849" s="2">
        <v>20068.2</v>
      </c>
    </row>
    <row r="850" spans="1:38" ht="14.45" customHeight="1" x14ac:dyDescent="0.2">
      <c r="A850" s="1" t="s">
        <v>57</v>
      </c>
      <c r="B850" s="9" t="s">
        <v>39</v>
      </c>
      <c r="C850" s="1" t="s">
        <v>58</v>
      </c>
      <c r="D850" s="1" t="s">
        <v>4315</v>
      </c>
      <c r="E850" s="1" t="s">
        <v>42</v>
      </c>
      <c r="G850" s="39" t="s">
        <v>4340</v>
      </c>
      <c r="H850" s="1" t="s">
        <v>61</v>
      </c>
      <c r="I850" s="1" t="s">
        <v>4467</v>
      </c>
      <c r="J850" s="1">
        <v>2020</v>
      </c>
      <c r="P850" s="1" t="s">
        <v>4457</v>
      </c>
      <c r="Q850" s="1" t="s">
        <v>264</v>
      </c>
      <c r="R850" s="1" t="s">
        <v>265</v>
      </c>
      <c r="S850" s="1" t="s">
        <v>2680</v>
      </c>
      <c r="T850" s="39" t="s">
        <v>2681</v>
      </c>
      <c r="U850" s="1">
        <v>1</v>
      </c>
      <c r="V850" s="39" t="s">
        <v>308</v>
      </c>
      <c r="Y850" s="10">
        <v>44005</v>
      </c>
      <c r="Z850" s="1">
        <v>2020</v>
      </c>
      <c r="AA850" s="2"/>
      <c r="AB850" s="2"/>
      <c r="AC850" s="2">
        <v>19469.95</v>
      </c>
      <c r="AG850" s="1" t="s">
        <v>56</v>
      </c>
      <c r="AI850" s="2">
        <v>19469.95</v>
      </c>
    </row>
    <row r="851" spans="1:38" ht="14.45" customHeight="1" x14ac:dyDescent="0.2">
      <c r="A851" s="1" t="s">
        <v>57</v>
      </c>
      <c r="B851" s="9" t="s">
        <v>39</v>
      </c>
      <c r="C851" s="1" t="s">
        <v>58</v>
      </c>
      <c r="D851" s="1" t="s">
        <v>4315</v>
      </c>
      <c r="E851" s="1" t="s">
        <v>42</v>
      </c>
      <c r="G851" s="39" t="s">
        <v>4340</v>
      </c>
      <c r="H851" s="1" t="s">
        <v>61</v>
      </c>
      <c r="I851" s="1" t="s">
        <v>4468</v>
      </c>
      <c r="J851" s="1">
        <v>2020</v>
      </c>
      <c r="P851" s="1" t="s">
        <v>4457</v>
      </c>
      <c r="Q851" s="1" t="s">
        <v>264</v>
      </c>
      <c r="R851" s="1" t="s">
        <v>265</v>
      </c>
      <c r="S851" s="1" t="s">
        <v>2680</v>
      </c>
      <c r="T851" s="39" t="s">
        <v>2681</v>
      </c>
      <c r="U851" s="1">
        <v>1</v>
      </c>
      <c r="V851" s="39" t="s">
        <v>308</v>
      </c>
      <c r="Y851" s="10">
        <v>44005</v>
      </c>
      <c r="Z851" s="1">
        <v>2020</v>
      </c>
      <c r="AA851" s="2"/>
      <c r="AB851" s="2"/>
      <c r="AC851" s="2">
        <v>13061.16</v>
      </c>
      <c r="AG851" s="1" t="s">
        <v>56</v>
      </c>
      <c r="AI851" s="2">
        <v>13061.16</v>
      </c>
    </row>
    <row r="852" spans="1:38" ht="12.6" customHeight="1" x14ac:dyDescent="0.2">
      <c r="A852" s="1" t="s">
        <v>57</v>
      </c>
      <c r="B852" s="9" t="s">
        <v>39</v>
      </c>
      <c r="C852" s="1" t="s">
        <v>58</v>
      </c>
      <c r="D852" s="1" t="s">
        <v>4315</v>
      </c>
      <c r="E852" s="1" t="s">
        <v>42</v>
      </c>
      <c r="G852" s="39" t="s">
        <v>4340</v>
      </c>
      <c r="H852" s="1" t="s">
        <v>61</v>
      </c>
      <c r="I852" s="1" t="s">
        <v>4469</v>
      </c>
      <c r="J852" s="1">
        <v>2020</v>
      </c>
      <c r="P852" s="1" t="s">
        <v>4457</v>
      </c>
      <c r="Q852" s="1" t="s">
        <v>264</v>
      </c>
      <c r="R852" s="1" t="s">
        <v>265</v>
      </c>
      <c r="S852" s="1" t="s">
        <v>2680</v>
      </c>
      <c r="T852" s="39" t="s">
        <v>2681</v>
      </c>
      <c r="U852" s="1">
        <v>1</v>
      </c>
      <c r="V852" s="39" t="s">
        <v>308</v>
      </c>
      <c r="Y852" s="10">
        <v>44160</v>
      </c>
      <c r="Z852" s="1">
        <v>2020</v>
      </c>
      <c r="AA852" s="2"/>
      <c r="AB852" s="2"/>
      <c r="AC852" s="2">
        <v>18666.36</v>
      </c>
      <c r="AG852" s="1" t="s">
        <v>56</v>
      </c>
      <c r="AI852" s="2">
        <v>18666.36</v>
      </c>
    </row>
    <row r="853" spans="1:38" ht="12.6" customHeight="1" x14ac:dyDescent="0.2">
      <c r="A853" s="1" t="s">
        <v>57</v>
      </c>
      <c r="B853" s="9" t="s">
        <v>39</v>
      </c>
      <c r="C853" s="1" t="s">
        <v>58</v>
      </c>
      <c r="D853" s="1" t="s">
        <v>4315</v>
      </c>
      <c r="E853" s="1" t="s">
        <v>42</v>
      </c>
      <c r="G853" s="39" t="s">
        <v>4316</v>
      </c>
      <c r="H853" s="1" t="s">
        <v>61</v>
      </c>
      <c r="I853" s="1" t="s">
        <v>4470</v>
      </c>
      <c r="J853" s="1">
        <v>2019</v>
      </c>
      <c r="P853" s="1" t="s">
        <v>4471</v>
      </c>
      <c r="Q853" s="1" t="s">
        <v>50</v>
      </c>
      <c r="R853" s="1" t="s">
        <v>68</v>
      </c>
      <c r="S853" s="1" t="s">
        <v>425</v>
      </c>
      <c r="T853" s="1" t="s">
        <v>426</v>
      </c>
      <c r="U853" s="1">
        <v>1</v>
      </c>
      <c r="V853" s="39" t="s">
        <v>195</v>
      </c>
      <c r="Y853" s="10">
        <v>43466</v>
      </c>
      <c r="Z853" s="1">
        <v>2019</v>
      </c>
      <c r="AA853" s="2"/>
      <c r="AB853" s="2"/>
      <c r="AC853" s="2">
        <v>176215.02999999997</v>
      </c>
      <c r="AG853" s="1" t="s">
        <v>56</v>
      </c>
      <c r="AI853" s="2">
        <v>176215.02999999997</v>
      </c>
      <c r="AL853" s="1" t="s">
        <v>4319</v>
      </c>
    </row>
    <row r="854" spans="1:38" ht="12.6" customHeight="1" x14ac:dyDescent="0.2">
      <c r="A854" s="1" t="s">
        <v>57</v>
      </c>
      <c r="B854" s="9" t="s">
        <v>39</v>
      </c>
      <c r="C854" s="1" t="s">
        <v>58</v>
      </c>
      <c r="D854" s="1" t="s">
        <v>4315</v>
      </c>
      <c r="E854" s="1" t="s">
        <v>42</v>
      </c>
      <c r="G854" s="39" t="s">
        <v>4316</v>
      </c>
      <c r="H854" s="1" t="s">
        <v>61</v>
      </c>
      <c r="I854" s="1" t="s">
        <v>4472</v>
      </c>
      <c r="J854" s="1">
        <v>2019</v>
      </c>
      <c r="P854" s="1" t="s">
        <v>4471</v>
      </c>
      <c r="Q854" s="1" t="s">
        <v>50</v>
      </c>
      <c r="R854" s="1" t="s">
        <v>68</v>
      </c>
      <c r="S854" s="1" t="s">
        <v>425</v>
      </c>
      <c r="T854" s="39" t="s">
        <v>426</v>
      </c>
      <c r="U854" s="1">
        <v>1</v>
      </c>
      <c r="V854" s="39" t="s">
        <v>195</v>
      </c>
      <c r="Y854" s="10">
        <v>43617</v>
      </c>
      <c r="Z854" s="1">
        <v>2019</v>
      </c>
      <c r="AA854" s="2"/>
      <c r="AB854" s="2"/>
      <c r="AC854" s="2">
        <v>486839.55000000005</v>
      </c>
      <c r="AG854" s="1" t="s">
        <v>56</v>
      </c>
      <c r="AI854" s="2">
        <v>486839.55000000005</v>
      </c>
      <c r="AL854" s="1" t="s">
        <v>4319</v>
      </c>
    </row>
    <row r="855" spans="1:38" ht="12.6" customHeight="1" x14ac:dyDescent="0.2">
      <c r="A855" s="1" t="s">
        <v>57</v>
      </c>
      <c r="B855" s="9" t="s">
        <v>39</v>
      </c>
      <c r="C855" s="1" t="s">
        <v>58</v>
      </c>
      <c r="D855" s="1" t="s">
        <v>4315</v>
      </c>
      <c r="E855" s="1" t="s">
        <v>42</v>
      </c>
      <c r="G855" s="39" t="s">
        <v>4316</v>
      </c>
      <c r="H855" s="1" t="s">
        <v>61</v>
      </c>
      <c r="I855" s="1" t="s">
        <v>4473</v>
      </c>
      <c r="J855" s="1">
        <v>2018</v>
      </c>
      <c r="P855" s="1" t="s">
        <v>4474</v>
      </c>
      <c r="Q855" s="1" t="s">
        <v>50</v>
      </c>
      <c r="R855" s="1" t="s">
        <v>68</v>
      </c>
      <c r="S855" s="1" t="s">
        <v>430</v>
      </c>
      <c r="T855" s="39" t="s">
        <v>431</v>
      </c>
      <c r="U855" s="1">
        <v>1</v>
      </c>
      <c r="V855" s="39" t="s">
        <v>71</v>
      </c>
      <c r="Y855" s="10">
        <v>43461</v>
      </c>
      <c r="Z855" s="1">
        <v>2018</v>
      </c>
      <c r="AA855" s="2"/>
      <c r="AB855" s="2"/>
      <c r="AC855" s="2">
        <v>352724.26</v>
      </c>
      <c r="AG855" s="1" t="s">
        <v>56</v>
      </c>
      <c r="AI855" s="2">
        <v>352724.26</v>
      </c>
      <c r="AL855" s="1" t="s">
        <v>4319</v>
      </c>
    </row>
    <row r="856" spans="1:38" ht="12.6" customHeight="1" x14ac:dyDescent="0.2">
      <c r="A856" s="1" t="s">
        <v>57</v>
      </c>
      <c r="B856" s="9" t="s">
        <v>39</v>
      </c>
      <c r="C856" s="1" t="s">
        <v>58</v>
      </c>
      <c r="D856" s="1" t="s">
        <v>4315</v>
      </c>
      <c r="E856" s="1" t="s">
        <v>42</v>
      </c>
      <c r="G856" s="39" t="s">
        <v>4340</v>
      </c>
      <c r="H856" s="1" t="s">
        <v>61</v>
      </c>
      <c r="I856" s="1" t="s">
        <v>4475</v>
      </c>
      <c r="J856" s="1">
        <v>2019</v>
      </c>
      <c r="P856" s="1" t="s">
        <v>4474</v>
      </c>
      <c r="Q856" s="1" t="s">
        <v>264</v>
      </c>
      <c r="R856" s="1" t="s">
        <v>265</v>
      </c>
      <c r="S856" s="1" t="s">
        <v>935</v>
      </c>
      <c r="T856" s="39" t="s">
        <v>936</v>
      </c>
      <c r="U856" s="1">
        <v>1</v>
      </c>
      <c r="V856" s="39" t="s">
        <v>308</v>
      </c>
      <c r="Y856" s="10">
        <v>43809</v>
      </c>
      <c r="Z856" s="1">
        <v>2019</v>
      </c>
      <c r="AA856" s="2"/>
      <c r="AB856" s="2"/>
      <c r="AC856" s="2">
        <v>24279.99</v>
      </c>
      <c r="AG856" s="1" t="s">
        <v>56</v>
      </c>
      <c r="AI856" s="2">
        <v>24279.99</v>
      </c>
    </row>
    <row r="857" spans="1:38" ht="12.6" customHeight="1" x14ac:dyDescent="0.2">
      <c r="A857" s="1" t="s">
        <v>57</v>
      </c>
      <c r="B857" s="9" t="s">
        <v>39</v>
      </c>
      <c r="C857" s="1" t="s">
        <v>58</v>
      </c>
      <c r="D857" s="1" t="s">
        <v>146</v>
      </c>
      <c r="E857" s="1" t="s">
        <v>42</v>
      </c>
      <c r="G857" s="39" t="s">
        <v>1172</v>
      </c>
      <c r="H857" s="1" t="s">
        <v>61</v>
      </c>
      <c r="I857" s="1" t="s">
        <v>4476</v>
      </c>
      <c r="J857" s="1">
        <v>2020</v>
      </c>
      <c r="K857" s="1" t="s">
        <v>4477</v>
      </c>
      <c r="P857" s="1" t="s">
        <v>3033</v>
      </c>
      <c r="Q857" s="1" t="s">
        <v>1149</v>
      </c>
      <c r="R857" s="1" t="s">
        <v>1150</v>
      </c>
      <c r="S857" s="1" t="s">
        <v>1218</v>
      </c>
      <c r="T857" s="39" t="s">
        <v>1219</v>
      </c>
      <c r="V857" s="39" t="s">
        <v>1153</v>
      </c>
      <c r="W857" s="1" t="s">
        <v>4477</v>
      </c>
      <c r="X857" s="1" t="s">
        <v>309</v>
      </c>
      <c r="Y857" s="10">
        <v>44337</v>
      </c>
      <c r="Z857" s="1">
        <v>2021</v>
      </c>
      <c r="AA857" s="2">
        <v>539035</v>
      </c>
      <c r="AB857" s="2"/>
      <c r="AC857" s="2">
        <v>288814.95</v>
      </c>
      <c r="AD857" s="1">
        <v>1</v>
      </c>
      <c r="AE857" s="1">
        <v>1</v>
      </c>
      <c r="AG857" s="1" t="s">
        <v>432</v>
      </c>
      <c r="AH857" s="1" t="s">
        <v>492</v>
      </c>
      <c r="AI857" s="2">
        <v>0</v>
      </c>
      <c r="AK857" s="1">
        <v>1</v>
      </c>
      <c r="AL857" s="1" t="s">
        <v>1336</v>
      </c>
    </row>
    <row r="858" spans="1:38" ht="12.6" customHeight="1" x14ac:dyDescent="0.2">
      <c r="A858" s="1" t="s">
        <v>57</v>
      </c>
      <c r="B858" s="9" t="s">
        <v>39</v>
      </c>
      <c r="C858" s="1" t="s">
        <v>58</v>
      </c>
      <c r="D858" s="1" t="s">
        <v>146</v>
      </c>
      <c r="E858" s="1" t="s">
        <v>42</v>
      </c>
      <c r="G858" s="39" t="s">
        <v>1172</v>
      </c>
      <c r="H858" s="1" t="s">
        <v>61</v>
      </c>
      <c r="I858" s="1" t="s">
        <v>4478</v>
      </c>
      <c r="J858" s="1">
        <v>2020</v>
      </c>
      <c r="K858" s="1" t="s">
        <v>4479</v>
      </c>
      <c r="P858" s="1" t="s">
        <v>3033</v>
      </c>
      <c r="Q858" s="1" t="s">
        <v>1149</v>
      </c>
      <c r="R858" s="1" t="s">
        <v>1150</v>
      </c>
      <c r="S858" s="1" t="s">
        <v>1218</v>
      </c>
      <c r="T858" s="39" t="s">
        <v>1219</v>
      </c>
      <c r="V858" s="39" t="s">
        <v>1153</v>
      </c>
      <c r="W858" s="1" t="s">
        <v>4479</v>
      </c>
      <c r="X858" s="1" t="s">
        <v>309</v>
      </c>
      <c r="Y858" s="10">
        <v>44337</v>
      </c>
      <c r="Z858" s="1">
        <v>2021</v>
      </c>
      <c r="AA858" s="2">
        <v>890800</v>
      </c>
      <c r="AB858" s="2"/>
      <c r="AC858" s="2">
        <v>445400</v>
      </c>
      <c r="AD858" s="1">
        <v>5</v>
      </c>
      <c r="AE858" s="1">
        <v>2</v>
      </c>
      <c r="AG858" s="1" t="s">
        <v>432</v>
      </c>
      <c r="AH858" s="1" t="s">
        <v>492</v>
      </c>
      <c r="AI858" s="2">
        <v>0</v>
      </c>
      <c r="AK858" s="1">
        <v>5</v>
      </c>
      <c r="AL858" s="1" t="s">
        <v>4480</v>
      </c>
    </row>
    <row r="859" spans="1:38" ht="12.6" customHeight="1" x14ac:dyDescent="0.25">
      <c r="A859" s="1" t="s">
        <v>57</v>
      </c>
      <c r="B859" s="9" t="s">
        <v>39</v>
      </c>
      <c r="C859" s="1" t="s">
        <v>58</v>
      </c>
      <c r="D859" s="1" t="s">
        <v>146</v>
      </c>
      <c r="E859" s="1" t="s">
        <v>42</v>
      </c>
      <c r="G859" s="39" t="s">
        <v>1172</v>
      </c>
      <c r="H859" s="1" t="s">
        <v>61</v>
      </c>
      <c r="I859" s="1" t="s">
        <v>4481</v>
      </c>
      <c r="J859" s="1">
        <v>2020</v>
      </c>
      <c r="K859" s="1" t="s">
        <v>4482</v>
      </c>
      <c r="P859" s="1" t="s">
        <v>1176</v>
      </c>
      <c r="Q859" s="1" t="s">
        <v>842</v>
      </c>
      <c r="R859" s="1" t="s">
        <v>1177</v>
      </c>
      <c r="S859" s="16" t="s">
        <v>1178</v>
      </c>
      <c r="T859" s="39" t="s">
        <v>1179</v>
      </c>
      <c r="V859" s="39" t="s">
        <v>1178</v>
      </c>
      <c r="W859" s="1" t="s">
        <v>4482</v>
      </c>
      <c r="X859" s="1" t="s">
        <v>309</v>
      </c>
      <c r="Y859" s="10">
        <v>44337</v>
      </c>
      <c r="Z859" s="1">
        <v>2021</v>
      </c>
      <c r="AA859" s="2">
        <v>349960</v>
      </c>
      <c r="AB859" s="2"/>
      <c r="AC859" s="2">
        <v>215085.42</v>
      </c>
      <c r="AD859" s="1">
        <v>4</v>
      </c>
      <c r="AE859" s="1">
        <v>2</v>
      </c>
      <c r="AG859" s="1" t="s">
        <v>432</v>
      </c>
      <c r="AI859" s="2">
        <v>0</v>
      </c>
      <c r="AK859" s="1">
        <v>4</v>
      </c>
      <c r="AL859" s="1" t="s">
        <v>4483</v>
      </c>
    </row>
    <row r="860" spans="1:38" ht="12.6" customHeight="1" x14ac:dyDescent="0.25">
      <c r="A860" s="1" t="s">
        <v>57</v>
      </c>
      <c r="B860" s="9" t="s">
        <v>39</v>
      </c>
      <c r="C860" s="1" t="s">
        <v>58</v>
      </c>
      <c r="D860" s="1" t="s">
        <v>146</v>
      </c>
      <c r="E860" s="1" t="s">
        <v>42</v>
      </c>
      <c r="G860" s="39" t="s">
        <v>1172</v>
      </c>
      <c r="H860" s="1" t="s">
        <v>61</v>
      </c>
      <c r="I860" s="1" t="s">
        <v>4484</v>
      </c>
      <c r="J860" s="1">
        <v>2020</v>
      </c>
      <c r="K860" s="1" t="s">
        <v>3827</v>
      </c>
      <c r="P860" s="1" t="s">
        <v>1176</v>
      </c>
      <c r="Q860" s="1" t="s">
        <v>842</v>
      </c>
      <c r="R860" s="1" t="s">
        <v>1177</v>
      </c>
      <c r="S860" s="16" t="s">
        <v>1178</v>
      </c>
      <c r="T860" s="39" t="s">
        <v>1179</v>
      </c>
      <c r="V860" s="39" t="s">
        <v>1178</v>
      </c>
      <c r="W860" s="1" t="s">
        <v>3827</v>
      </c>
      <c r="X860" s="1" t="s">
        <v>138</v>
      </c>
      <c r="Y860" s="10">
        <v>44337</v>
      </c>
      <c r="Z860" s="1">
        <v>2021</v>
      </c>
      <c r="AA860" s="2">
        <v>1000000</v>
      </c>
      <c r="AB860" s="2"/>
      <c r="AC860" s="2">
        <v>500000</v>
      </c>
      <c r="AD860" s="1">
        <v>60</v>
      </c>
      <c r="AE860" s="1">
        <v>55</v>
      </c>
      <c r="AG860" s="1" t="s">
        <v>432</v>
      </c>
      <c r="AH860" s="1" t="s">
        <v>4485</v>
      </c>
      <c r="AI860" s="2">
        <v>0</v>
      </c>
      <c r="AK860" s="1">
        <v>60</v>
      </c>
      <c r="AL860" s="1" t="s">
        <v>4486</v>
      </c>
    </row>
    <row r="861" spans="1:38" ht="12.6" customHeight="1" x14ac:dyDescent="0.2">
      <c r="A861" s="1" t="s">
        <v>57</v>
      </c>
      <c r="B861" s="9" t="s">
        <v>39</v>
      </c>
      <c r="C861" s="1" t="s">
        <v>58</v>
      </c>
      <c r="D861" s="1" t="s">
        <v>4315</v>
      </c>
      <c r="E861" s="1" t="s">
        <v>42</v>
      </c>
      <c r="G861" s="39" t="s">
        <v>4316</v>
      </c>
      <c r="H861" s="1" t="s">
        <v>61</v>
      </c>
      <c r="I861" s="1" t="s">
        <v>4487</v>
      </c>
      <c r="J861" s="1">
        <v>2018</v>
      </c>
      <c r="P861" s="1" t="s">
        <v>4474</v>
      </c>
      <c r="Q861" s="1" t="s">
        <v>50</v>
      </c>
      <c r="R861" s="1" t="s">
        <v>68</v>
      </c>
      <c r="S861" s="1" t="s">
        <v>430</v>
      </c>
      <c r="T861" s="39" t="s">
        <v>431</v>
      </c>
      <c r="U861" s="1">
        <v>1</v>
      </c>
      <c r="V861" s="39" t="s">
        <v>71</v>
      </c>
      <c r="Y861" s="10">
        <v>43461</v>
      </c>
      <c r="Z861" s="1">
        <v>2018</v>
      </c>
      <c r="AA861" s="2"/>
      <c r="AB861" s="2"/>
      <c r="AC861" s="2">
        <v>614320.43000000005</v>
      </c>
      <c r="AG861" s="1" t="s">
        <v>56</v>
      </c>
      <c r="AI861" s="2">
        <v>614320.43000000005</v>
      </c>
      <c r="AL861" s="1" t="s">
        <v>4319</v>
      </c>
    </row>
    <row r="862" spans="1:38" ht="12.6" customHeight="1" x14ac:dyDescent="0.2">
      <c r="A862" s="1" t="s">
        <v>57</v>
      </c>
      <c r="B862" s="9" t="s">
        <v>39</v>
      </c>
      <c r="C862" s="1" t="s">
        <v>58</v>
      </c>
      <c r="D862" s="1" t="s">
        <v>59</v>
      </c>
      <c r="E862" s="1" t="s">
        <v>42</v>
      </c>
      <c r="G862" s="39" t="s">
        <v>105</v>
      </c>
      <c r="H862" s="1" t="s">
        <v>61</v>
      </c>
      <c r="I862" s="1" t="s">
        <v>4488</v>
      </c>
      <c r="J862" s="1">
        <v>2023</v>
      </c>
      <c r="K862" s="1" t="s">
        <v>4489</v>
      </c>
      <c r="L862" s="1" t="s">
        <v>4490</v>
      </c>
      <c r="P862" s="1" t="s">
        <v>4491</v>
      </c>
      <c r="Q862" s="1" t="s">
        <v>1149</v>
      </c>
      <c r="R862" s="1" t="s">
        <v>1150</v>
      </c>
      <c r="S862" s="1" t="s">
        <v>1535</v>
      </c>
      <c r="T862" s="39" t="s">
        <v>1536</v>
      </c>
      <c r="V862" s="39" t="s">
        <v>1537</v>
      </c>
      <c r="W862" s="1" t="s">
        <v>4492</v>
      </c>
      <c r="Y862" s="10">
        <v>45462</v>
      </c>
      <c r="Z862" s="1">
        <v>2024</v>
      </c>
      <c r="AA862" s="2">
        <v>3670237</v>
      </c>
      <c r="AB862" s="2"/>
      <c r="AC862" s="2">
        <v>500267.78</v>
      </c>
      <c r="AD862" s="1">
        <v>15</v>
      </c>
      <c r="AE862" s="1">
        <v>5</v>
      </c>
      <c r="AG862" s="1" t="s">
        <v>56</v>
      </c>
      <c r="AI862" s="2">
        <v>500267.78</v>
      </c>
    </row>
    <row r="863" spans="1:38" ht="12.6" customHeight="1" x14ac:dyDescent="0.2">
      <c r="A863" s="1" t="s">
        <v>57</v>
      </c>
      <c r="B863" s="9" t="s">
        <v>39</v>
      </c>
      <c r="C863" s="1" t="s">
        <v>58</v>
      </c>
      <c r="D863" s="1" t="s">
        <v>4315</v>
      </c>
      <c r="E863" s="1" t="s">
        <v>42</v>
      </c>
      <c r="G863" s="39" t="s">
        <v>4316</v>
      </c>
      <c r="H863" s="1" t="s">
        <v>61</v>
      </c>
      <c r="I863" s="1" t="s">
        <v>4493</v>
      </c>
      <c r="J863" s="1">
        <v>2024</v>
      </c>
      <c r="P863" s="1" t="s">
        <v>4318</v>
      </c>
      <c r="Q863" s="1" t="s">
        <v>101</v>
      </c>
      <c r="R863" s="1" t="s">
        <v>102</v>
      </c>
      <c r="S863" s="1" t="s">
        <v>103</v>
      </c>
      <c r="T863" s="39" t="s">
        <v>104</v>
      </c>
      <c r="U863" s="1">
        <v>1</v>
      </c>
      <c r="V863" s="39" t="s">
        <v>101</v>
      </c>
      <c r="Y863" s="10">
        <v>45404</v>
      </c>
      <c r="Z863" s="1">
        <v>2024</v>
      </c>
      <c r="AA863" s="2"/>
      <c r="AB863" s="2"/>
      <c r="AC863" s="2">
        <v>384637.12999999983</v>
      </c>
      <c r="AG863" s="1" t="s">
        <v>56</v>
      </c>
      <c r="AI863" s="2">
        <v>384637.12999999983</v>
      </c>
      <c r="AL863" s="1" t="s">
        <v>4319</v>
      </c>
    </row>
    <row r="864" spans="1:38" ht="12.6" customHeight="1" x14ac:dyDescent="0.2">
      <c r="A864" s="1" t="s">
        <v>57</v>
      </c>
      <c r="B864" s="9" t="s">
        <v>39</v>
      </c>
      <c r="C864" s="1" t="s">
        <v>58</v>
      </c>
      <c r="D864" s="1" t="s">
        <v>59</v>
      </c>
      <c r="E864" s="1" t="s">
        <v>42</v>
      </c>
      <c r="G864" s="39" t="s">
        <v>60</v>
      </c>
      <c r="H864" s="1" t="s">
        <v>61</v>
      </c>
      <c r="I864" s="1" t="s">
        <v>4494</v>
      </c>
      <c r="J864" s="1">
        <v>2021</v>
      </c>
      <c r="K864" s="1" t="s">
        <v>4495</v>
      </c>
      <c r="P864" s="1" t="s">
        <v>4496</v>
      </c>
      <c r="Q864" s="1" t="s">
        <v>264</v>
      </c>
      <c r="R864" s="1" t="s">
        <v>265</v>
      </c>
      <c r="S864" s="1" t="s">
        <v>784</v>
      </c>
      <c r="T864" s="39" t="s">
        <v>785</v>
      </c>
      <c r="U864" s="1">
        <v>2</v>
      </c>
      <c r="V864" s="39" t="s">
        <v>80</v>
      </c>
      <c r="W864" s="1" t="s">
        <v>4497</v>
      </c>
      <c r="X864" s="1" t="s">
        <v>609</v>
      </c>
      <c r="Y864" s="10">
        <v>44817</v>
      </c>
      <c r="Z864" s="1">
        <v>2022</v>
      </c>
      <c r="AA864" s="2">
        <v>3482043</v>
      </c>
      <c r="AB864" s="2"/>
      <c r="AC864" s="2">
        <v>45000</v>
      </c>
      <c r="AD864" s="1">
        <v>3</v>
      </c>
      <c r="AG864" s="1" t="s">
        <v>432</v>
      </c>
      <c r="AH864" s="1" t="s">
        <v>492</v>
      </c>
      <c r="AI864" s="2">
        <v>0</v>
      </c>
    </row>
    <row r="865" spans="1:54" ht="12.6" customHeight="1" x14ac:dyDescent="0.2">
      <c r="A865" s="1" t="s">
        <v>57</v>
      </c>
      <c r="B865" s="9" t="s">
        <v>39</v>
      </c>
      <c r="C865" s="1" t="s">
        <v>58</v>
      </c>
      <c r="D865" s="1" t="s">
        <v>59</v>
      </c>
      <c r="E865" s="1" t="s">
        <v>42</v>
      </c>
      <c r="G865" s="39" t="s">
        <v>60</v>
      </c>
      <c r="H865" s="1" t="s">
        <v>61</v>
      </c>
      <c r="I865" s="1" t="s">
        <v>4498</v>
      </c>
      <c r="J865" s="1" t="s">
        <v>82</v>
      </c>
      <c r="K865" s="1" t="s">
        <v>4499</v>
      </c>
      <c r="P865" s="1" t="s">
        <v>4500</v>
      </c>
      <c r="Q865" s="1" t="s">
        <v>264</v>
      </c>
      <c r="R865" s="1" t="s">
        <v>265</v>
      </c>
      <c r="S865" s="1" t="s">
        <v>533</v>
      </c>
      <c r="T865" s="39" t="s">
        <v>534</v>
      </c>
      <c r="U865" s="1">
        <v>1</v>
      </c>
      <c r="V865" s="39" t="s">
        <v>535</v>
      </c>
      <c r="W865" s="1" t="s">
        <v>4499</v>
      </c>
      <c r="X865" s="1" t="s">
        <v>87</v>
      </c>
      <c r="Y865" s="10">
        <v>44998</v>
      </c>
      <c r="Z865" s="1">
        <v>2023</v>
      </c>
      <c r="AA865" s="2">
        <v>992100</v>
      </c>
      <c r="AB865" s="2"/>
      <c r="AC865" s="2">
        <v>113750</v>
      </c>
      <c r="AD865" s="1">
        <v>4</v>
      </c>
      <c r="AE865" s="1">
        <v>1</v>
      </c>
      <c r="AG865" s="1" t="s">
        <v>432</v>
      </c>
      <c r="AH865" s="1" t="s">
        <v>4501</v>
      </c>
      <c r="AI865" s="2">
        <v>0</v>
      </c>
    </row>
    <row r="866" spans="1:54" ht="12.6" customHeight="1" x14ac:dyDescent="0.2">
      <c r="A866" s="1" t="s">
        <v>57</v>
      </c>
      <c r="B866" s="9" t="s">
        <v>39</v>
      </c>
      <c r="C866" s="1" t="s">
        <v>58</v>
      </c>
      <c r="D866" s="1" t="s">
        <v>4315</v>
      </c>
      <c r="E866" s="1" t="s">
        <v>42</v>
      </c>
      <c r="G866" s="39" t="s">
        <v>4316</v>
      </c>
      <c r="H866" s="1" t="s">
        <v>61</v>
      </c>
      <c r="I866" s="1" t="s">
        <v>4502</v>
      </c>
      <c r="J866" s="1">
        <v>2018</v>
      </c>
      <c r="P866" s="1" t="s">
        <v>4318</v>
      </c>
      <c r="Q866" s="1" t="s">
        <v>101</v>
      </c>
      <c r="R866" s="1" t="s">
        <v>102</v>
      </c>
      <c r="S866" s="1" t="s">
        <v>103</v>
      </c>
      <c r="T866" s="39" t="s">
        <v>104</v>
      </c>
      <c r="U866" s="1">
        <v>1</v>
      </c>
      <c r="V866" s="39" t="s">
        <v>101</v>
      </c>
      <c r="Y866" s="10">
        <v>43464</v>
      </c>
      <c r="Z866" s="1">
        <v>2018</v>
      </c>
      <c r="AA866" s="2"/>
      <c r="AB866" s="2"/>
      <c r="AC866" s="2">
        <v>594820.59</v>
      </c>
      <c r="AG866" s="1" t="s">
        <v>56</v>
      </c>
      <c r="AI866" s="2">
        <v>594820.59</v>
      </c>
      <c r="AL866" s="1" t="s">
        <v>4319</v>
      </c>
    </row>
    <row r="867" spans="1:54" ht="12.6" customHeight="1" x14ac:dyDescent="0.2">
      <c r="A867" s="1" t="s">
        <v>57</v>
      </c>
      <c r="B867" s="9" t="s">
        <v>39</v>
      </c>
      <c r="C867" s="1" t="s">
        <v>58</v>
      </c>
      <c r="D867" s="1" t="s">
        <v>4315</v>
      </c>
      <c r="E867" s="1" t="s">
        <v>42</v>
      </c>
      <c r="G867" s="39" t="s">
        <v>4316</v>
      </c>
      <c r="H867" s="1" t="s">
        <v>61</v>
      </c>
      <c r="I867" s="1" t="s">
        <v>4503</v>
      </c>
      <c r="J867" s="1">
        <v>2019</v>
      </c>
      <c r="P867" s="1" t="s">
        <v>4471</v>
      </c>
      <c r="Q867" s="1" t="s">
        <v>50</v>
      </c>
      <c r="R867" s="1" t="s">
        <v>68</v>
      </c>
      <c r="S867" s="1" t="s">
        <v>425</v>
      </c>
      <c r="T867" s="39" t="s">
        <v>426</v>
      </c>
      <c r="U867" s="1">
        <v>1</v>
      </c>
      <c r="V867" s="39" t="s">
        <v>195</v>
      </c>
      <c r="Y867" s="10">
        <v>43466</v>
      </c>
      <c r="Z867" s="1">
        <v>2019</v>
      </c>
      <c r="AA867" s="2"/>
      <c r="AB867" s="2"/>
      <c r="AC867" s="2">
        <v>492208.64000000001</v>
      </c>
      <c r="AG867" s="1" t="s">
        <v>56</v>
      </c>
      <c r="AI867" s="2">
        <v>492208.64000000001</v>
      </c>
      <c r="AL867" s="1" t="s">
        <v>4319</v>
      </c>
    </row>
    <row r="868" spans="1:54" x14ac:dyDescent="0.2">
      <c r="A868" s="1" t="s">
        <v>57</v>
      </c>
      <c r="B868" s="9" t="s">
        <v>39</v>
      </c>
      <c r="C868" s="1" t="s">
        <v>58</v>
      </c>
      <c r="D868" s="1" t="s">
        <v>4315</v>
      </c>
      <c r="E868" s="1" t="s">
        <v>42</v>
      </c>
      <c r="G868" s="39" t="s">
        <v>4316</v>
      </c>
      <c r="H868" s="1" t="s">
        <v>61</v>
      </c>
      <c r="I868" s="1" t="s">
        <v>4504</v>
      </c>
      <c r="J868" s="1">
        <v>2018</v>
      </c>
      <c r="P868" s="1" t="s">
        <v>4318</v>
      </c>
      <c r="Q868" s="1" t="s">
        <v>101</v>
      </c>
      <c r="R868" s="1" t="s">
        <v>102</v>
      </c>
      <c r="S868" s="1" t="s">
        <v>103</v>
      </c>
      <c r="T868" s="39" t="s">
        <v>104</v>
      </c>
      <c r="U868" s="1">
        <v>1</v>
      </c>
      <c r="V868" s="39" t="s">
        <v>101</v>
      </c>
      <c r="Y868" s="10">
        <v>43464</v>
      </c>
      <c r="Z868" s="1">
        <v>2018</v>
      </c>
      <c r="AA868" s="2"/>
      <c r="AB868" s="2"/>
      <c r="AC868" s="2">
        <v>651747.36999999988</v>
      </c>
      <c r="AG868" s="1" t="s">
        <v>56</v>
      </c>
      <c r="AI868" s="2">
        <v>651747.36999999988</v>
      </c>
      <c r="AL868" s="1" t="s">
        <v>4319</v>
      </c>
    </row>
    <row r="869" spans="1:54" ht="12.6" customHeight="1" x14ac:dyDescent="0.2">
      <c r="A869" s="1" t="s">
        <v>57</v>
      </c>
      <c r="B869" s="9" t="s">
        <v>39</v>
      </c>
      <c r="C869" s="1" t="s">
        <v>58</v>
      </c>
      <c r="D869" s="1" t="s">
        <v>59</v>
      </c>
      <c r="E869" s="1" t="s">
        <v>42</v>
      </c>
      <c r="G869" s="39" t="s">
        <v>60</v>
      </c>
      <c r="H869" s="1" t="s">
        <v>61</v>
      </c>
      <c r="I869" s="1" t="s">
        <v>4505</v>
      </c>
      <c r="J869" s="1">
        <v>2021</v>
      </c>
      <c r="K869" s="1" t="s">
        <v>4506</v>
      </c>
      <c r="P869" s="1" t="s">
        <v>4507</v>
      </c>
      <c r="Q869" s="1" t="s">
        <v>264</v>
      </c>
      <c r="R869" s="1" t="s">
        <v>265</v>
      </c>
      <c r="S869" s="1" t="s">
        <v>350</v>
      </c>
      <c r="T869" s="39" t="s">
        <v>351</v>
      </c>
      <c r="U869" s="1">
        <v>1</v>
      </c>
      <c r="V869" s="39" t="s">
        <v>80</v>
      </c>
      <c r="W869" s="1" t="s">
        <v>4508</v>
      </c>
      <c r="X869" s="1" t="s">
        <v>138</v>
      </c>
      <c r="Y869" s="10">
        <v>44832</v>
      </c>
      <c r="Z869" s="1">
        <v>2022</v>
      </c>
      <c r="AA869" s="2">
        <v>4279130</v>
      </c>
      <c r="AB869" s="2"/>
      <c r="AC869" s="2">
        <v>1283739.0000000002</v>
      </c>
      <c r="AD869" s="1">
        <v>34</v>
      </c>
      <c r="AE869" s="1">
        <v>30</v>
      </c>
      <c r="AG869" s="1" t="s">
        <v>432</v>
      </c>
      <c r="AH869" s="1" t="s">
        <v>492</v>
      </c>
      <c r="AI869" s="2">
        <v>0</v>
      </c>
    </row>
    <row r="870" spans="1:54" ht="12.6" customHeight="1" x14ac:dyDescent="0.2">
      <c r="A870" s="1" t="s">
        <v>57</v>
      </c>
      <c r="B870" s="9" t="s">
        <v>39</v>
      </c>
      <c r="C870" s="1" t="s">
        <v>58</v>
      </c>
      <c r="D870" s="1" t="s">
        <v>4315</v>
      </c>
      <c r="E870" s="1" t="s">
        <v>42</v>
      </c>
      <c r="G870" s="39" t="s">
        <v>4316</v>
      </c>
      <c r="H870" s="1" t="s">
        <v>61</v>
      </c>
      <c r="I870" s="1" t="s">
        <v>4509</v>
      </c>
      <c r="J870" s="1">
        <v>2018</v>
      </c>
      <c r="P870" s="1" t="s">
        <v>4318</v>
      </c>
      <c r="Q870" s="1" t="s">
        <v>101</v>
      </c>
      <c r="R870" s="1" t="s">
        <v>102</v>
      </c>
      <c r="S870" s="1" t="s">
        <v>103</v>
      </c>
      <c r="T870" s="39" t="s">
        <v>104</v>
      </c>
      <c r="U870" s="1">
        <v>1</v>
      </c>
      <c r="V870" s="39" t="s">
        <v>101</v>
      </c>
      <c r="Y870" s="10">
        <v>43464</v>
      </c>
      <c r="Z870" s="1">
        <v>2018</v>
      </c>
      <c r="AA870" s="2"/>
      <c r="AB870" s="2"/>
      <c r="AC870" s="2">
        <v>622855.6100000001</v>
      </c>
      <c r="AG870" s="1" t="s">
        <v>56</v>
      </c>
      <c r="AI870" s="2">
        <v>622855.6100000001</v>
      </c>
      <c r="AL870" s="1" t="s">
        <v>4319</v>
      </c>
    </row>
    <row r="871" spans="1:54" ht="12.6" customHeight="1" x14ac:dyDescent="0.2">
      <c r="A871" s="1" t="s">
        <v>57</v>
      </c>
      <c r="B871" s="9" t="s">
        <v>39</v>
      </c>
      <c r="C871" s="1" t="s">
        <v>58</v>
      </c>
      <c r="D871" s="1" t="s">
        <v>4315</v>
      </c>
      <c r="E871" s="1" t="s">
        <v>42</v>
      </c>
      <c r="G871" s="39" t="s">
        <v>4316</v>
      </c>
      <c r="H871" s="1" t="s">
        <v>61</v>
      </c>
      <c r="I871" s="1" t="s">
        <v>4510</v>
      </c>
      <c r="J871" s="1">
        <v>2018</v>
      </c>
      <c r="P871" s="1" t="s">
        <v>4318</v>
      </c>
      <c r="Q871" s="1" t="s">
        <v>101</v>
      </c>
      <c r="R871" s="1" t="s">
        <v>102</v>
      </c>
      <c r="S871" s="1" t="s">
        <v>103</v>
      </c>
      <c r="T871" s="39" t="s">
        <v>104</v>
      </c>
      <c r="U871" s="1">
        <v>1</v>
      </c>
      <c r="V871" s="39" t="s">
        <v>101</v>
      </c>
      <c r="Y871" s="10">
        <v>43464</v>
      </c>
      <c r="Z871" s="1">
        <v>2018</v>
      </c>
      <c r="AA871" s="2"/>
      <c r="AB871" s="2"/>
      <c r="AC871" s="2">
        <v>765327.62000000011</v>
      </c>
      <c r="AG871" s="1" t="s">
        <v>56</v>
      </c>
      <c r="AI871" s="2">
        <v>765327.62000000011</v>
      </c>
      <c r="AL871" s="1" t="s">
        <v>4319</v>
      </c>
    </row>
    <row r="872" spans="1:54" ht="12.6" customHeight="1" x14ac:dyDescent="0.2">
      <c r="A872" s="1" t="s">
        <v>57</v>
      </c>
      <c r="B872" s="9" t="s">
        <v>39</v>
      </c>
      <c r="C872" s="1" t="s">
        <v>58</v>
      </c>
      <c r="D872" s="1" t="s">
        <v>59</v>
      </c>
      <c r="E872" s="1" t="s">
        <v>42</v>
      </c>
      <c r="G872" s="39" t="s">
        <v>60</v>
      </c>
      <c r="H872" s="1" t="s">
        <v>61</v>
      </c>
      <c r="I872" s="1" t="s">
        <v>4511</v>
      </c>
      <c r="J872" s="1">
        <v>2021</v>
      </c>
      <c r="K872" s="1" t="s">
        <v>4512</v>
      </c>
      <c r="P872" s="1" t="s">
        <v>4513</v>
      </c>
      <c r="Q872" s="1" t="s">
        <v>264</v>
      </c>
      <c r="R872" s="1" t="s">
        <v>265</v>
      </c>
      <c r="S872" s="1" t="s">
        <v>350</v>
      </c>
      <c r="T872" s="39" t="s">
        <v>351</v>
      </c>
      <c r="U872" s="1">
        <v>1</v>
      </c>
      <c r="V872" s="39" t="s">
        <v>80</v>
      </c>
      <c r="W872" s="1" t="s">
        <v>4512</v>
      </c>
      <c r="X872" s="1" t="s">
        <v>138</v>
      </c>
      <c r="Y872" s="10">
        <v>44557</v>
      </c>
      <c r="Z872" s="1">
        <v>2021</v>
      </c>
      <c r="AA872" s="2">
        <v>2179987.96</v>
      </c>
      <c r="AB872" s="2"/>
      <c r="AC872" s="2">
        <v>217998.796</v>
      </c>
      <c r="AD872" s="1">
        <v>26</v>
      </c>
      <c r="AE872" s="1">
        <v>22</v>
      </c>
      <c r="AG872" s="1" t="s">
        <v>432</v>
      </c>
      <c r="AH872" s="1" t="s">
        <v>4501</v>
      </c>
      <c r="AI872" s="2">
        <v>0</v>
      </c>
    </row>
    <row r="873" spans="1:54" ht="12.6" customHeight="1" x14ac:dyDescent="0.2">
      <c r="A873" s="1" t="s">
        <v>57</v>
      </c>
      <c r="B873" s="9" t="s">
        <v>39</v>
      </c>
      <c r="C873" s="1" t="s">
        <v>58</v>
      </c>
      <c r="D873" s="1" t="s">
        <v>4315</v>
      </c>
      <c r="E873" s="1" t="s">
        <v>42</v>
      </c>
      <c r="G873" s="39" t="s">
        <v>4316</v>
      </c>
      <c r="H873" s="1" t="s">
        <v>61</v>
      </c>
      <c r="I873" s="1" t="s">
        <v>4514</v>
      </c>
      <c r="J873" s="1">
        <v>2018</v>
      </c>
      <c r="P873" s="1" t="s">
        <v>4474</v>
      </c>
      <c r="Q873" s="1" t="s">
        <v>50</v>
      </c>
      <c r="R873" s="1" t="s">
        <v>68</v>
      </c>
      <c r="S873" s="1" t="s">
        <v>430</v>
      </c>
      <c r="T873" s="39" t="s">
        <v>431</v>
      </c>
      <c r="U873" s="1">
        <v>1</v>
      </c>
      <c r="V873" s="1" t="s">
        <v>71</v>
      </c>
      <c r="Y873" s="10">
        <v>43461</v>
      </c>
      <c r="Z873" s="1">
        <v>2018</v>
      </c>
      <c r="AA873" s="2"/>
      <c r="AB873" s="2"/>
      <c r="AC873" s="2">
        <v>474800.50000000006</v>
      </c>
      <c r="AG873" s="1" t="s">
        <v>56</v>
      </c>
      <c r="AI873" s="2">
        <v>474800.50000000006</v>
      </c>
      <c r="AL873" s="1" t="s">
        <v>4319</v>
      </c>
    </row>
    <row r="874" spans="1:54" ht="12.6" customHeight="1" x14ac:dyDescent="0.25">
      <c r="A874" s="1" t="s">
        <v>57</v>
      </c>
      <c r="B874" s="9" t="s">
        <v>39</v>
      </c>
      <c r="C874" s="1" t="s">
        <v>58</v>
      </c>
      <c r="D874" s="1" t="s">
        <v>59</v>
      </c>
      <c r="E874" s="1" t="s">
        <v>42</v>
      </c>
      <c r="G874" s="39" t="s">
        <v>60</v>
      </c>
      <c r="H874" s="1" t="s">
        <v>61</v>
      </c>
      <c r="I874" s="1" t="s">
        <v>4515</v>
      </c>
      <c r="J874" s="1" t="s">
        <v>82</v>
      </c>
      <c r="K874" s="1" t="s">
        <v>4516</v>
      </c>
      <c r="P874" s="1" t="s">
        <v>4517</v>
      </c>
      <c r="Q874" s="1" t="s">
        <v>50</v>
      </c>
      <c r="R874" s="1" t="s">
        <v>68</v>
      </c>
      <c r="S874" s="16" t="s">
        <v>814</v>
      </c>
      <c r="T874" s="39" t="s">
        <v>815</v>
      </c>
      <c r="U874" s="1">
        <v>2</v>
      </c>
      <c r="V874" s="39" t="s">
        <v>71</v>
      </c>
      <c r="W874" s="1" t="s">
        <v>4516</v>
      </c>
      <c r="X874" s="1" t="s">
        <v>87</v>
      </c>
      <c r="Y874" s="10">
        <v>44827</v>
      </c>
      <c r="Z874" s="1">
        <v>2022</v>
      </c>
      <c r="AA874" s="2">
        <v>992376.6</v>
      </c>
      <c r="AB874" s="2"/>
      <c r="AC874" s="2">
        <v>56000</v>
      </c>
      <c r="AD874" s="1">
        <v>4</v>
      </c>
      <c r="AG874" s="1" t="s">
        <v>432</v>
      </c>
      <c r="AH874" s="1" t="s">
        <v>433</v>
      </c>
      <c r="AI874" s="2">
        <v>0</v>
      </c>
    </row>
    <row r="875" spans="1:54" ht="12.6" customHeight="1" x14ac:dyDescent="0.2">
      <c r="A875" s="1" t="s">
        <v>57</v>
      </c>
      <c r="B875" s="9" t="s">
        <v>39</v>
      </c>
      <c r="C875" s="1" t="s">
        <v>58</v>
      </c>
      <c r="D875" s="1" t="s">
        <v>4315</v>
      </c>
      <c r="E875" s="1" t="s">
        <v>42</v>
      </c>
      <c r="G875" s="39" t="s">
        <v>4316</v>
      </c>
      <c r="H875" s="1" t="s">
        <v>61</v>
      </c>
      <c r="I875" s="1" t="s">
        <v>4518</v>
      </c>
      <c r="J875" s="1">
        <v>2021</v>
      </c>
      <c r="P875" s="1" t="s">
        <v>4318</v>
      </c>
      <c r="Q875" s="1" t="s">
        <v>101</v>
      </c>
      <c r="R875" s="1" t="s">
        <v>102</v>
      </c>
      <c r="S875" s="1" t="s">
        <v>103</v>
      </c>
      <c r="T875" s="39" t="s">
        <v>104</v>
      </c>
      <c r="U875" s="1">
        <v>1</v>
      </c>
      <c r="V875" s="39" t="s">
        <v>101</v>
      </c>
      <c r="Y875" s="10">
        <v>44523</v>
      </c>
      <c r="Z875" s="1">
        <v>2021</v>
      </c>
      <c r="AA875" s="2"/>
      <c r="AB875" s="2"/>
      <c r="AC875" s="2">
        <v>656111.99999999988</v>
      </c>
      <c r="AG875" s="1" t="s">
        <v>56</v>
      </c>
      <c r="AI875" s="2">
        <v>656111.99999999988</v>
      </c>
      <c r="AL875" s="1" t="s">
        <v>4319</v>
      </c>
      <c r="AR875" s="39"/>
      <c r="AT875" s="39"/>
      <c r="AW875" s="2"/>
      <c r="AX875" s="2"/>
      <c r="AY875" s="2"/>
      <c r="BB875" s="2"/>
    </row>
    <row r="876" spans="1:54" ht="12.6" customHeight="1" x14ac:dyDescent="0.2">
      <c r="A876" s="1" t="s">
        <v>57</v>
      </c>
      <c r="B876" s="9" t="s">
        <v>39</v>
      </c>
      <c r="C876" s="1" t="s">
        <v>58</v>
      </c>
      <c r="D876" s="1" t="s">
        <v>4315</v>
      </c>
      <c r="E876" s="1" t="s">
        <v>42</v>
      </c>
      <c r="G876" s="39" t="s">
        <v>4340</v>
      </c>
      <c r="H876" s="1" t="s">
        <v>61</v>
      </c>
      <c r="I876" s="1" t="s">
        <v>4519</v>
      </c>
      <c r="J876" s="1">
        <v>2021</v>
      </c>
      <c r="P876" s="1" t="s">
        <v>4318</v>
      </c>
      <c r="Q876" s="1" t="s">
        <v>101</v>
      </c>
      <c r="R876" s="1" t="s">
        <v>102</v>
      </c>
      <c r="S876" s="1" t="s">
        <v>103</v>
      </c>
      <c r="T876" s="39" t="s">
        <v>104</v>
      </c>
      <c r="U876" s="1">
        <v>1</v>
      </c>
      <c r="V876" s="39" t="s">
        <v>101</v>
      </c>
      <c r="Y876" s="10">
        <v>44299</v>
      </c>
      <c r="Z876" s="1">
        <v>2021</v>
      </c>
      <c r="AA876" s="2"/>
      <c r="AB876" s="2"/>
      <c r="AC876" s="2">
        <v>57906.39</v>
      </c>
      <c r="AG876" s="1" t="s">
        <v>56</v>
      </c>
      <c r="AI876" s="2">
        <v>57906.39</v>
      </c>
      <c r="AR876" s="39"/>
      <c r="AT876" s="39"/>
      <c r="AW876" s="2"/>
      <c r="AX876" s="2"/>
      <c r="AY876" s="2"/>
      <c r="BB876" s="2"/>
    </row>
    <row r="877" spans="1:54" ht="12.6" customHeight="1" x14ac:dyDescent="0.2">
      <c r="A877" s="1" t="s">
        <v>57</v>
      </c>
      <c r="B877" s="9" t="s">
        <v>39</v>
      </c>
      <c r="C877" s="1" t="s">
        <v>58</v>
      </c>
      <c r="D877" s="1" t="s">
        <v>59</v>
      </c>
      <c r="E877" s="1" t="s">
        <v>42</v>
      </c>
      <c r="G877" s="39" t="s">
        <v>60</v>
      </c>
      <c r="H877" s="1" t="s">
        <v>61</v>
      </c>
      <c r="I877" s="1" t="s">
        <v>4520</v>
      </c>
      <c r="J877" s="1">
        <v>2021</v>
      </c>
      <c r="K877" s="1" t="s">
        <v>4521</v>
      </c>
      <c r="P877" s="1" t="s">
        <v>4522</v>
      </c>
      <c r="Q877" s="1" t="s">
        <v>264</v>
      </c>
      <c r="R877" s="1" t="s">
        <v>265</v>
      </c>
      <c r="S877" s="1" t="s">
        <v>778</v>
      </c>
      <c r="T877" s="39" t="s">
        <v>779</v>
      </c>
      <c r="U877" s="1">
        <v>2</v>
      </c>
      <c r="V877" s="39" t="s">
        <v>80</v>
      </c>
      <c r="W877" s="1" t="s">
        <v>4521</v>
      </c>
      <c r="X877" s="1" t="s">
        <v>145</v>
      </c>
      <c r="Y877" s="10">
        <v>44741</v>
      </c>
      <c r="Z877" s="1">
        <v>2022</v>
      </c>
      <c r="AA877" s="2">
        <v>1915491.64</v>
      </c>
      <c r="AB877" s="2"/>
      <c r="AC877" s="2">
        <v>287323.74600000004</v>
      </c>
      <c r="AD877" s="1">
        <v>15</v>
      </c>
      <c r="AE877" s="1">
        <v>11</v>
      </c>
      <c r="AG877" s="1" t="s">
        <v>432</v>
      </c>
      <c r="AH877" s="1" t="s">
        <v>492</v>
      </c>
      <c r="AI877" s="2">
        <v>0</v>
      </c>
      <c r="AR877" s="39"/>
      <c r="AT877" s="39"/>
      <c r="AW877" s="2"/>
      <c r="AX877" s="2"/>
      <c r="AY877" s="2"/>
      <c r="BB877" s="2"/>
    </row>
    <row r="878" spans="1:54" ht="12.6" customHeight="1" x14ac:dyDescent="0.2">
      <c r="A878" s="1" t="s">
        <v>57</v>
      </c>
      <c r="B878" s="9" t="s">
        <v>39</v>
      </c>
      <c r="C878" s="1" t="s">
        <v>58</v>
      </c>
      <c r="D878" s="1" t="s">
        <v>4315</v>
      </c>
      <c r="E878" s="1" t="s">
        <v>42</v>
      </c>
      <c r="G878" s="39" t="s">
        <v>4316</v>
      </c>
      <c r="H878" s="1" t="s">
        <v>61</v>
      </c>
      <c r="I878" s="1" t="s">
        <v>4523</v>
      </c>
      <c r="J878" s="1">
        <v>2019</v>
      </c>
      <c r="P878" s="1" t="s">
        <v>4471</v>
      </c>
      <c r="Q878" s="1" t="s">
        <v>50</v>
      </c>
      <c r="R878" s="1" t="s">
        <v>68</v>
      </c>
      <c r="S878" s="1" t="s">
        <v>425</v>
      </c>
      <c r="T878" s="39" t="s">
        <v>426</v>
      </c>
      <c r="U878" s="1">
        <v>1</v>
      </c>
      <c r="V878" s="39" t="s">
        <v>195</v>
      </c>
      <c r="Y878" s="10">
        <v>43466</v>
      </c>
      <c r="Z878" s="1">
        <v>2019</v>
      </c>
      <c r="AA878" s="2"/>
      <c r="AB878" s="2"/>
      <c r="AC878" s="2">
        <v>455002.91</v>
      </c>
      <c r="AG878" s="1" t="s">
        <v>56</v>
      </c>
      <c r="AI878" s="2">
        <v>455002.91</v>
      </c>
      <c r="AL878" s="1" t="s">
        <v>4319</v>
      </c>
      <c r="AR878" s="39"/>
      <c r="AT878" s="39"/>
      <c r="AW878" s="2"/>
      <c r="AX878" s="2"/>
      <c r="AY878" s="2"/>
      <c r="BB878" s="2"/>
    </row>
    <row r="879" spans="1:54" ht="12.6" customHeight="1" x14ac:dyDescent="0.2">
      <c r="A879" s="1" t="s">
        <v>57</v>
      </c>
      <c r="B879" s="9" t="s">
        <v>39</v>
      </c>
      <c r="C879" s="1" t="s">
        <v>58</v>
      </c>
      <c r="D879" s="1" t="s">
        <v>4315</v>
      </c>
      <c r="E879" s="1" t="s">
        <v>42</v>
      </c>
      <c r="G879" s="39" t="s">
        <v>4316</v>
      </c>
      <c r="H879" s="1" t="s">
        <v>61</v>
      </c>
      <c r="I879" s="1" t="s">
        <v>4524</v>
      </c>
      <c r="J879" s="1">
        <v>2019</v>
      </c>
      <c r="P879" s="1" t="s">
        <v>4471</v>
      </c>
      <c r="Q879" s="1" t="s">
        <v>50</v>
      </c>
      <c r="R879" s="1" t="s">
        <v>68</v>
      </c>
      <c r="S879" s="1" t="s">
        <v>425</v>
      </c>
      <c r="T879" s="39" t="s">
        <v>426</v>
      </c>
      <c r="U879" s="1">
        <v>1</v>
      </c>
      <c r="V879" s="39" t="s">
        <v>195</v>
      </c>
      <c r="Y879" s="10">
        <v>43466</v>
      </c>
      <c r="Z879" s="1">
        <v>2019</v>
      </c>
      <c r="AA879" s="2"/>
      <c r="AB879" s="2"/>
      <c r="AC879" s="2">
        <v>409715.19</v>
      </c>
      <c r="AG879" s="1" t="s">
        <v>56</v>
      </c>
      <c r="AI879" s="2">
        <v>409715.19</v>
      </c>
      <c r="AL879" s="1" t="s">
        <v>4319</v>
      </c>
      <c r="AR879" s="39"/>
      <c r="AT879" s="39"/>
      <c r="AW879" s="2"/>
      <c r="AX879" s="2"/>
      <c r="AY879" s="2"/>
      <c r="BB879" s="2"/>
    </row>
    <row r="880" spans="1:54" ht="12.6" customHeight="1" x14ac:dyDescent="0.2">
      <c r="A880" s="1" t="s">
        <v>57</v>
      </c>
      <c r="B880" s="9" t="s">
        <v>39</v>
      </c>
      <c r="C880" s="1" t="s">
        <v>58</v>
      </c>
      <c r="D880" s="1" t="s">
        <v>4315</v>
      </c>
      <c r="E880" s="1" t="s">
        <v>42</v>
      </c>
      <c r="G880" s="39" t="s">
        <v>4316</v>
      </c>
      <c r="H880" s="1" t="s">
        <v>61</v>
      </c>
      <c r="I880" s="1" t="s">
        <v>4525</v>
      </c>
      <c r="J880" s="1">
        <v>2018</v>
      </c>
      <c r="P880" s="1" t="s">
        <v>4318</v>
      </c>
      <c r="Q880" s="1" t="s">
        <v>101</v>
      </c>
      <c r="R880" s="1" t="s">
        <v>102</v>
      </c>
      <c r="S880" s="1" t="s">
        <v>103</v>
      </c>
      <c r="T880" s="39" t="s">
        <v>104</v>
      </c>
      <c r="U880" s="1">
        <v>1</v>
      </c>
      <c r="V880" s="39" t="s">
        <v>101</v>
      </c>
      <c r="Y880" s="10">
        <v>43464</v>
      </c>
      <c r="Z880" s="1">
        <v>2018</v>
      </c>
      <c r="AA880" s="2"/>
      <c r="AB880" s="2"/>
      <c r="AC880" s="2">
        <v>586339.82999999996</v>
      </c>
      <c r="AG880" s="1" t="s">
        <v>56</v>
      </c>
      <c r="AI880" s="2">
        <v>586339.82999999996</v>
      </c>
      <c r="AL880" s="1" t="s">
        <v>4319</v>
      </c>
      <c r="AR880" s="39"/>
      <c r="AT880" s="39"/>
      <c r="AW880" s="2"/>
      <c r="AX880" s="2"/>
      <c r="AY880" s="2"/>
      <c r="BB880" s="2"/>
    </row>
    <row r="881" spans="1:54" ht="12.6" customHeight="1" x14ac:dyDescent="0.2">
      <c r="A881" s="1" t="s">
        <v>57</v>
      </c>
      <c r="B881" s="9" t="s">
        <v>39</v>
      </c>
      <c r="C881" s="1" t="s">
        <v>58</v>
      </c>
      <c r="D881" s="1" t="s">
        <v>59</v>
      </c>
      <c r="E881" s="1" t="s">
        <v>42</v>
      </c>
      <c r="G881" s="39" t="s">
        <v>60</v>
      </c>
      <c r="H881" s="1" t="s">
        <v>61</v>
      </c>
      <c r="I881" s="1" t="s">
        <v>4526</v>
      </c>
      <c r="J881" s="1">
        <v>2021</v>
      </c>
      <c r="K881" s="1" t="s">
        <v>4527</v>
      </c>
      <c r="P881" s="1" t="s">
        <v>4528</v>
      </c>
      <c r="Q881" s="1" t="s">
        <v>50</v>
      </c>
      <c r="R881" s="1" t="s">
        <v>77</v>
      </c>
      <c r="S881" s="1" t="s">
        <v>78</v>
      </c>
      <c r="T881" s="39" t="s">
        <v>79</v>
      </c>
      <c r="U881" s="1">
        <v>2</v>
      </c>
      <c r="V881" s="39" t="s">
        <v>80</v>
      </c>
      <c r="W881" s="1" t="s">
        <v>4527</v>
      </c>
      <c r="X881" s="1" t="s">
        <v>138</v>
      </c>
      <c r="Y881" s="10">
        <v>44610</v>
      </c>
      <c r="Z881" s="1">
        <v>2022</v>
      </c>
      <c r="AA881" s="2">
        <v>157307.97</v>
      </c>
      <c r="AB881" s="2"/>
      <c r="AC881" s="2">
        <v>23596.195500000005</v>
      </c>
      <c r="AD881" s="1">
        <v>3</v>
      </c>
      <c r="AE881" s="1">
        <v>3</v>
      </c>
      <c r="AG881" s="1" t="s">
        <v>432</v>
      </c>
      <c r="AH881" s="1" t="s">
        <v>492</v>
      </c>
      <c r="AI881" s="2">
        <v>0</v>
      </c>
      <c r="AL881" s="15" t="s">
        <v>4529</v>
      </c>
      <c r="AR881" s="39"/>
      <c r="AT881" s="39"/>
      <c r="AW881" s="2"/>
      <c r="AX881" s="2"/>
      <c r="AY881" s="2"/>
      <c r="BB881" s="2"/>
    </row>
    <row r="882" spans="1:54" ht="13.15" customHeight="1" x14ac:dyDescent="0.2">
      <c r="A882" s="1" t="s">
        <v>57</v>
      </c>
      <c r="B882" s="9" t="s">
        <v>39</v>
      </c>
      <c r="C882" s="1" t="s">
        <v>58</v>
      </c>
      <c r="D882" s="1" t="s">
        <v>4315</v>
      </c>
      <c r="E882" s="1" t="s">
        <v>42</v>
      </c>
      <c r="G882" s="39" t="s">
        <v>4340</v>
      </c>
      <c r="H882" s="1" t="s">
        <v>61</v>
      </c>
      <c r="I882" s="1" t="s">
        <v>4530</v>
      </c>
      <c r="J882" s="1">
        <v>2022</v>
      </c>
      <c r="P882" s="1" t="s">
        <v>4318</v>
      </c>
      <c r="Q882" s="1" t="s">
        <v>101</v>
      </c>
      <c r="R882" s="1" t="s">
        <v>102</v>
      </c>
      <c r="S882" s="1" t="s">
        <v>103</v>
      </c>
      <c r="T882" s="39" t="s">
        <v>104</v>
      </c>
      <c r="U882" s="1">
        <v>1</v>
      </c>
      <c r="V882" s="39" t="s">
        <v>101</v>
      </c>
      <c r="Y882" s="10">
        <v>44912</v>
      </c>
      <c r="Z882" s="1">
        <v>2022</v>
      </c>
      <c r="AA882" s="2"/>
      <c r="AB882" s="2"/>
      <c r="AC882" s="2">
        <v>90893.25</v>
      </c>
      <c r="AG882" s="1" t="s">
        <v>56</v>
      </c>
      <c r="AI882" s="2">
        <v>90893.25</v>
      </c>
      <c r="AR882" s="39"/>
      <c r="AT882" s="39"/>
      <c r="AW882" s="2"/>
      <c r="AX882" s="2"/>
      <c r="AY882" s="2"/>
      <c r="BB882" s="2"/>
    </row>
    <row r="883" spans="1:54" ht="13.15" customHeight="1" x14ac:dyDescent="0.2">
      <c r="A883" s="1" t="s">
        <v>57</v>
      </c>
      <c r="B883" s="40" t="s">
        <v>39</v>
      </c>
      <c r="C883" s="41" t="s">
        <v>58</v>
      </c>
      <c r="D883" s="39" t="s">
        <v>4315</v>
      </c>
      <c r="E883" s="39" t="s">
        <v>42</v>
      </c>
      <c r="F883" s="39"/>
      <c r="G883" s="39" t="s">
        <v>4316</v>
      </c>
      <c r="H883" s="39" t="s">
        <v>61</v>
      </c>
      <c r="I883" s="39" t="s">
        <v>4531</v>
      </c>
      <c r="J883" s="39">
        <v>2023</v>
      </c>
      <c r="K883" s="39"/>
      <c r="L883" s="39"/>
      <c r="M883" s="39"/>
      <c r="N883" s="39"/>
      <c r="O883" s="39"/>
      <c r="P883" s="39" t="s">
        <v>4318</v>
      </c>
      <c r="Q883" s="39" t="s">
        <v>101</v>
      </c>
      <c r="R883" s="1" t="s">
        <v>102</v>
      </c>
      <c r="S883" s="39" t="s">
        <v>103</v>
      </c>
      <c r="T883" s="1" t="s">
        <v>104</v>
      </c>
      <c r="U883" s="1">
        <v>1</v>
      </c>
      <c r="V883" s="39" t="s">
        <v>101</v>
      </c>
      <c r="X883" s="39"/>
      <c r="Y883" s="42">
        <v>45013</v>
      </c>
      <c r="Z883" s="39">
        <v>2023</v>
      </c>
      <c r="AA883" s="4"/>
      <c r="AB883" s="4"/>
      <c r="AC883" s="4">
        <v>226665.25</v>
      </c>
      <c r="AD883" s="39"/>
      <c r="AE883" s="39"/>
      <c r="AG883" s="39" t="s">
        <v>56</v>
      </c>
      <c r="AI883" s="4">
        <v>226665.25</v>
      </c>
      <c r="AJ883" s="39"/>
      <c r="AL883" s="39" t="s">
        <v>4319</v>
      </c>
      <c r="AW883" s="2"/>
      <c r="AX883" s="2"/>
      <c r="AY883" s="2"/>
      <c r="BB883" s="2"/>
    </row>
    <row r="884" spans="1:54" ht="13.15" customHeight="1" x14ac:dyDescent="0.2">
      <c r="A884" s="1" t="s">
        <v>57</v>
      </c>
      <c r="B884" s="9" t="s">
        <v>39</v>
      </c>
      <c r="C884" s="1" t="s">
        <v>58</v>
      </c>
      <c r="D884" s="1" t="s">
        <v>4315</v>
      </c>
      <c r="E884" s="1" t="s">
        <v>42</v>
      </c>
      <c r="G884" s="1" t="s">
        <v>4316</v>
      </c>
      <c r="H884" s="1" t="s">
        <v>61</v>
      </c>
      <c r="I884" s="1" t="s">
        <v>4532</v>
      </c>
      <c r="J884" s="1">
        <v>2022</v>
      </c>
      <c r="P884" s="1" t="s">
        <v>4329</v>
      </c>
      <c r="Q884" s="1" t="s">
        <v>101</v>
      </c>
      <c r="R884" s="1" t="s">
        <v>102</v>
      </c>
      <c r="S884" s="1" t="s">
        <v>103</v>
      </c>
      <c r="T884" s="1" t="s">
        <v>104</v>
      </c>
      <c r="U884" s="1">
        <v>1</v>
      </c>
      <c r="V884" s="1" t="s">
        <v>101</v>
      </c>
      <c r="Y884" s="10">
        <v>44562</v>
      </c>
      <c r="Z884" s="1">
        <v>2022</v>
      </c>
      <c r="AA884" s="2"/>
      <c r="AB884" s="2"/>
      <c r="AC884" s="2">
        <v>429279.89</v>
      </c>
      <c r="AG884" s="1" t="s">
        <v>56</v>
      </c>
      <c r="AI884" s="2">
        <v>429279.89</v>
      </c>
      <c r="AL884" s="1" t="s">
        <v>4319</v>
      </c>
    </row>
    <row r="885" spans="1:54" ht="13.15" customHeight="1" x14ac:dyDescent="0.2">
      <c r="A885" s="1" t="s">
        <v>57</v>
      </c>
      <c r="B885" s="43" t="s">
        <v>39</v>
      </c>
      <c r="C885" s="44" t="s">
        <v>58</v>
      </c>
      <c r="D885" s="39" t="s">
        <v>4315</v>
      </c>
      <c r="E885" s="39" t="s">
        <v>42</v>
      </c>
      <c r="G885" s="1" t="s">
        <v>4316</v>
      </c>
      <c r="H885" s="1" t="s">
        <v>61</v>
      </c>
      <c r="I885" s="1" t="s">
        <v>4533</v>
      </c>
      <c r="J885" s="1">
        <v>2019</v>
      </c>
      <c r="P885" s="1" t="s">
        <v>4471</v>
      </c>
      <c r="Q885" s="1" t="s">
        <v>50</v>
      </c>
      <c r="R885" s="1" t="s">
        <v>68</v>
      </c>
      <c r="S885" s="45" t="s">
        <v>425</v>
      </c>
      <c r="T885" s="1" t="s">
        <v>426</v>
      </c>
      <c r="U885" s="1">
        <v>1</v>
      </c>
      <c r="V885" s="1" t="s">
        <v>195</v>
      </c>
      <c r="Y885" s="10">
        <v>43466</v>
      </c>
      <c r="Z885" s="1">
        <v>2019</v>
      </c>
      <c r="AA885" s="2"/>
      <c r="AB885" s="2"/>
      <c r="AC885" s="2">
        <v>485538.8</v>
      </c>
      <c r="AG885" s="1" t="s">
        <v>56</v>
      </c>
      <c r="AI885" s="2">
        <v>485538.8</v>
      </c>
      <c r="AL885" s="1" t="s">
        <v>4319</v>
      </c>
      <c r="AW885" s="2"/>
      <c r="AX885" s="2"/>
      <c r="AY885" s="2"/>
      <c r="BB885" s="2"/>
    </row>
    <row r="886" spans="1:54" ht="13.15" customHeight="1" x14ac:dyDescent="0.2">
      <c r="A886" s="1" t="s">
        <v>57</v>
      </c>
      <c r="B886" s="9" t="s">
        <v>39</v>
      </c>
      <c r="C886" s="1" t="s">
        <v>58</v>
      </c>
      <c r="D886" s="39" t="s">
        <v>59</v>
      </c>
      <c r="E886" s="39" t="s">
        <v>42</v>
      </c>
      <c r="G886" s="1" t="s">
        <v>60</v>
      </c>
      <c r="H886" s="1" t="s">
        <v>61</v>
      </c>
      <c r="I886" s="1" t="s">
        <v>4534</v>
      </c>
      <c r="J886" s="1" t="s">
        <v>82</v>
      </c>
      <c r="K886" s="1" t="s">
        <v>4535</v>
      </c>
      <c r="P886" s="1" t="s">
        <v>4536</v>
      </c>
      <c r="Q886" s="1" t="s">
        <v>264</v>
      </c>
      <c r="R886" s="1" t="s">
        <v>265</v>
      </c>
      <c r="S886" s="1" t="s">
        <v>450</v>
      </c>
      <c r="T886" s="1" t="s">
        <v>451</v>
      </c>
      <c r="U886" s="1">
        <v>2</v>
      </c>
      <c r="V886" s="1" t="s">
        <v>80</v>
      </c>
      <c r="W886" s="1" t="s">
        <v>4535</v>
      </c>
      <c r="X886" s="1" t="s">
        <v>153</v>
      </c>
      <c r="Y886" s="10">
        <v>44813</v>
      </c>
      <c r="Z886" s="1">
        <v>2022</v>
      </c>
      <c r="AA886" s="2">
        <v>1139201.21</v>
      </c>
      <c r="AB886" s="2"/>
      <c r="AC886" s="2">
        <v>77000</v>
      </c>
      <c r="AD886" s="1">
        <v>4</v>
      </c>
      <c r="AE886" s="1">
        <v>2</v>
      </c>
      <c r="AG886" s="1" t="s">
        <v>432</v>
      </c>
      <c r="AH886" s="1" t="s">
        <v>4501</v>
      </c>
      <c r="AI886" s="2">
        <v>0</v>
      </c>
      <c r="AW886" s="2"/>
      <c r="AX886" s="2"/>
      <c r="AY886" s="2"/>
      <c r="BB886" s="2"/>
    </row>
    <row r="887" spans="1:54" ht="13.15" customHeight="1" x14ac:dyDescent="0.2">
      <c r="A887" s="1" t="s">
        <v>57</v>
      </c>
      <c r="B887" s="9" t="s">
        <v>39</v>
      </c>
      <c r="C887" s="1" t="s">
        <v>58</v>
      </c>
      <c r="D887" s="39" t="s">
        <v>59</v>
      </c>
      <c r="E887" s="39" t="s">
        <v>42</v>
      </c>
      <c r="G887" s="1" t="s">
        <v>60</v>
      </c>
      <c r="H887" s="1" t="s">
        <v>61</v>
      </c>
      <c r="I887" s="1" t="s">
        <v>4537</v>
      </c>
      <c r="J887" s="1">
        <v>2021</v>
      </c>
      <c r="K887" s="1" t="s">
        <v>4538</v>
      </c>
      <c r="P887" s="1" t="s">
        <v>4539</v>
      </c>
      <c r="Q887" s="1" t="s">
        <v>264</v>
      </c>
      <c r="R887" s="1" t="s">
        <v>265</v>
      </c>
      <c r="S887" s="1" t="s">
        <v>923</v>
      </c>
      <c r="T887" s="1" t="s">
        <v>924</v>
      </c>
      <c r="U887" s="1">
        <v>1</v>
      </c>
      <c r="V887" s="1" t="s">
        <v>268</v>
      </c>
      <c r="W887" s="1" t="s">
        <v>4538</v>
      </c>
      <c r="X887" s="1" t="s">
        <v>145</v>
      </c>
      <c r="Y887" s="10">
        <v>45098</v>
      </c>
      <c r="Z887" s="1">
        <v>2023</v>
      </c>
      <c r="AA887" s="2">
        <v>1240814.19</v>
      </c>
      <c r="AB887" s="2"/>
      <c r="AC887" s="2">
        <v>160000</v>
      </c>
      <c r="AD887" s="1">
        <v>3</v>
      </c>
      <c r="AE887" s="1">
        <v>1</v>
      </c>
      <c r="AG887" s="1" t="s">
        <v>432</v>
      </c>
      <c r="AH887" s="1" t="s">
        <v>4501</v>
      </c>
      <c r="AI887" s="2">
        <v>0</v>
      </c>
      <c r="AW887" s="2"/>
      <c r="AX887" s="2"/>
      <c r="AY887" s="2"/>
      <c r="BB887" s="2"/>
    </row>
    <row r="888" spans="1:54" ht="13.15" customHeight="1" x14ac:dyDescent="0.2">
      <c r="A888" s="1" t="s">
        <v>57</v>
      </c>
      <c r="B888" s="9" t="s">
        <v>39</v>
      </c>
      <c r="C888" s="1" t="s">
        <v>58</v>
      </c>
      <c r="D888" s="39" t="s">
        <v>4315</v>
      </c>
      <c r="E888" s="39" t="s">
        <v>42</v>
      </c>
      <c r="G888" s="1" t="s">
        <v>4316</v>
      </c>
      <c r="H888" s="1" t="s">
        <v>61</v>
      </c>
      <c r="I888" s="1" t="s">
        <v>4540</v>
      </c>
      <c r="J888" s="1">
        <v>2018</v>
      </c>
      <c r="P888" s="1" t="s">
        <v>4318</v>
      </c>
      <c r="Q888" s="1" t="s">
        <v>101</v>
      </c>
      <c r="R888" s="1" t="s">
        <v>102</v>
      </c>
      <c r="S888" s="1" t="s">
        <v>103</v>
      </c>
      <c r="T888" s="1" t="s">
        <v>104</v>
      </c>
      <c r="U888" s="1">
        <v>1</v>
      </c>
      <c r="V888" s="1" t="s">
        <v>101</v>
      </c>
      <c r="Y888" s="10">
        <v>43464</v>
      </c>
      <c r="Z888" s="1">
        <v>2018</v>
      </c>
      <c r="AA888" s="2"/>
      <c r="AB888" s="2"/>
      <c r="AC888" s="2">
        <v>577201.77</v>
      </c>
      <c r="AG888" s="1" t="s">
        <v>56</v>
      </c>
      <c r="AI888" s="2">
        <v>577201.77</v>
      </c>
      <c r="AL888" s="1" t="s">
        <v>4319</v>
      </c>
      <c r="AW888" s="2"/>
      <c r="AX888" s="2"/>
      <c r="AY888" s="2"/>
      <c r="BB888" s="2"/>
    </row>
    <row r="889" spans="1:54" ht="13.15" customHeight="1" x14ac:dyDescent="0.2">
      <c r="A889" s="1" t="s">
        <v>57</v>
      </c>
      <c r="B889" s="9" t="s">
        <v>39</v>
      </c>
      <c r="C889" s="1" t="s">
        <v>58</v>
      </c>
      <c r="D889" s="39" t="s">
        <v>4315</v>
      </c>
      <c r="E889" s="39" t="s">
        <v>42</v>
      </c>
      <c r="G889" s="1" t="s">
        <v>4316</v>
      </c>
      <c r="H889" s="1" t="s">
        <v>61</v>
      </c>
      <c r="I889" s="1" t="s">
        <v>4541</v>
      </c>
      <c r="J889" s="1">
        <v>2018</v>
      </c>
      <c r="P889" s="1" t="s">
        <v>4318</v>
      </c>
      <c r="Q889" s="1" t="s">
        <v>101</v>
      </c>
      <c r="R889" s="1" t="s">
        <v>102</v>
      </c>
      <c r="S889" s="1" t="s">
        <v>103</v>
      </c>
      <c r="T889" s="1" t="s">
        <v>104</v>
      </c>
      <c r="U889" s="1">
        <v>1</v>
      </c>
      <c r="V889" s="1" t="s">
        <v>101</v>
      </c>
      <c r="Y889" s="10">
        <v>43464</v>
      </c>
      <c r="Z889" s="1">
        <v>2018</v>
      </c>
      <c r="AA889" s="2"/>
      <c r="AB889" s="2"/>
      <c r="AC889" s="2">
        <v>632483.11</v>
      </c>
      <c r="AG889" s="1" t="s">
        <v>56</v>
      </c>
      <c r="AI889" s="2">
        <v>632483.11</v>
      </c>
      <c r="AL889" s="1" t="s">
        <v>4319</v>
      </c>
      <c r="AW889" s="2"/>
      <c r="AX889" s="2"/>
      <c r="AY889" s="2"/>
      <c r="BB889" s="2"/>
    </row>
    <row r="890" spans="1:54" ht="13.15" customHeight="1" x14ac:dyDescent="0.2">
      <c r="A890" s="1" t="s">
        <v>57</v>
      </c>
      <c r="B890" s="9" t="s">
        <v>39</v>
      </c>
      <c r="C890" s="1" t="s">
        <v>58</v>
      </c>
      <c r="D890" s="39" t="s">
        <v>4315</v>
      </c>
      <c r="E890" s="39" t="s">
        <v>42</v>
      </c>
      <c r="G890" s="1" t="s">
        <v>4316</v>
      </c>
      <c r="H890" s="1" t="s">
        <v>61</v>
      </c>
      <c r="I890" s="1" t="s">
        <v>4542</v>
      </c>
      <c r="J890" s="1">
        <v>2018</v>
      </c>
      <c r="P890" s="1" t="s">
        <v>4318</v>
      </c>
      <c r="Q890" s="1" t="s">
        <v>101</v>
      </c>
      <c r="R890" s="1" t="s">
        <v>102</v>
      </c>
      <c r="S890" s="1" t="s">
        <v>103</v>
      </c>
      <c r="T890" s="1" t="s">
        <v>104</v>
      </c>
      <c r="U890" s="1">
        <v>1</v>
      </c>
      <c r="V890" s="1" t="s">
        <v>101</v>
      </c>
      <c r="Y890" s="10">
        <v>43464</v>
      </c>
      <c r="Z890" s="1">
        <v>2018</v>
      </c>
      <c r="AA890" s="2"/>
      <c r="AB890" s="2"/>
      <c r="AC890" s="2">
        <v>672729.12</v>
      </c>
      <c r="AG890" s="1" t="s">
        <v>56</v>
      </c>
      <c r="AI890" s="2">
        <v>672729.12</v>
      </c>
      <c r="AL890" s="1" t="s">
        <v>4319</v>
      </c>
      <c r="AW890" s="2"/>
      <c r="AX890" s="2"/>
      <c r="AY890" s="2"/>
      <c r="BB890" s="2"/>
    </row>
    <row r="891" spans="1:54" ht="13.15" customHeight="1" x14ac:dyDescent="0.2">
      <c r="A891" s="1" t="s">
        <v>57</v>
      </c>
      <c r="B891" s="9" t="s">
        <v>39</v>
      </c>
      <c r="C891" s="1" t="s">
        <v>58</v>
      </c>
      <c r="D891" s="39" t="s">
        <v>4315</v>
      </c>
      <c r="E891" s="39" t="s">
        <v>42</v>
      </c>
      <c r="G891" s="1" t="s">
        <v>4316</v>
      </c>
      <c r="H891" s="1" t="s">
        <v>61</v>
      </c>
      <c r="I891" s="1" t="s">
        <v>4543</v>
      </c>
      <c r="J891" s="1">
        <v>2021</v>
      </c>
      <c r="P891" s="1" t="s">
        <v>4318</v>
      </c>
      <c r="Q891" s="1" t="s">
        <v>101</v>
      </c>
      <c r="R891" s="1" t="s">
        <v>102</v>
      </c>
      <c r="S891" s="1" t="s">
        <v>103</v>
      </c>
      <c r="T891" s="1" t="s">
        <v>104</v>
      </c>
      <c r="U891" s="1">
        <v>1</v>
      </c>
      <c r="V891" s="1" t="s">
        <v>101</v>
      </c>
      <c r="Y891" s="10">
        <v>44274</v>
      </c>
      <c r="Z891" s="1">
        <v>2021</v>
      </c>
      <c r="AA891" s="2"/>
      <c r="AB891" s="2"/>
      <c r="AC891" s="2">
        <v>621527.9</v>
      </c>
      <c r="AG891" s="1" t="s">
        <v>56</v>
      </c>
      <c r="AI891" s="2">
        <v>621527.9</v>
      </c>
      <c r="AL891" s="1" t="s">
        <v>4319</v>
      </c>
      <c r="AW891" s="2"/>
      <c r="AX891" s="2"/>
      <c r="AY891" s="2"/>
      <c r="BB891" s="2"/>
    </row>
    <row r="892" spans="1:54" ht="13.15" customHeight="1" x14ac:dyDescent="0.2">
      <c r="A892" s="1" t="s">
        <v>57</v>
      </c>
      <c r="B892" s="9" t="s">
        <v>39</v>
      </c>
      <c r="C892" s="1" t="s">
        <v>58</v>
      </c>
      <c r="D892" s="39" t="s">
        <v>4315</v>
      </c>
      <c r="E892" s="39" t="s">
        <v>42</v>
      </c>
      <c r="G892" s="1" t="s">
        <v>4316</v>
      </c>
      <c r="H892" s="1" t="s">
        <v>61</v>
      </c>
      <c r="I892" s="1" t="s">
        <v>4544</v>
      </c>
      <c r="J892" s="1">
        <v>2018</v>
      </c>
      <c r="P892" s="1" t="s">
        <v>4318</v>
      </c>
      <c r="Q892" s="1" t="s">
        <v>101</v>
      </c>
      <c r="R892" s="1" t="s">
        <v>102</v>
      </c>
      <c r="S892" s="1" t="s">
        <v>103</v>
      </c>
      <c r="T892" s="1" t="s">
        <v>104</v>
      </c>
      <c r="U892" s="1">
        <v>1</v>
      </c>
      <c r="V892" s="1" t="s">
        <v>101</v>
      </c>
      <c r="Y892" s="10">
        <v>43465</v>
      </c>
      <c r="Z892" s="1">
        <v>2018</v>
      </c>
      <c r="AA892" s="2"/>
      <c r="AB892" s="2"/>
      <c r="AC892" s="2">
        <v>623702.29</v>
      </c>
      <c r="AG892" s="1" t="s">
        <v>56</v>
      </c>
      <c r="AI892" s="2">
        <v>623702.29</v>
      </c>
      <c r="AL892" s="1" t="s">
        <v>4319</v>
      </c>
      <c r="AW892" s="2"/>
      <c r="AX892" s="2"/>
      <c r="AY892" s="2"/>
      <c r="BB892" s="2"/>
    </row>
    <row r="893" spans="1:54" ht="13.15" customHeight="1" x14ac:dyDescent="0.2">
      <c r="A893" s="1" t="s">
        <v>57</v>
      </c>
      <c r="B893" s="9" t="s">
        <v>39</v>
      </c>
      <c r="C893" s="1" t="s">
        <v>58</v>
      </c>
      <c r="D893" s="39" t="s">
        <v>4315</v>
      </c>
      <c r="E893" s="39" t="s">
        <v>42</v>
      </c>
      <c r="G893" s="1" t="s">
        <v>4316</v>
      </c>
      <c r="H893" s="1" t="s">
        <v>61</v>
      </c>
      <c r="I893" s="1" t="s">
        <v>4545</v>
      </c>
      <c r="J893" s="1">
        <v>2018</v>
      </c>
      <c r="P893" s="1" t="s">
        <v>4318</v>
      </c>
      <c r="Q893" s="1" t="s">
        <v>101</v>
      </c>
      <c r="R893" s="1" t="s">
        <v>102</v>
      </c>
      <c r="S893" s="1" t="s">
        <v>103</v>
      </c>
      <c r="T893" s="1" t="s">
        <v>104</v>
      </c>
      <c r="U893" s="1">
        <v>1</v>
      </c>
      <c r="V893" s="1" t="s">
        <v>101</v>
      </c>
      <c r="Y893" s="10">
        <v>43465</v>
      </c>
      <c r="Z893" s="1">
        <v>2018</v>
      </c>
      <c r="AA893" s="2"/>
      <c r="AB893" s="2"/>
      <c r="AC893" s="2">
        <v>749694.95000000007</v>
      </c>
      <c r="AG893" s="1" t="s">
        <v>56</v>
      </c>
      <c r="AI893" s="2">
        <v>749694.95000000007</v>
      </c>
      <c r="AL893" s="1" t="s">
        <v>4319</v>
      </c>
      <c r="AW893" s="2"/>
      <c r="AX893" s="2"/>
      <c r="AY893" s="2"/>
      <c r="BB893" s="2"/>
    </row>
    <row r="894" spans="1:54" ht="13.15" customHeight="1" x14ac:dyDescent="0.2">
      <c r="A894" s="1" t="s">
        <v>57</v>
      </c>
      <c r="B894" s="9" t="s">
        <v>39</v>
      </c>
      <c r="C894" s="1" t="s">
        <v>58</v>
      </c>
      <c r="D894" s="39" t="s">
        <v>4315</v>
      </c>
      <c r="E894" s="39" t="s">
        <v>42</v>
      </c>
      <c r="G894" s="1" t="s">
        <v>4316</v>
      </c>
      <c r="H894" s="1" t="s">
        <v>61</v>
      </c>
      <c r="I894" s="1" t="s">
        <v>4546</v>
      </c>
      <c r="J894" s="1">
        <v>2019</v>
      </c>
      <c r="P894" s="1" t="s">
        <v>4471</v>
      </c>
      <c r="Q894" s="1" t="s">
        <v>50</v>
      </c>
      <c r="R894" s="1" t="s">
        <v>68</v>
      </c>
      <c r="S894" s="1" t="s">
        <v>425</v>
      </c>
      <c r="T894" s="1" t="s">
        <v>426</v>
      </c>
      <c r="U894" s="1">
        <v>1</v>
      </c>
      <c r="V894" s="1" t="s">
        <v>195</v>
      </c>
      <c r="Y894" s="10">
        <v>43466</v>
      </c>
      <c r="Z894" s="1">
        <v>2019</v>
      </c>
      <c r="AA894" s="2"/>
      <c r="AB894" s="2"/>
      <c r="AC894" s="2">
        <v>402767.21</v>
      </c>
      <c r="AG894" s="1" t="s">
        <v>56</v>
      </c>
      <c r="AI894" s="2">
        <v>402767.21</v>
      </c>
      <c r="AL894" s="1" t="s">
        <v>4319</v>
      </c>
      <c r="AW894" s="2"/>
      <c r="AX894" s="2"/>
      <c r="AY894" s="2"/>
      <c r="BB894" s="2"/>
    </row>
    <row r="895" spans="1:54" ht="13.15" customHeight="1" x14ac:dyDescent="0.2">
      <c r="A895" s="1" t="s">
        <v>57</v>
      </c>
      <c r="B895" s="9" t="s">
        <v>39</v>
      </c>
      <c r="C895" s="1" t="s">
        <v>58</v>
      </c>
      <c r="D895" s="39" t="s">
        <v>59</v>
      </c>
      <c r="E895" s="39" t="s">
        <v>42</v>
      </c>
      <c r="G895" s="1" t="s">
        <v>60</v>
      </c>
      <c r="H895" s="1" t="s">
        <v>61</v>
      </c>
      <c r="I895" s="1" t="s">
        <v>4547</v>
      </c>
      <c r="J895" s="1" t="s">
        <v>82</v>
      </c>
      <c r="K895" s="1" t="s">
        <v>4548</v>
      </c>
      <c r="P895" s="1" t="s">
        <v>4549</v>
      </c>
      <c r="Q895" s="1" t="s">
        <v>264</v>
      </c>
      <c r="R895" s="1" t="s">
        <v>265</v>
      </c>
      <c r="S895" s="1" t="s">
        <v>923</v>
      </c>
      <c r="T895" s="1" t="s">
        <v>924</v>
      </c>
      <c r="U895" s="1">
        <v>1</v>
      </c>
      <c r="V895" s="1" t="s">
        <v>268</v>
      </c>
      <c r="W895" s="1" t="s">
        <v>4548</v>
      </c>
      <c r="X895" s="1" t="s">
        <v>87</v>
      </c>
      <c r="Y895" s="10">
        <v>44338</v>
      </c>
      <c r="Z895" s="1">
        <v>2021</v>
      </c>
      <c r="AA895" s="2">
        <v>607297.06000000006</v>
      </c>
      <c r="AB895" s="2"/>
      <c r="AC895" s="2">
        <v>55646.7</v>
      </c>
      <c r="AD895" s="1">
        <v>3</v>
      </c>
      <c r="AG895" s="1" t="s">
        <v>432</v>
      </c>
      <c r="AH895" s="1" t="s">
        <v>4501</v>
      </c>
      <c r="AI895" s="2">
        <v>0</v>
      </c>
      <c r="AK895" s="1" t="s">
        <v>418</v>
      </c>
      <c r="AW895" s="2"/>
      <c r="AX895" s="2"/>
      <c r="AY895" s="2"/>
      <c r="BB895" s="2"/>
    </row>
    <row r="896" spans="1:54" ht="13.15" customHeight="1" x14ac:dyDescent="0.2">
      <c r="A896" s="1" t="s">
        <v>57</v>
      </c>
      <c r="B896" s="9" t="s">
        <v>39</v>
      </c>
      <c r="C896" s="1" t="s">
        <v>58</v>
      </c>
      <c r="D896" s="39" t="s">
        <v>4315</v>
      </c>
      <c r="E896" s="39" t="s">
        <v>42</v>
      </c>
      <c r="G896" s="1" t="s">
        <v>4316</v>
      </c>
      <c r="H896" s="1" t="s">
        <v>61</v>
      </c>
      <c r="I896" s="1" t="s">
        <v>4550</v>
      </c>
      <c r="J896" s="1">
        <v>2018</v>
      </c>
      <c r="P896" s="1" t="s">
        <v>4318</v>
      </c>
      <c r="Q896" s="1" t="s">
        <v>101</v>
      </c>
      <c r="R896" s="1" t="s">
        <v>102</v>
      </c>
      <c r="S896" s="1" t="s">
        <v>103</v>
      </c>
      <c r="T896" s="1" t="s">
        <v>104</v>
      </c>
      <c r="U896" s="1">
        <v>1</v>
      </c>
      <c r="V896" s="1" t="s">
        <v>101</v>
      </c>
      <c r="Y896" s="10">
        <v>43464</v>
      </c>
      <c r="Z896" s="1">
        <v>2018</v>
      </c>
      <c r="AA896" s="2"/>
      <c r="AB896" s="2"/>
      <c r="AC896" s="2">
        <v>548248.93999999994</v>
      </c>
      <c r="AG896" s="1" t="s">
        <v>56</v>
      </c>
      <c r="AI896" s="2">
        <v>548248.93999999994</v>
      </c>
      <c r="AL896" s="1" t="s">
        <v>4319</v>
      </c>
      <c r="AW896" s="2"/>
      <c r="AX896" s="2"/>
      <c r="AY896" s="2"/>
      <c r="BB896" s="2"/>
    </row>
    <row r="897" spans="1:54" ht="13.15" customHeight="1" x14ac:dyDescent="0.2">
      <c r="A897" s="1" t="s">
        <v>57</v>
      </c>
      <c r="B897" s="9" t="s">
        <v>39</v>
      </c>
      <c r="C897" s="1" t="s">
        <v>58</v>
      </c>
      <c r="D897" s="39" t="s">
        <v>59</v>
      </c>
      <c r="E897" s="39" t="s">
        <v>42</v>
      </c>
      <c r="G897" s="1" t="s">
        <v>60</v>
      </c>
      <c r="H897" s="1" t="s">
        <v>61</v>
      </c>
      <c r="I897" s="1" t="s">
        <v>4551</v>
      </c>
      <c r="J897" s="1" t="s">
        <v>82</v>
      </c>
      <c r="K897" s="1" t="s">
        <v>4552</v>
      </c>
      <c r="P897" s="1" t="s">
        <v>722</v>
      </c>
      <c r="Q897" s="1" t="s">
        <v>264</v>
      </c>
      <c r="R897" s="1" t="s">
        <v>265</v>
      </c>
      <c r="S897" s="1" t="s">
        <v>275</v>
      </c>
      <c r="T897" s="1" t="s">
        <v>276</v>
      </c>
      <c r="U897" s="1">
        <v>2</v>
      </c>
      <c r="V897" s="1" t="s">
        <v>80</v>
      </c>
      <c r="W897" s="1" t="s">
        <v>4552</v>
      </c>
      <c r="X897" s="1" t="s">
        <v>145</v>
      </c>
      <c r="Y897" s="10">
        <v>44299</v>
      </c>
      <c r="Z897" s="1">
        <v>2021</v>
      </c>
      <c r="AA897" s="2">
        <v>3235359.01</v>
      </c>
      <c r="AB897" s="2"/>
      <c r="AC897" s="2">
        <v>288750</v>
      </c>
      <c r="AD897" s="1">
        <v>15</v>
      </c>
      <c r="AE897" s="1">
        <v>6.5</v>
      </c>
      <c r="AG897" s="1" t="s">
        <v>432</v>
      </c>
      <c r="AH897" s="1" t="s">
        <v>492</v>
      </c>
      <c r="AI897" s="2">
        <v>0</v>
      </c>
      <c r="AW897" s="2"/>
      <c r="AX897" s="2"/>
      <c r="AY897" s="2"/>
      <c r="BB897" s="2"/>
    </row>
    <row r="898" spans="1:54" ht="13.15" customHeight="1" x14ac:dyDescent="0.2">
      <c r="A898" s="1" t="s">
        <v>57</v>
      </c>
      <c r="B898" s="9" t="s">
        <v>39</v>
      </c>
      <c r="C898" s="1" t="s">
        <v>58</v>
      </c>
      <c r="D898" s="39" t="s">
        <v>59</v>
      </c>
      <c r="E898" s="39" t="s">
        <v>42</v>
      </c>
      <c r="G898" s="1" t="s">
        <v>60</v>
      </c>
      <c r="H898" s="1" t="s">
        <v>61</v>
      </c>
      <c r="I898" s="1" t="s">
        <v>4553</v>
      </c>
      <c r="J898" s="1">
        <v>2021</v>
      </c>
      <c r="K898" s="1" t="s">
        <v>4554</v>
      </c>
      <c r="P898" s="1" t="s">
        <v>349</v>
      </c>
      <c r="Q898" s="1" t="s">
        <v>264</v>
      </c>
      <c r="R898" s="1" t="s">
        <v>265</v>
      </c>
      <c r="S898" s="1" t="s">
        <v>350</v>
      </c>
      <c r="T898" s="1" t="s">
        <v>351</v>
      </c>
      <c r="U898" s="1">
        <v>1</v>
      </c>
      <c r="V898" s="1" t="s">
        <v>80</v>
      </c>
      <c r="W898" s="1" t="s">
        <v>4555</v>
      </c>
      <c r="X898" s="1" t="s">
        <v>138</v>
      </c>
      <c r="Y898" s="10">
        <v>45098</v>
      </c>
      <c r="Z898" s="1">
        <v>2023</v>
      </c>
      <c r="AA898" s="2">
        <v>760208.25</v>
      </c>
      <c r="AB898" s="2"/>
      <c r="AC898" s="2">
        <v>150000</v>
      </c>
      <c r="AD898" s="1">
        <v>3</v>
      </c>
      <c r="AE898" s="1">
        <v>3</v>
      </c>
      <c r="AG898" s="1" t="s">
        <v>432</v>
      </c>
      <c r="AH898" s="1" t="s">
        <v>4501</v>
      </c>
      <c r="AI898" s="2">
        <v>0</v>
      </c>
      <c r="AW898" s="2"/>
      <c r="AX898" s="2"/>
      <c r="AY898" s="2"/>
      <c r="BB898" s="2"/>
    </row>
    <row r="899" spans="1:54" ht="13.15" customHeight="1" x14ac:dyDescent="0.2">
      <c r="A899" s="1" t="s">
        <v>57</v>
      </c>
      <c r="B899" s="9" t="s">
        <v>39</v>
      </c>
      <c r="C899" s="1" t="s">
        <v>58</v>
      </c>
      <c r="D899" s="39" t="s">
        <v>4315</v>
      </c>
      <c r="E899" s="39" t="s">
        <v>42</v>
      </c>
      <c r="G899" s="1" t="s">
        <v>4316</v>
      </c>
      <c r="H899" s="1" t="s">
        <v>61</v>
      </c>
      <c r="I899" s="1" t="s">
        <v>4556</v>
      </c>
      <c r="J899" s="1">
        <v>2018</v>
      </c>
      <c r="P899" s="1" t="s">
        <v>4318</v>
      </c>
      <c r="Q899" s="1" t="s">
        <v>101</v>
      </c>
      <c r="R899" s="1" t="s">
        <v>102</v>
      </c>
      <c r="S899" s="1" t="s">
        <v>103</v>
      </c>
      <c r="T899" s="1" t="s">
        <v>104</v>
      </c>
      <c r="U899" s="1">
        <v>1</v>
      </c>
      <c r="V899" s="1" t="s">
        <v>101</v>
      </c>
      <c r="Y899" s="10">
        <v>43464</v>
      </c>
      <c r="Z899" s="1">
        <v>2018</v>
      </c>
      <c r="AA899" s="2"/>
      <c r="AB899" s="2"/>
      <c r="AC899" s="2">
        <v>561757.24</v>
      </c>
      <c r="AG899" s="1" t="s">
        <v>56</v>
      </c>
      <c r="AI899" s="2">
        <v>561757.24</v>
      </c>
      <c r="AL899" s="1" t="s">
        <v>4319</v>
      </c>
      <c r="AW899" s="2"/>
      <c r="AX899" s="2"/>
      <c r="AY899" s="2"/>
      <c r="BB899" s="2"/>
    </row>
    <row r="900" spans="1:54" ht="13.15" customHeight="1" x14ac:dyDescent="0.2">
      <c r="A900" s="1" t="s">
        <v>57</v>
      </c>
      <c r="B900" s="9" t="s">
        <v>39</v>
      </c>
      <c r="C900" s="1" t="s">
        <v>58</v>
      </c>
      <c r="D900" s="39" t="s">
        <v>4315</v>
      </c>
      <c r="E900" s="39" t="s">
        <v>42</v>
      </c>
      <c r="G900" s="1" t="s">
        <v>4316</v>
      </c>
      <c r="H900" s="1" t="s">
        <v>61</v>
      </c>
      <c r="I900" s="1" t="s">
        <v>4557</v>
      </c>
      <c r="J900" s="1">
        <v>2018</v>
      </c>
      <c r="P900" s="1" t="s">
        <v>4318</v>
      </c>
      <c r="Q900" s="1" t="s">
        <v>101</v>
      </c>
      <c r="R900" s="1" t="s">
        <v>102</v>
      </c>
      <c r="S900" s="1" t="s">
        <v>103</v>
      </c>
      <c r="T900" s="1" t="s">
        <v>104</v>
      </c>
      <c r="U900" s="1">
        <v>1</v>
      </c>
      <c r="V900" s="1" t="s">
        <v>101</v>
      </c>
      <c r="Y900" s="10">
        <v>43464</v>
      </c>
      <c r="Z900" s="1">
        <v>2018</v>
      </c>
      <c r="AA900" s="2"/>
      <c r="AB900" s="2"/>
      <c r="AC900" s="2">
        <v>600031.56999999995</v>
      </c>
      <c r="AG900" s="1" t="s">
        <v>56</v>
      </c>
      <c r="AI900" s="2">
        <v>600031.56999999995</v>
      </c>
      <c r="AL900" s="1" t="s">
        <v>4319</v>
      </c>
      <c r="AW900" s="2"/>
      <c r="AX900" s="2"/>
      <c r="AY900" s="2"/>
      <c r="BB900" s="2"/>
    </row>
    <row r="901" spans="1:54" ht="13.15" customHeight="1" x14ac:dyDescent="0.2">
      <c r="A901" s="1" t="s">
        <v>57</v>
      </c>
      <c r="B901" s="9" t="s">
        <v>39</v>
      </c>
      <c r="C901" s="1" t="s">
        <v>58</v>
      </c>
      <c r="D901" s="39" t="s">
        <v>4315</v>
      </c>
      <c r="E901" s="39" t="s">
        <v>42</v>
      </c>
      <c r="G901" s="1" t="s">
        <v>4316</v>
      </c>
      <c r="H901" s="1" t="s">
        <v>61</v>
      </c>
      <c r="I901" s="1" t="s">
        <v>4558</v>
      </c>
      <c r="J901" s="1">
        <v>2019</v>
      </c>
      <c r="P901" s="1" t="s">
        <v>4471</v>
      </c>
      <c r="Q901" s="1" t="s">
        <v>50</v>
      </c>
      <c r="R901" s="1" t="s">
        <v>68</v>
      </c>
      <c r="S901" s="1" t="s">
        <v>425</v>
      </c>
      <c r="T901" s="1" t="s">
        <v>426</v>
      </c>
      <c r="U901" s="1">
        <v>1</v>
      </c>
      <c r="V901" s="1" t="s">
        <v>195</v>
      </c>
      <c r="Y901" s="10">
        <v>43466</v>
      </c>
      <c r="Z901" s="1">
        <v>2019</v>
      </c>
      <c r="AA901" s="2"/>
      <c r="AB901" s="2"/>
      <c r="AC901" s="2">
        <v>489243.20000000007</v>
      </c>
      <c r="AG901" s="1" t="s">
        <v>56</v>
      </c>
      <c r="AI901" s="2">
        <v>489243.20000000007</v>
      </c>
      <c r="AL901" s="1" t="s">
        <v>4319</v>
      </c>
      <c r="AW901" s="2"/>
      <c r="AX901" s="2"/>
      <c r="AY901" s="2"/>
      <c r="BB901" s="2"/>
    </row>
    <row r="902" spans="1:54" ht="13.15" customHeight="1" x14ac:dyDescent="0.2">
      <c r="A902" s="1" t="s">
        <v>57</v>
      </c>
      <c r="B902" s="9" t="s">
        <v>39</v>
      </c>
      <c r="C902" s="1" t="s">
        <v>58</v>
      </c>
      <c r="D902" s="39" t="s">
        <v>4315</v>
      </c>
      <c r="E902" s="39" t="s">
        <v>42</v>
      </c>
      <c r="G902" s="1" t="s">
        <v>4316</v>
      </c>
      <c r="H902" s="1" t="s">
        <v>61</v>
      </c>
      <c r="I902" s="1" t="s">
        <v>4559</v>
      </c>
      <c r="J902" s="1">
        <v>2022</v>
      </c>
      <c r="P902" s="1" t="s">
        <v>4329</v>
      </c>
      <c r="Q902" s="1" t="s">
        <v>101</v>
      </c>
      <c r="R902" s="1" t="s">
        <v>102</v>
      </c>
      <c r="S902" s="1" t="s">
        <v>103</v>
      </c>
      <c r="T902" s="1" t="s">
        <v>104</v>
      </c>
      <c r="U902" s="1">
        <v>1</v>
      </c>
      <c r="V902" s="1" t="s">
        <v>101</v>
      </c>
      <c r="Y902" s="10">
        <v>44562</v>
      </c>
      <c r="Z902" s="1">
        <v>2022</v>
      </c>
      <c r="AA902" s="2"/>
      <c r="AB902" s="2"/>
      <c r="AC902" s="2">
        <v>596893.71000000008</v>
      </c>
      <c r="AG902" s="1" t="s">
        <v>56</v>
      </c>
      <c r="AI902" s="2">
        <v>596893.71000000008</v>
      </c>
      <c r="AL902" s="1" t="s">
        <v>4319</v>
      </c>
      <c r="AW902" s="2"/>
      <c r="AX902" s="2"/>
      <c r="AY902" s="2"/>
      <c r="BB902" s="2"/>
    </row>
    <row r="903" spans="1:54" ht="13.15" customHeight="1" x14ac:dyDescent="0.2">
      <c r="A903" s="1" t="s">
        <v>57</v>
      </c>
      <c r="B903" s="9" t="s">
        <v>39</v>
      </c>
      <c r="C903" s="1" t="s">
        <v>58</v>
      </c>
      <c r="D903" s="39" t="s">
        <v>59</v>
      </c>
      <c r="E903" s="39" t="s">
        <v>42</v>
      </c>
      <c r="G903" s="1" t="s">
        <v>88</v>
      </c>
      <c r="H903" s="1" t="s">
        <v>61</v>
      </c>
      <c r="I903" s="1" t="s">
        <v>4560</v>
      </c>
      <c r="J903" s="1" t="s">
        <v>82</v>
      </c>
      <c r="K903" s="1" t="s">
        <v>4561</v>
      </c>
      <c r="P903" s="1" t="s">
        <v>4562</v>
      </c>
      <c r="Q903" s="1" t="s">
        <v>264</v>
      </c>
      <c r="R903" s="1" t="s">
        <v>265</v>
      </c>
      <c r="S903" s="1" t="s">
        <v>350</v>
      </c>
      <c r="T903" s="1" t="s">
        <v>351</v>
      </c>
      <c r="U903" s="1">
        <v>1</v>
      </c>
      <c r="V903" s="1" t="s">
        <v>80</v>
      </c>
      <c r="W903" s="1" t="s">
        <v>4563</v>
      </c>
      <c r="X903" s="1" t="s">
        <v>309</v>
      </c>
      <c r="Y903" s="10">
        <v>44993</v>
      </c>
      <c r="Z903" s="1">
        <v>2023</v>
      </c>
      <c r="AA903" s="2">
        <v>106681.17</v>
      </c>
      <c r="AB903" s="2"/>
      <c r="AC903" s="2">
        <v>39004.35</v>
      </c>
      <c r="AD903" s="1">
        <v>6</v>
      </c>
      <c r="AG903" s="1" t="s">
        <v>432</v>
      </c>
      <c r="AH903" s="1" t="s">
        <v>4501</v>
      </c>
      <c r="AI903" s="2">
        <v>0</v>
      </c>
      <c r="AW903" s="2"/>
      <c r="AX903" s="2"/>
      <c r="AY903" s="2"/>
      <c r="BB903" s="2"/>
    </row>
    <row r="904" spans="1:54" ht="13.15" customHeight="1" x14ac:dyDescent="0.2">
      <c r="A904" s="1" t="s">
        <v>57</v>
      </c>
      <c r="B904" s="9" t="s">
        <v>39</v>
      </c>
      <c r="C904" s="1" t="s">
        <v>58</v>
      </c>
      <c r="D904" s="39" t="s">
        <v>59</v>
      </c>
      <c r="E904" s="39" t="s">
        <v>42</v>
      </c>
      <c r="G904" s="1" t="s">
        <v>88</v>
      </c>
      <c r="H904" s="1" t="s">
        <v>61</v>
      </c>
      <c r="I904" s="1" t="s">
        <v>4564</v>
      </c>
      <c r="J904" s="1">
        <v>2021</v>
      </c>
      <c r="K904" s="1" t="s">
        <v>4565</v>
      </c>
      <c r="P904" s="1" t="s">
        <v>4566</v>
      </c>
      <c r="Q904" s="1" t="s">
        <v>264</v>
      </c>
      <c r="R904" s="1" t="s">
        <v>265</v>
      </c>
      <c r="S904" s="1" t="s">
        <v>275</v>
      </c>
      <c r="T904" s="1" t="s">
        <v>276</v>
      </c>
      <c r="U904" s="1">
        <v>2</v>
      </c>
      <c r="V904" s="1" t="s">
        <v>80</v>
      </c>
      <c r="W904" s="1" t="s">
        <v>4567</v>
      </c>
      <c r="X904" s="1" t="s">
        <v>145</v>
      </c>
      <c r="Y904" s="10">
        <v>44557</v>
      </c>
      <c r="Z904" s="1">
        <v>2021</v>
      </c>
      <c r="AA904" s="2">
        <v>197576.25</v>
      </c>
      <c r="AB904" s="2"/>
      <c r="AC904" s="2">
        <v>29636.44</v>
      </c>
      <c r="AD904" s="1">
        <v>2</v>
      </c>
      <c r="AE904" s="1">
        <v>2</v>
      </c>
      <c r="AG904" s="1" t="s">
        <v>432</v>
      </c>
      <c r="AH904" s="1" t="s">
        <v>4501</v>
      </c>
      <c r="AI904" s="2">
        <v>0</v>
      </c>
      <c r="AW904" s="2"/>
      <c r="AX904" s="2"/>
      <c r="AY904" s="2"/>
      <c r="BB904" s="2"/>
    </row>
    <row r="905" spans="1:54" ht="13.15" customHeight="1" x14ac:dyDescent="0.2">
      <c r="A905" s="1" t="s">
        <v>57</v>
      </c>
      <c r="B905" s="9" t="s">
        <v>39</v>
      </c>
      <c r="C905" s="1" t="s">
        <v>58</v>
      </c>
      <c r="D905" s="39" t="s">
        <v>59</v>
      </c>
      <c r="E905" s="39" t="s">
        <v>42</v>
      </c>
      <c r="G905" s="1" t="s">
        <v>88</v>
      </c>
      <c r="H905" s="1" t="s">
        <v>61</v>
      </c>
      <c r="I905" s="1" t="s">
        <v>4568</v>
      </c>
      <c r="J905" s="1">
        <v>2021</v>
      </c>
      <c r="K905" s="1" t="s">
        <v>4569</v>
      </c>
      <c r="P905" s="1" t="s">
        <v>4570</v>
      </c>
      <c r="Q905" s="1" t="s">
        <v>264</v>
      </c>
      <c r="R905" s="1" t="s">
        <v>265</v>
      </c>
      <c r="S905" s="1" t="s">
        <v>266</v>
      </c>
      <c r="T905" s="1" t="s">
        <v>267</v>
      </c>
      <c r="U905" s="1">
        <v>2</v>
      </c>
      <c r="V905" s="1" t="s">
        <v>268</v>
      </c>
      <c r="W905" s="1" t="s">
        <v>4569</v>
      </c>
      <c r="X905" s="1" t="s">
        <v>145</v>
      </c>
      <c r="Y905" s="10">
        <v>44557</v>
      </c>
      <c r="Z905" s="1">
        <v>2021</v>
      </c>
      <c r="AA905" s="2">
        <v>71712.45</v>
      </c>
      <c r="AB905" s="2"/>
      <c r="AC905" s="2">
        <v>21513.74</v>
      </c>
      <c r="AD905" s="1">
        <v>1.5</v>
      </c>
      <c r="AE905" s="1">
        <v>1.5</v>
      </c>
      <c r="AG905" s="1" t="s">
        <v>432</v>
      </c>
      <c r="AH905" s="1" t="s">
        <v>4501</v>
      </c>
      <c r="AI905" s="2">
        <v>0</v>
      </c>
      <c r="AW905" s="2"/>
      <c r="AX905" s="2"/>
      <c r="AY905" s="2"/>
      <c r="BB905" s="2"/>
    </row>
    <row r="906" spans="1:54" ht="13.15" customHeight="1" x14ac:dyDescent="0.2">
      <c r="A906" s="1" t="s">
        <v>57</v>
      </c>
      <c r="B906" s="9" t="s">
        <v>39</v>
      </c>
      <c r="C906" s="1" t="s">
        <v>58</v>
      </c>
      <c r="D906" s="39" t="s">
        <v>59</v>
      </c>
      <c r="E906" s="39" t="s">
        <v>42</v>
      </c>
      <c r="G906" s="1" t="s">
        <v>88</v>
      </c>
      <c r="H906" s="1" t="s">
        <v>61</v>
      </c>
      <c r="I906" s="1" t="s">
        <v>4571</v>
      </c>
      <c r="J906" s="1" t="s">
        <v>82</v>
      </c>
      <c r="K906" s="1" t="s">
        <v>4572</v>
      </c>
      <c r="P906" s="1" t="s">
        <v>4573</v>
      </c>
      <c r="Q906" s="1" t="s">
        <v>264</v>
      </c>
      <c r="R906" s="1" t="s">
        <v>265</v>
      </c>
      <c r="S906" s="1" t="s">
        <v>266</v>
      </c>
      <c r="T906" s="1" t="s">
        <v>267</v>
      </c>
      <c r="U906" s="1">
        <v>2</v>
      </c>
      <c r="V906" s="1" t="s">
        <v>268</v>
      </c>
      <c r="W906" s="1" t="s">
        <v>4574</v>
      </c>
      <c r="X906" s="1" t="s">
        <v>87</v>
      </c>
      <c r="Y906" s="10">
        <v>44795</v>
      </c>
      <c r="Z906" s="1">
        <v>2022</v>
      </c>
      <c r="AA906" s="2">
        <v>107000</v>
      </c>
      <c r="AB906" s="2"/>
      <c r="AC906" s="2">
        <v>16050</v>
      </c>
      <c r="AD906" s="1">
        <v>0</v>
      </c>
      <c r="AG906" s="1" t="s">
        <v>432</v>
      </c>
      <c r="AH906" s="1" t="s">
        <v>4438</v>
      </c>
      <c r="AI906" s="2">
        <v>0</v>
      </c>
      <c r="AW906" s="2"/>
      <c r="AX906" s="2"/>
      <c r="AY906" s="2"/>
      <c r="BB906" s="2"/>
    </row>
    <row r="907" spans="1:54" ht="13.15" customHeight="1" x14ac:dyDescent="0.2">
      <c r="A907" s="1" t="s">
        <v>57</v>
      </c>
      <c r="B907" s="9" t="s">
        <v>38</v>
      </c>
      <c r="C907" s="1" t="s">
        <v>58</v>
      </c>
      <c r="D907" s="39" t="s">
        <v>1409</v>
      </c>
      <c r="E907" s="39" t="s">
        <v>42</v>
      </c>
      <c r="F907" s="1" t="s">
        <v>3663</v>
      </c>
      <c r="G907" s="1" t="s">
        <v>2146</v>
      </c>
      <c r="H907" s="1" t="s">
        <v>156</v>
      </c>
      <c r="I907" s="1" t="s">
        <v>4575</v>
      </c>
      <c r="J907" s="1">
        <v>2021</v>
      </c>
      <c r="K907" s="1" t="s">
        <v>4576</v>
      </c>
      <c r="L907" s="1" t="s">
        <v>4577</v>
      </c>
      <c r="M907" s="1" t="s">
        <v>4578</v>
      </c>
      <c r="N907" s="1" t="s">
        <v>4579</v>
      </c>
      <c r="P907" s="1" t="s">
        <v>2151</v>
      </c>
      <c r="Q907" s="1" t="s">
        <v>50</v>
      </c>
      <c r="R907" s="1" t="s">
        <v>68</v>
      </c>
      <c r="S907" s="1" t="s">
        <v>4580</v>
      </c>
      <c r="T907" s="1" t="s">
        <v>4581</v>
      </c>
      <c r="U907" s="1">
        <v>1</v>
      </c>
      <c r="V907" s="1" t="s">
        <v>71</v>
      </c>
      <c r="W907" s="1" t="s">
        <v>4582</v>
      </c>
      <c r="Y907" s="10">
        <v>44530</v>
      </c>
      <c r="Z907" s="1">
        <v>2021</v>
      </c>
      <c r="AA907" s="2">
        <v>38231906.829999998</v>
      </c>
      <c r="AB907" s="2"/>
      <c r="AC907" s="2">
        <v>36759961.26275</v>
      </c>
      <c r="AF907" s="1">
        <v>74</v>
      </c>
      <c r="AG907" s="1" t="s">
        <v>56</v>
      </c>
      <c r="AI907" s="2">
        <v>36759961.26275</v>
      </c>
      <c r="AJ907" s="1">
        <v>722.24</v>
      </c>
      <c r="AK907" s="1" t="s">
        <v>2108</v>
      </c>
      <c r="AW907" s="2"/>
      <c r="AX907" s="2"/>
      <c r="AY907" s="2"/>
      <c r="BB907" s="2"/>
    </row>
    <row r="908" spans="1:54" ht="13.15" customHeight="1" x14ac:dyDescent="0.2">
      <c r="A908" s="1" t="s">
        <v>57</v>
      </c>
      <c r="B908" s="9" t="s">
        <v>39</v>
      </c>
      <c r="C908" s="1" t="s">
        <v>58</v>
      </c>
      <c r="D908" s="39" t="s">
        <v>59</v>
      </c>
      <c r="E908" s="39" t="s">
        <v>42</v>
      </c>
      <c r="G908" s="1" t="s">
        <v>88</v>
      </c>
      <c r="H908" s="1" t="s">
        <v>61</v>
      </c>
      <c r="I908" s="1" t="s">
        <v>4583</v>
      </c>
      <c r="J908" s="1" t="s">
        <v>82</v>
      </c>
      <c r="K908" s="1" t="s">
        <v>4584</v>
      </c>
      <c r="P908" s="1" t="s">
        <v>4585</v>
      </c>
      <c r="Q908" s="1" t="s">
        <v>264</v>
      </c>
      <c r="R908" s="1" t="s">
        <v>265</v>
      </c>
      <c r="S908" s="1" t="s">
        <v>4586</v>
      </c>
      <c r="T908" s="1" t="s">
        <v>4587</v>
      </c>
      <c r="U908" s="1">
        <v>2</v>
      </c>
      <c r="V908" s="39" t="s">
        <v>80</v>
      </c>
      <c r="W908" s="1" t="s">
        <v>4584</v>
      </c>
      <c r="X908" s="1" t="s">
        <v>145</v>
      </c>
      <c r="Y908" s="10">
        <v>44993</v>
      </c>
      <c r="Z908" s="1">
        <v>2023</v>
      </c>
      <c r="AA908" s="2">
        <v>122699.48</v>
      </c>
      <c r="AB908" s="2"/>
      <c r="AC908" s="2">
        <v>18404.919999999998</v>
      </c>
      <c r="AD908" s="1">
        <v>2</v>
      </c>
      <c r="AG908" s="1" t="s">
        <v>432</v>
      </c>
      <c r="AH908" s="1" t="s">
        <v>4501</v>
      </c>
      <c r="AI908" s="2">
        <v>0</v>
      </c>
      <c r="AW908" s="2"/>
      <c r="AX908" s="2"/>
      <c r="AY908" s="2"/>
      <c r="BB908" s="2"/>
    </row>
    <row r="909" spans="1:54" ht="13.15" customHeight="1" x14ac:dyDescent="0.2">
      <c r="A909" s="1" t="s">
        <v>57</v>
      </c>
      <c r="B909" s="9" t="s">
        <v>39</v>
      </c>
      <c r="C909" s="1" t="s">
        <v>58</v>
      </c>
      <c r="D909" s="39" t="s">
        <v>59</v>
      </c>
      <c r="E909" s="39" t="s">
        <v>42</v>
      </c>
      <c r="G909" s="1" t="s">
        <v>88</v>
      </c>
      <c r="H909" s="1" t="s">
        <v>61</v>
      </c>
      <c r="I909" s="1" t="s">
        <v>4588</v>
      </c>
      <c r="J909" s="1" t="s">
        <v>82</v>
      </c>
      <c r="K909" s="1" t="s">
        <v>4589</v>
      </c>
      <c r="P909" s="1" t="s">
        <v>4590</v>
      </c>
      <c r="Q909" s="1" t="s">
        <v>264</v>
      </c>
      <c r="R909" s="1" t="s">
        <v>265</v>
      </c>
      <c r="S909" s="1" t="s">
        <v>266</v>
      </c>
      <c r="T909" s="1" t="s">
        <v>267</v>
      </c>
      <c r="U909" s="1">
        <v>2</v>
      </c>
      <c r="V909" s="1" t="s">
        <v>268</v>
      </c>
      <c r="W909" s="1" t="s">
        <v>4589</v>
      </c>
      <c r="X909" s="1" t="s">
        <v>138</v>
      </c>
      <c r="Y909" s="10">
        <v>44403</v>
      </c>
      <c r="Z909" s="1">
        <v>2021</v>
      </c>
      <c r="AA909" s="2">
        <v>40368.43</v>
      </c>
      <c r="AB909" s="2"/>
      <c r="AC909" s="2">
        <v>20184.22</v>
      </c>
      <c r="AD909" s="1">
        <v>4.13</v>
      </c>
      <c r="AE909" s="1">
        <v>2</v>
      </c>
      <c r="AG909" s="1" t="s">
        <v>432</v>
      </c>
      <c r="AH909" s="1" t="s">
        <v>433</v>
      </c>
      <c r="AI909" s="2">
        <v>0</v>
      </c>
      <c r="AL909" s="15" t="s">
        <v>4591</v>
      </c>
      <c r="AW909" s="2"/>
      <c r="AX909" s="2"/>
      <c r="AY909" s="2"/>
      <c r="BB909" s="2"/>
    </row>
    <row r="910" spans="1:54" ht="13.15" customHeight="1" x14ac:dyDescent="0.2">
      <c r="A910" s="1" t="s">
        <v>57</v>
      </c>
      <c r="B910" s="9" t="s">
        <v>39</v>
      </c>
      <c r="C910" s="1" t="s">
        <v>58</v>
      </c>
      <c r="D910" s="39" t="s">
        <v>59</v>
      </c>
      <c r="E910" s="39" t="s">
        <v>42</v>
      </c>
      <c r="G910" s="1" t="s">
        <v>88</v>
      </c>
      <c r="H910" s="1" t="s">
        <v>61</v>
      </c>
      <c r="I910" s="1" t="s">
        <v>4592</v>
      </c>
      <c r="J910" s="1" t="s">
        <v>82</v>
      </c>
      <c r="K910" s="1" t="s">
        <v>4593</v>
      </c>
      <c r="P910" s="1" t="s">
        <v>2379</v>
      </c>
      <c r="Q910" s="1" t="s">
        <v>264</v>
      </c>
      <c r="R910" s="1" t="s">
        <v>265</v>
      </c>
      <c r="S910" s="1" t="s">
        <v>350</v>
      </c>
      <c r="T910" s="1" t="s">
        <v>351</v>
      </c>
      <c r="U910" s="1">
        <v>1</v>
      </c>
      <c r="V910" s="1" t="s">
        <v>80</v>
      </c>
      <c r="W910" s="1" t="s">
        <v>4593</v>
      </c>
      <c r="X910" s="1" t="s">
        <v>599</v>
      </c>
      <c r="Y910" s="10">
        <v>45132</v>
      </c>
      <c r="Z910" s="1">
        <v>2023</v>
      </c>
      <c r="AA910" s="2">
        <v>229415.87</v>
      </c>
      <c r="AB910" s="2"/>
      <c r="AC910" s="2">
        <v>82824.759999999995</v>
      </c>
      <c r="AD910" s="1">
        <v>2</v>
      </c>
      <c r="AE910" s="1">
        <v>1</v>
      </c>
      <c r="AG910" s="1" t="s">
        <v>432</v>
      </c>
      <c r="AH910" s="1" t="s">
        <v>4501</v>
      </c>
      <c r="AI910" s="2">
        <v>0</v>
      </c>
      <c r="AW910" s="2"/>
      <c r="AX910" s="2"/>
      <c r="AY910" s="2"/>
      <c r="BB910" s="2"/>
    </row>
    <row r="911" spans="1:54" ht="13.15" customHeight="1" thickBot="1" x14ac:dyDescent="0.25">
      <c r="A911" s="1" t="s">
        <v>57</v>
      </c>
      <c r="B911" s="9" t="s">
        <v>39</v>
      </c>
      <c r="C911" s="1" t="s">
        <v>58</v>
      </c>
      <c r="D911" s="39" t="s">
        <v>4315</v>
      </c>
      <c r="E911" s="39" t="s">
        <v>42</v>
      </c>
      <c r="G911" s="39" t="s">
        <v>4316</v>
      </c>
      <c r="H911" s="1" t="s">
        <v>61</v>
      </c>
      <c r="I911" s="1" t="s">
        <v>4594</v>
      </c>
      <c r="J911" s="1">
        <v>2019</v>
      </c>
      <c r="P911" s="1" t="s">
        <v>4318</v>
      </c>
      <c r="Q911" s="1" t="s">
        <v>101</v>
      </c>
      <c r="R911" s="1" t="s">
        <v>102</v>
      </c>
      <c r="S911" s="1" t="s">
        <v>103</v>
      </c>
      <c r="T911" s="1" t="s">
        <v>104</v>
      </c>
      <c r="U911" s="1">
        <v>1</v>
      </c>
      <c r="V911" s="39" t="s">
        <v>101</v>
      </c>
      <c r="Y911" s="10">
        <v>43678</v>
      </c>
      <c r="Z911" s="1">
        <v>2019</v>
      </c>
      <c r="AA911" s="2"/>
      <c r="AB911" s="2"/>
      <c r="AC911" s="2">
        <v>663596.74000000011</v>
      </c>
      <c r="AD911" s="46"/>
      <c r="AG911" s="1" t="s">
        <v>56</v>
      </c>
      <c r="AI911" s="2">
        <v>663596.74000000011</v>
      </c>
      <c r="AL911" s="1" t="s">
        <v>4319</v>
      </c>
      <c r="AW911" s="2"/>
      <c r="AX911" s="2"/>
      <c r="AY911" s="2"/>
      <c r="BB911" s="2"/>
    </row>
    <row r="912" spans="1:54" ht="13.15" customHeight="1" thickBot="1" x14ac:dyDescent="0.25">
      <c r="A912" s="1" t="s">
        <v>57</v>
      </c>
      <c r="B912" s="9" t="s">
        <v>39</v>
      </c>
      <c r="C912" s="1" t="s">
        <v>58</v>
      </c>
      <c r="D912" s="39" t="s">
        <v>59</v>
      </c>
      <c r="E912" s="39" t="s">
        <v>42</v>
      </c>
      <c r="G912" s="39" t="s">
        <v>88</v>
      </c>
      <c r="H912" s="1" t="s">
        <v>61</v>
      </c>
      <c r="I912" s="1" t="s">
        <v>4595</v>
      </c>
      <c r="J912" s="1" t="s">
        <v>82</v>
      </c>
      <c r="K912" s="1" t="s">
        <v>4596</v>
      </c>
      <c r="P912" s="1" t="s">
        <v>4597</v>
      </c>
      <c r="Q912" s="1" t="s">
        <v>264</v>
      </c>
      <c r="R912" s="1" t="s">
        <v>265</v>
      </c>
      <c r="S912" s="1" t="s">
        <v>533</v>
      </c>
      <c r="T912" s="1" t="s">
        <v>534</v>
      </c>
      <c r="U912" s="1">
        <v>1</v>
      </c>
      <c r="V912" s="1" t="s">
        <v>535</v>
      </c>
      <c r="W912" s="1" t="s">
        <v>4596</v>
      </c>
      <c r="X912" s="1" t="s">
        <v>309</v>
      </c>
      <c r="Y912" s="10">
        <v>44183</v>
      </c>
      <c r="Z912" s="1">
        <v>2020</v>
      </c>
      <c r="AA912" s="2">
        <v>34500</v>
      </c>
      <c r="AB912" s="2"/>
      <c r="AC912" s="2">
        <v>10350</v>
      </c>
      <c r="AD912" s="46">
        <v>1</v>
      </c>
      <c r="AG912" s="1" t="s">
        <v>432</v>
      </c>
      <c r="AH912" s="1" t="s">
        <v>4598</v>
      </c>
      <c r="AI912" s="2">
        <v>0</v>
      </c>
      <c r="AW912" s="2"/>
      <c r="AX912" s="2"/>
      <c r="AY912" s="2"/>
      <c r="BB912" s="2"/>
    </row>
    <row r="913" spans="1:54" ht="13.15" customHeight="1" thickBot="1" x14ac:dyDescent="0.25">
      <c r="A913" s="1" t="s">
        <v>57</v>
      </c>
      <c r="B913" s="9" t="s">
        <v>39</v>
      </c>
      <c r="C913" s="1" t="s">
        <v>58</v>
      </c>
      <c r="D913" s="39" t="s">
        <v>59</v>
      </c>
      <c r="E913" s="39" t="s">
        <v>42</v>
      </c>
      <c r="G913" s="39" t="s">
        <v>88</v>
      </c>
      <c r="H913" s="1" t="s">
        <v>61</v>
      </c>
      <c r="I913" s="1" t="s">
        <v>4599</v>
      </c>
      <c r="J913" s="1" t="s">
        <v>82</v>
      </c>
      <c r="K913" s="1" t="s">
        <v>4600</v>
      </c>
      <c r="P913" s="1" t="s">
        <v>4601</v>
      </c>
      <c r="Q913" s="1" t="s">
        <v>264</v>
      </c>
      <c r="R913" s="1" t="s">
        <v>265</v>
      </c>
      <c r="S913" s="1" t="s">
        <v>350</v>
      </c>
      <c r="T913" s="1" t="s">
        <v>351</v>
      </c>
      <c r="U913" s="1">
        <v>1</v>
      </c>
      <c r="V913" s="39" t="s">
        <v>80</v>
      </c>
      <c r="W913" s="1" t="s">
        <v>4600</v>
      </c>
      <c r="X913" s="1" t="s">
        <v>87</v>
      </c>
      <c r="Y913" s="10">
        <v>44993</v>
      </c>
      <c r="Z913" s="1">
        <v>2023</v>
      </c>
      <c r="AA913" s="2">
        <v>36677.11</v>
      </c>
      <c r="AB913" s="2"/>
      <c r="AC913" s="2">
        <v>11003.13</v>
      </c>
      <c r="AD913" s="46">
        <v>0</v>
      </c>
      <c r="AG913" s="1" t="s">
        <v>432</v>
      </c>
      <c r="AH913" s="1" t="s">
        <v>4501</v>
      </c>
      <c r="AI913" s="2">
        <v>0</v>
      </c>
      <c r="AW913" s="2"/>
      <c r="AX913" s="2"/>
      <c r="AY913" s="2"/>
      <c r="BB913" s="2"/>
    </row>
    <row r="914" spans="1:54" ht="13.15" customHeight="1" thickBot="1" x14ac:dyDescent="0.25">
      <c r="A914" s="1" t="s">
        <v>57</v>
      </c>
      <c r="B914" s="9" t="s">
        <v>39</v>
      </c>
      <c r="C914" s="1" t="s">
        <v>58</v>
      </c>
      <c r="D914" s="39" t="s">
        <v>59</v>
      </c>
      <c r="E914" s="39" t="s">
        <v>42</v>
      </c>
      <c r="G914" s="39" t="s">
        <v>88</v>
      </c>
      <c r="H914" s="1" t="s">
        <v>61</v>
      </c>
      <c r="I914" s="1" t="s">
        <v>4602</v>
      </c>
      <c r="J914" s="1" t="s">
        <v>82</v>
      </c>
      <c r="K914" s="1" t="s">
        <v>4603</v>
      </c>
      <c r="P914" s="1" t="s">
        <v>4604</v>
      </c>
      <c r="Q914" s="1" t="s">
        <v>264</v>
      </c>
      <c r="R914" s="1" t="s">
        <v>265</v>
      </c>
      <c r="S914" s="1" t="s">
        <v>717</v>
      </c>
      <c r="T914" s="1" t="s">
        <v>718</v>
      </c>
      <c r="U914" s="1">
        <v>1</v>
      </c>
      <c r="V914" s="1" t="s">
        <v>535</v>
      </c>
      <c r="W914" s="1" t="s">
        <v>4603</v>
      </c>
      <c r="X914" s="1" t="s">
        <v>87</v>
      </c>
      <c r="Y914" s="10">
        <v>44435</v>
      </c>
      <c r="Z914" s="1">
        <v>2021</v>
      </c>
      <c r="AA914" s="2">
        <v>39614.36</v>
      </c>
      <c r="AB914" s="2"/>
      <c r="AC914" s="2">
        <v>19807.18</v>
      </c>
      <c r="AD914" s="46">
        <v>4</v>
      </c>
      <c r="AE914" s="1">
        <v>1</v>
      </c>
      <c r="AG914" s="1" t="s">
        <v>432</v>
      </c>
      <c r="AH914" s="1" t="s">
        <v>492</v>
      </c>
      <c r="AI914" s="2">
        <v>0</v>
      </c>
      <c r="AW914" s="2"/>
      <c r="AX914" s="2"/>
      <c r="AY914" s="2"/>
      <c r="BB914" s="2"/>
    </row>
    <row r="915" spans="1:54" ht="13.15" customHeight="1" thickBot="1" x14ac:dyDescent="0.25">
      <c r="A915" s="1" t="s">
        <v>57</v>
      </c>
      <c r="B915" s="9" t="s">
        <v>39</v>
      </c>
      <c r="C915" s="1" t="s">
        <v>58</v>
      </c>
      <c r="D915" s="39" t="s">
        <v>4315</v>
      </c>
      <c r="E915" s="39" t="s">
        <v>42</v>
      </c>
      <c r="G915" s="39" t="s">
        <v>4316</v>
      </c>
      <c r="H915" s="1" t="s">
        <v>61</v>
      </c>
      <c r="I915" s="1" t="s">
        <v>4605</v>
      </c>
      <c r="J915" s="1">
        <v>2019</v>
      </c>
      <c r="P915" s="1" t="s">
        <v>4471</v>
      </c>
      <c r="Q915" s="1" t="s">
        <v>50</v>
      </c>
      <c r="R915" s="1" t="s">
        <v>68</v>
      </c>
      <c r="S915" s="1" t="s">
        <v>425</v>
      </c>
      <c r="T915" s="1" t="s">
        <v>426</v>
      </c>
      <c r="U915" s="1">
        <v>1</v>
      </c>
      <c r="V915" s="39" t="s">
        <v>195</v>
      </c>
      <c r="Y915" s="10">
        <v>43466</v>
      </c>
      <c r="Z915" s="1">
        <v>2019</v>
      </c>
      <c r="AA915" s="2"/>
      <c r="AB915" s="2"/>
      <c r="AC915" s="2">
        <v>496982.76</v>
      </c>
      <c r="AD915" s="46"/>
      <c r="AG915" s="1" t="s">
        <v>56</v>
      </c>
      <c r="AI915" s="2">
        <v>496982.76</v>
      </c>
      <c r="AL915" s="1" t="s">
        <v>4319</v>
      </c>
      <c r="AW915" s="2"/>
      <c r="AX915" s="2"/>
      <c r="AY915" s="2"/>
      <c r="BB915" s="2"/>
    </row>
    <row r="916" spans="1:54" ht="13.15" customHeight="1" thickBot="1" x14ac:dyDescent="0.25">
      <c r="A916" s="1" t="s">
        <v>57</v>
      </c>
      <c r="B916" s="9" t="s">
        <v>39</v>
      </c>
      <c r="C916" s="1" t="s">
        <v>58</v>
      </c>
      <c r="D916" s="39" t="s">
        <v>59</v>
      </c>
      <c r="E916" s="39" t="s">
        <v>42</v>
      </c>
      <c r="G916" s="39" t="s">
        <v>88</v>
      </c>
      <c r="H916" s="1" t="s">
        <v>61</v>
      </c>
      <c r="I916" s="1" t="s">
        <v>4606</v>
      </c>
      <c r="J916" s="1" t="s">
        <v>82</v>
      </c>
      <c r="K916" s="1" t="s">
        <v>4607</v>
      </c>
      <c r="P916" s="1" t="s">
        <v>4608</v>
      </c>
      <c r="Q916" s="1" t="s">
        <v>50</v>
      </c>
      <c r="R916" s="1" t="s">
        <v>68</v>
      </c>
      <c r="S916" s="1" t="s">
        <v>136</v>
      </c>
      <c r="T916" s="1" t="s">
        <v>137</v>
      </c>
      <c r="U916" s="1">
        <v>2</v>
      </c>
      <c r="V916" s="39" t="s">
        <v>80</v>
      </c>
      <c r="W916" s="1" t="s">
        <v>4607</v>
      </c>
      <c r="X916" s="1" t="s">
        <v>153</v>
      </c>
      <c r="Y916" s="10">
        <v>44484</v>
      </c>
      <c r="Z916" s="1">
        <v>2021</v>
      </c>
      <c r="AA916" s="2">
        <v>367045.05</v>
      </c>
      <c r="AB916" s="2"/>
      <c r="AC916" s="2">
        <v>62056.76</v>
      </c>
      <c r="AD916" s="46">
        <v>2</v>
      </c>
      <c r="AE916" s="1">
        <v>1</v>
      </c>
      <c r="AG916" s="1" t="s">
        <v>432</v>
      </c>
      <c r="AH916" s="1" t="s">
        <v>492</v>
      </c>
      <c r="AI916" s="2">
        <v>0</v>
      </c>
      <c r="AK916" s="1" t="s">
        <v>418</v>
      </c>
      <c r="AW916" s="2"/>
      <c r="AX916" s="2"/>
      <c r="AY916" s="2"/>
      <c r="BB916" s="2"/>
    </row>
    <row r="917" spans="1:54" ht="13.15" customHeight="1" thickBot="1" x14ac:dyDescent="0.25">
      <c r="A917" s="1" t="s">
        <v>57</v>
      </c>
      <c r="B917" s="9" t="s">
        <v>39</v>
      </c>
      <c r="C917" s="1" t="s">
        <v>58</v>
      </c>
      <c r="D917" s="39" t="s">
        <v>59</v>
      </c>
      <c r="E917" s="39" t="s">
        <v>42</v>
      </c>
      <c r="G917" s="39" t="s">
        <v>88</v>
      </c>
      <c r="H917" s="1" t="s">
        <v>61</v>
      </c>
      <c r="I917" s="1" t="s">
        <v>4609</v>
      </c>
      <c r="J917" s="1" t="s">
        <v>82</v>
      </c>
      <c r="K917" s="1" t="s">
        <v>4610</v>
      </c>
      <c r="P917" s="1" t="s">
        <v>4611</v>
      </c>
      <c r="Q917" s="1" t="s">
        <v>50</v>
      </c>
      <c r="R917" s="1" t="s">
        <v>77</v>
      </c>
      <c r="S917" s="1" t="s">
        <v>78</v>
      </c>
      <c r="T917" s="1" t="s">
        <v>79</v>
      </c>
      <c r="U917" s="1">
        <v>2</v>
      </c>
      <c r="V917" s="1" t="s">
        <v>80</v>
      </c>
      <c r="W917" s="1" t="s">
        <v>4610</v>
      </c>
      <c r="X917" s="1" t="s">
        <v>145</v>
      </c>
      <c r="Y917" s="10">
        <v>45069</v>
      </c>
      <c r="Z917" s="1">
        <v>2023</v>
      </c>
      <c r="AA917" s="2">
        <v>161970.72</v>
      </c>
      <c r="AB917" s="2"/>
      <c r="AC917" s="2">
        <v>31295.61</v>
      </c>
      <c r="AD917" s="46">
        <v>2</v>
      </c>
      <c r="AE917" s="1">
        <v>1</v>
      </c>
      <c r="AG917" s="1" t="s">
        <v>432</v>
      </c>
      <c r="AH917" s="1" t="s">
        <v>4371</v>
      </c>
      <c r="AI917" s="2">
        <v>0</v>
      </c>
      <c r="AW917" s="2"/>
      <c r="AX917" s="2"/>
      <c r="AY917" s="2"/>
      <c r="BB917" s="2"/>
    </row>
    <row r="918" spans="1:54" ht="13.15" customHeight="1" thickBot="1" x14ac:dyDescent="0.25">
      <c r="A918" s="1" t="s">
        <v>57</v>
      </c>
      <c r="B918" s="9" t="s">
        <v>39</v>
      </c>
      <c r="C918" s="1" t="s">
        <v>58</v>
      </c>
      <c r="D918" s="39" t="s">
        <v>59</v>
      </c>
      <c r="E918" s="39" t="s">
        <v>42</v>
      </c>
      <c r="G918" s="39" t="s">
        <v>88</v>
      </c>
      <c r="H918" s="1" t="s">
        <v>61</v>
      </c>
      <c r="I918" s="1" t="s">
        <v>4612</v>
      </c>
      <c r="J918" s="1" t="s">
        <v>82</v>
      </c>
      <c r="K918" s="1" t="s">
        <v>4613</v>
      </c>
      <c r="P918" s="1" t="s">
        <v>4614</v>
      </c>
      <c r="Q918" s="1" t="s">
        <v>50</v>
      </c>
      <c r="R918" s="1" t="s">
        <v>68</v>
      </c>
      <c r="S918" s="1" t="s">
        <v>193</v>
      </c>
      <c r="T918" s="1" t="s">
        <v>194</v>
      </c>
      <c r="U918" s="1">
        <v>1</v>
      </c>
      <c r="V918" s="1" t="s">
        <v>195</v>
      </c>
      <c r="W918" s="1" t="s">
        <v>4613</v>
      </c>
      <c r="X918" s="1" t="s">
        <v>87</v>
      </c>
      <c r="Y918" s="10">
        <v>44392</v>
      </c>
      <c r="Z918" s="1">
        <v>2021</v>
      </c>
      <c r="AA918" s="2">
        <v>498195</v>
      </c>
      <c r="AB918" s="2"/>
      <c r="AC918" s="2">
        <v>50000</v>
      </c>
      <c r="AD918" s="46">
        <v>1</v>
      </c>
      <c r="AG918" s="1" t="s">
        <v>432</v>
      </c>
      <c r="AH918" s="1" t="s">
        <v>492</v>
      </c>
      <c r="AI918" s="2">
        <v>0</v>
      </c>
      <c r="AW918" s="2"/>
      <c r="AX918" s="2"/>
      <c r="AY918" s="2"/>
      <c r="BB918" s="2"/>
    </row>
    <row r="919" spans="1:54" ht="13.15" customHeight="1" thickBot="1" x14ac:dyDescent="0.25">
      <c r="A919" s="1" t="s">
        <v>57</v>
      </c>
      <c r="B919" s="9" t="s">
        <v>39</v>
      </c>
      <c r="C919" s="1" t="s">
        <v>58</v>
      </c>
      <c r="D919" s="39" t="s">
        <v>59</v>
      </c>
      <c r="E919" s="39" t="s">
        <v>42</v>
      </c>
      <c r="G919" s="39" t="s">
        <v>88</v>
      </c>
      <c r="H919" s="1" t="s">
        <v>61</v>
      </c>
      <c r="I919" s="1" t="s">
        <v>4615</v>
      </c>
      <c r="J919" s="1" t="s">
        <v>82</v>
      </c>
      <c r="K919" s="1" t="s">
        <v>4616</v>
      </c>
      <c r="P919" s="1" t="s">
        <v>4617</v>
      </c>
      <c r="Q919" s="1" t="s">
        <v>264</v>
      </c>
      <c r="R919" s="1" t="s">
        <v>265</v>
      </c>
      <c r="S919" s="1" t="s">
        <v>266</v>
      </c>
      <c r="T919" s="1" t="s">
        <v>267</v>
      </c>
      <c r="U919" s="1">
        <v>2</v>
      </c>
      <c r="V919" s="1" t="s">
        <v>268</v>
      </c>
      <c r="W919" s="1" t="s">
        <v>4616</v>
      </c>
      <c r="X919" s="1" t="s">
        <v>321</v>
      </c>
      <c r="Y919" s="10">
        <v>44802</v>
      </c>
      <c r="Z919" s="1">
        <v>2022</v>
      </c>
      <c r="AA919" s="2">
        <v>30000</v>
      </c>
      <c r="AB919" s="2"/>
      <c r="AC919" s="2">
        <v>4500</v>
      </c>
      <c r="AD919" s="46">
        <v>1</v>
      </c>
      <c r="AG919" s="1" t="s">
        <v>432</v>
      </c>
      <c r="AH919" s="1" t="s">
        <v>4501</v>
      </c>
      <c r="AI919" s="2">
        <v>0</v>
      </c>
      <c r="AW919" s="2"/>
      <c r="AX919" s="2"/>
      <c r="AY919" s="2"/>
      <c r="BB919" s="2"/>
    </row>
    <row r="920" spans="1:54" ht="13.15" customHeight="1" thickBot="1" x14ac:dyDescent="0.25">
      <c r="A920" s="1" t="s">
        <v>57</v>
      </c>
      <c r="B920" s="9" t="s">
        <v>39</v>
      </c>
      <c r="C920" s="1" t="s">
        <v>58</v>
      </c>
      <c r="D920" s="39" t="s">
        <v>59</v>
      </c>
      <c r="E920" s="39" t="s">
        <v>42</v>
      </c>
      <c r="G920" s="39" t="s">
        <v>88</v>
      </c>
      <c r="H920" s="1" t="s">
        <v>61</v>
      </c>
      <c r="I920" s="1" t="s">
        <v>4618</v>
      </c>
      <c r="J920" s="1" t="s">
        <v>82</v>
      </c>
      <c r="K920" s="1" t="s">
        <v>4619</v>
      </c>
      <c r="P920" s="1" t="s">
        <v>4620</v>
      </c>
      <c r="Q920" s="1" t="s">
        <v>264</v>
      </c>
      <c r="R920" s="1" t="s">
        <v>265</v>
      </c>
      <c r="S920" s="1" t="s">
        <v>282</v>
      </c>
      <c r="T920" s="1" t="s">
        <v>283</v>
      </c>
      <c r="U920" s="1">
        <v>2</v>
      </c>
      <c r="V920" s="1" t="s">
        <v>80</v>
      </c>
      <c r="W920" s="1" t="s">
        <v>4619</v>
      </c>
      <c r="X920" s="1" t="s">
        <v>145</v>
      </c>
      <c r="Y920" s="10">
        <v>44113</v>
      </c>
      <c r="Z920" s="1">
        <v>2020</v>
      </c>
      <c r="AA920" s="2">
        <v>346151.77</v>
      </c>
      <c r="AB920" s="2"/>
      <c r="AC920" s="2">
        <v>58922.77</v>
      </c>
      <c r="AD920" s="46">
        <v>2</v>
      </c>
      <c r="AE920" s="1">
        <v>1</v>
      </c>
      <c r="AG920" s="1" t="s">
        <v>432</v>
      </c>
      <c r="AH920" s="1" t="s">
        <v>492</v>
      </c>
      <c r="AI920" s="2">
        <v>0</v>
      </c>
      <c r="AW920" s="2"/>
      <c r="AX920" s="2"/>
      <c r="AY920" s="2"/>
      <c r="BB920" s="2"/>
    </row>
    <row r="921" spans="1:54" ht="13.15" customHeight="1" thickBot="1" x14ac:dyDescent="0.25">
      <c r="A921" s="1" t="s">
        <v>57</v>
      </c>
      <c r="B921" s="9" t="s">
        <v>39</v>
      </c>
      <c r="C921" s="1" t="s">
        <v>58</v>
      </c>
      <c r="D921" s="39" t="s">
        <v>59</v>
      </c>
      <c r="E921" s="39" t="s">
        <v>42</v>
      </c>
      <c r="G921" s="39" t="s">
        <v>88</v>
      </c>
      <c r="H921" s="1" t="s">
        <v>61</v>
      </c>
      <c r="I921" s="1" t="s">
        <v>4621</v>
      </c>
      <c r="J921" s="1" t="s">
        <v>82</v>
      </c>
      <c r="K921" s="1" t="s">
        <v>4622</v>
      </c>
      <c r="P921" s="1" t="s">
        <v>2429</v>
      </c>
      <c r="Q921" s="1" t="s">
        <v>264</v>
      </c>
      <c r="R921" s="1" t="s">
        <v>265</v>
      </c>
      <c r="S921" s="1" t="s">
        <v>935</v>
      </c>
      <c r="T921" s="1" t="s">
        <v>936</v>
      </c>
      <c r="U921" s="1">
        <v>1</v>
      </c>
      <c r="V921" s="1" t="s">
        <v>308</v>
      </c>
      <c r="W921" s="1" t="s">
        <v>4623</v>
      </c>
      <c r="X921" s="1" t="s">
        <v>87</v>
      </c>
      <c r="Y921" s="10">
        <v>44183</v>
      </c>
      <c r="Z921" s="1">
        <v>2020</v>
      </c>
      <c r="AA921" s="2">
        <v>171784.95</v>
      </c>
      <c r="AB921" s="2"/>
      <c r="AC921" s="2">
        <v>34356.99</v>
      </c>
      <c r="AD921" s="46">
        <v>1</v>
      </c>
      <c r="AG921" s="1" t="s">
        <v>432</v>
      </c>
      <c r="AH921" s="1" t="s">
        <v>492</v>
      </c>
      <c r="AI921" s="2">
        <v>0</v>
      </c>
      <c r="AW921" s="2"/>
      <c r="AX921" s="2"/>
      <c r="AY921" s="2"/>
      <c r="BB921" s="2"/>
    </row>
    <row r="922" spans="1:54" ht="13.15" customHeight="1" thickBot="1" x14ac:dyDescent="0.25">
      <c r="A922" s="1" t="s">
        <v>57</v>
      </c>
      <c r="B922" s="9" t="s">
        <v>39</v>
      </c>
      <c r="C922" s="1" t="s">
        <v>58</v>
      </c>
      <c r="D922" s="39" t="s">
        <v>59</v>
      </c>
      <c r="E922" s="39" t="s">
        <v>42</v>
      </c>
      <c r="G922" s="39" t="s">
        <v>88</v>
      </c>
      <c r="H922" s="1" t="s">
        <v>61</v>
      </c>
      <c r="I922" s="1" t="s">
        <v>4624</v>
      </c>
      <c r="J922" s="1">
        <v>2021</v>
      </c>
      <c r="K922" s="1" t="s">
        <v>4625</v>
      </c>
      <c r="P922" s="1" t="s">
        <v>4626</v>
      </c>
      <c r="Q922" s="1" t="s">
        <v>264</v>
      </c>
      <c r="R922" s="1" t="s">
        <v>265</v>
      </c>
      <c r="S922" s="1" t="s">
        <v>784</v>
      </c>
      <c r="T922" s="1" t="s">
        <v>785</v>
      </c>
      <c r="U922" s="1">
        <v>2</v>
      </c>
      <c r="V922" s="1" t="s">
        <v>80</v>
      </c>
      <c r="W922" s="1" t="s">
        <v>4625</v>
      </c>
      <c r="X922" s="1" t="s">
        <v>609</v>
      </c>
      <c r="Y922" s="10">
        <v>44557</v>
      </c>
      <c r="Z922" s="1">
        <v>2021</v>
      </c>
      <c r="AA922" s="2">
        <v>206299</v>
      </c>
      <c r="AB922" s="2"/>
      <c r="AC922" s="2">
        <v>25000</v>
      </c>
      <c r="AD922" s="46">
        <v>1</v>
      </c>
      <c r="AG922" s="1" t="s">
        <v>432</v>
      </c>
      <c r="AH922" s="1" t="s">
        <v>433</v>
      </c>
      <c r="AI922" s="2">
        <v>0</v>
      </c>
      <c r="AW922" s="2"/>
      <c r="AX922" s="2"/>
      <c r="AY922" s="2"/>
      <c r="BB922" s="2"/>
    </row>
    <row r="923" spans="1:54" ht="13.15" customHeight="1" thickBot="1" x14ac:dyDescent="0.25">
      <c r="A923" s="1" t="s">
        <v>57</v>
      </c>
      <c r="B923" s="9" t="s">
        <v>39</v>
      </c>
      <c r="C923" s="1" t="s">
        <v>58</v>
      </c>
      <c r="D923" s="39" t="s">
        <v>59</v>
      </c>
      <c r="E923" s="39" t="s">
        <v>42</v>
      </c>
      <c r="G923" s="39" t="s">
        <v>88</v>
      </c>
      <c r="H923" s="1" t="s">
        <v>61</v>
      </c>
      <c r="I923" s="1" t="s">
        <v>4627</v>
      </c>
      <c r="J923" s="1">
        <v>2021</v>
      </c>
      <c r="K923" s="1" t="s">
        <v>4628</v>
      </c>
      <c r="P923" s="1" t="s">
        <v>4629</v>
      </c>
      <c r="Q923" s="1" t="s">
        <v>264</v>
      </c>
      <c r="R923" s="1" t="s">
        <v>265</v>
      </c>
      <c r="S923" s="1" t="s">
        <v>784</v>
      </c>
      <c r="T923" s="1" t="s">
        <v>785</v>
      </c>
      <c r="U923" s="1">
        <v>2</v>
      </c>
      <c r="V923" s="1" t="s">
        <v>80</v>
      </c>
      <c r="W923" s="1" t="s">
        <v>4628</v>
      </c>
      <c r="X923" s="1" t="s">
        <v>145</v>
      </c>
      <c r="Y923" s="10">
        <v>44557</v>
      </c>
      <c r="Z923" s="1">
        <v>2021</v>
      </c>
      <c r="AA923" s="2">
        <v>39017.35</v>
      </c>
      <c r="AB923" s="2"/>
      <c r="AC923" s="2">
        <v>5852.6</v>
      </c>
      <c r="AD923" s="46">
        <v>0</v>
      </c>
      <c r="AG923" s="1" t="s">
        <v>432</v>
      </c>
      <c r="AH923" s="1" t="s">
        <v>4501</v>
      </c>
      <c r="AI923" s="2">
        <v>0</v>
      </c>
      <c r="AW923" s="2"/>
      <c r="AX923" s="2"/>
      <c r="AY923" s="2"/>
      <c r="BB923" s="2"/>
    </row>
    <row r="924" spans="1:54" ht="13.15" customHeight="1" thickBot="1" x14ac:dyDescent="0.25">
      <c r="A924" s="1" t="s">
        <v>57</v>
      </c>
      <c r="B924" s="9" t="s">
        <v>39</v>
      </c>
      <c r="C924" s="1" t="s">
        <v>58</v>
      </c>
      <c r="D924" s="39" t="s">
        <v>4315</v>
      </c>
      <c r="E924" s="39" t="s">
        <v>42</v>
      </c>
      <c r="G924" s="39" t="s">
        <v>4316</v>
      </c>
      <c r="H924" s="1" t="s">
        <v>61</v>
      </c>
      <c r="I924" s="1" t="s">
        <v>4630</v>
      </c>
      <c r="J924" s="1">
        <v>2019</v>
      </c>
      <c r="P924" s="1" t="s">
        <v>4471</v>
      </c>
      <c r="Q924" s="1" t="s">
        <v>50</v>
      </c>
      <c r="R924" s="1" t="s">
        <v>68</v>
      </c>
      <c r="S924" s="1" t="s">
        <v>425</v>
      </c>
      <c r="T924" s="1" t="s">
        <v>426</v>
      </c>
      <c r="U924" s="1">
        <v>1</v>
      </c>
      <c r="V924" s="1" t="s">
        <v>195</v>
      </c>
      <c r="Y924" s="10">
        <v>43466</v>
      </c>
      <c r="Z924" s="1">
        <v>2019</v>
      </c>
      <c r="AA924" s="2"/>
      <c r="AB924" s="2"/>
      <c r="AC924" s="2">
        <v>504981.52</v>
      </c>
      <c r="AD924" s="46"/>
      <c r="AG924" s="1" t="s">
        <v>56</v>
      </c>
      <c r="AI924" s="2">
        <v>504981.52</v>
      </c>
      <c r="AL924" s="1" t="s">
        <v>4319</v>
      </c>
      <c r="AW924" s="2"/>
      <c r="AX924" s="2"/>
      <c r="AY924" s="2"/>
      <c r="BB924" s="2"/>
    </row>
    <row r="925" spans="1:54" ht="13.15" customHeight="1" thickBot="1" x14ac:dyDescent="0.25">
      <c r="A925" s="1" t="s">
        <v>57</v>
      </c>
      <c r="B925" s="9" t="s">
        <v>39</v>
      </c>
      <c r="C925" s="1" t="s">
        <v>58</v>
      </c>
      <c r="D925" s="39" t="s">
        <v>59</v>
      </c>
      <c r="E925" s="39" t="s">
        <v>42</v>
      </c>
      <c r="G925" s="39" t="s">
        <v>88</v>
      </c>
      <c r="H925" s="1" t="s">
        <v>61</v>
      </c>
      <c r="I925" s="1" t="s">
        <v>4631</v>
      </c>
      <c r="J925" s="1">
        <v>2021</v>
      </c>
      <c r="K925" s="1" t="s">
        <v>4632</v>
      </c>
      <c r="P925" s="1" t="s">
        <v>4633</v>
      </c>
      <c r="Q925" s="1" t="s">
        <v>264</v>
      </c>
      <c r="R925" s="1" t="s">
        <v>265</v>
      </c>
      <c r="S925" s="1" t="s">
        <v>717</v>
      </c>
      <c r="T925" s="1" t="s">
        <v>718</v>
      </c>
      <c r="U925" s="1">
        <v>1</v>
      </c>
      <c r="V925" s="1" t="s">
        <v>535</v>
      </c>
      <c r="W925" s="1" t="s">
        <v>4632</v>
      </c>
      <c r="X925" s="1" t="s">
        <v>917</v>
      </c>
      <c r="Y925" s="10">
        <v>44630</v>
      </c>
      <c r="Z925" s="1">
        <v>2022</v>
      </c>
      <c r="AA925" s="2">
        <v>159276.38</v>
      </c>
      <c r="AB925" s="2"/>
      <c r="AC925" s="2">
        <v>47782.91</v>
      </c>
      <c r="AD925" s="46">
        <v>3</v>
      </c>
      <c r="AE925" s="1">
        <v>2</v>
      </c>
      <c r="AG925" s="1" t="s">
        <v>432</v>
      </c>
      <c r="AH925" s="1" t="s">
        <v>492</v>
      </c>
      <c r="AI925" s="2">
        <v>0</v>
      </c>
      <c r="AL925" s="15" t="s">
        <v>4634</v>
      </c>
      <c r="AW925" s="2"/>
      <c r="AX925" s="2"/>
      <c r="AY925" s="2"/>
      <c r="BB925" s="2"/>
    </row>
    <row r="926" spans="1:54" ht="13.15" customHeight="1" thickBot="1" x14ac:dyDescent="0.25">
      <c r="A926" s="1" t="s">
        <v>57</v>
      </c>
      <c r="B926" s="9" t="s">
        <v>39</v>
      </c>
      <c r="C926" s="1" t="s">
        <v>58</v>
      </c>
      <c r="D926" s="39" t="s">
        <v>59</v>
      </c>
      <c r="E926" s="39" t="s">
        <v>42</v>
      </c>
      <c r="G926" s="39" t="s">
        <v>88</v>
      </c>
      <c r="H926" s="1" t="s">
        <v>61</v>
      </c>
      <c r="I926" s="1" t="s">
        <v>4635</v>
      </c>
      <c r="J926" s="1" t="s">
        <v>82</v>
      </c>
      <c r="K926" s="1" t="s">
        <v>4636</v>
      </c>
      <c r="P926" s="1" t="s">
        <v>4637</v>
      </c>
      <c r="Q926" s="1" t="s">
        <v>264</v>
      </c>
      <c r="R926" s="1" t="s">
        <v>265</v>
      </c>
      <c r="S926" s="1" t="s">
        <v>4638</v>
      </c>
      <c r="T926" s="1" t="s">
        <v>4639</v>
      </c>
      <c r="U926" s="1">
        <v>2</v>
      </c>
      <c r="V926" s="1" t="s">
        <v>80</v>
      </c>
      <c r="W926" s="1" t="s">
        <v>4636</v>
      </c>
      <c r="X926" s="1" t="s">
        <v>309</v>
      </c>
      <c r="Y926" s="10">
        <v>43825</v>
      </c>
      <c r="Z926" s="1">
        <v>2019</v>
      </c>
      <c r="AA926" s="2">
        <v>318243.78999999998</v>
      </c>
      <c r="AB926" s="2"/>
      <c r="AC926" s="2">
        <v>30000</v>
      </c>
      <c r="AD926" s="46">
        <v>1</v>
      </c>
      <c r="AG926" s="1" t="s">
        <v>432</v>
      </c>
      <c r="AH926" s="1" t="s">
        <v>4438</v>
      </c>
      <c r="AI926" s="2">
        <v>0</v>
      </c>
      <c r="AL926" s="1" t="s">
        <v>4640</v>
      </c>
      <c r="AW926" s="2"/>
      <c r="AX926" s="2"/>
      <c r="AY926" s="2"/>
      <c r="BB926" s="2"/>
    </row>
    <row r="927" spans="1:54" ht="13.15" customHeight="1" thickBot="1" x14ac:dyDescent="0.25">
      <c r="A927" s="1" t="s">
        <v>57</v>
      </c>
      <c r="B927" s="9" t="s">
        <v>39</v>
      </c>
      <c r="C927" s="1" t="s">
        <v>58</v>
      </c>
      <c r="D927" s="39" t="s">
        <v>59</v>
      </c>
      <c r="E927" s="39" t="s">
        <v>42</v>
      </c>
      <c r="G927" s="39" t="s">
        <v>88</v>
      </c>
      <c r="H927" s="1" t="s">
        <v>61</v>
      </c>
      <c r="I927" s="1" t="s">
        <v>4641</v>
      </c>
      <c r="J927" s="1" t="s">
        <v>82</v>
      </c>
      <c r="K927" s="1" t="s">
        <v>4642</v>
      </c>
      <c r="P927" s="1" t="s">
        <v>4643</v>
      </c>
      <c r="Q927" s="1" t="s">
        <v>264</v>
      </c>
      <c r="R927" s="1" t="s">
        <v>265</v>
      </c>
      <c r="S927" s="1" t="s">
        <v>533</v>
      </c>
      <c r="T927" s="1" t="s">
        <v>534</v>
      </c>
      <c r="U927" s="1">
        <v>1</v>
      </c>
      <c r="V927" s="1" t="s">
        <v>535</v>
      </c>
      <c r="W927" s="1" t="s">
        <v>4642</v>
      </c>
      <c r="X927" s="1" t="s">
        <v>87</v>
      </c>
      <c r="Y927" s="10">
        <v>44603</v>
      </c>
      <c r="Z927" s="1">
        <v>2022</v>
      </c>
      <c r="AA927" s="2">
        <v>277087.34999999998</v>
      </c>
      <c r="AB927" s="2"/>
      <c r="AC927" s="2">
        <v>55417.47</v>
      </c>
      <c r="AD927" s="46">
        <v>0</v>
      </c>
      <c r="AG927" s="1" t="s">
        <v>432</v>
      </c>
      <c r="AH927" s="1" t="s">
        <v>492</v>
      </c>
      <c r="AI927" s="2">
        <v>0</v>
      </c>
      <c r="AW927" s="2"/>
      <c r="AX927" s="2"/>
      <c r="AY927" s="2"/>
      <c r="BB927" s="2"/>
    </row>
    <row r="928" spans="1:54" ht="13.15" customHeight="1" thickBot="1" x14ac:dyDescent="0.25">
      <c r="A928" s="1" t="s">
        <v>57</v>
      </c>
      <c r="B928" s="9" t="s">
        <v>39</v>
      </c>
      <c r="C928" s="1" t="s">
        <v>58</v>
      </c>
      <c r="D928" s="39" t="s">
        <v>59</v>
      </c>
      <c r="E928" s="39" t="s">
        <v>42</v>
      </c>
      <c r="G928" s="39" t="s">
        <v>88</v>
      </c>
      <c r="H928" s="1" t="s">
        <v>61</v>
      </c>
      <c r="I928" s="1" t="s">
        <v>4644</v>
      </c>
      <c r="J928" s="1" t="s">
        <v>82</v>
      </c>
      <c r="K928" s="1" t="s">
        <v>4645</v>
      </c>
      <c r="P928" s="1" t="s">
        <v>4646</v>
      </c>
      <c r="Q928" s="1" t="s">
        <v>264</v>
      </c>
      <c r="R928" s="1" t="s">
        <v>265</v>
      </c>
      <c r="S928" s="1" t="s">
        <v>4638</v>
      </c>
      <c r="T928" s="1" t="s">
        <v>4639</v>
      </c>
      <c r="U928" s="1">
        <v>2</v>
      </c>
      <c r="V928" s="39" t="s">
        <v>80</v>
      </c>
      <c r="W928" s="1" t="s">
        <v>4645</v>
      </c>
      <c r="X928" s="1" t="s">
        <v>87</v>
      </c>
      <c r="Y928" s="10">
        <v>44804</v>
      </c>
      <c r="Z928" s="1">
        <v>2022</v>
      </c>
      <c r="AA928" s="2">
        <v>100000</v>
      </c>
      <c r="AB928" s="2"/>
      <c r="AC928" s="2">
        <v>15000</v>
      </c>
      <c r="AD928" s="46">
        <v>0</v>
      </c>
      <c r="AG928" s="1" t="s">
        <v>432</v>
      </c>
      <c r="AH928" s="1" t="s">
        <v>4501</v>
      </c>
      <c r="AI928" s="2">
        <v>0</v>
      </c>
      <c r="AW928" s="2"/>
      <c r="AX928" s="2"/>
      <c r="AY928" s="2"/>
      <c r="BB928" s="2"/>
    </row>
    <row r="929" spans="1:54" ht="13.15" customHeight="1" thickBot="1" x14ac:dyDescent="0.25">
      <c r="A929" s="1" t="s">
        <v>57</v>
      </c>
      <c r="B929" s="9" t="s">
        <v>39</v>
      </c>
      <c r="C929" s="1" t="s">
        <v>58</v>
      </c>
      <c r="D929" s="39" t="s">
        <v>59</v>
      </c>
      <c r="E929" s="39" t="s">
        <v>42</v>
      </c>
      <c r="G929" s="39" t="s">
        <v>88</v>
      </c>
      <c r="H929" s="1" t="s">
        <v>61</v>
      </c>
      <c r="I929" s="1" t="s">
        <v>4647</v>
      </c>
      <c r="J929" s="1">
        <v>2021</v>
      </c>
      <c r="K929" s="1" t="s">
        <v>4648</v>
      </c>
      <c r="P929" s="1" t="s">
        <v>2959</v>
      </c>
      <c r="Q929" s="1" t="s">
        <v>264</v>
      </c>
      <c r="R929" s="1" t="s">
        <v>265</v>
      </c>
      <c r="S929" s="1" t="s">
        <v>673</v>
      </c>
      <c r="T929" s="1" t="s">
        <v>674</v>
      </c>
      <c r="U929" s="1">
        <v>2</v>
      </c>
      <c r="V929" s="1" t="s">
        <v>268</v>
      </c>
      <c r="W929" s="1" t="s">
        <v>4649</v>
      </c>
      <c r="X929" s="1" t="s">
        <v>87</v>
      </c>
      <c r="Y929" s="10">
        <v>44557</v>
      </c>
      <c r="Z929" s="1">
        <v>2021</v>
      </c>
      <c r="AA929" s="2">
        <v>79800</v>
      </c>
      <c r="AB929" s="2"/>
      <c r="AC929" s="2">
        <v>11970</v>
      </c>
      <c r="AD929" s="46">
        <v>0</v>
      </c>
      <c r="AG929" s="1" t="s">
        <v>432</v>
      </c>
      <c r="AH929" s="1" t="s">
        <v>4501</v>
      </c>
      <c r="AI929" s="2">
        <v>0</v>
      </c>
      <c r="AW929" s="2"/>
      <c r="AX929" s="2"/>
      <c r="AY929" s="2"/>
      <c r="BB929" s="2"/>
    </row>
    <row r="930" spans="1:54" ht="13.15" customHeight="1" thickBot="1" x14ac:dyDescent="0.25">
      <c r="A930" s="1" t="s">
        <v>57</v>
      </c>
      <c r="B930" s="9" t="s">
        <v>39</v>
      </c>
      <c r="C930" s="1" t="s">
        <v>58</v>
      </c>
      <c r="D930" s="39" t="s">
        <v>4315</v>
      </c>
      <c r="E930" s="39" t="s">
        <v>42</v>
      </c>
      <c r="G930" s="39" t="s">
        <v>4316</v>
      </c>
      <c r="H930" s="1" t="s">
        <v>61</v>
      </c>
      <c r="I930" s="1" t="s">
        <v>4650</v>
      </c>
      <c r="J930" s="1">
        <v>2019</v>
      </c>
      <c r="P930" s="1" t="s">
        <v>4471</v>
      </c>
      <c r="Q930" s="1" t="s">
        <v>50</v>
      </c>
      <c r="R930" s="1" t="s">
        <v>68</v>
      </c>
      <c r="S930" s="1" t="s">
        <v>425</v>
      </c>
      <c r="T930" s="1" t="s">
        <v>426</v>
      </c>
      <c r="U930" s="1">
        <v>1</v>
      </c>
      <c r="V930" s="1" t="s">
        <v>195</v>
      </c>
      <c r="Y930" s="10">
        <v>43466</v>
      </c>
      <c r="Z930" s="1">
        <v>2019</v>
      </c>
      <c r="AA930" s="2"/>
      <c r="AB930" s="2"/>
      <c r="AC930" s="2">
        <v>419619.83999999997</v>
      </c>
      <c r="AD930" s="46"/>
      <c r="AG930" s="1" t="s">
        <v>56</v>
      </c>
      <c r="AI930" s="2">
        <v>419619.83999999997</v>
      </c>
      <c r="AL930" s="1" t="s">
        <v>4319</v>
      </c>
      <c r="AW930" s="2"/>
      <c r="AX930" s="2"/>
      <c r="AY930" s="2"/>
      <c r="BB930" s="2"/>
    </row>
    <row r="931" spans="1:54" ht="13.15" customHeight="1" thickBot="1" x14ac:dyDescent="0.25">
      <c r="A931" s="1" t="s">
        <v>57</v>
      </c>
      <c r="B931" s="9" t="s">
        <v>39</v>
      </c>
      <c r="C931" s="1" t="s">
        <v>58</v>
      </c>
      <c r="D931" s="39" t="s">
        <v>59</v>
      </c>
      <c r="E931" s="39" t="s">
        <v>42</v>
      </c>
      <c r="G931" s="39" t="s">
        <v>88</v>
      </c>
      <c r="H931" s="1" t="s">
        <v>61</v>
      </c>
      <c r="I931" s="1" t="s">
        <v>4651</v>
      </c>
      <c r="J931" s="1">
        <v>2021</v>
      </c>
      <c r="K931" s="1" t="s">
        <v>4652</v>
      </c>
      <c r="P931" s="1" t="s">
        <v>4653</v>
      </c>
      <c r="Q931" s="1" t="s">
        <v>264</v>
      </c>
      <c r="R931" s="1" t="s">
        <v>265</v>
      </c>
      <c r="S931" s="1" t="s">
        <v>542</v>
      </c>
      <c r="T931" s="1" t="s">
        <v>543</v>
      </c>
      <c r="U931" s="1">
        <v>1</v>
      </c>
      <c r="V931" s="39" t="s">
        <v>268</v>
      </c>
      <c r="W931" s="1" t="s">
        <v>4652</v>
      </c>
      <c r="X931" s="1" t="s">
        <v>321</v>
      </c>
      <c r="Y931" s="10">
        <v>44557</v>
      </c>
      <c r="Z931" s="1">
        <v>2021</v>
      </c>
      <c r="AA931" s="2">
        <v>49591</v>
      </c>
      <c r="AB931" s="2"/>
      <c r="AC931" s="2">
        <v>14877.3</v>
      </c>
      <c r="AD931" s="46">
        <v>0</v>
      </c>
      <c r="AG931" s="1" t="s">
        <v>432</v>
      </c>
      <c r="AH931" s="1" t="s">
        <v>4501</v>
      </c>
      <c r="AI931" s="2">
        <v>0</v>
      </c>
      <c r="AW931" s="2"/>
      <c r="AX931" s="2"/>
      <c r="AY931" s="2"/>
      <c r="BB931" s="2"/>
    </row>
    <row r="932" spans="1:54" ht="13.15" customHeight="1" thickBot="1" x14ac:dyDescent="0.25">
      <c r="A932" s="1" t="s">
        <v>57</v>
      </c>
      <c r="B932" s="9" t="s">
        <v>39</v>
      </c>
      <c r="C932" s="1" t="s">
        <v>58</v>
      </c>
      <c r="D932" s="39" t="s">
        <v>59</v>
      </c>
      <c r="E932" s="39" t="s">
        <v>42</v>
      </c>
      <c r="G932" s="39" t="s">
        <v>88</v>
      </c>
      <c r="H932" s="1" t="s">
        <v>61</v>
      </c>
      <c r="I932" s="1" t="s">
        <v>4654</v>
      </c>
      <c r="J932" s="1" t="s">
        <v>82</v>
      </c>
      <c r="K932" s="1" t="s">
        <v>4655</v>
      </c>
      <c r="P932" s="1" t="s">
        <v>4656</v>
      </c>
      <c r="Q932" s="1" t="s">
        <v>264</v>
      </c>
      <c r="R932" s="1" t="s">
        <v>265</v>
      </c>
      <c r="S932" s="1" t="s">
        <v>3377</v>
      </c>
      <c r="T932" s="1" t="s">
        <v>3378</v>
      </c>
      <c r="U932" s="1">
        <v>1</v>
      </c>
      <c r="V932" s="39" t="s">
        <v>308</v>
      </c>
      <c r="W932" s="1" t="s">
        <v>4655</v>
      </c>
      <c r="X932" s="1" t="s">
        <v>145</v>
      </c>
      <c r="Y932" s="10">
        <v>44993</v>
      </c>
      <c r="Z932" s="1">
        <v>2023</v>
      </c>
      <c r="AA932" s="2">
        <v>83982.97</v>
      </c>
      <c r="AB932" s="2"/>
      <c r="AC932" s="2">
        <v>32194.89</v>
      </c>
      <c r="AD932" s="46">
        <v>1</v>
      </c>
      <c r="AE932" s="1">
        <v>1</v>
      </c>
      <c r="AG932" s="1" t="s">
        <v>432</v>
      </c>
      <c r="AH932" s="1" t="s">
        <v>4501</v>
      </c>
      <c r="AI932" s="2">
        <v>0</v>
      </c>
      <c r="AW932" s="2"/>
      <c r="AX932" s="2"/>
      <c r="AY932" s="2"/>
      <c r="BB932" s="2"/>
    </row>
    <row r="933" spans="1:54" ht="13.15" customHeight="1" thickBot="1" x14ac:dyDescent="0.25">
      <c r="A933" s="1" t="s">
        <v>57</v>
      </c>
      <c r="B933" s="9" t="s">
        <v>39</v>
      </c>
      <c r="C933" s="1" t="s">
        <v>58</v>
      </c>
      <c r="D933" s="39" t="s">
        <v>59</v>
      </c>
      <c r="E933" s="39" t="s">
        <v>42</v>
      </c>
      <c r="G933" s="39" t="s">
        <v>88</v>
      </c>
      <c r="H933" s="1" t="s">
        <v>61</v>
      </c>
      <c r="I933" s="1" t="s">
        <v>4657</v>
      </c>
      <c r="J933" s="1" t="s">
        <v>82</v>
      </c>
      <c r="K933" s="1" t="s">
        <v>4658</v>
      </c>
      <c r="P933" s="1" t="s">
        <v>4659</v>
      </c>
      <c r="Q933" s="1" t="s">
        <v>264</v>
      </c>
      <c r="R933" s="1" t="s">
        <v>265</v>
      </c>
      <c r="S933" s="1" t="s">
        <v>350</v>
      </c>
      <c r="T933" s="1" t="s">
        <v>351</v>
      </c>
      <c r="U933" s="1">
        <v>1</v>
      </c>
      <c r="V933" s="1" t="s">
        <v>80</v>
      </c>
      <c r="W933" s="1" t="s">
        <v>4658</v>
      </c>
      <c r="X933" s="1" t="s">
        <v>309</v>
      </c>
      <c r="Y933" s="10">
        <v>44858</v>
      </c>
      <c r="Z933" s="1">
        <v>2022</v>
      </c>
      <c r="AA933" s="2">
        <v>47141.74</v>
      </c>
      <c r="AB933" s="2"/>
      <c r="AC933" s="2">
        <v>19392.52</v>
      </c>
      <c r="AD933" s="46">
        <v>1.75</v>
      </c>
      <c r="AG933" s="1" t="s">
        <v>432</v>
      </c>
      <c r="AH933" s="1" t="s">
        <v>492</v>
      </c>
      <c r="AI933" s="2">
        <v>0</v>
      </c>
      <c r="AL933" s="1" t="s">
        <v>1462</v>
      </c>
      <c r="AW933" s="2"/>
      <c r="AX933" s="2"/>
      <c r="AY933" s="2"/>
      <c r="BB933" s="2"/>
    </row>
    <row r="934" spans="1:54" ht="13.15" customHeight="1" thickBot="1" x14ac:dyDescent="0.25">
      <c r="A934" s="1" t="s">
        <v>57</v>
      </c>
      <c r="B934" s="9" t="s">
        <v>39</v>
      </c>
      <c r="C934" s="1" t="s">
        <v>58</v>
      </c>
      <c r="D934" s="39" t="s">
        <v>59</v>
      </c>
      <c r="E934" s="39" t="s">
        <v>42</v>
      </c>
      <c r="G934" s="39" t="s">
        <v>88</v>
      </c>
      <c r="H934" s="1" t="s">
        <v>61</v>
      </c>
      <c r="I934" s="1" t="s">
        <v>4660</v>
      </c>
      <c r="J934" s="1">
        <v>2021</v>
      </c>
      <c r="K934" s="1" t="s">
        <v>4661</v>
      </c>
      <c r="P934" s="1" t="s">
        <v>4662</v>
      </c>
      <c r="Q934" s="1" t="s">
        <v>264</v>
      </c>
      <c r="R934" s="1" t="s">
        <v>265</v>
      </c>
      <c r="S934" s="1" t="s">
        <v>266</v>
      </c>
      <c r="T934" s="1" t="s">
        <v>267</v>
      </c>
      <c r="U934" s="1">
        <v>2</v>
      </c>
      <c r="V934" s="1" t="s">
        <v>268</v>
      </c>
      <c r="W934" s="1" t="s">
        <v>4663</v>
      </c>
      <c r="X934" s="1" t="s">
        <v>609</v>
      </c>
      <c r="Y934" s="10">
        <v>44557</v>
      </c>
      <c r="Z934" s="1">
        <v>2021</v>
      </c>
      <c r="AA934" s="2">
        <v>129637.5</v>
      </c>
      <c r="AB934" s="2"/>
      <c r="AC934" s="2">
        <v>19445.63</v>
      </c>
      <c r="AD934" s="46">
        <v>0</v>
      </c>
      <c r="AG934" s="1" t="s">
        <v>432</v>
      </c>
      <c r="AH934" s="1" t="s">
        <v>4501</v>
      </c>
      <c r="AI934" s="2">
        <v>0</v>
      </c>
      <c r="AW934" s="2"/>
      <c r="AX934" s="2"/>
      <c r="AY934" s="2"/>
      <c r="BB934" s="2"/>
    </row>
    <row r="935" spans="1:54" ht="13.15" customHeight="1" thickBot="1" x14ac:dyDescent="0.25">
      <c r="A935" s="1" t="s">
        <v>57</v>
      </c>
      <c r="B935" s="9" t="s">
        <v>39</v>
      </c>
      <c r="C935" s="1" t="s">
        <v>58</v>
      </c>
      <c r="D935" s="39" t="s">
        <v>4315</v>
      </c>
      <c r="E935" s="39" t="s">
        <v>42</v>
      </c>
      <c r="G935" s="39" t="s">
        <v>4316</v>
      </c>
      <c r="H935" s="1" t="s">
        <v>61</v>
      </c>
      <c r="I935" s="1" t="s">
        <v>4664</v>
      </c>
      <c r="J935" s="1">
        <v>2019</v>
      </c>
      <c r="P935" s="1" t="s">
        <v>4471</v>
      </c>
      <c r="Q935" s="1" t="s">
        <v>50</v>
      </c>
      <c r="R935" s="1" t="s">
        <v>68</v>
      </c>
      <c r="S935" s="1" t="s">
        <v>425</v>
      </c>
      <c r="T935" s="1" t="s">
        <v>426</v>
      </c>
      <c r="U935" s="1">
        <v>1</v>
      </c>
      <c r="V935" s="39" t="s">
        <v>195</v>
      </c>
      <c r="Y935" s="10">
        <v>43466</v>
      </c>
      <c r="Z935" s="1">
        <v>2019</v>
      </c>
      <c r="AA935" s="2"/>
      <c r="AB935" s="2"/>
      <c r="AC935" s="2">
        <v>731795.95000000007</v>
      </c>
      <c r="AD935" s="46"/>
      <c r="AG935" s="1" t="s">
        <v>56</v>
      </c>
      <c r="AI935" s="2">
        <v>731795.95000000007</v>
      </c>
      <c r="AL935" s="1" t="s">
        <v>4319</v>
      </c>
      <c r="AW935" s="2"/>
      <c r="AX935" s="2"/>
      <c r="AY935" s="2"/>
      <c r="BB935" s="2"/>
    </row>
    <row r="936" spans="1:54" ht="13.15" customHeight="1" thickBot="1" x14ac:dyDescent="0.25">
      <c r="A936" s="1" t="s">
        <v>57</v>
      </c>
      <c r="B936" s="9" t="s">
        <v>39</v>
      </c>
      <c r="C936" s="1" t="s">
        <v>58</v>
      </c>
      <c r="D936" s="39" t="s">
        <v>59</v>
      </c>
      <c r="E936" s="39" t="s">
        <v>42</v>
      </c>
      <c r="G936" s="39" t="s">
        <v>88</v>
      </c>
      <c r="H936" s="1" t="s">
        <v>61</v>
      </c>
      <c r="I936" s="1" t="s">
        <v>4665</v>
      </c>
      <c r="J936" s="1" t="s">
        <v>82</v>
      </c>
      <c r="K936" s="1" t="s">
        <v>4666</v>
      </c>
      <c r="P936" s="1" t="s">
        <v>4667</v>
      </c>
      <c r="Q936" s="1" t="s">
        <v>264</v>
      </c>
      <c r="R936" s="1" t="s">
        <v>265</v>
      </c>
      <c r="S936" s="1" t="s">
        <v>533</v>
      </c>
      <c r="T936" s="1" t="s">
        <v>534</v>
      </c>
      <c r="U936" s="1">
        <v>1</v>
      </c>
      <c r="V936" s="1" t="s">
        <v>535</v>
      </c>
      <c r="W936" s="1" t="s">
        <v>4666</v>
      </c>
      <c r="X936" s="1" t="s">
        <v>400</v>
      </c>
      <c r="Y936" s="10">
        <v>44139</v>
      </c>
      <c r="Z936" s="1">
        <v>2020</v>
      </c>
      <c r="AA936" s="2">
        <v>58924.22</v>
      </c>
      <c r="AB936" s="2"/>
      <c r="AC936" s="2">
        <v>24677.27</v>
      </c>
      <c r="AD936" s="46">
        <v>2</v>
      </c>
      <c r="AG936" s="1" t="s">
        <v>432</v>
      </c>
      <c r="AH936" s="1" t="s">
        <v>492</v>
      </c>
      <c r="AI936" s="2">
        <v>0</v>
      </c>
      <c r="AW936" s="2"/>
      <c r="AX936" s="2"/>
      <c r="AY936" s="2"/>
      <c r="BB936" s="2"/>
    </row>
    <row r="937" spans="1:54" ht="13.15" customHeight="1" thickBot="1" x14ac:dyDescent="0.25">
      <c r="A937" s="1" t="s">
        <v>57</v>
      </c>
      <c r="B937" s="9" t="s">
        <v>39</v>
      </c>
      <c r="C937" s="1" t="s">
        <v>58</v>
      </c>
      <c r="D937" s="39" t="s">
        <v>4315</v>
      </c>
      <c r="E937" s="39" t="s">
        <v>42</v>
      </c>
      <c r="G937" s="39" t="s">
        <v>4316</v>
      </c>
      <c r="H937" s="1" t="s">
        <v>61</v>
      </c>
      <c r="I937" s="1" t="s">
        <v>4668</v>
      </c>
      <c r="J937" s="1">
        <v>2019</v>
      </c>
      <c r="P937" s="1" t="s">
        <v>4471</v>
      </c>
      <c r="Q937" s="1" t="s">
        <v>50</v>
      </c>
      <c r="R937" s="1" t="s">
        <v>68</v>
      </c>
      <c r="S937" s="1" t="s">
        <v>425</v>
      </c>
      <c r="T937" s="1" t="s">
        <v>426</v>
      </c>
      <c r="U937" s="1">
        <v>1</v>
      </c>
      <c r="V937" s="39" t="s">
        <v>195</v>
      </c>
      <c r="Y937" s="10">
        <v>43466</v>
      </c>
      <c r="Z937" s="1">
        <v>2019</v>
      </c>
      <c r="AA937" s="2"/>
      <c r="AB937" s="2"/>
      <c r="AC937" s="2">
        <v>324148.20999999996</v>
      </c>
      <c r="AD937" s="46"/>
      <c r="AG937" s="1" t="s">
        <v>56</v>
      </c>
      <c r="AI937" s="2">
        <v>324148.20999999996</v>
      </c>
      <c r="AL937" s="1" t="s">
        <v>4319</v>
      </c>
      <c r="AW937" s="2"/>
      <c r="AX937" s="2"/>
      <c r="AY937" s="2"/>
      <c r="BB937" s="2"/>
    </row>
    <row r="938" spans="1:54" ht="13.15" customHeight="1" thickBot="1" x14ac:dyDescent="0.25">
      <c r="A938" s="1" t="s">
        <v>57</v>
      </c>
      <c r="B938" s="9" t="s">
        <v>39</v>
      </c>
      <c r="C938" s="1" t="s">
        <v>58</v>
      </c>
      <c r="D938" s="39" t="s">
        <v>4315</v>
      </c>
      <c r="E938" s="39" t="s">
        <v>42</v>
      </c>
      <c r="G938" s="39" t="s">
        <v>4316</v>
      </c>
      <c r="H938" s="1" t="s">
        <v>61</v>
      </c>
      <c r="I938" s="1" t="s">
        <v>4669</v>
      </c>
      <c r="J938" s="1">
        <v>2019</v>
      </c>
      <c r="P938" s="1" t="s">
        <v>4471</v>
      </c>
      <c r="Q938" s="1" t="s">
        <v>50</v>
      </c>
      <c r="R938" s="1" t="s">
        <v>68</v>
      </c>
      <c r="S938" s="1" t="s">
        <v>425</v>
      </c>
      <c r="T938" s="1" t="s">
        <v>426</v>
      </c>
      <c r="U938" s="1">
        <v>1</v>
      </c>
      <c r="V938" s="1" t="s">
        <v>195</v>
      </c>
      <c r="Y938" s="10">
        <v>43466</v>
      </c>
      <c r="Z938" s="1">
        <v>2019</v>
      </c>
      <c r="AA938" s="2"/>
      <c r="AB938" s="2"/>
      <c r="AC938" s="2">
        <v>706727.48999999987</v>
      </c>
      <c r="AD938" s="46"/>
      <c r="AG938" s="1" t="s">
        <v>56</v>
      </c>
      <c r="AI938" s="2">
        <v>706727.48999999987</v>
      </c>
      <c r="AL938" s="1" t="s">
        <v>4319</v>
      </c>
      <c r="AW938" s="2"/>
      <c r="AX938" s="2"/>
      <c r="AY938" s="2"/>
      <c r="BB938" s="2"/>
    </row>
    <row r="939" spans="1:54" ht="13.15" customHeight="1" thickBot="1" x14ac:dyDescent="0.25">
      <c r="A939" s="1" t="s">
        <v>57</v>
      </c>
      <c r="B939" s="9" t="s">
        <v>39</v>
      </c>
      <c r="C939" s="1" t="s">
        <v>58</v>
      </c>
      <c r="D939" s="39" t="s">
        <v>4315</v>
      </c>
      <c r="E939" s="39" t="s">
        <v>42</v>
      </c>
      <c r="G939" s="39" t="s">
        <v>4316</v>
      </c>
      <c r="H939" s="1" t="s">
        <v>61</v>
      </c>
      <c r="I939" s="1" t="s">
        <v>4670</v>
      </c>
      <c r="J939" s="1">
        <v>2018</v>
      </c>
      <c r="P939" s="1" t="s">
        <v>4318</v>
      </c>
      <c r="Q939" s="1" t="s">
        <v>101</v>
      </c>
      <c r="R939" s="1" t="s">
        <v>102</v>
      </c>
      <c r="S939" s="1" t="s">
        <v>103</v>
      </c>
      <c r="T939" s="1" t="s">
        <v>104</v>
      </c>
      <c r="U939" s="1">
        <v>1</v>
      </c>
      <c r="V939" s="1" t="s">
        <v>101</v>
      </c>
      <c r="Y939" s="10">
        <v>43464</v>
      </c>
      <c r="Z939" s="1">
        <v>2018</v>
      </c>
      <c r="AA939" s="2"/>
      <c r="AB939" s="2"/>
      <c r="AC939" s="2">
        <v>613563.67999999993</v>
      </c>
      <c r="AD939" s="46"/>
      <c r="AG939" s="1" t="s">
        <v>56</v>
      </c>
      <c r="AI939" s="2">
        <v>613563.67999999993</v>
      </c>
      <c r="AL939" s="1" t="s">
        <v>4319</v>
      </c>
      <c r="AW939" s="2"/>
      <c r="AX939" s="2"/>
      <c r="AY939" s="2"/>
      <c r="BB939" s="2"/>
    </row>
    <row r="940" spans="1:54" ht="13.15" customHeight="1" x14ac:dyDescent="0.2">
      <c r="A940" s="1" t="s">
        <v>57</v>
      </c>
      <c r="B940" s="9" t="s">
        <v>39</v>
      </c>
      <c r="C940" s="1" t="s">
        <v>58</v>
      </c>
      <c r="D940" s="39" t="s">
        <v>59</v>
      </c>
      <c r="E940" s="39" t="s">
        <v>42</v>
      </c>
      <c r="G940" s="1" t="s">
        <v>88</v>
      </c>
      <c r="H940" s="1" t="s">
        <v>61</v>
      </c>
      <c r="I940" s="1" t="s">
        <v>4671</v>
      </c>
      <c r="J940" s="1">
        <v>2021</v>
      </c>
      <c r="K940" s="1" t="s">
        <v>4672</v>
      </c>
      <c r="P940" s="1" t="s">
        <v>4673</v>
      </c>
      <c r="Q940" s="1" t="s">
        <v>264</v>
      </c>
      <c r="R940" s="1" t="s">
        <v>265</v>
      </c>
      <c r="S940" s="1" t="s">
        <v>266</v>
      </c>
      <c r="T940" s="1" t="s">
        <v>267</v>
      </c>
      <c r="U940" s="1">
        <v>2</v>
      </c>
      <c r="V940" s="1" t="s">
        <v>268</v>
      </c>
      <c r="W940" s="1" t="s">
        <v>4674</v>
      </c>
      <c r="X940" s="1" t="s">
        <v>609</v>
      </c>
      <c r="Y940" s="10">
        <v>44557</v>
      </c>
      <c r="Z940" s="1">
        <v>2021</v>
      </c>
      <c r="AA940" s="2">
        <v>67500</v>
      </c>
      <c r="AB940" s="2"/>
      <c r="AC940" s="2">
        <v>10125</v>
      </c>
      <c r="AD940" s="1">
        <v>1</v>
      </c>
      <c r="AG940" s="1" t="s">
        <v>432</v>
      </c>
      <c r="AH940" s="1" t="s">
        <v>4501</v>
      </c>
      <c r="AI940" s="2">
        <v>0</v>
      </c>
      <c r="AW940" s="2"/>
      <c r="AX940" s="2"/>
      <c r="AY940" s="2"/>
      <c r="BB940" s="2"/>
    </row>
    <row r="941" spans="1:54" ht="13.15" customHeight="1" x14ac:dyDescent="0.2">
      <c r="A941" s="1" t="s">
        <v>57</v>
      </c>
      <c r="B941" s="9" t="s">
        <v>39</v>
      </c>
      <c r="C941" s="1" t="s">
        <v>58</v>
      </c>
      <c r="D941" s="39" t="s">
        <v>4315</v>
      </c>
      <c r="E941" s="39" t="s">
        <v>42</v>
      </c>
      <c r="G941" s="1" t="s">
        <v>4316</v>
      </c>
      <c r="H941" s="1" t="s">
        <v>61</v>
      </c>
      <c r="I941" s="1" t="s">
        <v>4675</v>
      </c>
      <c r="J941" s="1">
        <v>2018</v>
      </c>
      <c r="P941" s="1" t="s">
        <v>4318</v>
      </c>
      <c r="Q941" s="1" t="s">
        <v>101</v>
      </c>
      <c r="R941" s="1" t="s">
        <v>102</v>
      </c>
      <c r="S941" s="1" t="s">
        <v>103</v>
      </c>
      <c r="T941" s="1" t="s">
        <v>104</v>
      </c>
      <c r="U941" s="1">
        <v>1</v>
      </c>
      <c r="V941" s="1" t="s">
        <v>101</v>
      </c>
      <c r="Y941" s="10">
        <v>43465</v>
      </c>
      <c r="Z941" s="1">
        <v>2018</v>
      </c>
      <c r="AA941" s="2"/>
      <c r="AB941" s="2"/>
      <c r="AC941" s="2">
        <v>506585.4599999999</v>
      </c>
      <c r="AG941" s="1" t="s">
        <v>56</v>
      </c>
      <c r="AI941" s="2">
        <v>506585.4599999999</v>
      </c>
      <c r="AL941" s="1" t="s">
        <v>4319</v>
      </c>
      <c r="AW941" s="2"/>
      <c r="AX941" s="2"/>
      <c r="AY941" s="2"/>
      <c r="BB941" s="2"/>
    </row>
    <row r="942" spans="1:54" ht="13.15" customHeight="1" x14ac:dyDescent="0.2">
      <c r="A942" s="1" t="s">
        <v>57</v>
      </c>
      <c r="B942" s="9" t="s">
        <v>39</v>
      </c>
      <c r="C942" s="1" t="s">
        <v>58</v>
      </c>
      <c r="D942" s="39" t="s">
        <v>59</v>
      </c>
      <c r="E942" s="39" t="s">
        <v>42</v>
      </c>
      <c r="G942" s="1" t="s">
        <v>88</v>
      </c>
      <c r="H942" s="1" t="s">
        <v>61</v>
      </c>
      <c r="I942" s="1" t="s">
        <v>4676</v>
      </c>
      <c r="J942" s="1">
        <v>2021</v>
      </c>
      <c r="K942" s="1" t="s">
        <v>4677</v>
      </c>
      <c r="P942" s="1" t="s">
        <v>4678</v>
      </c>
      <c r="Q942" s="1" t="s">
        <v>264</v>
      </c>
      <c r="R942" s="1" t="s">
        <v>265</v>
      </c>
      <c r="S942" s="1" t="s">
        <v>266</v>
      </c>
      <c r="T942" s="1" t="s">
        <v>267</v>
      </c>
      <c r="U942" s="1">
        <v>2</v>
      </c>
      <c r="V942" s="1" t="s">
        <v>268</v>
      </c>
      <c r="W942" s="1" t="s">
        <v>4677</v>
      </c>
      <c r="X942" s="1" t="s">
        <v>609</v>
      </c>
      <c r="Y942" s="10">
        <v>44619</v>
      </c>
      <c r="Z942" s="1">
        <v>2022</v>
      </c>
      <c r="AA942" s="2">
        <v>150000</v>
      </c>
      <c r="AB942" s="2"/>
      <c r="AC942" s="2">
        <v>15000</v>
      </c>
      <c r="AD942" s="1">
        <v>0</v>
      </c>
      <c r="AG942" s="1" t="s">
        <v>432</v>
      </c>
      <c r="AH942" s="1" t="s">
        <v>492</v>
      </c>
      <c r="AI942" s="2">
        <v>0</v>
      </c>
      <c r="AW942" s="2"/>
      <c r="AX942" s="2"/>
      <c r="AY942" s="2"/>
      <c r="BB942" s="2"/>
    </row>
    <row r="943" spans="1:54" ht="13.15" customHeight="1" x14ac:dyDescent="0.2">
      <c r="A943" s="1" t="s">
        <v>57</v>
      </c>
      <c r="B943" s="9" t="s">
        <v>39</v>
      </c>
      <c r="C943" s="1" t="s">
        <v>58</v>
      </c>
      <c r="D943" s="39" t="s">
        <v>4315</v>
      </c>
      <c r="E943" s="39" t="s">
        <v>42</v>
      </c>
      <c r="G943" s="1" t="s">
        <v>4316</v>
      </c>
      <c r="H943" s="1" t="s">
        <v>61</v>
      </c>
      <c r="I943" s="1" t="s">
        <v>4679</v>
      </c>
      <c r="J943" s="1">
        <v>2019</v>
      </c>
      <c r="P943" s="1" t="s">
        <v>4318</v>
      </c>
      <c r="Q943" s="1" t="s">
        <v>101</v>
      </c>
      <c r="R943" s="1" t="s">
        <v>102</v>
      </c>
      <c r="S943" s="1" t="s">
        <v>103</v>
      </c>
      <c r="T943" s="1" t="s">
        <v>104</v>
      </c>
      <c r="U943" s="1">
        <v>1</v>
      </c>
      <c r="V943" s="1" t="s">
        <v>101</v>
      </c>
      <c r="Y943" s="10">
        <v>43497</v>
      </c>
      <c r="Z943" s="1">
        <v>2019</v>
      </c>
      <c r="AA943" s="2"/>
      <c r="AB943" s="2"/>
      <c r="AC943" s="2">
        <v>280562.68000000005</v>
      </c>
      <c r="AG943" s="1" t="s">
        <v>56</v>
      </c>
      <c r="AI943" s="2">
        <v>280562.68000000005</v>
      </c>
      <c r="AL943" s="1" t="s">
        <v>4319</v>
      </c>
      <c r="AW943" s="2"/>
      <c r="AX943" s="2"/>
      <c r="AY943" s="2"/>
      <c r="BB943" s="2"/>
    </row>
    <row r="944" spans="1:54" ht="13.15" customHeight="1" x14ac:dyDescent="0.2">
      <c r="A944" s="1" t="s">
        <v>57</v>
      </c>
      <c r="B944" s="9" t="s">
        <v>39</v>
      </c>
      <c r="C944" s="1" t="s">
        <v>58</v>
      </c>
      <c r="D944" s="39" t="s">
        <v>4315</v>
      </c>
      <c r="E944" s="39" t="s">
        <v>42</v>
      </c>
      <c r="G944" s="1" t="s">
        <v>4316</v>
      </c>
      <c r="H944" s="1" t="s">
        <v>61</v>
      </c>
      <c r="I944" s="1" t="s">
        <v>4680</v>
      </c>
      <c r="J944" s="1">
        <v>2019</v>
      </c>
      <c r="P944" s="1" t="s">
        <v>4471</v>
      </c>
      <c r="Q944" s="1" t="s">
        <v>50</v>
      </c>
      <c r="R944" s="1" t="s">
        <v>68</v>
      </c>
      <c r="S944" s="1" t="s">
        <v>425</v>
      </c>
      <c r="T944" s="1" t="s">
        <v>426</v>
      </c>
      <c r="U944" s="1">
        <v>1</v>
      </c>
      <c r="V944" s="1" t="s">
        <v>195</v>
      </c>
      <c r="Y944" s="10">
        <v>43466</v>
      </c>
      <c r="Z944" s="1">
        <v>2019</v>
      </c>
      <c r="AA944" s="2"/>
      <c r="AB944" s="2"/>
      <c r="AC944" s="2">
        <v>880147.22</v>
      </c>
      <c r="AG944" s="1" t="s">
        <v>56</v>
      </c>
      <c r="AI944" s="2">
        <v>880147.22</v>
      </c>
      <c r="AL944" s="1" t="s">
        <v>4319</v>
      </c>
      <c r="AW944" s="2"/>
      <c r="AX944" s="2"/>
      <c r="AY944" s="2"/>
      <c r="BB944" s="2"/>
    </row>
    <row r="945" spans="1:54" ht="13.15" customHeight="1" x14ac:dyDescent="0.2">
      <c r="A945" s="1" t="s">
        <v>57</v>
      </c>
      <c r="B945" s="9" t="s">
        <v>39</v>
      </c>
      <c r="C945" s="1" t="s">
        <v>58</v>
      </c>
      <c r="D945" s="39" t="s">
        <v>59</v>
      </c>
      <c r="E945" s="39" t="s">
        <v>42</v>
      </c>
      <c r="G945" s="1" t="s">
        <v>88</v>
      </c>
      <c r="H945" s="1" t="s">
        <v>61</v>
      </c>
      <c r="I945" s="1" t="s">
        <v>4681</v>
      </c>
      <c r="J945" s="1" t="s">
        <v>82</v>
      </c>
      <c r="K945" s="1" t="s">
        <v>4682</v>
      </c>
      <c r="P945" s="1" t="s">
        <v>4683</v>
      </c>
      <c r="Q945" s="1" t="s">
        <v>264</v>
      </c>
      <c r="R945" s="1" t="s">
        <v>265</v>
      </c>
      <c r="S945" s="1" t="s">
        <v>350</v>
      </c>
      <c r="T945" s="1" t="s">
        <v>351</v>
      </c>
      <c r="U945" s="1">
        <v>1</v>
      </c>
      <c r="V945" s="1" t="s">
        <v>80</v>
      </c>
      <c r="W945" s="1" t="s">
        <v>4682</v>
      </c>
      <c r="X945" s="1" t="s">
        <v>87</v>
      </c>
      <c r="Y945" s="10">
        <v>44813</v>
      </c>
      <c r="Z945" s="1">
        <v>2022</v>
      </c>
      <c r="AA945" s="2">
        <v>213631.38</v>
      </c>
      <c r="AB945" s="2"/>
      <c r="AC945" s="2">
        <v>74589.41</v>
      </c>
      <c r="AD945" s="1">
        <v>1.5</v>
      </c>
      <c r="AE945" s="1">
        <v>1</v>
      </c>
      <c r="AG945" s="1" t="s">
        <v>432</v>
      </c>
      <c r="AH945" s="1" t="s">
        <v>433</v>
      </c>
      <c r="AI945" s="2">
        <v>0</v>
      </c>
      <c r="AW945" s="2"/>
      <c r="AX945" s="2"/>
      <c r="AY945" s="2"/>
      <c r="BB945" s="2"/>
    </row>
    <row r="946" spans="1:54" ht="13.15" customHeight="1" x14ac:dyDescent="0.2">
      <c r="A946" s="1" t="s">
        <v>57</v>
      </c>
      <c r="B946" s="9" t="s">
        <v>39</v>
      </c>
      <c r="C946" s="1" t="s">
        <v>58</v>
      </c>
      <c r="D946" s="39" t="s">
        <v>59</v>
      </c>
      <c r="E946" s="39" t="s">
        <v>42</v>
      </c>
      <c r="G946" s="1" t="s">
        <v>88</v>
      </c>
      <c r="H946" s="1" t="s">
        <v>61</v>
      </c>
      <c r="I946" s="1" t="s">
        <v>4684</v>
      </c>
      <c r="J946" s="1">
        <v>2021</v>
      </c>
      <c r="K946" s="1" t="s">
        <v>4685</v>
      </c>
      <c r="P946" s="1" t="s">
        <v>4686</v>
      </c>
      <c r="Q946" s="1" t="s">
        <v>264</v>
      </c>
      <c r="R946" s="1" t="s">
        <v>265</v>
      </c>
      <c r="S946" s="1" t="s">
        <v>784</v>
      </c>
      <c r="T946" s="1" t="s">
        <v>785</v>
      </c>
      <c r="U946" s="1">
        <v>2</v>
      </c>
      <c r="V946" s="1" t="s">
        <v>80</v>
      </c>
      <c r="W946" s="1" t="s">
        <v>4685</v>
      </c>
      <c r="X946" s="1" t="s">
        <v>145</v>
      </c>
      <c r="Y946" s="10">
        <v>44557</v>
      </c>
      <c r="Z946" s="1">
        <v>2021</v>
      </c>
      <c r="AA946" s="2">
        <v>362445</v>
      </c>
      <c r="AB946" s="2"/>
      <c r="AC946" s="2">
        <v>54366.75</v>
      </c>
      <c r="AD946" s="1">
        <v>3</v>
      </c>
      <c r="AE946" s="1">
        <v>1</v>
      </c>
      <c r="AG946" s="1" t="s">
        <v>432</v>
      </c>
      <c r="AH946" s="1" t="s">
        <v>492</v>
      </c>
      <c r="AI946" s="2">
        <v>0</v>
      </c>
      <c r="AW946" s="2"/>
      <c r="AX946" s="2"/>
      <c r="AY946" s="2"/>
      <c r="BB946" s="2"/>
    </row>
    <row r="947" spans="1:54" ht="13.15" customHeight="1" x14ac:dyDescent="0.2">
      <c r="A947" s="1" t="s">
        <v>57</v>
      </c>
      <c r="B947" s="9" t="s">
        <v>39</v>
      </c>
      <c r="C947" s="1" t="s">
        <v>58</v>
      </c>
      <c r="D947" s="39" t="s">
        <v>59</v>
      </c>
      <c r="E947" s="39" t="s">
        <v>42</v>
      </c>
      <c r="G947" s="1" t="s">
        <v>88</v>
      </c>
      <c r="H947" s="1" t="s">
        <v>61</v>
      </c>
      <c r="I947" s="1" t="s">
        <v>4687</v>
      </c>
      <c r="J947" s="1" t="s">
        <v>82</v>
      </c>
      <c r="K947" s="1" t="s">
        <v>4688</v>
      </c>
      <c r="P947" s="1" t="s">
        <v>4689</v>
      </c>
      <c r="Q947" s="1" t="s">
        <v>264</v>
      </c>
      <c r="R947" s="1" t="s">
        <v>265</v>
      </c>
      <c r="S947" s="1" t="s">
        <v>350</v>
      </c>
      <c r="T947" s="1" t="s">
        <v>351</v>
      </c>
      <c r="U947" s="1">
        <v>1</v>
      </c>
      <c r="V947" s="1" t="s">
        <v>80</v>
      </c>
      <c r="W947" s="1" t="s">
        <v>4688</v>
      </c>
      <c r="X947" s="1" t="s">
        <v>309</v>
      </c>
      <c r="Y947" s="10">
        <v>44181</v>
      </c>
      <c r="Z947" s="1">
        <v>2020</v>
      </c>
      <c r="AA947" s="2">
        <v>269389.96000000002</v>
      </c>
      <c r="AB947" s="2"/>
      <c r="AC947" s="2">
        <v>80816.990000000005</v>
      </c>
      <c r="AD947" s="1">
        <v>0</v>
      </c>
      <c r="AG947" s="1" t="s">
        <v>432</v>
      </c>
      <c r="AH947" s="1" t="s">
        <v>433</v>
      </c>
      <c r="AI947" s="2">
        <v>0</v>
      </c>
      <c r="AW947" s="2"/>
      <c r="AX947" s="2"/>
      <c r="AY947" s="2"/>
      <c r="BB947" s="2"/>
    </row>
    <row r="948" spans="1:54" ht="13.15" customHeight="1" x14ac:dyDescent="0.2">
      <c r="A948" s="1" t="s">
        <v>57</v>
      </c>
      <c r="B948" s="9" t="s">
        <v>39</v>
      </c>
      <c r="C948" s="1" t="s">
        <v>58</v>
      </c>
      <c r="D948" s="39" t="s">
        <v>59</v>
      </c>
      <c r="E948" s="39" t="s">
        <v>42</v>
      </c>
      <c r="G948" s="1" t="s">
        <v>88</v>
      </c>
      <c r="H948" s="1" t="s">
        <v>61</v>
      </c>
      <c r="I948" s="1" t="s">
        <v>4690</v>
      </c>
      <c r="J948" s="1">
        <v>2021</v>
      </c>
      <c r="K948" s="1" t="s">
        <v>4691</v>
      </c>
      <c r="P948" s="1" t="s">
        <v>4689</v>
      </c>
      <c r="Q948" s="1" t="s">
        <v>264</v>
      </c>
      <c r="R948" s="1" t="s">
        <v>265</v>
      </c>
      <c r="S948" s="1" t="s">
        <v>350</v>
      </c>
      <c r="T948" s="1" t="s">
        <v>351</v>
      </c>
      <c r="U948" s="1">
        <v>1</v>
      </c>
      <c r="V948" s="1" t="s">
        <v>80</v>
      </c>
      <c r="W948" s="1" t="s">
        <v>4691</v>
      </c>
      <c r="X948" s="1" t="s">
        <v>321</v>
      </c>
      <c r="Y948" s="10">
        <v>44557</v>
      </c>
      <c r="Z948" s="1">
        <v>2021</v>
      </c>
      <c r="AA948" s="2">
        <v>285651.06</v>
      </c>
      <c r="AB948" s="2"/>
      <c r="AC948" s="2">
        <v>60000</v>
      </c>
      <c r="AD948" s="1">
        <v>0</v>
      </c>
      <c r="AG948" s="1" t="s">
        <v>432</v>
      </c>
      <c r="AH948" s="1" t="s">
        <v>4501</v>
      </c>
      <c r="AI948" s="2">
        <v>0</v>
      </c>
      <c r="AW948" s="2"/>
      <c r="AX948" s="2"/>
      <c r="AY948" s="2"/>
      <c r="BB948" s="2"/>
    </row>
    <row r="949" spans="1:54" ht="13.15" customHeight="1" x14ac:dyDescent="0.2">
      <c r="A949" s="1" t="s">
        <v>57</v>
      </c>
      <c r="B949" s="9" t="s">
        <v>39</v>
      </c>
      <c r="C949" s="1" t="s">
        <v>58</v>
      </c>
      <c r="D949" s="39" t="s">
        <v>59</v>
      </c>
      <c r="E949" s="39" t="s">
        <v>42</v>
      </c>
      <c r="G949" s="1" t="s">
        <v>88</v>
      </c>
      <c r="H949" s="1" t="s">
        <v>61</v>
      </c>
      <c r="I949" s="1" t="s">
        <v>4692</v>
      </c>
      <c r="J949" s="1">
        <v>2021</v>
      </c>
      <c r="K949" s="1" t="s">
        <v>4693</v>
      </c>
      <c r="P949" s="1" t="s">
        <v>4694</v>
      </c>
      <c r="Q949" s="1" t="s">
        <v>264</v>
      </c>
      <c r="R949" s="1" t="s">
        <v>265</v>
      </c>
      <c r="S949" s="1" t="s">
        <v>350</v>
      </c>
      <c r="T949" s="1" t="s">
        <v>351</v>
      </c>
      <c r="U949" s="1">
        <v>1</v>
      </c>
      <c r="V949" s="1" t="s">
        <v>80</v>
      </c>
      <c r="W949" s="1" t="s">
        <v>4693</v>
      </c>
      <c r="X949" s="1" t="s">
        <v>609</v>
      </c>
      <c r="Y949" s="10">
        <v>44684</v>
      </c>
      <c r="Z949" s="1">
        <v>2022</v>
      </c>
      <c r="AA949" s="2">
        <v>364944.35</v>
      </c>
      <c r="AB949" s="2"/>
      <c r="AC949" s="2">
        <v>90000</v>
      </c>
      <c r="AD949" s="1">
        <v>0</v>
      </c>
      <c r="AG949" s="1" t="s">
        <v>432</v>
      </c>
      <c r="AH949" s="1" t="s">
        <v>492</v>
      </c>
      <c r="AI949" s="2">
        <v>0</v>
      </c>
      <c r="AW949" s="2"/>
      <c r="AX949" s="2"/>
      <c r="AY949" s="2"/>
      <c r="BB949" s="2"/>
    </row>
    <row r="950" spans="1:54" ht="13.15" customHeight="1" x14ac:dyDescent="0.2">
      <c r="A950" s="1" t="s">
        <v>57</v>
      </c>
      <c r="B950" s="9" t="s">
        <v>39</v>
      </c>
      <c r="C950" s="1" t="s">
        <v>58</v>
      </c>
      <c r="D950" s="39" t="s">
        <v>4315</v>
      </c>
      <c r="E950" s="39" t="s">
        <v>42</v>
      </c>
      <c r="G950" s="1" t="s">
        <v>4316</v>
      </c>
      <c r="H950" s="1" t="s">
        <v>61</v>
      </c>
      <c r="I950" s="1" t="s">
        <v>4695</v>
      </c>
      <c r="J950" s="1">
        <v>2021</v>
      </c>
      <c r="P950" s="1" t="s">
        <v>4318</v>
      </c>
      <c r="Q950" s="1" t="s">
        <v>101</v>
      </c>
      <c r="R950" s="1" t="s">
        <v>102</v>
      </c>
      <c r="S950" s="1" t="s">
        <v>103</v>
      </c>
      <c r="T950" s="1" t="s">
        <v>104</v>
      </c>
      <c r="U950" s="1">
        <v>1</v>
      </c>
      <c r="V950" s="1" t="s">
        <v>101</v>
      </c>
      <c r="Y950" s="10">
        <v>44560</v>
      </c>
      <c r="Z950" s="1">
        <v>2021</v>
      </c>
      <c r="AA950" s="2"/>
      <c r="AB950" s="2"/>
      <c r="AC950" s="2">
        <v>515807.07</v>
      </c>
      <c r="AG950" s="1" t="s">
        <v>56</v>
      </c>
      <c r="AI950" s="2">
        <v>515807.07</v>
      </c>
      <c r="AL950" s="1" t="s">
        <v>4319</v>
      </c>
      <c r="AW950" s="2"/>
      <c r="AX950" s="2"/>
      <c r="AY950" s="2"/>
      <c r="BB950" s="2"/>
    </row>
    <row r="951" spans="1:54" ht="13.15" customHeight="1" x14ac:dyDescent="0.25">
      <c r="A951" s="1" t="s">
        <v>57</v>
      </c>
      <c r="B951" s="9" t="s">
        <v>39</v>
      </c>
      <c r="C951" s="1" t="s">
        <v>58</v>
      </c>
      <c r="D951" s="39" t="s">
        <v>59</v>
      </c>
      <c r="E951" s="39" t="s">
        <v>42</v>
      </c>
      <c r="G951" s="1" t="s">
        <v>88</v>
      </c>
      <c r="H951" s="1" t="s">
        <v>61</v>
      </c>
      <c r="I951" s="1" t="s">
        <v>4696</v>
      </c>
      <c r="J951" s="1" t="s">
        <v>82</v>
      </c>
      <c r="K951" s="1" t="s">
        <v>4697</v>
      </c>
      <c r="P951" s="1" t="s">
        <v>4698</v>
      </c>
      <c r="Q951" s="1" t="s">
        <v>264</v>
      </c>
      <c r="R951" s="1" t="s">
        <v>265</v>
      </c>
      <c r="S951" s="16" t="s">
        <v>306</v>
      </c>
      <c r="T951" s="1" t="s">
        <v>307</v>
      </c>
      <c r="U951" s="1">
        <v>1</v>
      </c>
      <c r="V951" s="1" t="s">
        <v>308</v>
      </c>
      <c r="W951" s="1" t="s">
        <v>4697</v>
      </c>
      <c r="X951" s="1" t="s">
        <v>87</v>
      </c>
      <c r="Y951" s="10">
        <v>44393</v>
      </c>
      <c r="Z951" s="1">
        <v>2021</v>
      </c>
      <c r="AA951" s="2">
        <v>444136</v>
      </c>
      <c r="AB951" s="2"/>
      <c r="AC951" s="2">
        <v>133240.79999999999</v>
      </c>
      <c r="AD951" s="1">
        <v>0</v>
      </c>
      <c r="AG951" s="1" t="s">
        <v>432</v>
      </c>
      <c r="AH951" s="1" t="s">
        <v>492</v>
      </c>
      <c r="AI951" s="2">
        <v>0</v>
      </c>
      <c r="AK951" s="1" t="s">
        <v>600</v>
      </c>
      <c r="AW951" s="2"/>
      <c r="AX951" s="2"/>
      <c r="AY951" s="2"/>
      <c r="BB951" s="2"/>
    </row>
    <row r="952" spans="1:54" ht="13.15" customHeight="1" x14ac:dyDescent="0.2">
      <c r="A952" s="1" t="s">
        <v>57</v>
      </c>
      <c r="B952" s="9" t="s">
        <v>39</v>
      </c>
      <c r="C952" s="1" t="s">
        <v>58</v>
      </c>
      <c r="D952" s="39" t="s">
        <v>59</v>
      </c>
      <c r="E952" s="39" t="s">
        <v>42</v>
      </c>
      <c r="G952" s="1" t="s">
        <v>88</v>
      </c>
      <c r="H952" s="1" t="s">
        <v>61</v>
      </c>
      <c r="I952" s="1" t="s">
        <v>4699</v>
      </c>
      <c r="J952" s="1" t="s">
        <v>82</v>
      </c>
      <c r="K952" s="1" t="s">
        <v>4700</v>
      </c>
      <c r="P952" s="1" t="s">
        <v>4701</v>
      </c>
      <c r="Q952" s="1" t="s">
        <v>264</v>
      </c>
      <c r="R952" s="1" t="s">
        <v>265</v>
      </c>
      <c r="S952" s="1" t="s">
        <v>275</v>
      </c>
      <c r="T952" s="1" t="s">
        <v>276</v>
      </c>
      <c r="U952" s="1">
        <v>2</v>
      </c>
      <c r="V952" s="1" t="s">
        <v>80</v>
      </c>
      <c r="W952" s="1" t="s">
        <v>4700</v>
      </c>
      <c r="X952" s="1" t="s">
        <v>321</v>
      </c>
      <c r="Y952" s="10">
        <v>44993</v>
      </c>
      <c r="Z952" s="1">
        <v>2023</v>
      </c>
      <c r="AA952" s="2">
        <v>351746.1</v>
      </c>
      <c r="AB952" s="2"/>
      <c r="AC952" s="2">
        <v>80761.919999999998</v>
      </c>
      <c r="AD952" s="1">
        <v>7</v>
      </c>
      <c r="AE952" s="1">
        <v>3</v>
      </c>
      <c r="AG952" s="1" t="s">
        <v>432</v>
      </c>
      <c r="AH952" s="1" t="s">
        <v>4501</v>
      </c>
      <c r="AI952" s="2">
        <v>0</v>
      </c>
      <c r="AW952" s="2"/>
      <c r="AX952" s="2"/>
      <c r="AY952" s="2"/>
      <c r="BB952" s="2"/>
    </row>
    <row r="953" spans="1:54" ht="13.15" customHeight="1" x14ac:dyDescent="0.2">
      <c r="A953" s="1" t="s">
        <v>57</v>
      </c>
      <c r="B953" s="9" t="s">
        <v>39</v>
      </c>
      <c r="C953" s="1" t="s">
        <v>58</v>
      </c>
      <c r="D953" s="39" t="s">
        <v>59</v>
      </c>
      <c r="E953" s="39" t="s">
        <v>42</v>
      </c>
      <c r="G953" s="1" t="s">
        <v>88</v>
      </c>
      <c r="H953" s="1" t="s">
        <v>61</v>
      </c>
      <c r="I953" s="1" t="s">
        <v>4702</v>
      </c>
      <c r="J953" s="1">
        <v>2021</v>
      </c>
      <c r="K953" s="1" t="s">
        <v>4703</v>
      </c>
      <c r="P953" s="1" t="s">
        <v>4704</v>
      </c>
      <c r="Q953" s="1" t="s">
        <v>264</v>
      </c>
      <c r="R953" s="1" t="s">
        <v>265</v>
      </c>
      <c r="S953" s="1" t="s">
        <v>266</v>
      </c>
      <c r="T953" s="1" t="s">
        <v>267</v>
      </c>
      <c r="U953" s="1">
        <v>2</v>
      </c>
      <c r="V953" s="1" t="s">
        <v>268</v>
      </c>
      <c r="W953" s="1" t="s">
        <v>4703</v>
      </c>
      <c r="X953" s="1" t="s">
        <v>87</v>
      </c>
      <c r="Y953" s="10">
        <v>44557</v>
      </c>
      <c r="Z953" s="1">
        <v>2021</v>
      </c>
      <c r="AA953" s="2">
        <v>43930</v>
      </c>
      <c r="AB953" s="2"/>
      <c r="AC953" s="2">
        <v>6589.5</v>
      </c>
      <c r="AD953" s="1">
        <v>0</v>
      </c>
      <c r="AG953" s="1" t="s">
        <v>432</v>
      </c>
      <c r="AH953" s="1" t="s">
        <v>4501</v>
      </c>
      <c r="AI953" s="2">
        <v>0</v>
      </c>
      <c r="AW953" s="2"/>
      <c r="AX953" s="2"/>
      <c r="AY953" s="2"/>
      <c r="BB953" s="2"/>
    </row>
    <row r="954" spans="1:54" ht="13.15" customHeight="1" x14ac:dyDescent="0.25">
      <c r="A954" s="1" t="s">
        <v>57</v>
      </c>
      <c r="B954" s="9" t="s">
        <v>38</v>
      </c>
      <c r="C954" s="1" t="s">
        <v>40</v>
      </c>
      <c r="D954" s="39" t="s">
        <v>41</v>
      </c>
      <c r="E954" s="39" t="s">
        <v>42</v>
      </c>
      <c r="F954" s="1" t="s">
        <v>4705</v>
      </c>
      <c r="G954" s="1" t="s">
        <v>4706</v>
      </c>
      <c r="H954" s="1" t="s">
        <v>45</v>
      </c>
      <c r="I954" s="1" t="s">
        <v>4707</v>
      </c>
      <c r="J954" s="1">
        <v>2023</v>
      </c>
      <c r="K954" s="1" t="s">
        <v>4708</v>
      </c>
      <c r="L954" s="1" t="s">
        <v>4709</v>
      </c>
      <c r="M954" s="1" t="s">
        <v>4710</v>
      </c>
      <c r="N954" s="1" t="s">
        <v>4711</v>
      </c>
      <c r="P954" s="1" t="s">
        <v>4712</v>
      </c>
      <c r="Q954" s="1" t="s">
        <v>50</v>
      </c>
      <c r="R954" s="1" t="s">
        <v>68</v>
      </c>
      <c r="S954" s="1" t="s">
        <v>430</v>
      </c>
      <c r="T954" s="1" t="s">
        <v>431</v>
      </c>
      <c r="U954" s="1">
        <v>1</v>
      </c>
      <c r="V954" s="1" t="s">
        <v>71</v>
      </c>
      <c r="W954" s="1" t="s">
        <v>4713</v>
      </c>
      <c r="X954" s="1" t="s">
        <v>240</v>
      </c>
      <c r="Y954" s="10">
        <v>45496</v>
      </c>
      <c r="Z954" s="1">
        <v>2024</v>
      </c>
      <c r="AA954" s="35">
        <v>153560986.62</v>
      </c>
      <c r="AB954" s="35"/>
      <c r="AC954" s="35">
        <v>35319026.920000002</v>
      </c>
      <c r="AG954" s="1" t="s">
        <v>3912</v>
      </c>
      <c r="AI954" s="2">
        <v>35319026.920000002</v>
      </c>
      <c r="AK954" s="1" t="s">
        <v>4714</v>
      </c>
      <c r="AL954" s="2" t="s">
        <v>4715</v>
      </c>
      <c r="AW954" s="2"/>
      <c r="AX954" s="2"/>
      <c r="AY954" s="2"/>
      <c r="BB954" s="2"/>
    </row>
    <row r="955" spans="1:54" ht="13.15" customHeight="1" x14ac:dyDescent="0.2">
      <c r="A955" s="1" t="s">
        <v>57</v>
      </c>
      <c r="B955" s="9" t="s">
        <v>39</v>
      </c>
      <c r="C955" s="1" t="s">
        <v>58</v>
      </c>
      <c r="D955" s="39" t="s">
        <v>59</v>
      </c>
      <c r="E955" s="39" t="s">
        <v>42</v>
      </c>
      <c r="G955" s="1" t="s">
        <v>88</v>
      </c>
      <c r="H955" s="1" t="s">
        <v>61</v>
      </c>
      <c r="I955" s="1" t="s">
        <v>4716</v>
      </c>
      <c r="J955" s="1">
        <v>2021</v>
      </c>
      <c r="K955" s="1" t="s">
        <v>4717</v>
      </c>
      <c r="P955" s="1" t="s">
        <v>4718</v>
      </c>
      <c r="Q955" s="1" t="s">
        <v>264</v>
      </c>
      <c r="R955" s="1" t="s">
        <v>265</v>
      </c>
      <c r="S955" s="1" t="s">
        <v>266</v>
      </c>
      <c r="T955" s="1" t="s">
        <v>267</v>
      </c>
      <c r="U955" s="1">
        <v>2</v>
      </c>
      <c r="V955" s="1" t="s">
        <v>268</v>
      </c>
      <c r="W955" s="1" t="s">
        <v>4717</v>
      </c>
      <c r="X955" s="1" t="s">
        <v>609</v>
      </c>
      <c r="Y955" s="10">
        <v>44557</v>
      </c>
      <c r="Z955" s="1">
        <v>2021</v>
      </c>
      <c r="AA955" s="2">
        <v>102000</v>
      </c>
      <c r="AB955" s="2"/>
      <c r="AC955" s="2">
        <v>15000</v>
      </c>
      <c r="AD955" s="1">
        <v>0</v>
      </c>
      <c r="AG955" s="1" t="s">
        <v>432</v>
      </c>
      <c r="AH955" s="1" t="s">
        <v>492</v>
      </c>
      <c r="AI955" s="2">
        <v>0</v>
      </c>
      <c r="AW955" s="2"/>
      <c r="AX955" s="2"/>
      <c r="AY955" s="2"/>
      <c r="BB955" s="2"/>
    </row>
    <row r="956" spans="1:54" ht="13.15" customHeight="1" x14ac:dyDescent="0.2">
      <c r="A956" s="1" t="s">
        <v>57</v>
      </c>
      <c r="B956" s="9" t="s">
        <v>39</v>
      </c>
      <c r="C956" s="1" t="s">
        <v>58</v>
      </c>
      <c r="D956" s="39" t="s">
        <v>4315</v>
      </c>
      <c r="E956" s="39" t="s">
        <v>42</v>
      </c>
      <c r="G956" s="1" t="s">
        <v>4316</v>
      </c>
      <c r="H956" s="1" t="s">
        <v>61</v>
      </c>
      <c r="I956" s="1" t="s">
        <v>4719</v>
      </c>
      <c r="J956" s="1">
        <v>2019</v>
      </c>
      <c r="P956" s="1" t="s">
        <v>4471</v>
      </c>
      <c r="Q956" s="1" t="s">
        <v>50</v>
      </c>
      <c r="R956" s="1" t="s">
        <v>68</v>
      </c>
      <c r="S956" s="1" t="s">
        <v>425</v>
      </c>
      <c r="T956" s="1" t="s">
        <v>426</v>
      </c>
      <c r="U956" s="1">
        <v>1</v>
      </c>
      <c r="V956" s="1" t="s">
        <v>195</v>
      </c>
      <c r="Y956" s="10">
        <v>43466</v>
      </c>
      <c r="Z956" s="1">
        <v>2019</v>
      </c>
      <c r="AA956" s="2"/>
      <c r="AB956" s="2"/>
      <c r="AC956" s="2">
        <v>484522.89999999991</v>
      </c>
      <c r="AG956" s="1" t="s">
        <v>56</v>
      </c>
      <c r="AI956" s="2">
        <v>484522.89999999991</v>
      </c>
      <c r="AL956" s="1" t="s">
        <v>4319</v>
      </c>
      <c r="AW956" s="2"/>
      <c r="AX956" s="2"/>
      <c r="AY956" s="2"/>
      <c r="BB956" s="2"/>
    </row>
    <row r="957" spans="1:54" ht="13.15" customHeight="1" x14ac:dyDescent="0.2">
      <c r="A957" s="1" t="s">
        <v>57</v>
      </c>
      <c r="B957" s="9" t="s">
        <v>39</v>
      </c>
      <c r="C957" s="1" t="s">
        <v>58</v>
      </c>
      <c r="D957" s="39" t="s">
        <v>59</v>
      </c>
      <c r="E957" s="39" t="s">
        <v>42</v>
      </c>
      <c r="G957" s="1" t="s">
        <v>88</v>
      </c>
      <c r="H957" s="1" t="s">
        <v>61</v>
      </c>
      <c r="I957" s="1" t="s">
        <v>4720</v>
      </c>
      <c r="J957" s="1" t="s">
        <v>82</v>
      </c>
      <c r="K957" s="1" t="s">
        <v>4721</v>
      </c>
      <c r="P957" s="1" t="s">
        <v>4722</v>
      </c>
      <c r="Q957" s="1" t="s">
        <v>264</v>
      </c>
      <c r="R957" s="1" t="s">
        <v>265</v>
      </c>
      <c r="S957" s="1" t="s">
        <v>266</v>
      </c>
      <c r="T957" s="1" t="s">
        <v>267</v>
      </c>
      <c r="U957" s="1">
        <v>2</v>
      </c>
      <c r="V957" s="1" t="s">
        <v>268</v>
      </c>
      <c r="W957" s="1" t="s">
        <v>4721</v>
      </c>
      <c r="X957" s="1" t="s">
        <v>145</v>
      </c>
      <c r="Y957" s="10">
        <v>44993</v>
      </c>
      <c r="Z957" s="1">
        <v>2023</v>
      </c>
      <c r="AA957" s="2">
        <v>428189.98</v>
      </c>
      <c r="AB957" s="2"/>
      <c r="AC957" s="2">
        <v>30000</v>
      </c>
      <c r="AD957" s="1">
        <v>1</v>
      </c>
      <c r="AG957" s="1" t="s">
        <v>432</v>
      </c>
      <c r="AH957" s="1" t="s">
        <v>4501</v>
      </c>
      <c r="AI957" s="2">
        <v>0</v>
      </c>
      <c r="AL957" s="1" t="s">
        <v>4723</v>
      </c>
      <c r="AW957" s="2"/>
      <c r="AX957" s="2"/>
      <c r="AY957" s="2"/>
      <c r="BB957" s="2"/>
    </row>
    <row r="958" spans="1:54" ht="13.15" customHeight="1" x14ac:dyDescent="0.2">
      <c r="A958" s="1" t="s">
        <v>57</v>
      </c>
      <c r="B958" s="9" t="s">
        <v>39</v>
      </c>
      <c r="C958" s="1" t="s">
        <v>58</v>
      </c>
      <c r="D958" s="39" t="s">
        <v>59</v>
      </c>
      <c r="E958" s="39" t="s">
        <v>42</v>
      </c>
      <c r="G958" s="1" t="s">
        <v>88</v>
      </c>
      <c r="H958" s="1" t="s">
        <v>61</v>
      </c>
      <c r="I958" s="1" t="s">
        <v>4724</v>
      </c>
      <c r="J958" s="1" t="s">
        <v>82</v>
      </c>
      <c r="K958" s="1" t="s">
        <v>4725</v>
      </c>
      <c r="P958" s="1" t="s">
        <v>4726</v>
      </c>
      <c r="Q958" s="1" t="s">
        <v>264</v>
      </c>
      <c r="R958" s="1" t="s">
        <v>265</v>
      </c>
      <c r="S958" s="1" t="s">
        <v>350</v>
      </c>
      <c r="T958" s="1" t="s">
        <v>351</v>
      </c>
      <c r="U958" s="1">
        <v>1</v>
      </c>
      <c r="V958" s="1" t="s">
        <v>80</v>
      </c>
      <c r="W958" s="1" t="s">
        <v>4725</v>
      </c>
      <c r="X958" s="1" t="s">
        <v>153</v>
      </c>
      <c r="Y958" s="10">
        <v>44858</v>
      </c>
      <c r="Z958" s="1">
        <v>2022</v>
      </c>
      <c r="AA958" s="2">
        <v>349355.04</v>
      </c>
      <c r="AB958" s="2"/>
      <c r="AC958" s="2">
        <v>50000</v>
      </c>
      <c r="AD958" s="1">
        <v>1</v>
      </c>
      <c r="AG958" s="1" t="s">
        <v>432</v>
      </c>
      <c r="AH958" s="1" t="s">
        <v>492</v>
      </c>
      <c r="AI958" s="2">
        <v>0</v>
      </c>
      <c r="AW958" s="2"/>
      <c r="AX958" s="2"/>
      <c r="AY958" s="2"/>
      <c r="BB958" s="2"/>
    </row>
    <row r="959" spans="1:54" ht="13.15" customHeight="1" x14ac:dyDescent="0.2">
      <c r="A959" s="1" t="s">
        <v>57</v>
      </c>
      <c r="B959" s="9" t="s">
        <v>39</v>
      </c>
      <c r="C959" s="1" t="s">
        <v>58</v>
      </c>
      <c r="D959" s="39" t="s">
        <v>59</v>
      </c>
      <c r="E959" s="39" t="s">
        <v>42</v>
      </c>
      <c r="G959" s="1" t="s">
        <v>88</v>
      </c>
      <c r="H959" s="1" t="s">
        <v>61</v>
      </c>
      <c r="I959" s="1" t="s">
        <v>4727</v>
      </c>
      <c r="J959" s="1" t="s">
        <v>82</v>
      </c>
      <c r="K959" s="1" t="s">
        <v>4728</v>
      </c>
      <c r="P959" s="1" t="s">
        <v>4729</v>
      </c>
      <c r="Q959" s="1" t="s">
        <v>50</v>
      </c>
      <c r="R959" s="1" t="s">
        <v>68</v>
      </c>
      <c r="S959" s="1" t="s">
        <v>172</v>
      </c>
      <c r="T959" s="1" t="s">
        <v>173</v>
      </c>
      <c r="U959" s="1">
        <v>2</v>
      </c>
      <c r="V959" s="1" t="s">
        <v>80</v>
      </c>
      <c r="W959" s="1" t="s">
        <v>4728</v>
      </c>
      <c r="X959" s="1" t="s">
        <v>145</v>
      </c>
      <c r="Y959" s="10">
        <v>45069</v>
      </c>
      <c r="Z959" s="1">
        <v>2023</v>
      </c>
      <c r="AA959" s="2">
        <v>317492.06</v>
      </c>
      <c r="AB959" s="2"/>
      <c r="AC959" s="2">
        <v>39000</v>
      </c>
      <c r="AD959" s="1">
        <v>1</v>
      </c>
      <c r="AE959" s="1">
        <v>1</v>
      </c>
      <c r="AG959" s="1" t="s">
        <v>432</v>
      </c>
      <c r="AH959" s="1" t="s">
        <v>4371</v>
      </c>
      <c r="AI959" s="2">
        <v>0</v>
      </c>
      <c r="AW959" s="2"/>
      <c r="AX959" s="2"/>
      <c r="AY959" s="2"/>
      <c r="BB959" s="2"/>
    </row>
    <row r="960" spans="1:54" ht="13.15" customHeight="1" x14ac:dyDescent="0.2">
      <c r="A960" s="1" t="s">
        <v>57</v>
      </c>
      <c r="B960" s="9" t="s">
        <v>39</v>
      </c>
      <c r="C960" s="1" t="s">
        <v>58</v>
      </c>
      <c r="D960" s="39" t="s">
        <v>59</v>
      </c>
      <c r="E960" s="39" t="s">
        <v>42</v>
      </c>
      <c r="G960" s="1" t="s">
        <v>88</v>
      </c>
      <c r="H960" s="1" t="s">
        <v>61</v>
      </c>
      <c r="I960" s="1" t="s">
        <v>4730</v>
      </c>
      <c r="J960" s="1">
        <v>2021</v>
      </c>
      <c r="K960" s="1" t="s">
        <v>4731</v>
      </c>
      <c r="P960" s="1" t="s">
        <v>4732</v>
      </c>
      <c r="Q960" s="1" t="s">
        <v>264</v>
      </c>
      <c r="R960" s="1" t="s">
        <v>265</v>
      </c>
      <c r="S960" s="1" t="s">
        <v>533</v>
      </c>
      <c r="T960" s="1" t="s">
        <v>534</v>
      </c>
      <c r="U960" s="1">
        <v>1</v>
      </c>
      <c r="V960" s="1" t="s">
        <v>535</v>
      </c>
      <c r="W960" s="1" t="s">
        <v>4731</v>
      </c>
      <c r="X960" s="1" t="s">
        <v>609</v>
      </c>
      <c r="Y960" s="10">
        <v>44557</v>
      </c>
      <c r="Z960" s="1">
        <v>2021</v>
      </c>
      <c r="AA960" s="2">
        <v>57844.32</v>
      </c>
      <c r="AB960" s="2"/>
      <c r="AC960" s="2">
        <v>11568.86</v>
      </c>
      <c r="AD960" s="1">
        <v>1</v>
      </c>
      <c r="AG960" s="1" t="s">
        <v>432</v>
      </c>
      <c r="AH960" s="1" t="s">
        <v>4501</v>
      </c>
      <c r="AI960" s="2">
        <v>0</v>
      </c>
      <c r="AW960" s="2"/>
      <c r="AX960" s="2"/>
      <c r="AY960" s="2"/>
      <c r="BB960" s="2"/>
    </row>
    <row r="961" spans="1:54" ht="13.15" customHeight="1" x14ac:dyDescent="0.2">
      <c r="A961" s="1" t="s">
        <v>57</v>
      </c>
      <c r="B961" s="9" t="s">
        <v>39</v>
      </c>
      <c r="C961" s="1" t="s">
        <v>58</v>
      </c>
      <c r="D961" s="39" t="s">
        <v>59</v>
      </c>
      <c r="E961" s="39" t="s">
        <v>42</v>
      </c>
      <c r="G961" s="1" t="s">
        <v>88</v>
      </c>
      <c r="H961" s="1" t="s">
        <v>61</v>
      </c>
      <c r="I961" s="1" t="s">
        <v>4733</v>
      </c>
      <c r="J961" s="1">
        <v>2021</v>
      </c>
      <c r="K961" s="1" t="s">
        <v>4734</v>
      </c>
      <c r="P961" s="1" t="s">
        <v>4735</v>
      </c>
      <c r="Q961" s="1" t="s">
        <v>264</v>
      </c>
      <c r="R961" s="1" t="s">
        <v>265</v>
      </c>
      <c r="S961" s="1" t="s">
        <v>350</v>
      </c>
      <c r="T961" s="1" t="s">
        <v>351</v>
      </c>
      <c r="U961" s="1">
        <v>1</v>
      </c>
      <c r="V961" s="1" t="s">
        <v>80</v>
      </c>
      <c r="W961" s="1" t="s">
        <v>4734</v>
      </c>
      <c r="X961" s="1" t="s">
        <v>609</v>
      </c>
      <c r="Y961" s="10">
        <v>44557</v>
      </c>
      <c r="Z961" s="1">
        <v>2021</v>
      </c>
      <c r="AA961" s="2">
        <v>60273.22</v>
      </c>
      <c r="AB961" s="2"/>
      <c r="AC961" s="2">
        <v>18081.97</v>
      </c>
      <c r="AD961" s="1">
        <v>0</v>
      </c>
      <c r="AG961" s="1" t="s">
        <v>432</v>
      </c>
      <c r="AH961" s="1" t="s">
        <v>4501</v>
      </c>
      <c r="AI961" s="2">
        <v>0</v>
      </c>
      <c r="AW961" s="2"/>
      <c r="AX961" s="2"/>
      <c r="AY961" s="2"/>
      <c r="BB961" s="2"/>
    </row>
    <row r="962" spans="1:54" ht="13.15" customHeight="1" x14ac:dyDescent="0.2">
      <c r="A962" s="1" t="s">
        <v>57</v>
      </c>
      <c r="B962" s="9" t="s">
        <v>39</v>
      </c>
      <c r="C962" s="1" t="s">
        <v>58</v>
      </c>
      <c r="D962" s="39" t="s">
        <v>4315</v>
      </c>
      <c r="E962" s="39" t="s">
        <v>42</v>
      </c>
      <c r="G962" s="1" t="s">
        <v>4316</v>
      </c>
      <c r="H962" s="1" t="s">
        <v>61</v>
      </c>
      <c r="I962" s="1" t="s">
        <v>4736</v>
      </c>
      <c r="J962" s="1">
        <v>2019</v>
      </c>
      <c r="P962" s="1" t="s">
        <v>4471</v>
      </c>
      <c r="Q962" s="1" t="s">
        <v>50</v>
      </c>
      <c r="R962" s="1" t="s">
        <v>68</v>
      </c>
      <c r="S962" s="1" t="s">
        <v>425</v>
      </c>
      <c r="T962" s="1" t="s">
        <v>426</v>
      </c>
      <c r="U962" s="1">
        <v>1</v>
      </c>
      <c r="V962" s="1" t="s">
        <v>195</v>
      </c>
      <c r="Y962" s="10">
        <v>43466</v>
      </c>
      <c r="Z962" s="1">
        <v>2019</v>
      </c>
      <c r="AA962" s="2"/>
      <c r="AB962" s="2"/>
      <c r="AC962" s="2">
        <v>413815.69999999995</v>
      </c>
      <c r="AG962" s="1" t="s">
        <v>56</v>
      </c>
      <c r="AI962" s="2">
        <v>413815.69999999995</v>
      </c>
      <c r="AL962" s="1" t="s">
        <v>4319</v>
      </c>
      <c r="AW962" s="2"/>
      <c r="AX962" s="2"/>
      <c r="AY962" s="2"/>
      <c r="BB962" s="2"/>
    </row>
    <row r="963" spans="1:54" ht="13.15" customHeight="1" x14ac:dyDescent="0.2">
      <c r="A963" s="1" t="s">
        <v>57</v>
      </c>
      <c r="B963" s="9" t="s">
        <v>39</v>
      </c>
      <c r="C963" s="1" t="s">
        <v>58</v>
      </c>
      <c r="D963" s="39" t="s">
        <v>4315</v>
      </c>
      <c r="E963" s="39" t="s">
        <v>42</v>
      </c>
      <c r="G963" s="1" t="s">
        <v>4316</v>
      </c>
      <c r="H963" s="1" t="s">
        <v>61</v>
      </c>
      <c r="I963" s="1" t="s">
        <v>4737</v>
      </c>
      <c r="J963" s="1">
        <v>2019</v>
      </c>
      <c r="P963" s="1" t="s">
        <v>4471</v>
      </c>
      <c r="Q963" s="1" t="s">
        <v>50</v>
      </c>
      <c r="R963" s="1" t="s">
        <v>68</v>
      </c>
      <c r="S963" s="1" t="s">
        <v>425</v>
      </c>
      <c r="T963" s="1" t="s">
        <v>426</v>
      </c>
      <c r="U963" s="1">
        <v>1</v>
      </c>
      <c r="V963" s="1" t="s">
        <v>195</v>
      </c>
      <c r="Y963" s="10">
        <v>43466</v>
      </c>
      <c r="Z963" s="1">
        <v>2019</v>
      </c>
      <c r="AA963" s="2"/>
      <c r="AB963" s="2"/>
      <c r="AC963" s="2">
        <v>387692.1100000001</v>
      </c>
      <c r="AG963" s="1" t="s">
        <v>56</v>
      </c>
      <c r="AI963" s="2">
        <v>387692.1100000001</v>
      </c>
      <c r="AL963" s="1" t="s">
        <v>4319</v>
      </c>
      <c r="AW963" s="2"/>
      <c r="AX963" s="2"/>
      <c r="AY963" s="2"/>
      <c r="BB963" s="2"/>
    </row>
    <row r="964" spans="1:54" ht="13.15" customHeight="1" x14ac:dyDescent="0.2">
      <c r="A964" s="1" t="s">
        <v>57</v>
      </c>
      <c r="B964" s="9" t="s">
        <v>39</v>
      </c>
      <c r="C964" s="1" t="s">
        <v>58</v>
      </c>
      <c r="D964" s="39" t="s">
        <v>4315</v>
      </c>
      <c r="E964" s="39" t="s">
        <v>42</v>
      </c>
      <c r="G964" s="1" t="s">
        <v>4316</v>
      </c>
      <c r="H964" s="1" t="s">
        <v>61</v>
      </c>
      <c r="I964" s="1" t="s">
        <v>4738</v>
      </c>
      <c r="J964" s="1">
        <v>2019</v>
      </c>
      <c r="P964" s="1" t="s">
        <v>4471</v>
      </c>
      <c r="Q964" s="1" t="s">
        <v>50</v>
      </c>
      <c r="R964" s="1" t="s">
        <v>68</v>
      </c>
      <c r="S964" s="1" t="s">
        <v>425</v>
      </c>
      <c r="T964" s="1" t="s">
        <v>426</v>
      </c>
      <c r="U964" s="1">
        <v>1</v>
      </c>
      <c r="V964" s="1" t="s">
        <v>195</v>
      </c>
      <c r="Y964" s="10">
        <v>43617</v>
      </c>
      <c r="Z964" s="1">
        <v>2019</v>
      </c>
      <c r="AA964" s="2"/>
      <c r="AB964" s="2"/>
      <c r="AC964" s="2">
        <v>629541.70000000007</v>
      </c>
      <c r="AG964" s="1" t="s">
        <v>56</v>
      </c>
      <c r="AI964" s="2">
        <v>629541.70000000007</v>
      </c>
      <c r="AL964" s="1" t="s">
        <v>4319</v>
      </c>
      <c r="AW964" s="2"/>
      <c r="AX964" s="2"/>
      <c r="AY964" s="2"/>
      <c r="BB964" s="2"/>
    </row>
    <row r="965" spans="1:54" ht="13.15" customHeight="1" x14ac:dyDescent="0.2">
      <c r="A965" s="1" t="s">
        <v>57</v>
      </c>
      <c r="B965" s="9" t="s">
        <v>39</v>
      </c>
      <c r="C965" s="1" t="s">
        <v>58</v>
      </c>
      <c r="D965" s="39" t="s">
        <v>59</v>
      </c>
      <c r="E965" s="39" t="s">
        <v>42</v>
      </c>
      <c r="G965" s="1" t="s">
        <v>88</v>
      </c>
      <c r="H965" s="1" t="s">
        <v>61</v>
      </c>
      <c r="I965" s="1" t="s">
        <v>4739</v>
      </c>
      <c r="J965" s="1" t="s">
        <v>82</v>
      </c>
      <c r="K965" s="1" t="s">
        <v>4740</v>
      </c>
      <c r="P965" s="1" t="s">
        <v>4741</v>
      </c>
      <c r="Q965" s="1" t="s">
        <v>264</v>
      </c>
      <c r="R965" s="1" t="s">
        <v>265</v>
      </c>
      <c r="S965" s="1" t="s">
        <v>542</v>
      </c>
      <c r="T965" s="1" t="s">
        <v>543</v>
      </c>
      <c r="U965" s="1">
        <v>1</v>
      </c>
      <c r="V965" s="1" t="s">
        <v>268</v>
      </c>
      <c r="W965" s="1" t="s">
        <v>4740</v>
      </c>
      <c r="X965" s="1" t="s">
        <v>153</v>
      </c>
      <c r="Y965" s="10">
        <v>45132</v>
      </c>
      <c r="Z965" s="1">
        <v>2023</v>
      </c>
      <c r="AA965" s="2">
        <v>112685.56</v>
      </c>
      <c r="AB965" s="2"/>
      <c r="AC965" s="2">
        <v>54805.67</v>
      </c>
      <c r="AD965" s="1">
        <v>3</v>
      </c>
      <c r="AE965" s="1">
        <v>1</v>
      </c>
      <c r="AG965" s="1" t="s">
        <v>432</v>
      </c>
      <c r="AH965" s="1" t="s">
        <v>4501</v>
      </c>
      <c r="AI965" s="2">
        <v>0</v>
      </c>
      <c r="AL965" s="1" t="s">
        <v>395</v>
      </c>
      <c r="AW965" s="2"/>
      <c r="AX965" s="2"/>
      <c r="AY965" s="2"/>
      <c r="BB965" s="2"/>
    </row>
    <row r="966" spans="1:54" ht="13.15" customHeight="1" x14ac:dyDescent="0.2">
      <c r="A966" s="1" t="s">
        <v>57</v>
      </c>
      <c r="B966" s="9" t="s">
        <v>39</v>
      </c>
      <c r="C966" s="1" t="s">
        <v>58</v>
      </c>
      <c r="D966" s="39" t="s">
        <v>4315</v>
      </c>
      <c r="E966" s="39" t="s">
        <v>42</v>
      </c>
      <c r="G966" s="1" t="s">
        <v>4316</v>
      </c>
      <c r="H966" s="1" t="s">
        <v>61</v>
      </c>
      <c r="I966" s="1" t="s">
        <v>4742</v>
      </c>
      <c r="J966" s="1">
        <v>2021</v>
      </c>
      <c r="P966" s="1" t="s">
        <v>4318</v>
      </c>
      <c r="Q966" s="1" t="s">
        <v>101</v>
      </c>
      <c r="R966" s="1" t="s">
        <v>102</v>
      </c>
      <c r="S966" s="1" t="s">
        <v>103</v>
      </c>
      <c r="T966" s="1" t="s">
        <v>104</v>
      </c>
      <c r="U966" s="1">
        <v>1</v>
      </c>
      <c r="V966" s="1" t="s">
        <v>101</v>
      </c>
      <c r="Y966" s="10">
        <v>44555</v>
      </c>
      <c r="Z966" s="1">
        <v>2021</v>
      </c>
      <c r="AA966" s="2"/>
      <c r="AB966" s="2"/>
      <c r="AC966" s="2">
        <v>830819.55</v>
      </c>
      <c r="AG966" s="1" t="s">
        <v>56</v>
      </c>
      <c r="AI966" s="2">
        <v>830819.55</v>
      </c>
      <c r="AL966" s="1" t="s">
        <v>4319</v>
      </c>
      <c r="AW966" s="2"/>
      <c r="AX966" s="2"/>
      <c r="AY966" s="2"/>
      <c r="BB966" s="2"/>
    </row>
    <row r="967" spans="1:54" ht="13.15" customHeight="1" x14ac:dyDescent="0.2">
      <c r="A967" s="1" t="s">
        <v>57</v>
      </c>
      <c r="B967" s="9" t="s">
        <v>39</v>
      </c>
      <c r="C967" s="1" t="s">
        <v>58</v>
      </c>
      <c r="D967" s="39" t="s">
        <v>59</v>
      </c>
      <c r="E967" s="39" t="s">
        <v>42</v>
      </c>
      <c r="G967" s="1" t="s">
        <v>88</v>
      </c>
      <c r="H967" s="1" t="s">
        <v>61</v>
      </c>
      <c r="I967" s="1" t="s">
        <v>4743</v>
      </c>
      <c r="J967" s="1">
        <v>2021</v>
      </c>
      <c r="K967" s="1" t="s">
        <v>4744</v>
      </c>
      <c r="P967" s="1" t="s">
        <v>4745</v>
      </c>
      <c r="Q967" s="1" t="s">
        <v>264</v>
      </c>
      <c r="R967" s="1" t="s">
        <v>265</v>
      </c>
      <c r="S967" s="1" t="s">
        <v>935</v>
      </c>
      <c r="T967" s="1" t="s">
        <v>936</v>
      </c>
      <c r="U967" s="1">
        <v>1</v>
      </c>
      <c r="V967" s="1" t="s">
        <v>308</v>
      </c>
      <c r="W967" s="1" t="s">
        <v>4744</v>
      </c>
      <c r="X967" s="1" t="s">
        <v>609</v>
      </c>
      <c r="Y967" s="10">
        <v>44557</v>
      </c>
      <c r="Z967" s="1">
        <v>2021</v>
      </c>
      <c r="AA967" s="2">
        <v>313971.65999999997</v>
      </c>
      <c r="AB967" s="2"/>
      <c r="AC967" s="2">
        <v>94191.5</v>
      </c>
      <c r="AD967" s="1">
        <v>2</v>
      </c>
      <c r="AG967" s="1" t="s">
        <v>432</v>
      </c>
      <c r="AH967" s="1" t="s">
        <v>4501</v>
      </c>
      <c r="AI967" s="2">
        <v>0</v>
      </c>
      <c r="AW967" s="2"/>
      <c r="AX967" s="2"/>
      <c r="AY967" s="2"/>
      <c r="BB967" s="2"/>
    </row>
    <row r="968" spans="1:54" ht="13.15" customHeight="1" x14ac:dyDescent="0.2">
      <c r="A968" s="1" t="s">
        <v>57</v>
      </c>
      <c r="B968" s="9" t="s">
        <v>39</v>
      </c>
      <c r="C968" s="1" t="s">
        <v>58</v>
      </c>
      <c r="D968" s="39" t="s">
        <v>4315</v>
      </c>
      <c r="E968" s="39" t="s">
        <v>42</v>
      </c>
      <c r="G968" s="1" t="s">
        <v>4316</v>
      </c>
      <c r="H968" s="1" t="s">
        <v>61</v>
      </c>
      <c r="I968" s="1" t="s">
        <v>4746</v>
      </c>
      <c r="J968" s="1">
        <v>2019</v>
      </c>
      <c r="P968" s="1" t="s">
        <v>4471</v>
      </c>
      <c r="Q968" s="1" t="s">
        <v>50</v>
      </c>
      <c r="R968" s="1" t="s">
        <v>68</v>
      </c>
      <c r="S968" s="1" t="s">
        <v>425</v>
      </c>
      <c r="T968" s="1" t="s">
        <v>426</v>
      </c>
      <c r="U968" s="1">
        <v>1</v>
      </c>
      <c r="V968" s="1" t="s">
        <v>195</v>
      </c>
      <c r="Y968" s="10">
        <v>43466</v>
      </c>
      <c r="Z968" s="1">
        <v>2019</v>
      </c>
      <c r="AA968" s="2"/>
      <c r="AB968" s="2"/>
      <c r="AC968" s="2">
        <v>492105.07000000007</v>
      </c>
      <c r="AG968" s="1" t="s">
        <v>56</v>
      </c>
      <c r="AI968" s="2">
        <v>492105.07000000007</v>
      </c>
      <c r="AL968" s="1" t="s">
        <v>4319</v>
      </c>
      <c r="AW968" s="2"/>
      <c r="AX968" s="2"/>
      <c r="AY968" s="2"/>
      <c r="BB968" s="2"/>
    </row>
    <row r="969" spans="1:54" ht="13.15" customHeight="1" x14ac:dyDescent="0.2">
      <c r="A969" s="1" t="s">
        <v>57</v>
      </c>
      <c r="B969" s="9" t="s">
        <v>39</v>
      </c>
      <c r="C969" s="1" t="s">
        <v>58</v>
      </c>
      <c r="D969" s="39" t="s">
        <v>4315</v>
      </c>
      <c r="E969" s="39" t="s">
        <v>42</v>
      </c>
      <c r="G969" s="1" t="s">
        <v>4316</v>
      </c>
      <c r="H969" s="1" t="s">
        <v>61</v>
      </c>
      <c r="I969" s="1" t="s">
        <v>4747</v>
      </c>
      <c r="J969" s="1">
        <v>2018</v>
      </c>
      <c r="P969" s="1" t="s">
        <v>4471</v>
      </c>
      <c r="Q969" s="1" t="s">
        <v>50</v>
      </c>
      <c r="R969" s="1" t="s">
        <v>68</v>
      </c>
      <c r="S969" s="1" t="s">
        <v>425</v>
      </c>
      <c r="T969" s="1" t="s">
        <v>426</v>
      </c>
      <c r="U969" s="1">
        <v>1</v>
      </c>
      <c r="V969" s="1" t="s">
        <v>195</v>
      </c>
      <c r="Y969" s="10">
        <v>43463</v>
      </c>
      <c r="Z969" s="1">
        <v>2018</v>
      </c>
      <c r="AA969" s="2"/>
      <c r="AB969" s="2"/>
      <c r="AC969" s="2">
        <v>586369.19000000006</v>
      </c>
      <c r="AG969" s="1" t="s">
        <v>56</v>
      </c>
      <c r="AI969" s="2">
        <v>586369.19000000006</v>
      </c>
      <c r="AL969" s="1" t="s">
        <v>4319</v>
      </c>
      <c r="AW969" s="2"/>
      <c r="AX969" s="2"/>
      <c r="AY969" s="2"/>
      <c r="BB969" s="2"/>
    </row>
    <row r="970" spans="1:54" ht="13.15" customHeight="1" x14ac:dyDescent="0.2">
      <c r="A970" s="1" t="s">
        <v>57</v>
      </c>
      <c r="B970" s="9" t="s">
        <v>39</v>
      </c>
      <c r="C970" s="1" t="s">
        <v>58</v>
      </c>
      <c r="D970" s="39" t="s">
        <v>59</v>
      </c>
      <c r="E970" s="39" t="s">
        <v>42</v>
      </c>
      <c r="G970" s="1" t="s">
        <v>88</v>
      </c>
      <c r="H970" s="1" t="s">
        <v>61</v>
      </c>
      <c r="I970" s="1" t="s">
        <v>4748</v>
      </c>
      <c r="J970" s="1" t="s">
        <v>82</v>
      </c>
      <c r="K970" s="1" t="s">
        <v>4749</v>
      </c>
      <c r="P970" s="1" t="s">
        <v>4750</v>
      </c>
      <c r="Q970" s="1" t="s">
        <v>264</v>
      </c>
      <c r="R970" s="1" t="s">
        <v>265</v>
      </c>
      <c r="S970" s="1" t="s">
        <v>542</v>
      </c>
      <c r="T970" s="1" t="s">
        <v>543</v>
      </c>
      <c r="U970" s="1">
        <v>1</v>
      </c>
      <c r="V970" s="1" t="s">
        <v>268</v>
      </c>
      <c r="W970" s="1" t="s">
        <v>4749</v>
      </c>
      <c r="X970" s="1" t="s">
        <v>321</v>
      </c>
      <c r="Y970" s="10">
        <v>44435</v>
      </c>
      <c r="Z970" s="1">
        <v>2021</v>
      </c>
      <c r="AA970" s="2">
        <v>182255.86</v>
      </c>
      <c r="AB970" s="2"/>
      <c r="AC970" s="2">
        <v>50000</v>
      </c>
      <c r="AD970" s="1">
        <v>1</v>
      </c>
      <c r="AG970" s="1" t="s">
        <v>432</v>
      </c>
      <c r="AH970" s="1" t="s">
        <v>492</v>
      </c>
      <c r="AI970" s="2">
        <v>0</v>
      </c>
      <c r="AW970" s="2"/>
      <c r="AX970" s="2"/>
      <c r="AY970" s="2"/>
      <c r="BB970" s="2"/>
    </row>
    <row r="971" spans="1:54" ht="13.15" customHeight="1" x14ac:dyDescent="0.2">
      <c r="A971" s="1" t="s">
        <v>57</v>
      </c>
      <c r="B971" s="9" t="s">
        <v>39</v>
      </c>
      <c r="C971" s="1" t="s">
        <v>58</v>
      </c>
      <c r="D971" s="39" t="s">
        <v>59</v>
      </c>
      <c r="E971" s="39" t="s">
        <v>42</v>
      </c>
      <c r="G971" s="1" t="s">
        <v>88</v>
      </c>
      <c r="H971" s="1" t="s">
        <v>61</v>
      </c>
      <c r="I971" s="1" t="s">
        <v>4751</v>
      </c>
      <c r="J971" s="1" t="s">
        <v>82</v>
      </c>
      <c r="K971" s="1" t="s">
        <v>4752</v>
      </c>
      <c r="P971" s="1" t="s">
        <v>4753</v>
      </c>
      <c r="Q971" s="1" t="s">
        <v>264</v>
      </c>
      <c r="R971" s="1" t="s">
        <v>265</v>
      </c>
      <c r="S971" s="1" t="s">
        <v>275</v>
      </c>
      <c r="T971" s="1" t="s">
        <v>276</v>
      </c>
      <c r="U971" s="1">
        <v>1</v>
      </c>
      <c r="V971" s="1" t="s">
        <v>80</v>
      </c>
      <c r="W971" s="1" t="s">
        <v>4752</v>
      </c>
      <c r="X971" s="1" t="s">
        <v>87</v>
      </c>
      <c r="Y971" s="10">
        <v>44181</v>
      </c>
      <c r="Z971" s="1">
        <v>2020</v>
      </c>
      <c r="AA971" s="2">
        <v>152000</v>
      </c>
      <c r="AB971" s="2"/>
      <c r="AC971" s="2">
        <v>60600</v>
      </c>
      <c r="AD971" s="1">
        <v>1</v>
      </c>
      <c r="AG971" s="1" t="s">
        <v>432</v>
      </c>
      <c r="AH971" s="1" t="s">
        <v>4501</v>
      </c>
      <c r="AI971" s="2">
        <v>0</v>
      </c>
      <c r="AW971" s="2"/>
      <c r="AX971" s="2"/>
      <c r="AY971" s="2"/>
      <c r="BB971" s="2"/>
    </row>
    <row r="972" spans="1:54" ht="13.15" customHeight="1" x14ac:dyDescent="0.2">
      <c r="A972" s="1" t="s">
        <v>57</v>
      </c>
      <c r="B972" s="9" t="s">
        <v>39</v>
      </c>
      <c r="C972" s="1" t="s">
        <v>58</v>
      </c>
      <c r="D972" s="39" t="s">
        <v>59</v>
      </c>
      <c r="E972" s="39" t="s">
        <v>42</v>
      </c>
      <c r="G972" s="1" t="s">
        <v>88</v>
      </c>
      <c r="H972" s="1" t="s">
        <v>61</v>
      </c>
      <c r="I972" s="1" t="s">
        <v>4754</v>
      </c>
      <c r="J972" s="1" t="s">
        <v>82</v>
      </c>
      <c r="K972" s="1" t="s">
        <v>4755</v>
      </c>
      <c r="P972" s="1" t="s">
        <v>4756</v>
      </c>
      <c r="Q972" s="1" t="s">
        <v>264</v>
      </c>
      <c r="R972" s="1" t="s">
        <v>265</v>
      </c>
      <c r="S972" s="1" t="s">
        <v>266</v>
      </c>
      <c r="T972" s="1" t="s">
        <v>267</v>
      </c>
      <c r="U972" s="1">
        <v>2</v>
      </c>
      <c r="V972" s="1" t="s">
        <v>268</v>
      </c>
      <c r="W972" s="1" t="s">
        <v>4757</v>
      </c>
      <c r="X972" s="1" t="s">
        <v>153</v>
      </c>
      <c r="Y972" s="10">
        <v>44991</v>
      </c>
      <c r="Z972" s="1">
        <v>2023</v>
      </c>
      <c r="AA972" s="2">
        <v>213935</v>
      </c>
      <c r="AB972" s="2"/>
      <c r="AC972" s="2">
        <v>60090.25</v>
      </c>
      <c r="AD972" s="1">
        <v>4</v>
      </c>
      <c r="AE972" s="1">
        <v>1</v>
      </c>
      <c r="AG972" s="1" t="s">
        <v>432</v>
      </c>
      <c r="AH972" s="1" t="s">
        <v>4501</v>
      </c>
      <c r="AI972" s="2">
        <v>0</v>
      </c>
      <c r="AL972" s="1" t="s">
        <v>4758</v>
      </c>
      <c r="AW972" s="2"/>
      <c r="AX972" s="2"/>
      <c r="AY972" s="2"/>
      <c r="BB972" s="2"/>
    </row>
    <row r="973" spans="1:54" ht="13.15" customHeight="1" x14ac:dyDescent="0.2">
      <c r="A973" s="1" t="s">
        <v>57</v>
      </c>
      <c r="B973" s="9" t="s">
        <v>39</v>
      </c>
      <c r="C973" s="1" t="s">
        <v>58</v>
      </c>
      <c r="D973" s="39" t="s">
        <v>59</v>
      </c>
      <c r="E973" s="39" t="s">
        <v>42</v>
      </c>
      <c r="G973" s="1" t="s">
        <v>88</v>
      </c>
      <c r="H973" s="1" t="s">
        <v>61</v>
      </c>
      <c r="I973" s="1" t="s">
        <v>4759</v>
      </c>
      <c r="J973" s="1">
        <v>2021</v>
      </c>
      <c r="K973" s="1" t="s">
        <v>4760</v>
      </c>
      <c r="P973" s="1" t="s">
        <v>4761</v>
      </c>
      <c r="Q973" s="1" t="s">
        <v>264</v>
      </c>
      <c r="R973" s="1" t="s">
        <v>265</v>
      </c>
      <c r="S973" s="1" t="s">
        <v>542</v>
      </c>
      <c r="T973" s="1" t="s">
        <v>543</v>
      </c>
      <c r="U973" s="1">
        <v>1</v>
      </c>
      <c r="V973" s="1" t="s">
        <v>268</v>
      </c>
      <c r="W973" s="1" t="s">
        <v>4762</v>
      </c>
      <c r="X973" s="1" t="s">
        <v>609</v>
      </c>
      <c r="Y973" s="10">
        <v>44557</v>
      </c>
      <c r="Z973" s="1">
        <v>2021</v>
      </c>
      <c r="AA973" s="2">
        <v>495000</v>
      </c>
      <c r="AB973" s="2"/>
      <c r="AC973" s="2">
        <v>90000</v>
      </c>
      <c r="AD973" s="1">
        <v>0</v>
      </c>
      <c r="AG973" s="1" t="s">
        <v>432</v>
      </c>
      <c r="AH973" s="1" t="s">
        <v>492</v>
      </c>
      <c r="AI973" s="2">
        <v>0</v>
      </c>
      <c r="AW973" s="2"/>
      <c r="AX973" s="2"/>
      <c r="AY973" s="2"/>
      <c r="BB973" s="2"/>
    </row>
    <row r="974" spans="1:54" ht="13.15" customHeight="1" x14ac:dyDescent="0.2">
      <c r="A974" s="1" t="s">
        <v>57</v>
      </c>
      <c r="B974" s="9" t="s">
        <v>39</v>
      </c>
      <c r="C974" s="1" t="s">
        <v>58</v>
      </c>
      <c r="D974" s="39" t="s">
        <v>4315</v>
      </c>
      <c r="E974" s="39" t="s">
        <v>42</v>
      </c>
      <c r="G974" s="1" t="s">
        <v>4316</v>
      </c>
      <c r="H974" s="1" t="s">
        <v>61</v>
      </c>
      <c r="I974" s="1" t="s">
        <v>4763</v>
      </c>
      <c r="J974" s="1">
        <v>2019</v>
      </c>
      <c r="P974" s="1" t="s">
        <v>4471</v>
      </c>
      <c r="Q974" s="1" t="s">
        <v>50</v>
      </c>
      <c r="R974" s="1" t="s">
        <v>68</v>
      </c>
      <c r="S974" s="1" t="s">
        <v>425</v>
      </c>
      <c r="T974" s="1" t="s">
        <v>426</v>
      </c>
      <c r="U974" s="1">
        <v>1</v>
      </c>
      <c r="V974" s="1" t="s">
        <v>195</v>
      </c>
      <c r="Y974" s="10">
        <v>43466</v>
      </c>
      <c r="Z974" s="1">
        <v>2019</v>
      </c>
      <c r="AA974" s="2"/>
      <c r="AB974" s="2"/>
      <c r="AC974" s="2">
        <v>709823.49</v>
      </c>
      <c r="AG974" s="1" t="s">
        <v>56</v>
      </c>
      <c r="AI974" s="2">
        <v>709823.49</v>
      </c>
      <c r="AL974" s="1" t="s">
        <v>4319</v>
      </c>
      <c r="AW974" s="2"/>
      <c r="AX974" s="2"/>
      <c r="AY974" s="2"/>
      <c r="BB974" s="2"/>
    </row>
    <row r="975" spans="1:54" ht="13.15" customHeight="1" x14ac:dyDescent="0.2">
      <c r="A975" s="1" t="s">
        <v>57</v>
      </c>
      <c r="B975" s="9" t="s">
        <v>39</v>
      </c>
      <c r="C975" s="1" t="s">
        <v>58</v>
      </c>
      <c r="D975" s="39" t="s">
        <v>4315</v>
      </c>
      <c r="E975" s="39" t="s">
        <v>42</v>
      </c>
      <c r="G975" s="1" t="s">
        <v>4340</v>
      </c>
      <c r="H975" s="1" t="s">
        <v>61</v>
      </c>
      <c r="I975" s="1" t="s">
        <v>4764</v>
      </c>
      <c r="J975" s="1">
        <v>2020</v>
      </c>
      <c r="P975" s="1" t="s">
        <v>4329</v>
      </c>
      <c r="Q975" s="1" t="s">
        <v>101</v>
      </c>
      <c r="R975" s="1" t="s">
        <v>102</v>
      </c>
      <c r="S975" s="1" t="s">
        <v>1486</v>
      </c>
      <c r="T975" s="1" t="s">
        <v>1487</v>
      </c>
      <c r="U975" s="1">
        <v>1</v>
      </c>
      <c r="V975" s="1" t="s">
        <v>101</v>
      </c>
      <c r="Y975" s="10">
        <v>44160</v>
      </c>
      <c r="Z975" s="1">
        <v>2020</v>
      </c>
      <c r="AA975" s="2"/>
      <c r="AB975" s="2"/>
      <c r="AC975" s="2">
        <v>18666.36</v>
      </c>
      <c r="AG975" s="1" t="s">
        <v>56</v>
      </c>
      <c r="AI975" s="2">
        <v>18666.36</v>
      </c>
      <c r="AW975" s="2"/>
      <c r="AX975" s="2"/>
      <c r="AY975" s="2"/>
      <c r="BB975" s="2"/>
    </row>
    <row r="976" spans="1:54" ht="13.15" customHeight="1" x14ac:dyDescent="0.2">
      <c r="A976" s="1" t="s">
        <v>57</v>
      </c>
      <c r="B976" s="9" t="s">
        <v>39</v>
      </c>
      <c r="C976" s="1" t="s">
        <v>58</v>
      </c>
      <c r="D976" s="39" t="s">
        <v>59</v>
      </c>
      <c r="E976" s="39" t="s">
        <v>42</v>
      </c>
      <c r="G976" s="1" t="s">
        <v>88</v>
      </c>
      <c r="H976" s="1" t="s">
        <v>61</v>
      </c>
      <c r="I976" s="1" t="s">
        <v>4765</v>
      </c>
      <c r="J976" s="1">
        <v>2021</v>
      </c>
      <c r="K976" s="1" t="s">
        <v>4766</v>
      </c>
      <c r="P976" s="1" t="s">
        <v>4767</v>
      </c>
      <c r="Q976" s="1" t="s">
        <v>264</v>
      </c>
      <c r="R976" s="1" t="s">
        <v>265</v>
      </c>
      <c r="S976" s="1" t="s">
        <v>350</v>
      </c>
      <c r="T976" s="1" t="s">
        <v>351</v>
      </c>
      <c r="U976" s="1">
        <v>1</v>
      </c>
      <c r="V976" s="1" t="s">
        <v>80</v>
      </c>
      <c r="W976" s="1" t="s">
        <v>4766</v>
      </c>
      <c r="X976" s="1" t="s">
        <v>609</v>
      </c>
      <c r="Y976" s="10">
        <v>44557</v>
      </c>
      <c r="Z976" s="1">
        <v>2021</v>
      </c>
      <c r="AA976" s="2">
        <v>236406.56</v>
      </c>
      <c r="AB976" s="2"/>
      <c r="AC976" s="2">
        <v>70921.97</v>
      </c>
      <c r="AD976" s="1">
        <v>2</v>
      </c>
      <c r="AE976" s="1">
        <v>1</v>
      </c>
      <c r="AG976" s="1" t="s">
        <v>432</v>
      </c>
      <c r="AH976" s="1" t="s">
        <v>492</v>
      </c>
      <c r="AI976" s="2">
        <v>0</v>
      </c>
      <c r="AW976" s="2"/>
      <c r="AX976" s="2"/>
      <c r="AY976" s="2"/>
      <c r="BB976" s="2"/>
    </row>
    <row r="977" spans="1:54" ht="13.15" customHeight="1" x14ac:dyDescent="0.2">
      <c r="A977" s="1" t="s">
        <v>57</v>
      </c>
      <c r="B977" s="9" t="s">
        <v>39</v>
      </c>
      <c r="C977" s="1" t="s">
        <v>58</v>
      </c>
      <c r="D977" s="39" t="s">
        <v>59</v>
      </c>
      <c r="E977" s="39" t="s">
        <v>42</v>
      </c>
      <c r="G977" s="1" t="s">
        <v>88</v>
      </c>
      <c r="H977" s="1" t="s">
        <v>61</v>
      </c>
      <c r="I977" s="1" t="s">
        <v>4768</v>
      </c>
      <c r="J977" s="1">
        <v>2021</v>
      </c>
      <c r="K977" s="1" t="s">
        <v>4769</v>
      </c>
      <c r="P977" s="1" t="s">
        <v>4770</v>
      </c>
      <c r="Q977" s="1" t="s">
        <v>264</v>
      </c>
      <c r="R977" s="1" t="s">
        <v>265</v>
      </c>
      <c r="S977" s="1" t="s">
        <v>275</v>
      </c>
      <c r="T977" s="1" t="s">
        <v>276</v>
      </c>
      <c r="U977" s="1">
        <v>2</v>
      </c>
      <c r="V977" s="1" t="s">
        <v>80</v>
      </c>
      <c r="W977" s="1" t="s">
        <v>4769</v>
      </c>
      <c r="X977" s="1" t="s">
        <v>138</v>
      </c>
      <c r="Y977" s="10">
        <v>45064</v>
      </c>
      <c r="Z977" s="1">
        <v>2023</v>
      </c>
      <c r="AA977" s="2">
        <v>116662.67</v>
      </c>
      <c r="AB977" s="2"/>
      <c r="AC977" s="2">
        <v>17499.400000000001</v>
      </c>
      <c r="AD977" s="1">
        <v>1</v>
      </c>
      <c r="AE977" s="1">
        <v>1</v>
      </c>
      <c r="AG977" s="1" t="s">
        <v>432</v>
      </c>
      <c r="AH977" s="1" t="s">
        <v>492</v>
      </c>
      <c r="AI977" s="2">
        <v>0</v>
      </c>
      <c r="AW977" s="2"/>
      <c r="AX977" s="2"/>
      <c r="AY977" s="2"/>
      <c r="BB977" s="2"/>
    </row>
    <row r="978" spans="1:54" ht="13.15" customHeight="1" x14ac:dyDescent="0.2">
      <c r="A978" s="1" t="s">
        <v>57</v>
      </c>
      <c r="B978" s="9" t="s">
        <v>39</v>
      </c>
      <c r="C978" s="1" t="s">
        <v>58</v>
      </c>
      <c r="D978" s="39" t="s">
        <v>59</v>
      </c>
      <c r="E978" s="39" t="s">
        <v>42</v>
      </c>
      <c r="G978" s="1" t="s">
        <v>88</v>
      </c>
      <c r="H978" s="1" t="s">
        <v>61</v>
      </c>
      <c r="I978" s="1" t="s">
        <v>4771</v>
      </c>
      <c r="J978" s="1" t="s">
        <v>82</v>
      </c>
      <c r="K978" s="1" t="s">
        <v>4772</v>
      </c>
      <c r="P978" s="1" t="s">
        <v>4773</v>
      </c>
      <c r="Q978" s="1" t="s">
        <v>264</v>
      </c>
      <c r="R978" s="1" t="s">
        <v>265</v>
      </c>
      <c r="S978" s="1" t="s">
        <v>350</v>
      </c>
      <c r="T978" s="1" t="s">
        <v>351</v>
      </c>
      <c r="U978" s="1">
        <v>1</v>
      </c>
      <c r="V978" s="1" t="s">
        <v>80</v>
      </c>
      <c r="W978" s="1" t="s">
        <v>4772</v>
      </c>
      <c r="X978" s="1" t="s">
        <v>153</v>
      </c>
      <c r="Y978" s="10">
        <v>44993</v>
      </c>
      <c r="Z978" s="1">
        <v>2023</v>
      </c>
      <c r="AA978" s="2">
        <v>85908.55</v>
      </c>
      <c r="AB978" s="2"/>
      <c r="AC978" s="2">
        <v>25772.57</v>
      </c>
      <c r="AD978" s="1">
        <v>0</v>
      </c>
      <c r="AG978" s="1" t="s">
        <v>432</v>
      </c>
      <c r="AH978" s="1" t="s">
        <v>4501</v>
      </c>
      <c r="AI978" s="2">
        <v>0</v>
      </c>
      <c r="AW978" s="2"/>
      <c r="AX978" s="2"/>
      <c r="AY978" s="2"/>
      <c r="BB978" s="2"/>
    </row>
    <row r="979" spans="1:54" ht="13.15" customHeight="1" x14ac:dyDescent="0.2">
      <c r="A979" s="1" t="s">
        <v>57</v>
      </c>
      <c r="B979" s="9" t="s">
        <v>39</v>
      </c>
      <c r="C979" s="1" t="s">
        <v>58</v>
      </c>
      <c r="D979" s="39" t="s">
        <v>4315</v>
      </c>
      <c r="E979" s="39" t="s">
        <v>42</v>
      </c>
      <c r="G979" s="1" t="s">
        <v>4316</v>
      </c>
      <c r="H979" s="1" t="s">
        <v>61</v>
      </c>
      <c r="I979" s="1" t="s">
        <v>4774</v>
      </c>
      <c r="J979" s="1">
        <v>2020</v>
      </c>
      <c r="P979" s="1" t="s">
        <v>4318</v>
      </c>
      <c r="Q979" s="1" t="s">
        <v>101</v>
      </c>
      <c r="R979" s="1" t="s">
        <v>102</v>
      </c>
      <c r="S979" s="1" t="s">
        <v>103</v>
      </c>
      <c r="T979" s="1" t="s">
        <v>104</v>
      </c>
      <c r="U979" s="1">
        <v>1</v>
      </c>
      <c r="V979" s="1" t="s">
        <v>101</v>
      </c>
      <c r="Y979" s="10">
        <v>43831</v>
      </c>
      <c r="Z979" s="1">
        <v>2020</v>
      </c>
      <c r="AA979" s="2"/>
      <c r="AB979" s="2"/>
      <c r="AC979" s="2">
        <v>384427.05</v>
      </c>
      <c r="AG979" s="1" t="s">
        <v>56</v>
      </c>
      <c r="AI979" s="2">
        <v>384427.05</v>
      </c>
      <c r="AL979" s="1" t="s">
        <v>4319</v>
      </c>
      <c r="AW979" s="2"/>
      <c r="AX979" s="2"/>
      <c r="AY979" s="2"/>
      <c r="BB979" s="2"/>
    </row>
    <row r="980" spans="1:54" ht="13.15" customHeight="1" x14ac:dyDescent="0.2">
      <c r="A980" s="1" t="s">
        <v>57</v>
      </c>
      <c r="B980" s="9" t="s">
        <v>39</v>
      </c>
      <c r="C980" s="1" t="s">
        <v>58</v>
      </c>
      <c r="D980" s="39" t="s">
        <v>59</v>
      </c>
      <c r="E980" s="39" t="s">
        <v>42</v>
      </c>
      <c r="G980" s="1" t="s">
        <v>88</v>
      </c>
      <c r="H980" s="1" t="s">
        <v>61</v>
      </c>
      <c r="I980" s="1" t="s">
        <v>4775</v>
      </c>
      <c r="J980" s="1">
        <v>2021</v>
      </c>
      <c r="K980" s="1" t="s">
        <v>4776</v>
      </c>
      <c r="P980" s="1" t="s">
        <v>4777</v>
      </c>
      <c r="Q980" s="1" t="s">
        <v>264</v>
      </c>
      <c r="R980" s="1" t="s">
        <v>265</v>
      </c>
      <c r="S980" s="1" t="s">
        <v>275</v>
      </c>
      <c r="T980" s="1" t="s">
        <v>276</v>
      </c>
      <c r="U980" s="1">
        <v>2</v>
      </c>
      <c r="V980" s="1" t="s">
        <v>80</v>
      </c>
      <c r="W980" s="1" t="s">
        <v>4776</v>
      </c>
      <c r="X980" s="1" t="s">
        <v>145</v>
      </c>
      <c r="Y980" s="10">
        <v>44557</v>
      </c>
      <c r="Z980" s="1">
        <v>2021</v>
      </c>
      <c r="AA980" s="2">
        <v>463274.38</v>
      </c>
      <c r="AB980" s="2"/>
      <c r="AC980" s="2">
        <v>30000</v>
      </c>
      <c r="AD980" s="1">
        <v>0</v>
      </c>
      <c r="AG980" s="1" t="s">
        <v>432</v>
      </c>
      <c r="AH980" s="1" t="s">
        <v>4501</v>
      </c>
      <c r="AI980" s="2">
        <v>0</v>
      </c>
      <c r="AW980" s="2"/>
      <c r="AX980" s="2"/>
      <c r="AY980" s="2"/>
      <c r="BB980" s="2"/>
    </row>
    <row r="981" spans="1:54" ht="13.15" customHeight="1" x14ac:dyDescent="0.2">
      <c r="A981" s="1" t="s">
        <v>57</v>
      </c>
      <c r="B981" s="9" t="s">
        <v>39</v>
      </c>
      <c r="C981" s="1" t="s">
        <v>58</v>
      </c>
      <c r="D981" s="39" t="s">
        <v>4315</v>
      </c>
      <c r="E981" s="39" t="s">
        <v>42</v>
      </c>
      <c r="G981" s="1" t="s">
        <v>4316</v>
      </c>
      <c r="H981" s="1" t="s">
        <v>61</v>
      </c>
      <c r="I981" s="1" t="s">
        <v>4778</v>
      </c>
      <c r="J981" s="1">
        <v>2019</v>
      </c>
      <c r="P981" s="1" t="s">
        <v>4471</v>
      </c>
      <c r="Q981" s="1" t="s">
        <v>50</v>
      </c>
      <c r="R981" s="1" t="s">
        <v>68</v>
      </c>
      <c r="S981" s="1" t="s">
        <v>425</v>
      </c>
      <c r="T981" s="1" t="s">
        <v>426</v>
      </c>
      <c r="U981" s="1">
        <v>1</v>
      </c>
      <c r="V981" s="1" t="s">
        <v>195</v>
      </c>
      <c r="Y981" s="10">
        <v>43466</v>
      </c>
      <c r="Z981" s="1">
        <v>2019</v>
      </c>
      <c r="AA981" s="2"/>
      <c r="AB981" s="2"/>
      <c r="AC981" s="2">
        <v>509028.73999999993</v>
      </c>
      <c r="AG981" s="1" t="s">
        <v>56</v>
      </c>
      <c r="AI981" s="2">
        <v>509028.73999999993</v>
      </c>
      <c r="AL981" s="1" t="s">
        <v>4319</v>
      </c>
      <c r="AW981" s="2"/>
      <c r="AX981" s="2"/>
      <c r="AY981" s="2"/>
      <c r="BB981" s="2"/>
    </row>
    <row r="982" spans="1:54" ht="13.15" customHeight="1" x14ac:dyDescent="0.25">
      <c r="A982" s="1" t="s">
        <v>57</v>
      </c>
      <c r="B982" s="9" t="s">
        <v>39</v>
      </c>
      <c r="C982" s="1" t="s">
        <v>58</v>
      </c>
      <c r="D982" s="39" t="s">
        <v>4315</v>
      </c>
      <c r="E982" s="39" t="s">
        <v>42</v>
      </c>
      <c r="G982" s="1" t="s">
        <v>4316</v>
      </c>
      <c r="H982" s="1" t="s">
        <v>61</v>
      </c>
      <c r="I982" s="1" t="s">
        <v>4779</v>
      </c>
      <c r="J982" s="1">
        <v>2021</v>
      </c>
      <c r="P982" s="1" t="s">
        <v>4453</v>
      </c>
      <c r="Q982" s="1" t="s">
        <v>264</v>
      </c>
      <c r="R982" s="1" t="s">
        <v>265</v>
      </c>
      <c r="S982" s="16" t="s">
        <v>306</v>
      </c>
      <c r="T982" s="1" t="s">
        <v>307</v>
      </c>
      <c r="U982" s="1">
        <v>1</v>
      </c>
      <c r="V982" s="1" t="s">
        <v>308</v>
      </c>
      <c r="Y982" s="10">
        <v>44256</v>
      </c>
      <c r="Z982" s="1">
        <v>2021</v>
      </c>
      <c r="AA982" s="2"/>
      <c r="AB982" s="2"/>
      <c r="AC982" s="2">
        <v>154561.47</v>
      </c>
      <c r="AG982" s="1" t="s">
        <v>56</v>
      </c>
      <c r="AI982" s="2">
        <v>154561.47</v>
      </c>
      <c r="AL982" s="1" t="s">
        <v>4319</v>
      </c>
      <c r="AW982" s="2"/>
      <c r="AX982" s="2"/>
      <c r="AY982" s="2"/>
      <c r="BB982" s="2"/>
    </row>
    <row r="983" spans="1:54" ht="13.15" customHeight="1" x14ac:dyDescent="0.25">
      <c r="A983" s="1" t="s">
        <v>57</v>
      </c>
      <c r="B983" s="9" t="s">
        <v>39</v>
      </c>
      <c r="C983" s="1" t="s">
        <v>58</v>
      </c>
      <c r="D983" s="39" t="s">
        <v>4315</v>
      </c>
      <c r="E983" s="39" t="s">
        <v>42</v>
      </c>
      <c r="G983" s="1" t="s">
        <v>4316</v>
      </c>
      <c r="H983" s="1" t="s">
        <v>61</v>
      </c>
      <c r="I983" s="1" t="s">
        <v>4780</v>
      </c>
      <c r="J983" s="1">
        <v>2019</v>
      </c>
      <c r="P983" s="1" t="s">
        <v>4453</v>
      </c>
      <c r="Q983" s="1" t="s">
        <v>264</v>
      </c>
      <c r="R983" s="1" t="s">
        <v>265</v>
      </c>
      <c r="S983" s="16" t="s">
        <v>306</v>
      </c>
      <c r="T983" s="1" t="s">
        <v>307</v>
      </c>
      <c r="U983" s="1">
        <v>1</v>
      </c>
      <c r="V983" s="1" t="s">
        <v>308</v>
      </c>
      <c r="Y983" s="10">
        <v>43466</v>
      </c>
      <c r="Z983" s="1">
        <v>2019</v>
      </c>
      <c r="AA983" s="2"/>
      <c r="AB983" s="2"/>
      <c r="AC983" s="2">
        <v>510103.52</v>
      </c>
      <c r="AG983" s="1" t="s">
        <v>56</v>
      </c>
      <c r="AI983" s="2">
        <v>510103.52</v>
      </c>
      <c r="AL983" s="1" t="s">
        <v>4319</v>
      </c>
      <c r="AW983" s="2"/>
      <c r="AX983" s="2"/>
      <c r="AY983" s="2"/>
      <c r="BB983" s="2"/>
    </row>
    <row r="984" spans="1:54" ht="13.15" customHeight="1" x14ac:dyDescent="0.25">
      <c r="A984" s="1" t="s">
        <v>57</v>
      </c>
      <c r="B984" s="9" t="s">
        <v>39</v>
      </c>
      <c r="C984" s="1" t="s">
        <v>58</v>
      </c>
      <c r="D984" s="39" t="s">
        <v>4315</v>
      </c>
      <c r="E984" s="39" t="s">
        <v>42</v>
      </c>
      <c r="G984" s="1" t="s">
        <v>4316</v>
      </c>
      <c r="H984" s="1" t="s">
        <v>61</v>
      </c>
      <c r="I984" s="1" t="s">
        <v>4781</v>
      </c>
      <c r="J984" s="1">
        <v>2019</v>
      </c>
      <c r="P984" s="1" t="s">
        <v>4453</v>
      </c>
      <c r="Q984" s="1" t="s">
        <v>264</v>
      </c>
      <c r="R984" s="1" t="s">
        <v>265</v>
      </c>
      <c r="S984" s="16" t="s">
        <v>306</v>
      </c>
      <c r="T984" s="1" t="s">
        <v>307</v>
      </c>
      <c r="U984" s="1">
        <v>1</v>
      </c>
      <c r="V984" s="1" t="s">
        <v>308</v>
      </c>
      <c r="Y984" s="10">
        <v>43466</v>
      </c>
      <c r="Z984" s="1">
        <v>2019</v>
      </c>
      <c r="AA984" s="2"/>
      <c r="AB984" s="2"/>
      <c r="AC984" s="2">
        <v>539143.85</v>
      </c>
      <c r="AG984" s="1" t="s">
        <v>56</v>
      </c>
      <c r="AI984" s="2">
        <v>539143.85</v>
      </c>
      <c r="AL984" s="1" t="s">
        <v>4319</v>
      </c>
      <c r="AW984" s="2"/>
      <c r="AX984" s="2"/>
      <c r="AY984" s="2"/>
      <c r="BB984" s="2"/>
    </row>
    <row r="985" spans="1:54" ht="13.15" customHeight="1" x14ac:dyDescent="0.25">
      <c r="A985" s="1" t="s">
        <v>57</v>
      </c>
      <c r="B985" s="9" t="s">
        <v>39</v>
      </c>
      <c r="C985" s="1" t="s">
        <v>58</v>
      </c>
      <c r="D985" s="39" t="s">
        <v>4315</v>
      </c>
      <c r="E985" s="39" t="s">
        <v>42</v>
      </c>
      <c r="G985" s="1" t="s">
        <v>4316</v>
      </c>
      <c r="H985" s="1" t="s">
        <v>61</v>
      </c>
      <c r="I985" s="1" t="s">
        <v>4782</v>
      </c>
      <c r="J985" s="1">
        <v>2019</v>
      </c>
      <c r="P985" s="1" t="s">
        <v>4453</v>
      </c>
      <c r="Q985" s="1" t="s">
        <v>264</v>
      </c>
      <c r="R985" s="1" t="s">
        <v>265</v>
      </c>
      <c r="S985" s="16" t="s">
        <v>306</v>
      </c>
      <c r="T985" s="1" t="s">
        <v>307</v>
      </c>
      <c r="U985" s="1">
        <v>1</v>
      </c>
      <c r="V985" s="1" t="s">
        <v>308</v>
      </c>
      <c r="Y985" s="10">
        <v>43466</v>
      </c>
      <c r="Z985" s="1">
        <v>2019</v>
      </c>
      <c r="AA985" s="2"/>
      <c r="AB985" s="2"/>
      <c r="AC985" s="2">
        <v>517639.38</v>
      </c>
      <c r="AG985" s="1" t="s">
        <v>56</v>
      </c>
      <c r="AI985" s="2">
        <v>517639.38</v>
      </c>
      <c r="AL985" s="1" t="s">
        <v>4319</v>
      </c>
      <c r="AW985" s="2"/>
      <c r="AX985" s="2"/>
      <c r="AY985" s="2"/>
      <c r="BB985" s="2"/>
    </row>
    <row r="986" spans="1:54" ht="13.15" customHeight="1" x14ac:dyDescent="0.25">
      <c r="A986" s="1" t="s">
        <v>57</v>
      </c>
      <c r="B986" s="9" t="s">
        <v>39</v>
      </c>
      <c r="C986" s="1" t="s">
        <v>58</v>
      </c>
      <c r="D986" s="39" t="s">
        <v>4315</v>
      </c>
      <c r="E986" s="39" t="s">
        <v>42</v>
      </c>
      <c r="G986" s="1" t="s">
        <v>4316</v>
      </c>
      <c r="H986" s="1" t="s">
        <v>61</v>
      </c>
      <c r="I986" s="1" t="s">
        <v>4783</v>
      </c>
      <c r="J986" s="1">
        <v>2019</v>
      </c>
      <c r="P986" s="1" t="s">
        <v>4453</v>
      </c>
      <c r="Q986" s="1" t="s">
        <v>264</v>
      </c>
      <c r="R986" s="1" t="s">
        <v>265</v>
      </c>
      <c r="S986" s="16" t="s">
        <v>306</v>
      </c>
      <c r="T986" s="1" t="s">
        <v>307</v>
      </c>
      <c r="U986" s="1">
        <v>1</v>
      </c>
      <c r="V986" s="1" t="s">
        <v>308</v>
      </c>
      <c r="Y986" s="10">
        <v>43466</v>
      </c>
      <c r="Z986" s="1">
        <v>2019</v>
      </c>
      <c r="AA986" s="2"/>
      <c r="AB986" s="2"/>
      <c r="AC986" s="2">
        <v>630078.22</v>
      </c>
      <c r="AG986" s="1" t="s">
        <v>56</v>
      </c>
      <c r="AI986" s="2">
        <v>630078.22</v>
      </c>
      <c r="AL986" s="1" t="s">
        <v>4319</v>
      </c>
      <c r="AW986" s="2"/>
      <c r="AX986" s="2"/>
      <c r="AY986" s="2"/>
      <c r="BB986" s="2"/>
    </row>
    <row r="987" spans="1:54" ht="13.15" customHeight="1" x14ac:dyDescent="0.25">
      <c r="A987" s="1" t="s">
        <v>57</v>
      </c>
      <c r="B987" s="9" t="s">
        <v>39</v>
      </c>
      <c r="C987" s="1" t="s">
        <v>58</v>
      </c>
      <c r="D987" s="39" t="s">
        <v>4315</v>
      </c>
      <c r="E987" s="39" t="s">
        <v>42</v>
      </c>
      <c r="G987" s="1" t="s">
        <v>4316</v>
      </c>
      <c r="H987" s="1" t="s">
        <v>61</v>
      </c>
      <c r="I987" s="1" t="s">
        <v>4784</v>
      </c>
      <c r="J987" s="1">
        <v>2019</v>
      </c>
      <c r="P987" s="1" t="s">
        <v>4453</v>
      </c>
      <c r="Q987" s="1" t="s">
        <v>264</v>
      </c>
      <c r="R987" s="1" t="s">
        <v>265</v>
      </c>
      <c r="S987" s="16" t="s">
        <v>306</v>
      </c>
      <c r="T987" s="1" t="s">
        <v>307</v>
      </c>
      <c r="U987" s="1">
        <v>1</v>
      </c>
      <c r="V987" s="1" t="s">
        <v>308</v>
      </c>
      <c r="Y987" s="10">
        <v>43466</v>
      </c>
      <c r="Z987" s="1">
        <v>2019</v>
      </c>
      <c r="AA987" s="2"/>
      <c r="AB987" s="2"/>
      <c r="AC987" s="2">
        <v>690178.05</v>
      </c>
      <c r="AG987" s="1" t="s">
        <v>56</v>
      </c>
      <c r="AI987" s="2">
        <v>690178.05</v>
      </c>
      <c r="AL987" s="1" t="s">
        <v>4319</v>
      </c>
      <c r="AW987" s="2"/>
      <c r="AX987" s="2"/>
      <c r="AY987" s="2"/>
      <c r="BB987" s="2"/>
    </row>
    <row r="988" spans="1:54" ht="13.15" customHeight="1" x14ac:dyDescent="0.25">
      <c r="A988" s="1" t="s">
        <v>57</v>
      </c>
      <c r="B988" s="9" t="s">
        <v>39</v>
      </c>
      <c r="C988" s="1" t="s">
        <v>58</v>
      </c>
      <c r="D988" s="39" t="s">
        <v>4315</v>
      </c>
      <c r="E988" s="39" t="s">
        <v>42</v>
      </c>
      <c r="G988" s="1" t="s">
        <v>4316</v>
      </c>
      <c r="H988" s="1" t="s">
        <v>61</v>
      </c>
      <c r="I988" s="1" t="s">
        <v>4785</v>
      </c>
      <c r="J988" s="1">
        <v>2019</v>
      </c>
      <c r="P988" s="1" t="s">
        <v>4453</v>
      </c>
      <c r="Q988" s="1" t="s">
        <v>264</v>
      </c>
      <c r="R988" s="1" t="s">
        <v>265</v>
      </c>
      <c r="S988" s="16" t="s">
        <v>306</v>
      </c>
      <c r="T988" s="1" t="s">
        <v>307</v>
      </c>
      <c r="U988" s="1">
        <v>1</v>
      </c>
      <c r="V988" s="1" t="s">
        <v>308</v>
      </c>
      <c r="Y988" s="10">
        <v>43466</v>
      </c>
      <c r="Z988" s="1">
        <v>2019</v>
      </c>
      <c r="AA988" s="2"/>
      <c r="AB988" s="2"/>
      <c r="AC988" s="2">
        <v>579070.05000000005</v>
      </c>
      <c r="AG988" s="1" t="s">
        <v>56</v>
      </c>
      <c r="AI988" s="2">
        <v>579070.05000000005</v>
      </c>
      <c r="AL988" s="1" t="s">
        <v>4319</v>
      </c>
      <c r="AW988" s="2"/>
      <c r="AX988" s="2"/>
      <c r="AY988" s="2"/>
      <c r="BB988" s="2"/>
    </row>
    <row r="989" spans="1:54" ht="13.15" customHeight="1" x14ac:dyDescent="0.25">
      <c r="A989" s="1" t="s">
        <v>57</v>
      </c>
      <c r="B989" s="9" t="s">
        <v>39</v>
      </c>
      <c r="C989" s="1" t="s">
        <v>58</v>
      </c>
      <c r="D989" s="39" t="s">
        <v>4315</v>
      </c>
      <c r="E989" s="39" t="s">
        <v>42</v>
      </c>
      <c r="G989" s="1" t="s">
        <v>4316</v>
      </c>
      <c r="H989" s="1" t="s">
        <v>61</v>
      </c>
      <c r="I989" s="1" t="s">
        <v>4786</v>
      </c>
      <c r="J989" s="1">
        <v>2020</v>
      </c>
      <c r="P989" s="1" t="s">
        <v>4453</v>
      </c>
      <c r="Q989" s="1" t="s">
        <v>264</v>
      </c>
      <c r="R989" s="1" t="s">
        <v>265</v>
      </c>
      <c r="S989" s="16" t="s">
        <v>306</v>
      </c>
      <c r="T989" s="1" t="s">
        <v>307</v>
      </c>
      <c r="U989" s="1">
        <v>1</v>
      </c>
      <c r="V989" s="1" t="s">
        <v>308</v>
      </c>
      <c r="Y989" s="10">
        <v>44105</v>
      </c>
      <c r="Z989" s="1">
        <v>2020</v>
      </c>
      <c r="AA989" s="2"/>
      <c r="AB989" s="2"/>
      <c r="AC989" s="2">
        <v>576937.52999999991</v>
      </c>
      <c r="AG989" s="1" t="s">
        <v>56</v>
      </c>
      <c r="AI989" s="2">
        <v>576937.52999999991</v>
      </c>
      <c r="AL989" s="1" t="s">
        <v>4319</v>
      </c>
      <c r="AW989" s="2"/>
      <c r="AX989" s="2"/>
      <c r="AY989" s="2"/>
      <c r="BB989" s="2"/>
    </row>
    <row r="990" spans="1:54" ht="13.15" customHeight="1" x14ac:dyDescent="0.25">
      <c r="A990" s="1" t="s">
        <v>57</v>
      </c>
      <c r="B990" s="9" t="s">
        <v>39</v>
      </c>
      <c r="C990" s="1" t="s">
        <v>58</v>
      </c>
      <c r="D990" s="39" t="s">
        <v>4315</v>
      </c>
      <c r="E990" s="39" t="s">
        <v>42</v>
      </c>
      <c r="G990" s="1" t="s">
        <v>4316</v>
      </c>
      <c r="H990" s="1" t="s">
        <v>61</v>
      </c>
      <c r="I990" s="1" t="s">
        <v>4787</v>
      </c>
      <c r="J990" s="1">
        <v>2019</v>
      </c>
      <c r="P990" s="1" t="s">
        <v>4453</v>
      </c>
      <c r="Q990" s="1" t="s">
        <v>264</v>
      </c>
      <c r="R990" s="1" t="s">
        <v>265</v>
      </c>
      <c r="S990" s="16" t="s">
        <v>306</v>
      </c>
      <c r="T990" s="1" t="s">
        <v>307</v>
      </c>
      <c r="U990" s="1">
        <v>1</v>
      </c>
      <c r="V990" s="1" t="s">
        <v>308</v>
      </c>
      <c r="Y990" s="10">
        <v>43466</v>
      </c>
      <c r="Z990" s="1">
        <v>2019</v>
      </c>
      <c r="AA990" s="2"/>
      <c r="AB990" s="2"/>
      <c r="AC990" s="2">
        <v>568854.85000000009</v>
      </c>
      <c r="AG990" s="1" t="s">
        <v>56</v>
      </c>
      <c r="AI990" s="2">
        <v>568854.85000000009</v>
      </c>
      <c r="AL990" s="1" t="s">
        <v>4319</v>
      </c>
      <c r="AW990" s="2"/>
      <c r="AX990" s="2"/>
      <c r="AY990" s="2"/>
      <c r="BB990" s="2"/>
    </row>
    <row r="991" spans="1:54" ht="13.15" customHeight="1" x14ac:dyDescent="0.25">
      <c r="A991" s="1" t="s">
        <v>57</v>
      </c>
      <c r="B991" s="9" t="s">
        <v>39</v>
      </c>
      <c r="C991" s="1" t="s">
        <v>58</v>
      </c>
      <c r="D991" s="39" t="s">
        <v>4315</v>
      </c>
      <c r="E991" s="39" t="s">
        <v>42</v>
      </c>
      <c r="G991" s="1" t="s">
        <v>4316</v>
      </c>
      <c r="H991" s="1" t="s">
        <v>61</v>
      </c>
      <c r="I991" s="1" t="s">
        <v>4788</v>
      </c>
      <c r="J991" s="1">
        <v>2019</v>
      </c>
      <c r="P991" s="1" t="s">
        <v>4453</v>
      </c>
      <c r="Q991" s="1" t="s">
        <v>264</v>
      </c>
      <c r="R991" s="1" t="s">
        <v>265</v>
      </c>
      <c r="S991" s="16" t="s">
        <v>306</v>
      </c>
      <c r="T991" s="1" t="s">
        <v>307</v>
      </c>
      <c r="U991" s="1">
        <v>1</v>
      </c>
      <c r="V991" s="1" t="s">
        <v>308</v>
      </c>
      <c r="Y991" s="10">
        <v>43466</v>
      </c>
      <c r="Z991" s="1">
        <v>2019</v>
      </c>
      <c r="AA991" s="2"/>
      <c r="AB991" s="2"/>
      <c r="AC991" s="2">
        <v>584046.54999999993</v>
      </c>
      <c r="AG991" s="1" t="s">
        <v>56</v>
      </c>
      <c r="AI991" s="2">
        <v>584046.54999999993</v>
      </c>
      <c r="AL991" s="1" t="s">
        <v>4319</v>
      </c>
      <c r="AW991" s="2"/>
      <c r="AX991" s="2"/>
      <c r="AY991" s="2"/>
      <c r="BB991" s="2"/>
    </row>
    <row r="992" spans="1:54" ht="13.15" customHeight="1" x14ac:dyDescent="0.25">
      <c r="A992" s="1" t="s">
        <v>57</v>
      </c>
      <c r="B992" s="9" t="s">
        <v>39</v>
      </c>
      <c r="C992" s="1" t="s">
        <v>58</v>
      </c>
      <c r="D992" s="39" t="s">
        <v>4315</v>
      </c>
      <c r="E992" s="39" t="s">
        <v>42</v>
      </c>
      <c r="G992" s="1" t="s">
        <v>4316</v>
      </c>
      <c r="H992" s="1" t="s">
        <v>61</v>
      </c>
      <c r="I992" s="1" t="s">
        <v>4789</v>
      </c>
      <c r="J992" s="1">
        <v>2019</v>
      </c>
      <c r="P992" s="1" t="s">
        <v>4453</v>
      </c>
      <c r="Q992" s="1" t="s">
        <v>264</v>
      </c>
      <c r="R992" s="1" t="s">
        <v>265</v>
      </c>
      <c r="S992" s="16" t="s">
        <v>306</v>
      </c>
      <c r="T992" s="1" t="s">
        <v>307</v>
      </c>
      <c r="U992" s="1">
        <v>1</v>
      </c>
      <c r="V992" s="1" t="s">
        <v>308</v>
      </c>
      <c r="Y992" s="10">
        <v>43525</v>
      </c>
      <c r="Z992" s="1">
        <v>2019</v>
      </c>
      <c r="AA992" s="2"/>
      <c r="AB992" s="2"/>
      <c r="AC992" s="2">
        <v>750766.86999999988</v>
      </c>
      <c r="AG992" s="1" t="s">
        <v>56</v>
      </c>
      <c r="AI992" s="2">
        <v>750766.86999999988</v>
      </c>
      <c r="AL992" s="1" t="s">
        <v>4319</v>
      </c>
      <c r="AW992" s="2"/>
      <c r="AX992" s="2"/>
      <c r="AY992" s="2"/>
      <c r="BB992" s="2"/>
    </row>
    <row r="993" spans="1:54" ht="13.15" customHeight="1" x14ac:dyDescent="0.25">
      <c r="A993" s="1" t="s">
        <v>57</v>
      </c>
      <c r="B993" s="9" t="s">
        <v>39</v>
      </c>
      <c r="C993" s="1" t="s">
        <v>58</v>
      </c>
      <c r="D993" s="39" t="s">
        <v>4315</v>
      </c>
      <c r="E993" s="39" t="s">
        <v>42</v>
      </c>
      <c r="G993" s="1" t="s">
        <v>4316</v>
      </c>
      <c r="H993" s="1" t="s">
        <v>61</v>
      </c>
      <c r="I993" s="1" t="s">
        <v>4790</v>
      </c>
      <c r="J993" s="1">
        <v>2019</v>
      </c>
      <c r="P993" s="1" t="s">
        <v>4453</v>
      </c>
      <c r="Q993" s="1" t="s">
        <v>264</v>
      </c>
      <c r="R993" s="1" t="s">
        <v>265</v>
      </c>
      <c r="S993" s="16" t="s">
        <v>306</v>
      </c>
      <c r="T993" s="1" t="s">
        <v>307</v>
      </c>
      <c r="U993" s="1">
        <v>1</v>
      </c>
      <c r="V993" s="1" t="s">
        <v>308</v>
      </c>
      <c r="Y993" s="10">
        <v>43525</v>
      </c>
      <c r="Z993" s="1">
        <v>2019</v>
      </c>
      <c r="AA993" s="2"/>
      <c r="AB993" s="2"/>
      <c r="AC993" s="2">
        <v>704892.09</v>
      </c>
      <c r="AG993" s="1" t="s">
        <v>56</v>
      </c>
      <c r="AI993" s="2">
        <v>704892.09</v>
      </c>
      <c r="AL993" s="1" t="s">
        <v>4319</v>
      </c>
      <c r="AW993" s="2"/>
      <c r="AX993" s="2"/>
      <c r="AY993" s="2"/>
      <c r="BB993" s="2"/>
    </row>
    <row r="994" spans="1:54" ht="13.15" customHeight="1" x14ac:dyDescent="0.25">
      <c r="A994" s="1" t="s">
        <v>57</v>
      </c>
      <c r="B994" s="9" t="s">
        <v>39</v>
      </c>
      <c r="C994" s="1" t="s">
        <v>58</v>
      </c>
      <c r="D994" s="39" t="s">
        <v>4315</v>
      </c>
      <c r="E994" s="39" t="s">
        <v>42</v>
      </c>
      <c r="G994" s="1" t="s">
        <v>4316</v>
      </c>
      <c r="H994" s="1" t="s">
        <v>61</v>
      </c>
      <c r="I994" s="1" t="s">
        <v>4791</v>
      </c>
      <c r="J994" s="1">
        <v>2019</v>
      </c>
      <c r="P994" s="1" t="s">
        <v>4453</v>
      </c>
      <c r="Q994" s="1" t="s">
        <v>264</v>
      </c>
      <c r="R994" s="1" t="s">
        <v>265</v>
      </c>
      <c r="S994" s="16" t="s">
        <v>306</v>
      </c>
      <c r="T994" s="1" t="s">
        <v>307</v>
      </c>
      <c r="U994" s="1">
        <v>1</v>
      </c>
      <c r="V994" s="1" t="s">
        <v>308</v>
      </c>
      <c r="Y994" s="10">
        <v>43709</v>
      </c>
      <c r="Z994" s="1">
        <v>2019</v>
      </c>
      <c r="AA994" s="2"/>
      <c r="AB994" s="2"/>
      <c r="AC994" s="2">
        <v>800577.8</v>
      </c>
      <c r="AG994" s="1" t="s">
        <v>56</v>
      </c>
      <c r="AI994" s="2">
        <v>800577.8</v>
      </c>
      <c r="AL994" s="1" t="s">
        <v>4319</v>
      </c>
      <c r="AW994" s="2"/>
      <c r="AX994" s="2"/>
      <c r="AY994" s="2"/>
      <c r="BB994" s="2"/>
    </row>
    <row r="995" spans="1:54" ht="13.15" customHeight="1" x14ac:dyDescent="0.25">
      <c r="A995" s="1" t="s">
        <v>57</v>
      </c>
      <c r="B995" s="9" t="s">
        <v>39</v>
      </c>
      <c r="C995" s="1" t="s">
        <v>58</v>
      </c>
      <c r="D995" s="39" t="s">
        <v>4315</v>
      </c>
      <c r="E995" s="39" t="s">
        <v>42</v>
      </c>
      <c r="G995" s="1" t="s">
        <v>4316</v>
      </c>
      <c r="H995" s="1" t="s">
        <v>61</v>
      </c>
      <c r="I995" s="1" t="s">
        <v>4792</v>
      </c>
      <c r="J995" s="1">
        <v>2019</v>
      </c>
      <c r="P995" s="1" t="s">
        <v>4453</v>
      </c>
      <c r="Q995" s="1" t="s">
        <v>264</v>
      </c>
      <c r="R995" s="1" t="s">
        <v>265</v>
      </c>
      <c r="S995" s="16" t="s">
        <v>306</v>
      </c>
      <c r="T995" s="1" t="s">
        <v>307</v>
      </c>
      <c r="U995" s="1">
        <v>1</v>
      </c>
      <c r="V995" s="1" t="s">
        <v>308</v>
      </c>
      <c r="Y995" s="10">
        <v>43534</v>
      </c>
      <c r="Z995" s="1">
        <v>2019</v>
      </c>
      <c r="AA995" s="2"/>
      <c r="AB995" s="2"/>
      <c r="AC995" s="2">
        <v>638515.54</v>
      </c>
      <c r="AG995" s="1" t="s">
        <v>56</v>
      </c>
      <c r="AI995" s="2">
        <v>638515.54</v>
      </c>
      <c r="AL995" s="1" t="s">
        <v>4319</v>
      </c>
      <c r="AW995" s="2"/>
      <c r="AX995" s="2"/>
      <c r="AY995" s="2"/>
      <c r="BB995" s="2"/>
    </row>
    <row r="996" spans="1:54" ht="13.15" customHeight="1" x14ac:dyDescent="0.25">
      <c r="A996" s="1" t="s">
        <v>57</v>
      </c>
      <c r="B996" s="9" t="s">
        <v>39</v>
      </c>
      <c r="C996" s="1" t="s">
        <v>58</v>
      </c>
      <c r="D996" s="39" t="s">
        <v>4315</v>
      </c>
      <c r="E996" s="39" t="s">
        <v>42</v>
      </c>
      <c r="G996" s="1" t="s">
        <v>4316</v>
      </c>
      <c r="H996" s="1" t="s">
        <v>61</v>
      </c>
      <c r="I996" s="1" t="s">
        <v>4793</v>
      </c>
      <c r="J996" s="1">
        <v>2021</v>
      </c>
      <c r="P996" s="1" t="s">
        <v>4453</v>
      </c>
      <c r="Q996" s="1" t="s">
        <v>264</v>
      </c>
      <c r="R996" s="1" t="s">
        <v>265</v>
      </c>
      <c r="S996" s="16" t="s">
        <v>306</v>
      </c>
      <c r="T996" s="1" t="s">
        <v>307</v>
      </c>
      <c r="U996" s="1">
        <v>1</v>
      </c>
      <c r="V996" s="1" t="s">
        <v>308</v>
      </c>
      <c r="Y996" s="10">
        <v>44197</v>
      </c>
      <c r="Z996" s="1">
        <v>2021</v>
      </c>
      <c r="AA996" s="2"/>
      <c r="AB996" s="2"/>
      <c r="AC996" s="2">
        <v>652581.77999999991</v>
      </c>
      <c r="AG996" s="1" t="s">
        <v>56</v>
      </c>
      <c r="AI996" s="2">
        <v>652581.77999999991</v>
      </c>
      <c r="AL996" s="1" t="s">
        <v>4319</v>
      </c>
      <c r="AW996" s="2"/>
      <c r="AX996" s="2"/>
      <c r="AY996" s="2"/>
      <c r="BB996" s="2"/>
    </row>
    <row r="997" spans="1:54" ht="13.15" customHeight="1" x14ac:dyDescent="0.25">
      <c r="A997" s="1" t="s">
        <v>57</v>
      </c>
      <c r="B997" s="9" t="s">
        <v>39</v>
      </c>
      <c r="C997" s="1" t="s">
        <v>58</v>
      </c>
      <c r="D997" s="39" t="s">
        <v>4315</v>
      </c>
      <c r="E997" s="39" t="s">
        <v>42</v>
      </c>
      <c r="G997" s="1" t="s">
        <v>4316</v>
      </c>
      <c r="H997" s="1" t="s">
        <v>61</v>
      </c>
      <c r="I997" s="1" t="s">
        <v>4794</v>
      </c>
      <c r="J997" s="1">
        <v>2019</v>
      </c>
      <c r="P997" s="1" t="s">
        <v>4453</v>
      </c>
      <c r="Q997" s="1" t="s">
        <v>264</v>
      </c>
      <c r="R997" s="1" t="s">
        <v>265</v>
      </c>
      <c r="S997" s="16" t="s">
        <v>306</v>
      </c>
      <c r="T997" s="1" t="s">
        <v>307</v>
      </c>
      <c r="U997" s="1">
        <v>1</v>
      </c>
      <c r="V997" s="1" t="s">
        <v>308</v>
      </c>
      <c r="Y997" s="10">
        <v>43525</v>
      </c>
      <c r="Z997" s="1">
        <v>2019</v>
      </c>
      <c r="AA997" s="2"/>
      <c r="AB997" s="2"/>
      <c r="AC997" s="2">
        <v>712016.69</v>
      </c>
      <c r="AG997" s="1" t="s">
        <v>56</v>
      </c>
      <c r="AI997" s="2">
        <v>712016.69</v>
      </c>
      <c r="AL997" s="1" t="s">
        <v>4319</v>
      </c>
      <c r="AW997" s="2"/>
      <c r="AX997" s="2"/>
      <c r="AY997" s="2"/>
      <c r="BB997" s="2"/>
    </row>
    <row r="998" spans="1:54" ht="13.15" customHeight="1" x14ac:dyDescent="0.25">
      <c r="A998" s="1" t="s">
        <v>57</v>
      </c>
      <c r="B998" s="9" t="s">
        <v>39</v>
      </c>
      <c r="C998" s="1" t="s">
        <v>58</v>
      </c>
      <c r="D998" s="39" t="s">
        <v>4315</v>
      </c>
      <c r="E998" s="39" t="s">
        <v>42</v>
      </c>
      <c r="G998" s="1" t="s">
        <v>4316</v>
      </c>
      <c r="H998" s="1" t="s">
        <v>61</v>
      </c>
      <c r="I998" s="1" t="s">
        <v>4795</v>
      </c>
      <c r="J998" s="1">
        <v>2019</v>
      </c>
      <c r="P998" s="1" t="s">
        <v>4453</v>
      </c>
      <c r="Q998" s="1" t="s">
        <v>264</v>
      </c>
      <c r="R998" s="1" t="s">
        <v>265</v>
      </c>
      <c r="S998" s="16" t="s">
        <v>306</v>
      </c>
      <c r="T998" s="1" t="s">
        <v>307</v>
      </c>
      <c r="U998" s="1">
        <v>1</v>
      </c>
      <c r="V998" s="1" t="s">
        <v>308</v>
      </c>
      <c r="Y998" s="10">
        <v>43466</v>
      </c>
      <c r="Z998" s="1">
        <v>2019</v>
      </c>
      <c r="AA998" s="2"/>
      <c r="AB998" s="2"/>
      <c r="AC998" s="2">
        <v>807426.01999999979</v>
      </c>
      <c r="AG998" s="1" t="s">
        <v>56</v>
      </c>
      <c r="AI998" s="2">
        <v>807426.01999999979</v>
      </c>
      <c r="AL998" s="1" t="s">
        <v>4319</v>
      </c>
      <c r="AW998" s="2"/>
      <c r="AX998" s="2"/>
      <c r="AY998" s="2"/>
      <c r="BB998" s="2"/>
    </row>
    <row r="999" spans="1:54" ht="13.15" customHeight="1" x14ac:dyDescent="0.25">
      <c r="A999" s="1" t="s">
        <v>57</v>
      </c>
      <c r="B999" s="9" t="s">
        <v>39</v>
      </c>
      <c r="C999" s="1" t="s">
        <v>58</v>
      </c>
      <c r="D999" s="39" t="s">
        <v>4315</v>
      </c>
      <c r="E999" s="39" t="s">
        <v>42</v>
      </c>
      <c r="G999" s="1" t="s">
        <v>4316</v>
      </c>
      <c r="H999" s="1" t="s">
        <v>61</v>
      </c>
      <c r="I999" s="1" t="s">
        <v>4796</v>
      </c>
      <c r="J999" s="1">
        <v>2021</v>
      </c>
      <c r="P999" s="1" t="s">
        <v>4453</v>
      </c>
      <c r="Q999" s="1" t="s">
        <v>264</v>
      </c>
      <c r="R999" s="1" t="s">
        <v>265</v>
      </c>
      <c r="S999" s="16" t="s">
        <v>306</v>
      </c>
      <c r="T999" s="1" t="s">
        <v>307</v>
      </c>
      <c r="U999" s="1">
        <v>1</v>
      </c>
      <c r="V999" s="1" t="s">
        <v>308</v>
      </c>
      <c r="Y999" s="10">
        <v>44378</v>
      </c>
      <c r="Z999" s="1">
        <v>2021</v>
      </c>
      <c r="AA999" s="2"/>
      <c r="AB999" s="2"/>
      <c r="AC999" s="2">
        <v>981344.75</v>
      </c>
      <c r="AG999" s="1" t="s">
        <v>56</v>
      </c>
      <c r="AI999" s="2">
        <v>981344.75</v>
      </c>
      <c r="AL999" s="1" t="s">
        <v>4319</v>
      </c>
      <c r="AW999" s="2"/>
      <c r="AX999" s="2"/>
      <c r="AY999" s="2"/>
      <c r="BB999" s="2"/>
    </row>
    <row r="1000" spans="1:54" ht="13.15" customHeight="1" x14ac:dyDescent="0.25">
      <c r="A1000" s="1" t="s">
        <v>57</v>
      </c>
      <c r="B1000" s="9" t="s">
        <v>39</v>
      </c>
      <c r="C1000" s="1" t="s">
        <v>58</v>
      </c>
      <c r="D1000" s="39" t="s">
        <v>4315</v>
      </c>
      <c r="E1000" s="39" t="s">
        <v>42</v>
      </c>
      <c r="G1000" s="1" t="s">
        <v>4316</v>
      </c>
      <c r="H1000" s="1" t="s">
        <v>61</v>
      </c>
      <c r="I1000" s="1" t="s">
        <v>4797</v>
      </c>
      <c r="J1000" s="1">
        <v>2020</v>
      </c>
      <c r="P1000" s="1" t="s">
        <v>4453</v>
      </c>
      <c r="Q1000" s="1" t="s">
        <v>264</v>
      </c>
      <c r="R1000" s="1" t="s">
        <v>265</v>
      </c>
      <c r="S1000" s="16" t="s">
        <v>306</v>
      </c>
      <c r="T1000" s="1" t="s">
        <v>307</v>
      </c>
      <c r="U1000" s="1">
        <v>1</v>
      </c>
      <c r="V1000" s="1" t="s">
        <v>308</v>
      </c>
      <c r="Y1000" s="10">
        <v>44166</v>
      </c>
      <c r="Z1000" s="1">
        <v>2020</v>
      </c>
      <c r="AA1000" s="2"/>
      <c r="AB1000" s="2"/>
      <c r="AC1000" s="2">
        <v>619996.40999999992</v>
      </c>
      <c r="AG1000" s="1" t="s">
        <v>56</v>
      </c>
      <c r="AI1000" s="2">
        <v>619996.40999999992</v>
      </c>
      <c r="AL1000" s="1" t="s">
        <v>4319</v>
      </c>
      <c r="AW1000" s="2"/>
      <c r="AX1000" s="2"/>
      <c r="AY1000" s="2"/>
      <c r="BB1000" s="2"/>
    </row>
    <row r="1001" spans="1:54" ht="13.15" customHeight="1" x14ac:dyDescent="0.25">
      <c r="A1001" s="1" t="s">
        <v>57</v>
      </c>
      <c r="B1001" s="9" t="s">
        <v>39</v>
      </c>
      <c r="C1001" s="1" t="s">
        <v>58</v>
      </c>
      <c r="D1001" s="39" t="s">
        <v>4315</v>
      </c>
      <c r="E1001" s="39" t="s">
        <v>42</v>
      </c>
      <c r="G1001" s="1" t="s">
        <v>4316</v>
      </c>
      <c r="H1001" s="1" t="s">
        <v>61</v>
      </c>
      <c r="I1001" s="1" t="s">
        <v>4798</v>
      </c>
      <c r="J1001" s="1">
        <v>2019</v>
      </c>
      <c r="P1001" s="1" t="s">
        <v>4453</v>
      </c>
      <c r="Q1001" s="1" t="s">
        <v>264</v>
      </c>
      <c r="R1001" s="1" t="s">
        <v>265</v>
      </c>
      <c r="S1001" s="16" t="s">
        <v>306</v>
      </c>
      <c r="T1001" s="1" t="s">
        <v>307</v>
      </c>
      <c r="U1001" s="1">
        <v>1</v>
      </c>
      <c r="V1001" s="1" t="s">
        <v>308</v>
      </c>
      <c r="Y1001" s="10">
        <v>43466</v>
      </c>
      <c r="Z1001" s="1">
        <v>2019</v>
      </c>
      <c r="AA1001" s="2"/>
      <c r="AB1001" s="2"/>
      <c r="AC1001" s="2">
        <v>800049.55</v>
      </c>
      <c r="AG1001" s="1" t="s">
        <v>56</v>
      </c>
      <c r="AI1001" s="2">
        <v>800049.55</v>
      </c>
      <c r="AL1001" s="1" t="s">
        <v>4319</v>
      </c>
      <c r="AW1001" s="2"/>
      <c r="AX1001" s="2"/>
      <c r="AY1001" s="2"/>
      <c r="BB1001" s="2"/>
    </row>
    <row r="1002" spans="1:54" ht="13.15" customHeight="1" x14ac:dyDescent="0.25">
      <c r="A1002" s="1" t="s">
        <v>57</v>
      </c>
      <c r="B1002" s="9" t="s">
        <v>39</v>
      </c>
      <c r="C1002" s="1" t="s">
        <v>58</v>
      </c>
      <c r="D1002" s="39" t="s">
        <v>4315</v>
      </c>
      <c r="E1002" s="39" t="s">
        <v>42</v>
      </c>
      <c r="G1002" s="1" t="s">
        <v>4316</v>
      </c>
      <c r="H1002" s="1" t="s">
        <v>61</v>
      </c>
      <c r="I1002" s="1" t="s">
        <v>4799</v>
      </c>
      <c r="J1002" s="1">
        <v>2021</v>
      </c>
      <c r="P1002" s="1" t="s">
        <v>4453</v>
      </c>
      <c r="Q1002" s="1" t="s">
        <v>264</v>
      </c>
      <c r="R1002" s="1" t="s">
        <v>265</v>
      </c>
      <c r="S1002" s="16" t="s">
        <v>306</v>
      </c>
      <c r="T1002" s="1" t="s">
        <v>307</v>
      </c>
      <c r="U1002" s="1">
        <v>1</v>
      </c>
      <c r="V1002" s="1" t="s">
        <v>308</v>
      </c>
      <c r="Y1002" s="10">
        <v>44317</v>
      </c>
      <c r="Z1002" s="1">
        <v>2021</v>
      </c>
      <c r="AA1002" s="2"/>
      <c r="AB1002" s="2"/>
      <c r="AC1002" s="2">
        <v>874768.7300000001</v>
      </c>
      <c r="AG1002" s="1" t="s">
        <v>56</v>
      </c>
      <c r="AI1002" s="2">
        <v>874768.7300000001</v>
      </c>
      <c r="AL1002" s="1" t="s">
        <v>4319</v>
      </c>
      <c r="AW1002" s="2"/>
      <c r="AX1002" s="2"/>
      <c r="AY1002" s="2"/>
      <c r="BB1002" s="2"/>
    </row>
    <row r="1003" spans="1:54" ht="13.15" customHeight="1" x14ac:dyDescent="0.25">
      <c r="A1003" s="1" t="s">
        <v>57</v>
      </c>
      <c r="B1003" s="9" t="s">
        <v>39</v>
      </c>
      <c r="C1003" s="1" t="s">
        <v>58</v>
      </c>
      <c r="D1003" s="39" t="s">
        <v>4315</v>
      </c>
      <c r="E1003" s="39" t="s">
        <v>42</v>
      </c>
      <c r="G1003" s="1" t="s">
        <v>4316</v>
      </c>
      <c r="H1003" s="1" t="s">
        <v>61</v>
      </c>
      <c r="I1003" s="1" t="s">
        <v>4800</v>
      </c>
      <c r="J1003" s="1">
        <v>2019</v>
      </c>
      <c r="P1003" s="1" t="s">
        <v>4453</v>
      </c>
      <c r="Q1003" s="1" t="s">
        <v>264</v>
      </c>
      <c r="R1003" s="1" t="s">
        <v>265</v>
      </c>
      <c r="S1003" s="16" t="s">
        <v>306</v>
      </c>
      <c r="T1003" s="1" t="s">
        <v>307</v>
      </c>
      <c r="U1003" s="1">
        <v>1</v>
      </c>
      <c r="V1003" s="1" t="s">
        <v>308</v>
      </c>
      <c r="Y1003" s="10">
        <v>43525</v>
      </c>
      <c r="Z1003" s="1">
        <v>2019</v>
      </c>
      <c r="AA1003" s="2"/>
      <c r="AB1003" s="2"/>
      <c r="AC1003" s="2">
        <v>745393.34</v>
      </c>
      <c r="AG1003" s="1" t="s">
        <v>56</v>
      </c>
      <c r="AI1003" s="2">
        <v>745393.34</v>
      </c>
      <c r="AL1003" s="1" t="s">
        <v>4319</v>
      </c>
      <c r="AW1003" s="2"/>
      <c r="AX1003" s="2"/>
      <c r="AY1003" s="2"/>
      <c r="BB1003" s="2"/>
    </row>
    <row r="1004" spans="1:54" ht="13.15" customHeight="1" x14ac:dyDescent="0.25">
      <c r="A1004" s="1" t="s">
        <v>57</v>
      </c>
      <c r="B1004" s="9" t="s">
        <v>39</v>
      </c>
      <c r="C1004" s="1" t="s">
        <v>58</v>
      </c>
      <c r="D1004" s="39" t="s">
        <v>4315</v>
      </c>
      <c r="E1004" s="39" t="s">
        <v>42</v>
      </c>
      <c r="G1004" s="1" t="s">
        <v>4316</v>
      </c>
      <c r="H1004" s="1" t="s">
        <v>61</v>
      </c>
      <c r="I1004" s="1" t="s">
        <v>4801</v>
      </c>
      <c r="J1004" s="1">
        <v>2020</v>
      </c>
      <c r="P1004" s="1" t="s">
        <v>4453</v>
      </c>
      <c r="Q1004" s="1" t="s">
        <v>264</v>
      </c>
      <c r="R1004" s="1" t="s">
        <v>265</v>
      </c>
      <c r="S1004" s="16" t="s">
        <v>306</v>
      </c>
      <c r="T1004" s="1" t="s">
        <v>307</v>
      </c>
      <c r="U1004" s="1">
        <v>1</v>
      </c>
      <c r="V1004" s="1" t="s">
        <v>308</v>
      </c>
      <c r="Y1004" s="10">
        <v>44105</v>
      </c>
      <c r="Z1004" s="1">
        <v>2020</v>
      </c>
      <c r="AA1004" s="2"/>
      <c r="AB1004" s="2"/>
      <c r="AC1004" s="2">
        <v>310968.53999999998</v>
      </c>
      <c r="AG1004" s="1" t="s">
        <v>56</v>
      </c>
      <c r="AI1004" s="2">
        <v>310968.53999999998</v>
      </c>
      <c r="AL1004" s="1" t="s">
        <v>4319</v>
      </c>
      <c r="AW1004" s="2"/>
      <c r="AX1004" s="2"/>
      <c r="AY1004" s="2"/>
      <c r="BB1004" s="2"/>
    </row>
    <row r="1005" spans="1:54" ht="13.15" customHeight="1" x14ac:dyDescent="0.25">
      <c r="A1005" s="1" t="s">
        <v>57</v>
      </c>
      <c r="B1005" s="9" t="s">
        <v>39</v>
      </c>
      <c r="C1005" s="1" t="s">
        <v>58</v>
      </c>
      <c r="D1005" s="39" t="s">
        <v>4315</v>
      </c>
      <c r="E1005" s="39" t="s">
        <v>42</v>
      </c>
      <c r="G1005" s="1" t="s">
        <v>4316</v>
      </c>
      <c r="H1005" s="1" t="s">
        <v>61</v>
      </c>
      <c r="I1005" s="1" t="s">
        <v>4802</v>
      </c>
      <c r="J1005" s="1">
        <v>2020</v>
      </c>
      <c r="P1005" s="1" t="s">
        <v>4453</v>
      </c>
      <c r="Q1005" s="1" t="s">
        <v>264</v>
      </c>
      <c r="R1005" s="1" t="s">
        <v>265</v>
      </c>
      <c r="S1005" s="16" t="s">
        <v>306</v>
      </c>
      <c r="T1005" s="1" t="s">
        <v>307</v>
      </c>
      <c r="U1005" s="1">
        <v>1</v>
      </c>
      <c r="V1005" s="1" t="s">
        <v>308</v>
      </c>
      <c r="Y1005" s="10">
        <v>44105</v>
      </c>
      <c r="Z1005" s="1">
        <v>2020</v>
      </c>
      <c r="AA1005" s="2"/>
      <c r="AB1005" s="2"/>
      <c r="AC1005" s="2">
        <v>557824.5</v>
      </c>
      <c r="AG1005" s="1" t="s">
        <v>56</v>
      </c>
      <c r="AI1005" s="2">
        <v>557824.5</v>
      </c>
      <c r="AL1005" s="1" t="s">
        <v>4319</v>
      </c>
      <c r="AW1005" s="2"/>
      <c r="AX1005" s="2"/>
      <c r="AY1005" s="2"/>
      <c r="BB1005" s="2"/>
    </row>
    <row r="1006" spans="1:54" ht="13.15" customHeight="1" x14ac:dyDescent="0.25">
      <c r="A1006" s="1" t="s">
        <v>57</v>
      </c>
      <c r="B1006" s="9" t="s">
        <v>39</v>
      </c>
      <c r="C1006" s="1" t="s">
        <v>58</v>
      </c>
      <c r="D1006" s="39" t="s">
        <v>4315</v>
      </c>
      <c r="E1006" s="39" t="s">
        <v>42</v>
      </c>
      <c r="G1006" s="1" t="s">
        <v>4316</v>
      </c>
      <c r="H1006" s="1" t="s">
        <v>61</v>
      </c>
      <c r="I1006" s="1" t="s">
        <v>4803</v>
      </c>
      <c r="J1006" s="1">
        <v>2019</v>
      </c>
      <c r="P1006" s="1" t="s">
        <v>4453</v>
      </c>
      <c r="Q1006" s="1" t="s">
        <v>264</v>
      </c>
      <c r="R1006" s="1" t="s">
        <v>265</v>
      </c>
      <c r="S1006" s="16" t="s">
        <v>306</v>
      </c>
      <c r="T1006" s="1" t="s">
        <v>307</v>
      </c>
      <c r="U1006" s="1">
        <v>1</v>
      </c>
      <c r="V1006" s="1" t="s">
        <v>308</v>
      </c>
      <c r="Y1006" s="10">
        <v>43709</v>
      </c>
      <c r="Z1006" s="1">
        <v>2019</v>
      </c>
      <c r="AA1006" s="2"/>
      <c r="AB1006" s="2"/>
      <c r="AC1006" s="2">
        <v>900821.49000000011</v>
      </c>
      <c r="AG1006" s="1" t="s">
        <v>56</v>
      </c>
      <c r="AI1006" s="2">
        <v>900821.49000000011</v>
      </c>
      <c r="AL1006" s="1" t="s">
        <v>4319</v>
      </c>
      <c r="AW1006" s="2"/>
      <c r="AX1006" s="2"/>
      <c r="AY1006" s="2"/>
      <c r="BB1006" s="2"/>
    </row>
    <row r="1007" spans="1:54" ht="13.15" customHeight="1" x14ac:dyDescent="0.25">
      <c r="A1007" s="1" t="s">
        <v>57</v>
      </c>
      <c r="B1007" s="9" t="s">
        <v>39</v>
      </c>
      <c r="C1007" s="1" t="s">
        <v>58</v>
      </c>
      <c r="D1007" s="39" t="s">
        <v>4315</v>
      </c>
      <c r="E1007" s="39" t="s">
        <v>42</v>
      </c>
      <c r="G1007" s="1" t="s">
        <v>4316</v>
      </c>
      <c r="H1007" s="1" t="s">
        <v>61</v>
      </c>
      <c r="I1007" s="1" t="s">
        <v>4804</v>
      </c>
      <c r="J1007" s="1">
        <v>2019</v>
      </c>
      <c r="P1007" s="1" t="s">
        <v>4453</v>
      </c>
      <c r="Q1007" s="1" t="s">
        <v>264</v>
      </c>
      <c r="R1007" s="1" t="s">
        <v>265</v>
      </c>
      <c r="S1007" s="16" t="s">
        <v>306</v>
      </c>
      <c r="T1007" s="1" t="s">
        <v>307</v>
      </c>
      <c r="U1007" s="1">
        <v>1</v>
      </c>
      <c r="V1007" s="1" t="s">
        <v>308</v>
      </c>
      <c r="Y1007" s="10">
        <v>43466</v>
      </c>
      <c r="Z1007" s="1">
        <v>2019</v>
      </c>
      <c r="AA1007" s="2"/>
      <c r="AB1007" s="2"/>
      <c r="AC1007" s="2">
        <v>620952.59999999986</v>
      </c>
      <c r="AG1007" s="1" t="s">
        <v>56</v>
      </c>
      <c r="AI1007" s="2">
        <v>620952.59999999986</v>
      </c>
      <c r="AL1007" s="1" t="s">
        <v>4319</v>
      </c>
      <c r="AW1007" s="2"/>
      <c r="AX1007" s="2"/>
      <c r="AY1007" s="2"/>
      <c r="BB1007" s="2"/>
    </row>
    <row r="1008" spans="1:54" ht="13.15" customHeight="1" x14ac:dyDescent="0.25">
      <c r="A1008" s="1" t="s">
        <v>57</v>
      </c>
      <c r="B1008" s="9" t="s">
        <v>39</v>
      </c>
      <c r="C1008" s="1" t="s">
        <v>58</v>
      </c>
      <c r="D1008" s="39" t="s">
        <v>4315</v>
      </c>
      <c r="E1008" s="1" t="s">
        <v>42</v>
      </c>
      <c r="G1008" s="1" t="s">
        <v>4316</v>
      </c>
      <c r="H1008" s="1" t="s">
        <v>61</v>
      </c>
      <c r="I1008" s="1" t="s">
        <v>4805</v>
      </c>
      <c r="J1008" s="1">
        <v>2021</v>
      </c>
      <c r="P1008" s="1" t="s">
        <v>4453</v>
      </c>
      <c r="Q1008" s="1" t="s">
        <v>264</v>
      </c>
      <c r="R1008" s="1" t="s">
        <v>265</v>
      </c>
      <c r="S1008" s="16" t="s">
        <v>306</v>
      </c>
      <c r="T1008" s="1" t="s">
        <v>307</v>
      </c>
      <c r="U1008" s="1">
        <v>1</v>
      </c>
      <c r="V1008" s="1" t="s">
        <v>308</v>
      </c>
      <c r="Y1008" s="10">
        <v>44287</v>
      </c>
      <c r="Z1008" s="1">
        <v>2021</v>
      </c>
      <c r="AA1008" s="2"/>
      <c r="AB1008" s="2"/>
      <c r="AC1008" s="2">
        <v>721054.63</v>
      </c>
      <c r="AG1008" s="1" t="s">
        <v>56</v>
      </c>
      <c r="AI1008" s="2">
        <v>721054.63</v>
      </c>
      <c r="AL1008" s="1" t="s">
        <v>4319</v>
      </c>
      <c r="AW1008" s="2"/>
      <c r="AX1008" s="2"/>
      <c r="AY1008" s="2"/>
      <c r="BB1008" s="2"/>
    </row>
    <row r="1009" spans="1:38" ht="14.45" customHeight="1" x14ac:dyDescent="0.25">
      <c r="A1009" s="1" t="s">
        <v>57</v>
      </c>
      <c r="B1009" s="40" t="s">
        <v>39</v>
      </c>
      <c r="C1009" s="41" t="s">
        <v>58</v>
      </c>
      <c r="D1009" s="1" t="s">
        <v>4315</v>
      </c>
      <c r="E1009" s="1" t="s">
        <v>42</v>
      </c>
      <c r="F1009" s="41"/>
      <c r="G1009" s="41" t="s">
        <v>4316</v>
      </c>
      <c r="H1009" s="39" t="s">
        <v>61</v>
      </c>
      <c r="I1009" s="39" t="s">
        <v>4806</v>
      </c>
      <c r="J1009" s="39">
        <v>2019</v>
      </c>
      <c r="K1009" s="39"/>
      <c r="L1009" s="39"/>
      <c r="M1009" s="39"/>
      <c r="N1009" s="39"/>
      <c r="O1009" s="39"/>
      <c r="P1009" s="39" t="s">
        <v>4453</v>
      </c>
      <c r="Q1009" s="39" t="s">
        <v>264</v>
      </c>
      <c r="R1009" s="39" t="s">
        <v>265</v>
      </c>
      <c r="S1009" s="47" t="s">
        <v>306</v>
      </c>
      <c r="T1009" s="39" t="s">
        <v>307</v>
      </c>
      <c r="U1009" s="39">
        <v>1</v>
      </c>
      <c r="V1009" s="39" t="s">
        <v>308</v>
      </c>
      <c r="W1009" s="39"/>
      <c r="X1009" s="39"/>
      <c r="Y1009" s="42">
        <v>43466</v>
      </c>
      <c r="Z1009" s="1">
        <v>2019</v>
      </c>
      <c r="AA1009" s="2"/>
      <c r="AB1009" s="2"/>
      <c r="AC1009" s="2">
        <v>674866.24</v>
      </c>
      <c r="AG1009" s="1" t="s">
        <v>56</v>
      </c>
      <c r="AI1009" s="2">
        <v>674866.24</v>
      </c>
      <c r="AL1009" s="1" t="s">
        <v>4319</v>
      </c>
    </row>
    <row r="1010" spans="1:38" ht="14.45" customHeight="1" x14ac:dyDescent="0.25">
      <c r="A1010" s="1" t="s">
        <v>57</v>
      </c>
      <c r="B1010" s="40" t="s">
        <v>39</v>
      </c>
      <c r="C1010" s="41" t="s">
        <v>58</v>
      </c>
      <c r="D1010" s="1" t="s">
        <v>4315</v>
      </c>
      <c r="E1010" s="1" t="s">
        <v>42</v>
      </c>
      <c r="F1010" s="41"/>
      <c r="G1010" s="41" t="s">
        <v>4316</v>
      </c>
      <c r="H1010" s="39" t="s">
        <v>61</v>
      </c>
      <c r="I1010" s="39" t="s">
        <v>4807</v>
      </c>
      <c r="J1010" s="39">
        <v>2019</v>
      </c>
      <c r="K1010" s="39"/>
      <c r="L1010" s="39"/>
      <c r="M1010" s="39"/>
      <c r="N1010" s="39"/>
      <c r="O1010" s="39"/>
      <c r="P1010" s="39" t="s">
        <v>4453</v>
      </c>
      <c r="Q1010" s="39" t="s">
        <v>264</v>
      </c>
      <c r="R1010" s="39" t="s">
        <v>265</v>
      </c>
      <c r="S1010" s="47" t="s">
        <v>306</v>
      </c>
      <c r="T1010" s="39" t="s">
        <v>307</v>
      </c>
      <c r="U1010" s="39">
        <v>1</v>
      </c>
      <c r="V1010" s="39" t="s">
        <v>308</v>
      </c>
      <c r="W1010" s="39"/>
      <c r="X1010" s="39"/>
      <c r="Y1010" s="42">
        <v>43466</v>
      </c>
      <c r="Z1010" s="1">
        <v>2019</v>
      </c>
      <c r="AA1010" s="2"/>
      <c r="AB1010" s="2"/>
      <c r="AC1010" s="2">
        <v>570750.2699999999</v>
      </c>
      <c r="AG1010" s="1" t="s">
        <v>56</v>
      </c>
      <c r="AI1010" s="2">
        <v>570750.2699999999</v>
      </c>
      <c r="AL1010" s="1" t="s">
        <v>4319</v>
      </c>
    </row>
    <row r="1011" spans="1:38" ht="14.45" customHeight="1" x14ac:dyDescent="0.25">
      <c r="A1011" s="1" t="s">
        <v>57</v>
      </c>
      <c r="B1011" s="40" t="s">
        <v>39</v>
      </c>
      <c r="C1011" s="41" t="s">
        <v>58</v>
      </c>
      <c r="D1011" s="1" t="s">
        <v>4315</v>
      </c>
      <c r="E1011" s="1" t="s">
        <v>42</v>
      </c>
      <c r="F1011" s="41"/>
      <c r="G1011" s="41" t="s">
        <v>4316</v>
      </c>
      <c r="H1011" s="39" t="s">
        <v>61</v>
      </c>
      <c r="I1011" s="39" t="s">
        <v>4808</v>
      </c>
      <c r="J1011" s="39">
        <v>2019</v>
      </c>
      <c r="K1011" s="39"/>
      <c r="L1011" s="39"/>
      <c r="M1011" s="39"/>
      <c r="N1011" s="39"/>
      <c r="O1011" s="39"/>
      <c r="P1011" s="39" t="s">
        <v>4453</v>
      </c>
      <c r="Q1011" s="39" t="s">
        <v>264</v>
      </c>
      <c r="R1011" s="39" t="s">
        <v>265</v>
      </c>
      <c r="S1011" s="47" t="s">
        <v>306</v>
      </c>
      <c r="T1011" s="39" t="s">
        <v>307</v>
      </c>
      <c r="U1011" s="39">
        <v>1</v>
      </c>
      <c r="V1011" s="39" t="s">
        <v>308</v>
      </c>
      <c r="W1011" s="39"/>
      <c r="X1011" s="39"/>
      <c r="Y1011" s="42">
        <v>43525</v>
      </c>
      <c r="Z1011" s="1">
        <v>2019</v>
      </c>
      <c r="AA1011" s="2"/>
      <c r="AB1011" s="2"/>
      <c r="AC1011" s="2">
        <v>810778.19</v>
      </c>
      <c r="AG1011" s="1" t="s">
        <v>56</v>
      </c>
      <c r="AI1011" s="2">
        <v>810778.19</v>
      </c>
      <c r="AL1011" s="1" t="s">
        <v>4319</v>
      </c>
    </row>
    <row r="1012" spans="1:38" ht="14.45" customHeight="1" x14ac:dyDescent="0.25">
      <c r="A1012" s="1" t="s">
        <v>57</v>
      </c>
      <c r="B1012" s="40" t="s">
        <v>39</v>
      </c>
      <c r="C1012" s="41" t="s">
        <v>58</v>
      </c>
      <c r="D1012" s="1" t="s">
        <v>4315</v>
      </c>
      <c r="E1012" s="1" t="s">
        <v>42</v>
      </c>
      <c r="F1012" s="41"/>
      <c r="G1012" s="41" t="s">
        <v>4316</v>
      </c>
      <c r="H1012" s="39" t="s">
        <v>61</v>
      </c>
      <c r="I1012" s="39" t="s">
        <v>4809</v>
      </c>
      <c r="J1012" s="39">
        <v>2019</v>
      </c>
      <c r="K1012" s="39"/>
      <c r="L1012" s="39"/>
      <c r="M1012" s="39"/>
      <c r="N1012" s="39"/>
      <c r="O1012" s="39"/>
      <c r="P1012" s="39" t="s">
        <v>4453</v>
      </c>
      <c r="Q1012" s="39" t="s">
        <v>264</v>
      </c>
      <c r="R1012" s="39" t="s">
        <v>265</v>
      </c>
      <c r="S1012" s="47" t="s">
        <v>306</v>
      </c>
      <c r="T1012" s="39" t="s">
        <v>307</v>
      </c>
      <c r="U1012" s="39">
        <v>1</v>
      </c>
      <c r="V1012" s="39" t="s">
        <v>308</v>
      </c>
      <c r="W1012" s="39"/>
      <c r="X1012" s="39"/>
      <c r="Y1012" s="42">
        <v>43466</v>
      </c>
      <c r="Z1012" s="1">
        <v>2019</v>
      </c>
      <c r="AA1012" s="2"/>
      <c r="AB1012" s="2"/>
      <c r="AC1012" s="2">
        <v>715397.28000000014</v>
      </c>
      <c r="AG1012" s="1" t="s">
        <v>56</v>
      </c>
      <c r="AI1012" s="2">
        <v>715397.28000000014</v>
      </c>
      <c r="AL1012" s="1" t="s">
        <v>4319</v>
      </c>
    </row>
    <row r="1013" spans="1:38" ht="14.45" customHeight="1" x14ac:dyDescent="0.25">
      <c r="A1013" s="1" t="s">
        <v>57</v>
      </c>
      <c r="B1013" s="40" t="s">
        <v>39</v>
      </c>
      <c r="C1013" s="41" t="s">
        <v>58</v>
      </c>
      <c r="D1013" s="1" t="s">
        <v>4315</v>
      </c>
      <c r="E1013" s="1" t="s">
        <v>42</v>
      </c>
      <c r="F1013" s="41"/>
      <c r="G1013" s="41" t="s">
        <v>4316</v>
      </c>
      <c r="H1013" s="39" t="s">
        <v>61</v>
      </c>
      <c r="I1013" s="39" t="s">
        <v>4810</v>
      </c>
      <c r="J1013" s="39">
        <v>2019</v>
      </c>
      <c r="K1013" s="39"/>
      <c r="L1013" s="39"/>
      <c r="M1013" s="39"/>
      <c r="N1013" s="39"/>
      <c r="O1013" s="39"/>
      <c r="P1013" s="39" t="s">
        <v>4453</v>
      </c>
      <c r="Q1013" s="39" t="s">
        <v>264</v>
      </c>
      <c r="R1013" s="39" t="s">
        <v>265</v>
      </c>
      <c r="S1013" s="47" t="s">
        <v>306</v>
      </c>
      <c r="T1013" s="39" t="s">
        <v>307</v>
      </c>
      <c r="U1013" s="39">
        <v>1</v>
      </c>
      <c r="V1013" s="39" t="s">
        <v>308</v>
      </c>
      <c r="W1013" s="39"/>
      <c r="X1013" s="39"/>
      <c r="Y1013" s="42">
        <v>43466</v>
      </c>
      <c r="Z1013" s="1">
        <v>2019</v>
      </c>
      <c r="AA1013" s="2"/>
      <c r="AB1013" s="2"/>
      <c r="AC1013" s="2">
        <v>604321.55000000005</v>
      </c>
      <c r="AG1013" s="1" t="s">
        <v>56</v>
      </c>
      <c r="AI1013" s="2">
        <v>604321.55000000005</v>
      </c>
      <c r="AL1013" s="1" t="s">
        <v>4319</v>
      </c>
    </row>
    <row r="1014" spans="1:38" ht="14.45" customHeight="1" x14ac:dyDescent="0.2">
      <c r="A1014" s="1" t="s">
        <v>57</v>
      </c>
      <c r="B1014" s="40" t="s">
        <v>39</v>
      </c>
      <c r="C1014" s="41" t="s">
        <v>58</v>
      </c>
      <c r="D1014" s="1" t="s">
        <v>4315</v>
      </c>
      <c r="E1014" s="1" t="s">
        <v>42</v>
      </c>
      <c r="F1014" s="41"/>
      <c r="G1014" s="41" t="s">
        <v>4316</v>
      </c>
      <c r="H1014" s="39" t="s">
        <v>61</v>
      </c>
      <c r="I1014" s="39" t="s">
        <v>4811</v>
      </c>
      <c r="J1014" s="39">
        <v>2021</v>
      </c>
      <c r="K1014" s="39"/>
      <c r="L1014" s="39"/>
      <c r="M1014" s="39"/>
      <c r="N1014" s="39"/>
      <c r="O1014" s="39"/>
      <c r="P1014" s="39" t="s">
        <v>4318</v>
      </c>
      <c r="Q1014" s="39" t="s">
        <v>101</v>
      </c>
      <c r="R1014" s="39" t="s">
        <v>102</v>
      </c>
      <c r="S1014" s="39" t="s">
        <v>103</v>
      </c>
      <c r="T1014" s="39" t="s">
        <v>104</v>
      </c>
      <c r="U1014" s="39">
        <v>1</v>
      </c>
      <c r="V1014" s="39" t="s">
        <v>101</v>
      </c>
      <c r="W1014" s="39"/>
      <c r="X1014" s="39"/>
      <c r="Y1014" s="42">
        <v>44560</v>
      </c>
      <c r="Z1014" s="1">
        <v>2021</v>
      </c>
      <c r="AA1014" s="2"/>
      <c r="AB1014" s="2"/>
      <c r="AC1014" s="2">
        <v>216694.26000000004</v>
      </c>
      <c r="AG1014" s="1" t="s">
        <v>56</v>
      </c>
      <c r="AI1014" s="2">
        <v>216694.26000000004</v>
      </c>
      <c r="AL1014" s="1" t="s">
        <v>4319</v>
      </c>
    </row>
    <row r="1015" spans="1:38" ht="14.45" customHeight="1" x14ac:dyDescent="0.2">
      <c r="A1015" s="1" t="s">
        <v>57</v>
      </c>
      <c r="B1015" s="40" t="s">
        <v>39</v>
      </c>
      <c r="C1015" s="41" t="s">
        <v>58</v>
      </c>
      <c r="D1015" s="1" t="s">
        <v>4315</v>
      </c>
      <c r="E1015" s="1" t="s">
        <v>42</v>
      </c>
      <c r="F1015" s="41"/>
      <c r="G1015" s="41" t="s">
        <v>4316</v>
      </c>
      <c r="H1015" s="39" t="s">
        <v>61</v>
      </c>
      <c r="I1015" s="39" t="s">
        <v>4812</v>
      </c>
      <c r="J1015" s="39">
        <v>2018</v>
      </c>
      <c r="K1015" s="39"/>
      <c r="L1015" s="39"/>
      <c r="M1015" s="39"/>
      <c r="N1015" s="39"/>
      <c r="O1015" s="39"/>
      <c r="P1015" s="39" t="s">
        <v>4318</v>
      </c>
      <c r="Q1015" s="39" t="s">
        <v>101</v>
      </c>
      <c r="R1015" s="39" t="s">
        <v>102</v>
      </c>
      <c r="S1015" s="1" t="s">
        <v>103</v>
      </c>
      <c r="T1015" s="1" t="s">
        <v>104</v>
      </c>
      <c r="U1015" s="39">
        <v>1</v>
      </c>
      <c r="V1015" s="39" t="s">
        <v>101</v>
      </c>
      <c r="W1015" s="39"/>
      <c r="X1015" s="39"/>
      <c r="Y1015" s="42">
        <v>43464</v>
      </c>
      <c r="Z1015" s="1">
        <v>2018</v>
      </c>
      <c r="AA1015" s="2"/>
      <c r="AB1015" s="2"/>
      <c r="AC1015" s="2">
        <v>491131.25</v>
      </c>
      <c r="AG1015" s="1" t="s">
        <v>56</v>
      </c>
      <c r="AI1015" s="2">
        <v>491131.25</v>
      </c>
      <c r="AL1015" s="1" t="s">
        <v>4319</v>
      </c>
    </row>
    <row r="1016" spans="1:38" ht="14.45" customHeight="1" x14ac:dyDescent="0.2">
      <c r="A1016" s="1" t="s">
        <v>57</v>
      </c>
      <c r="B1016" s="40" t="s">
        <v>39</v>
      </c>
      <c r="C1016" s="41" t="s">
        <v>58</v>
      </c>
      <c r="D1016" s="1" t="s">
        <v>4315</v>
      </c>
      <c r="E1016" s="1" t="s">
        <v>42</v>
      </c>
      <c r="F1016" s="41"/>
      <c r="G1016" s="41" t="s">
        <v>4316</v>
      </c>
      <c r="H1016" s="39" t="s">
        <v>61</v>
      </c>
      <c r="I1016" s="39" t="s">
        <v>4813</v>
      </c>
      <c r="J1016" s="39">
        <v>2018</v>
      </c>
      <c r="K1016" s="39"/>
      <c r="L1016" s="39"/>
      <c r="M1016" s="39"/>
      <c r="N1016" s="39"/>
      <c r="O1016" s="39"/>
      <c r="P1016" s="39" t="s">
        <v>4318</v>
      </c>
      <c r="Q1016" s="39" t="s">
        <v>101</v>
      </c>
      <c r="R1016" s="39" t="s">
        <v>102</v>
      </c>
      <c r="S1016" s="39" t="s">
        <v>103</v>
      </c>
      <c r="T1016" s="39" t="s">
        <v>104</v>
      </c>
      <c r="U1016" s="39">
        <v>1</v>
      </c>
      <c r="V1016" s="39" t="s">
        <v>101</v>
      </c>
      <c r="W1016" s="39"/>
      <c r="X1016" s="39"/>
      <c r="Y1016" s="42">
        <v>43464</v>
      </c>
      <c r="Z1016" s="1">
        <v>2018</v>
      </c>
      <c r="AA1016" s="2"/>
      <c r="AB1016" s="2"/>
      <c r="AC1016" s="2">
        <v>623504.04</v>
      </c>
      <c r="AG1016" s="1" t="s">
        <v>56</v>
      </c>
      <c r="AI1016" s="2">
        <v>623504.04</v>
      </c>
      <c r="AL1016" s="1" t="s">
        <v>4319</v>
      </c>
    </row>
    <row r="1017" spans="1:38" ht="14.45" customHeight="1" x14ac:dyDescent="0.2">
      <c r="A1017" s="1" t="s">
        <v>57</v>
      </c>
      <c r="B1017" s="40" t="s">
        <v>39</v>
      </c>
      <c r="C1017" s="41" t="s">
        <v>58</v>
      </c>
      <c r="D1017" s="1" t="s">
        <v>4315</v>
      </c>
      <c r="E1017" s="1" t="s">
        <v>42</v>
      </c>
      <c r="F1017" s="41"/>
      <c r="G1017" s="41" t="s">
        <v>4316</v>
      </c>
      <c r="H1017" s="39" t="s">
        <v>61</v>
      </c>
      <c r="I1017" s="39" t="s">
        <v>4814</v>
      </c>
      <c r="J1017" s="39">
        <v>2020</v>
      </c>
      <c r="K1017" s="39"/>
      <c r="L1017" s="39"/>
      <c r="M1017" s="39"/>
      <c r="N1017" s="39"/>
      <c r="O1017" s="39"/>
      <c r="P1017" s="39" t="s">
        <v>4318</v>
      </c>
      <c r="Q1017" s="39" t="s">
        <v>101</v>
      </c>
      <c r="R1017" s="39" t="s">
        <v>102</v>
      </c>
      <c r="S1017" s="39" t="s">
        <v>103</v>
      </c>
      <c r="T1017" s="39" t="s">
        <v>104</v>
      </c>
      <c r="U1017" s="39">
        <v>1</v>
      </c>
      <c r="V1017" s="39" t="s">
        <v>101</v>
      </c>
      <c r="W1017" s="39"/>
      <c r="X1017" s="39"/>
      <c r="Y1017" s="42">
        <v>43831</v>
      </c>
      <c r="Z1017" s="1">
        <v>2020</v>
      </c>
      <c r="AA1017" s="2"/>
      <c r="AB1017" s="2"/>
      <c r="AC1017" s="2">
        <v>723165.31999999983</v>
      </c>
      <c r="AG1017" s="1" t="s">
        <v>56</v>
      </c>
      <c r="AI1017" s="2">
        <v>723165.31999999983</v>
      </c>
      <c r="AL1017" s="1" t="s">
        <v>4319</v>
      </c>
    </row>
    <row r="1018" spans="1:38" ht="14.45" customHeight="1" x14ac:dyDescent="0.2">
      <c r="A1018" s="1" t="s">
        <v>57</v>
      </c>
      <c r="B1018" s="40" t="s">
        <v>39</v>
      </c>
      <c r="C1018" s="41" t="s">
        <v>58</v>
      </c>
      <c r="D1018" s="1" t="s">
        <v>4315</v>
      </c>
      <c r="E1018" s="1" t="s">
        <v>42</v>
      </c>
      <c r="F1018" s="41"/>
      <c r="G1018" s="41" t="s">
        <v>4316</v>
      </c>
      <c r="H1018" s="39" t="s">
        <v>61</v>
      </c>
      <c r="I1018" s="39" t="s">
        <v>4815</v>
      </c>
      <c r="J1018" s="39">
        <v>2018</v>
      </c>
      <c r="K1018" s="39"/>
      <c r="L1018" s="39"/>
      <c r="M1018" s="39"/>
      <c r="N1018" s="39"/>
      <c r="O1018" s="39"/>
      <c r="P1018" s="39" t="s">
        <v>4457</v>
      </c>
      <c r="Q1018" s="39" t="s">
        <v>264</v>
      </c>
      <c r="R1018" s="39" t="s">
        <v>265</v>
      </c>
      <c r="S1018" s="39" t="s">
        <v>2680</v>
      </c>
      <c r="T1018" s="39" t="s">
        <v>2681</v>
      </c>
      <c r="U1018" s="39">
        <v>1</v>
      </c>
      <c r="V1018" s="39" t="s">
        <v>308</v>
      </c>
      <c r="W1018" s="39"/>
      <c r="X1018" s="39"/>
      <c r="Y1018" s="42">
        <v>43463</v>
      </c>
      <c r="Z1018" s="1">
        <v>2018</v>
      </c>
      <c r="AA1018" s="2"/>
      <c r="AB1018" s="2"/>
      <c r="AC1018" s="2">
        <v>418564.84</v>
      </c>
      <c r="AG1018" s="1" t="s">
        <v>56</v>
      </c>
      <c r="AI1018" s="2">
        <v>418564.84</v>
      </c>
      <c r="AL1018" s="1" t="s">
        <v>4319</v>
      </c>
    </row>
    <row r="1019" spans="1:38" ht="14.45" customHeight="1" x14ac:dyDescent="0.2">
      <c r="A1019" s="1" t="s">
        <v>57</v>
      </c>
      <c r="B1019" s="40" t="s">
        <v>39</v>
      </c>
      <c r="C1019" s="41" t="s">
        <v>58</v>
      </c>
      <c r="D1019" s="1" t="s">
        <v>4315</v>
      </c>
      <c r="E1019" s="1" t="s">
        <v>42</v>
      </c>
      <c r="F1019" s="41"/>
      <c r="G1019" s="41" t="s">
        <v>4316</v>
      </c>
      <c r="H1019" s="39" t="s">
        <v>61</v>
      </c>
      <c r="I1019" s="39" t="s">
        <v>4816</v>
      </c>
      <c r="J1019" s="39">
        <v>2018</v>
      </c>
      <c r="K1019" s="39"/>
      <c r="L1019" s="39"/>
      <c r="M1019" s="39"/>
      <c r="N1019" s="39"/>
      <c r="O1019" s="39"/>
      <c r="P1019" s="39" t="s">
        <v>4457</v>
      </c>
      <c r="Q1019" s="39" t="s">
        <v>264</v>
      </c>
      <c r="R1019" s="39" t="s">
        <v>265</v>
      </c>
      <c r="S1019" s="39" t="s">
        <v>2680</v>
      </c>
      <c r="T1019" s="39" t="s">
        <v>2681</v>
      </c>
      <c r="U1019" s="39">
        <v>1</v>
      </c>
      <c r="V1019" s="39" t="s">
        <v>308</v>
      </c>
      <c r="W1019" s="39"/>
      <c r="X1019" s="39"/>
      <c r="Y1019" s="42">
        <v>43463</v>
      </c>
      <c r="Z1019" s="1">
        <v>2018</v>
      </c>
      <c r="AA1019" s="2"/>
      <c r="AB1019" s="2"/>
      <c r="AC1019" s="2">
        <v>797698.27999999991</v>
      </c>
      <c r="AG1019" s="1" t="s">
        <v>56</v>
      </c>
      <c r="AI1019" s="2">
        <v>797698.27999999991</v>
      </c>
      <c r="AL1019" s="1" t="s">
        <v>4319</v>
      </c>
    </row>
    <row r="1020" spans="1:38" ht="14.45" customHeight="1" x14ac:dyDescent="0.2">
      <c r="A1020" s="1" t="s">
        <v>57</v>
      </c>
      <c r="B1020" s="40" t="s">
        <v>39</v>
      </c>
      <c r="C1020" s="41" t="s">
        <v>58</v>
      </c>
      <c r="D1020" s="1" t="s">
        <v>4315</v>
      </c>
      <c r="E1020" s="1" t="s">
        <v>42</v>
      </c>
      <c r="F1020" s="41"/>
      <c r="G1020" s="41" t="s">
        <v>4316</v>
      </c>
      <c r="H1020" s="39" t="s">
        <v>61</v>
      </c>
      <c r="I1020" s="39" t="s">
        <v>4817</v>
      </c>
      <c r="J1020" s="39">
        <v>2018</v>
      </c>
      <c r="K1020" s="39"/>
      <c r="L1020" s="39"/>
      <c r="M1020" s="39"/>
      <c r="N1020" s="39"/>
      <c r="O1020" s="39"/>
      <c r="P1020" s="39" t="s">
        <v>4457</v>
      </c>
      <c r="Q1020" s="39" t="s">
        <v>264</v>
      </c>
      <c r="R1020" s="39" t="s">
        <v>265</v>
      </c>
      <c r="S1020" s="39" t="s">
        <v>2680</v>
      </c>
      <c r="T1020" s="39" t="s">
        <v>2681</v>
      </c>
      <c r="U1020" s="39">
        <v>1</v>
      </c>
      <c r="V1020" s="39" t="s">
        <v>308</v>
      </c>
      <c r="W1020" s="39"/>
      <c r="X1020" s="39"/>
      <c r="Y1020" s="42">
        <v>43463</v>
      </c>
      <c r="Z1020" s="1">
        <v>2018</v>
      </c>
      <c r="AA1020" s="2"/>
      <c r="AB1020" s="2"/>
      <c r="AC1020" s="2">
        <v>454854.33000000007</v>
      </c>
      <c r="AG1020" s="1" t="s">
        <v>56</v>
      </c>
      <c r="AI1020" s="2">
        <v>454854.33000000007</v>
      </c>
      <c r="AL1020" s="1" t="s">
        <v>4319</v>
      </c>
    </row>
    <row r="1021" spans="1:38" ht="14.45" customHeight="1" x14ac:dyDescent="0.2">
      <c r="A1021" s="1" t="s">
        <v>57</v>
      </c>
      <c r="B1021" s="40" t="s">
        <v>39</v>
      </c>
      <c r="C1021" s="41" t="s">
        <v>58</v>
      </c>
      <c r="D1021" s="1" t="s">
        <v>4315</v>
      </c>
      <c r="E1021" s="1" t="s">
        <v>42</v>
      </c>
      <c r="F1021" s="41"/>
      <c r="G1021" s="41" t="s">
        <v>4316</v>
      </c>
      <c r="H1021" s="39" t="s">
        <v>61</v>
      </c>
      <c r="I1021" s="39" t="s">
        <v>4818</v>
      </c>
      <c r="J1021" s="39">
        <v>2018</v>
      </c>
      <c r="K1021" s="39"/>
      <c r="L1021" s="39"/>
      <c r="M1021" s="39"/>
      <c r="N1021" s="39"/>
      <c r="O1021" s="39"/>
      <c r="P1021" s="39" t="s">
        <v>4457</v>
      </c>
      <c r="Q1021" s="39" t="s">
        <v>264</v>
      </c>
      <c r="R1021" s="39" t="s">
        <v>265</v>
      </c>
      <c r="S1021" s="39" t="s">
        <v>2680</v>
      </c>
      <c r="T1021" s="39" t="s">
        <v>2681</v>
      </c>
      <c r="U1021" s="39">
        <v>1</v>
      </c>
      <c r="V1021" s="39" t="s">
        <v>308</v>
      </c>
      <c r="W1021" s="39"/>
      <c r="X1021" s="39"/>
      <c r="Y1021" s="42">
        <v>43463</v>
      </c>
      <c r="Z1021" s="1">
        <v>2018</v>
      </c>
      <c r="AA1021" s="2"/>
      <c r="AB1021" s="2"/>
      <c r="AC1021" s="2">
        <v>496191.79</v>
      </c>
      <c r="AG1021" s="1" t="s">
        <v>56</v>
      </c>
      <c r="AI1021" s="2">
        <v>496191.79</v>
      </c>
      <c r="AL1021" s="1" t="s">
        <v>4319</v>
      </c>
    </row>
    <row r="1022" spans="1:38" ht="14.45" customHeight="1" x14ac:dyDescent="0.2">
      <c r="A1022" s="1" t="s">
        <v>57</v>
      </c>
      <c r="B1022" s="40" t="s">
        <v>39</v>
      </c>
      <c r="C1022" s="41" t="s">
        <v>58</v>
      </c>
      <c r="D1022" s="1" t="s">
        <v>4315</v>
      </c>
      <c r="E1022" s="1" t="s">
        <v>42</v>
      </c>
      <c r="F1022" s="41"/>
      <c r="G1022" s="41" t="s">
        <v>4316</v>
      </c>
      <c r="H1022" s="39" t="s">
        <v>61</v>
      </c>
      <c r="I1022" s="39" t="s">
        <v>4819</v>
      </c>
      <c r="J1022" s="39">
        <v>2018</v>
      </c>
      <c r="K1022" s="39"/>
      <c r="L1022" s="39"/>
      <c r="M1022" s="39"/>
      <c r="N1022" s="39"/>
      <c r="O1022" s="39"/>
      <c r="P1022" s="39" t="s">
        <v>4457</v>
      </c>
      <c r="Q1022" s="39" t="s">
        <v>264</v>
      </c>
      <c r="R1022" s="39" t="s">
        <v>265</v>
      </c>
      <c r="S1022" s="39" t="s">
        <v>2680</v>
      </c>
      <c r="T1022" s="39" t="s">
        <v>2681</v>
      </c>
      <c r="U1022" s="39">
        <v>1</v>
      </c>
      <c r="V1022" s="39" t="s">
        <v>308</v>
      </c>
      <c r="W1022" s="39"/>
      <c r="X1022" s="39"/>
      <c r="Y1022" s="42">
        <v>43463</v>
      </c>
      <c r="Z1022" s="1">
        <v>2018</v>
      </c>
      <c r="AA1022" s="2"/>
      <c r="AB1022" s="2"/>
      <c r="AC1022" s="2">
        <v>448067.08999999997</v>
      </c>
      <c r="AG1022" s="1" t="s">
        <v>56</v>
      </c>
      <c r="AI1022" s="2">
        <v>448067.08999999997</v>
      </c>
      <c r="AL1022" s="1" t="s">
        <v>4319</v>
      </c>
    </row>
    <row r="1023" spans="1:38" ht="14.45" customHeight="1" x14ac:dyDescent="0.2">
      <c r="A1023" s="1" t="s">
        <v>57</v>
      </c>
      <c r="B1023" s="40" t="s">
        <v>39</v>
      </c>
      <c r="C1023" s="41" t="s">
        <v>58</v>
      </c>
      <c r="D1023" s="1" t="s">
        <v>4315</v>
      </c>
      <c r="E1023" s="1" t="s">
        <v>42</v>
      </c>
      <c r="F1023" s="41"/>
      <c r="G1023" s="41" t="s">
        <v>4316</v>
      </c>
      <c r="H1023" s="39" t="s">
        <v>61</v>
      </c>
      <c r="I1023" s="39" t="s">
        <v>4820</v>
      </c>
      <c r="J1023" s="39">
        <v>2018</v>
      </c>
      <c r="K1023" s="39"/>
      <c r="L1023" s="39"/>
      <c r="M1023" s="39"/>
      <c r="N1023" s="39"/>
      <c r="O1023" s="39"/>
      <c r="P1023" s="39" t="s">
        <v>4457</v>
      </c>
      <c r="Q1023" s="39" t="s">
        <v>264</v>
      </c>
      <c r="R1023" s="39" t="s">
        <v>265</v>
      </c>
      <c r="S1023" s="39" t="s">
        <v>2680</v>
      </c>
      <c r="T1023" s="39" t="s">
        <v>2681</v>
      </c>
      <c r="U1023" s="39">
        <v>1</v>
      </c>
      <c r="V1023" s="39" t="s">
        <v>308</v>
      </c>
      <c r="W1023" s="39"/>
      <c r="X1023" s="39"/>
      <c r="Y1023" s="42">
        <v>43463</v>
      </c>
      <c r="Z1023" s="1">
        <v>2018</v>
      </c>
      <c r="AA1023" s="2"/>
      <c r="AB1023" s="2"/>
      <c r="AC1023" s="2">
        <v>623887.96000000008</v>
      </c>
      <c r="AG1023" s="1" t="s">
        <v>56</v>
      </c>
      <c r="AI1023" s="2">
        <v>623887.96000000008</v>
      </c>
      <c r="AL1023" s="1" t="s">
        <v>4319</v>
      </c>
    </row>
    <row r="1024" spans="1:38" ht="14.45" customHeight="1" x14ac:dyDescent="0.2">
      <c r="A1024" s="1" t="s">
        <v>57</v>
      </c>
      <c r="B1024" s="40" t="s">
        <v>39</v>
      </c>
      <c r="C1024" s="41" t="s">
        <v>58</v>
      </c>
      <c r="D1024" s="1" t="s">
        <v>4315</v>
      </c>
      <c r="E1024" s="1" t="s">
        <v>42</v>
      </c>
      <c r="F1024" s="41"/>
      <c r="G1024" s="41" t="s">
        <v>4316</v>
      </c>
      <c r="H1024" s="39" t="s">
        <v>61</v>
      </c>
      <c r="I1024" s="39" t="s">
        <v>4821</v>
      </c>
      <c r="J1024" s="39">
        <v>2018</v>
      </c>
      <c r="K1024" s="39"/>
      <c r="L1024" s="39"/>
      <c r="M1024" s="39"/>
      <c r="N1024" s="39"/>
      <c r="O1024" s="39"/>
      <c r="P1024" s="39" t="s">
        <v>4457</v>
      </c>
      <c r="Q1024" s="39" t="s">
        <v>264</v>
      </c>
      <c r="R1024" s="39" t="s">
        <v>265</v>
      </c>
      <c r="S1024" s="39" t="s">
        <v>2680</v>
      </c>
      <c r="T1024" s="39" t="s">
        <v>2681</v>
      </c>
      <c r="U1024" s="39">
        <v>1</v>
      </c>
      <c r="V1024" s="39" t="s">
        <v>308</v>
      </c>
      <c r="W1024" s="39"/>
      <c r="X1024" s="39"/>
      <c r="Y1024" s="42">
        <v>43463</v>
      </c>
      <c r="Z1024" s="1">
        <v>2018</v>
      </c>
      <c r="AA1024" s="2"/>
      <c r="AB1024" s="2"/>
      <c r="AC1024" s="2">
        <v>631291.02</v>
      </c>
      <c r="AG1024" s="1" t="s">
        <v>56</v>
      </c>
      <c r="AI1024" s="2">
        <v>631291.02</v>
      </c>
      <c r="AL1024" s="1" t="s">
        <v>4319</v>
      </c>
    </row>
    <row r="1025" spans="1:38" ht="14.45" customHeight="1" x14ac:dyDescent="0.2">
      <c r="A1025" s="1" t="s">
        <v>57</v>
      </c>
      <c r="B1025" s="40" t="s">
        <v>39</v>
      </c>
      <c r="C1025" s="41" t="s">
        <v>58</v>
      </c>
      <c r="D1025" s="1" t="s">
        <v>4315</v>
      </c>
      <c r="E1025" s="1" t="s">
        <v>42</v>
      </c>
      <c r="F1025" s="41"/>
      <c r="G1025" s="41" t="s">
        <v>4316</v>
      </c>
      <c r="H1025" s="39" t="s">
        <v>61</v>
      </c>
      <c r="I1025" s="39" t="s">
        <v>4822</v>
      </c>
      <c r="J1025" s="39">
        <v>2018</v>
      </c>
      <c r="K1025" s="39"/>
      <c r="L1025" s="39"/>
      <c r="M1025" s="39"/>
      <c r="N1025" s="39"/>
      <c r="O1025" s="39"/>
      <c r="P1025" s="39" t="s">
        <v>4457</v>
      </c>
      <c r="Q1025" s="39" t="s">
        <v>264</v>
      </c>
      <c r="R1025" s="39" t="s">
        <v>265</v>
      </c>
      <c r="S1025" s="39" t="s">
        <v>2680</v>
      </c>
      <c r="T1025" s="39" t="s">
        <v>2681</v>
      </c>
      <c r="U1025" s="39">
        <v>1</v>
      </c>
      <c r="V1025" s="39" t="s">
        <v>308</v>
      </c>
      <c r="W1025" s="39"/>
      <c r="X1025" s="39"/>
      <c r="Y1025" s="42">
        <v>43463</v>
      </c>
      <c r="Z1025" s="1">
        <v>2018</v>
      </c>
      <c r="AA1025" s="2"/>
      <c r="AB1025" s="2"/>
      <c r="AC1025" s="2">
        <v>553497.30000000005</v>
      </c>
      <c r="AG1025" s="1" t="s">
        <v>56</v>
      </c>
      <c r="AI1025" s="2">
        <v>553497.30000000005</v>
      </c>
      <c r="AL1025" s="1" t="s">
        <v>4319</v>
      </c>
    </row>
    <row r="1026" spans="1:38" ht="14.45" customHeight="1" x14ac:dyDescent="0.2">
      <c r="A1026" s="1" t="s">
        <v>57</v>
      </c>
      <c r="B1026" s="40" t="s">
        <v>39</v>
      </c>
      <c r="C1026" s="41" t="s">
        <v>58</v>
      </c>
      <c r="D1026" s="1" t="s">
        <v>4315</v>
      </c>
      <c r="E1026" s="1" t="s">
        <v>42</v>
      </c>
      <c r="F1026" s="41"/>
      <c r="G1026" s="41" t="s">
        <v>4316</v>
      </c>
      <c r="H1026" s="39" t="s">
        <v>61</v>
      </c>
      <c r="I1026" s="39" t="s">
        <v>4823</v>
      </c>
      <c r="J1026" s="39">
        <v>2018</v>
      </c>
      <c r="K1026" s="39"/>
      <c r="L1026" s="39"/>
      <c r="M1026" s="39"/>
      <c r="N1026" s="39"/>
      <c r="O1026" s="39"/>
      <c r="P1026" s="39" t="s">
        <v>4457</v>
      </c>
      <c r="Q1026" s="39" t="s">
        <v>264</v>
      </c>
      <c r="R1026" s="39" t="s">
        <v>265</v>
      </c>
      <c r="S1026" s="39" t="s">
        <v>2680</v>
      </c>
      <c r="T1026" s="39" t="s">
        <v>2681</v>
      </c>
      <c r="U1026" s="39">
        <v>1</v>
      </c>
      <c r="V1026" s="39" t="s">
        <v>308</v>
      </c>
      <c r="W1026" s="39"/>
      <c r="X1026" s="39"/>
      <c r="Y1026" s="42">
        <v>43463</v>
      </c>
      <c r="Z1026" s="1">
        <v>2018</v>
      </c>
      <c r="AA1026" s="2"/>
      <c r="AB1026" s="2"/>
      <c r="AC1026" s="2">
        <v>598766.01</v>
      </c>
      <c r="AG1026" s="1" t="s">
        <v>56</v>
      </c>
      <c r="AI1026" s="2">
        <v>598766.01</v>
      </c>
      <c r="AL1026" s="1" t="s">
        <v>4319</v>
      </c>
    </row>
    <row r="1027" spans="1:38" ht="14.45" customHeight="1" x14ac:dyDescent="0.2">
      <c r="A1027" s="1" t="s">
        <v>57</v>
      </c>
      <c r="B1027" s="40" t="s">
        <v>39</v>
      </c>
      <c r="C1027" s="41" t="s">
        <v>58</v>
      </c>
      <c r="D1027" s="1" t="s">
        <v>4315</v>
      </c>
      <c r="E1027" s="1" t="s">
        <v>42</v>
      </c>
      <c r="F1027" s="41"/>
      <c r="G1027" s="41" t="s">
        <v>4316</v>
      </c>
      <c r="H1027" s="39" t="s">
        <v>61</v>
      </c>
      <c r="I1027" s="39" t="s">
        <v>4824</v>
      </c>
      <c r="J1027" s="39">
        <v>2018</v>
      </c>
      <c r="K1027" s="39"/>
      <c r="L1027" s="39"/>
      <c r="M1027" s="39"/>
      <c r="N1027" s="39"/>
      <c r="O1027" s="39"/>
      <c r="P1027" s="39" t="s">
        <v>4457</v>
      </c>
      <c r="Q1027" s="39" t="s">
        <v>264</v>
      </c>
      <c r="R1027" s="39" t="s">
        <v>265</v>
      </c>
      <c r="S1027" s="1" t="s">
        <v>2680</v>
      </c>
      <c r="T1027" s="1" t="s">
        <v>2681</v>
      </c>
      <c r="U1027" s="39">
        <v>1</v>
      </c>
      <c r="V1027" s="1" t="s">
        <v>308</v>
      </c>
      <c r="W1027" s="39"/>
      <c r="X1027" s="39"/>
      <c r="Y1027" s="42">
        <v>43463</v>
      </c>
      <c r="Z1027" s="1">
        <v>2018</v>
      </c>
      <c r="AA1027" s="2"/>
      <c r="AB1027" s="2"/>
      <c r="AC1027" s="2">
        <v>591019.15</v>
      </c>
      <c r="AG1027" s="1" t="s">
        <v>56</v>
      </c>
      <c r="AI1027" s="2">
        <v>591019.15</v>
      </c>
      <c r="AL1027" s="1" t="s">
        <v>4319</v>
      </c>
    </row>
    <row r="1028" spans="1:38" ht="14.45" customHeight="1" x14ac:dyDescent="0.2">
      <c r="A1028" s="1" t="s">
        <v>57</v>
      </c>
      <c r="B1028" s="40" t="s">
        <v>39</v>
      </c>
      <c r="C1028" s="41" t="s">
        <v>58</v>
      </c>
      <c r="D1028" s="1" t="s">
        <v>4315</v>
      </c>
      <c r="E1028" s="1" t="s">
        <v>42</v>
      </c>
      <c r="F1028" s="41"/>
      <c r="G1028" s="41" t="s">
        <v>4316</v>
      </c>
      <c r="H1028" s="39" t="s">
        <v>61</v>
      </c>
      <c r="I1028" s="39" t="s">
        <v>4825</v>
      </c>
      <c r="J1028" s="39">
        <v>2018</v>
      </c>
      <c r="K1028" s="39"/>
      <c r="L1028" s="39"/>
      <c r="M1028" s="39"/>
      <c r="N1028" s="39"/>
      <c r="O1028" s="39"/>
      <c r="P1028" s="39" t="s">
        <v>4457</v>
      </c>
      <c r="Q1028" s="39" t="s">
        <v>264</v>
      </c>
      <c r="R1028" s="39" t="s">
        <v>265</v>
      </c>
      <c r="S1028" s="39" t="s">
        <v>2680</v>
      </c>
      <c r="T1028" s="39" t="s">
        <v>2681</v>
      </c>
      <c r="U1028" s="39">
        <v>1</v>
      </c>
      <c r="V1028" s="39" t="s">
        <v>308</v>
      </c>
      <c r="W1028" s="39"/>
      <c r="X1028" s="39"/>
      <c r="Y1028" s="42">
        <v>43463</v>
      </c>
      <c r="Z1028" s="1">
        <v>2018</v>
      </c>
      <c r="AA1028" s="2"/>
      <c r="AB1028" s="2"/>
      <c r="AC1028" s="2">
        <v>783826.37999999977</v>
      </c>
      <c r="AG1028" s="1" t="s">
        <v>56</v>
      </c>
      <c r="AI1028" s="2">
        <v>783826.37999999977</v>
      </c>
      <c r="AL1028" s="1" t="s">
        <v>4319</v>
      </c>
    </row>
    <row r="1029" spans="1:38" ht="14.45" customHeight="1" x14ac:dyDescent="0.2">
      <c r="A1029" s="1" t="s">
        <v>57</v>
      </c>
      <c r="B1029" s="40" t="s">
        <v>39</v>
      </c>
      <c r="C1029" s="41" t="s">
        <v>58</v>
      </c>
      <c r="D1029" s="1" t="s">
        <v>4315</v>
      </c>
      <c r="E1029" s="1" t="s">
        <v>42</v>
      </c>
      <c r="F1029" s="41"/>
      <c r="G1029" s="41" t="s">
        <v>4316</v>
      </c>
      <c r="H1029" s="39" t="s">
        <v>61</v>
      </c>
      <c r="I1029" s="39" t="s">
        <v>4826</v>
      </c>
      <c r="J1029" s="39">
        <v>2018</v>
      </c>
      <c r="K1029" s="39"/>
      <c r="L1029" s="39"/>
      <c r="M1029" s="39"/>
      <c r="N1029" s="39"/>
      <c r="O1029" s="39"/>
      <c r="P1029" s="39" t="s">
        <v>4457</v>
      </c>
      <c r="Q1029" s="39" t="s">
        <v>264</v>
      </c>
      <c r="R1029" s="39" t="s">
        <v>265</v>
      </c>
      <c r="S1029" s="39" t="s">
        <v>2680</v>
      </c>
      <c r="T1029" s="39" t="s">
        <v>2681</v>
      </c>
      <c r="U1029" s="39">
        <v>1</v>
      </c>
      <c r="V1029" s="39" t="s">
        <v>308</v>
      </c>
      <c r="W1029" s="39"/>
      <c r="X1029" s="39"/>
      <c r="Y1029" s="42">
        <v>43463</v>
      </c>
      <c r="Z1029" s="1">
        <v>2018</v>
      </c>
      <c r="AA1029" s="2"/>
      <c r="AB1029" s="2"/>
      <c r="AC1029" s="2">
        <v>786158.76</v>
      </c>
      <c r="AG1029" s="1" t="s">
        <v>56</v>
      </c>
      <c r="AI1029" s="2">
        <v>786158.76</v>
      </c>
      <c r="AL1029" s="1" t="s">
        <v>4319</v>
      </c>
    </row>
    <row r="1030" spans="1:38" ht="14.45" customHeight="1" x14ac:dyDescent="0.2">
      <c r="A1030" s="1" t="s">
        <v>57</v>
      </c>
      <c r="B1030" s="40" t="s">
        <v>39</v>
      </c>
      <c r="C1030" s="41" t="s">
        <v>58</v>
      </c>
      <c r="D1030" s="1" t="s">
        <v>4315</v>
      </c>
      <c r="E1030" s="1" t="s">
        <v>42</v>
      </c>
      <c r="F1030" s="41"/>
      <c r="G1030" s="41" t="s">
        <v>4316</v>
      </c>
      <c r="H1030" s="39" t="s">
        <v>61</v>
      </c>
      <c r="I1030" s="39" t="s">
        <v>4827</v>
      </c>
      <c r="J1030" s="39">
        <v>2018</v>
      </c>
      <c r="K1030" s="39"/>
      <c r="L1030" s="39"/>
      <c r="M1030" s="39"/>
      <c r="N1030" s="39"/>
      <c r="O1030" s="39"/>
      <c r="P1030" s="39" t="s">
        <v>4457</v>
      </c>
      <c r="Q1030" s="39" t="s">
        <v>264</v>
      </c>
      <c r="R1030" s="39" t="s">
        <v>265</v>
      </c>
      <c r="S1030" s="39" t="s">
        <v>2680</v>
      </c>
      <c r="T1030" s="39" t="s">
        <v>2681</v>
      </c>
      <c r="U1030" s="39">
        <v>1</v>
      </c>
      <c r="V1030" s="39" t="s">
        <v>308</v>
      </c>
      <c r="W1030" s="39"/>
      <c r="X1030" s="39"/>
      <c r="Y1030" s="42">
        <v>43463</v>
      </c>
      <c r="Z1030" s="1">
        <v>2018</v>
      </c>
      <c r="AA1030" s="2"/>
      <c r="AB1030" s="2"/>
      <c r="AC1030" s="2">
        <v>518926.25000000006</v>
      </c>
      <c r="AG1030" s="1" t="s">
        <v>56</v>
      </c>
      <c r="AI1030" s="2">
        <v>518926.25000000006</v>
      </c>
      <c r="AL1030" s="1" t="s">
        <v>4319</v>
      </c>
    </row>
    <row r="1031" spans="1:38" ht="14.45" customHeight="1" x14ac:dyDescent="0.2">
      <c r="A1031" s="1" t="s">
        <v>57</v>
      </c>
      <c r="B1031" s="40" t="s">
        <v>39</v>
      </c>
      <c r="C1031" s="41" t="s">
        <v>58</v>
      </c>
      <c r="D1031" s="1" t="s">
        <v>4315</v>
      </c>
      <c r="E1031" s="1" t="s">
        <v>42</v>
      </c>
      <c r="F1031" s="41"/>
      <c r="G1031" s="41" t="s">
        <v>4316</v>
      </c>
      <c r="H1031" s="39" t="s">
        <v>61</v>
      </c>
      <c r="I1031" s="39" t="s">
        <v>4828</v>
      </c>
      <c r="J1031" s="39">
        <v>2018</v>
      </c>
      <c r="K1031" s="39"/>
      <c r="L1031" s="39"/>
      <c r="M1031" s="39"/>
      <c r="N1031" s="39"/>
      <c r="O1031" s="39"/>
      <c r="P1031" s="39" t="s">
        <v>4457</v>
      </c>
      <c r="Q1031" s="39" t="s">
        <v>264</v>
      </c>
      <c r="R1031" s="39" t="s">
        <v>265</v>
      </c>
      <c r="S1031" s="39" t="s">
        <v>2680</v>
      </c>
      <c r="T1031" s="39" t="s">
        <v>2681</v>
      </c>
      <c r="U1031" s="39">
        <v>1</v>
      </c>
      <c r="V1031" s="39" t="s">
        <v>308</v>
      </c>
      <c r="W1031" s="39"/>
      <c r="X1031" s="39"/>
      <c r="Y1031" s="42">
        <v>43463</v>
      </c>
      <c r="Z1031" s="1">
        <v>2018</v>
      </c>
      <c r="AA1031" s="2"/>
      <c r="AB1031" s="2"/>
      <c r="AC1031" s="2">
        <v>245669.66999999995</v>
      </c>
      <c r="AG1031" s="1" t="s">
        <v>56</v>
      </c>
      <c r="AI1031" s="2">
        <v>245669.66999999995</v>
      </c>
      <c r="AL1031" s="1" t="s">
        <v>4319</v>
      </c>
    </row>
    <row r="1032" spans="1:38" ht="14.45" customHeight="1" x14ac:dyDescent="0.2">
      <c r="A1032" s="1" t="s">
        <v>57</v>
      </c>
      <c r="B1032" s="40" t="s">
        <v>39</v>
      </c>
      <c r="C1032" s="41" t="s">
        <v>58</v>
      </c>
      <c r="D1032" s="1" t="s">
        <v>4315</v>
      </c>
      <c r="E1032" s="1" t="s">
        <v>42</v>
      </c>
      <c r="F1032" s="41"/>
      <c r="G1032" s="41" t="s">
        <v>4316</v>
      </c>
      <c r="H1032" s="39" t="s">
        <v>61</v>
      </c>
      <c r="I1032" s="39" t="s">
        <v>4829</v>
      </c>
      <c r="J1032" s="39">
        <v>2018</v>
      </c>
      <c r="K1032" s="39"/>
      <c r="L1032" s="39"/>
      <c r="M1032" s="39"/>
      <c r="N1032" s="39"/>
      <c r="O1032" s="39"/>
      <c r="P1032" s="39" t="s">
        <v>4457</v>
      </c>
      <c r="Q1032" s="39" t="s">
        <v>264</v>
      </c>
      <c r="R1032" s="39" t="s">
        <v>265</v>
      </c>
      <c r="S1032" s="39" t="s">
        <v>2680</v>
      </c>
      <c r="T1032" s="39" t="s">
        <v>2681</v>
      </c>
      <c r="U1032" s="39">
        <v>1</v>
      </c>
      <c r="V1032" s="39" t="s">
        <v>308</v>
      </c>
      <c r="W1032" s="39"/>
      <c r="X1032" s="39"/>
      <c r="Y1032" s="42">
        <v>43463</v>
      </c>
      <c r="Z1032" s="1">
        <v>2018</v>
      </c>
      <c r="AA1032" s="2"/>
      <c r="AB1032" s="2"/>
      <c r="AC1032" s="2">
        <v>365391.61</v>
      </c>
      <c r="AG1032" s="1" t="s">
        <v>56</v>
      </c>
      <c r="AI1032" s="2">
        <v>365391.61</v>
      </c>
      <c r="AL1032" s="1" t="s">
        <v>4319</v>
      </c>
    </row>
    <row r="1033" spans="1:38" ht="14.45" customHeight="1" x14ac:dyDescent="0.2">
      <c r="A1033" s="1" t="s">
        <v>57</v>
      </c>
      <c r="B1033" s="40" t="s">
        <v>39</v>
      </c>
      <c r="C1033" s="41" t="s">
        <v>58</v>
      </c>
      <c r="D1033" s="1" t="s">
        <v>4315</v>
      </c>
      <c r="E1033" s="1" t="s">
        <v>42</v>
      </c>
      <c r="F1033" s="41"/>
      <c r="G1033" s="41" t="s">
        <v>4316</v>
      </c>
      <c r="H1033" s="39" t="s">
        <v>61</v>
      </c>
      <c r="I1033" s="39" t="s">
        <v>4830</v>
      </c>
      <c r="J1033" s="39">
        <v>2018</v>
      </c>
      <c r="K1033" s="39"/>
      <c r="L1033" s="39"/>
      <c r="M1033" s="39"/>
      <c r="N1033" s="39"/>
      <c r="O1033" s="39"/>
      <c r="P1033" s="39" t="s">
        <v>4457</v>
      </c>
      <c r="Q1033" s="39" t="s">
        <v>264</v>
      </c>
      <c r="R1033" s="39" t="s">
        <v>265</v>
      </c>
      <c r="S1033" s="39" t="s">
        <v>2680</v>
      </c>
      <c r="T1033" s="39" t="s">
        <v>2681</v>
      </c>
      <c r="U1033" s="39">
        <v>1</v>
      </c>
      <c r="V1033" s="39" t="s">
        <v>308</v>
      </c>
      <c r="W1033" s="39"/>
      <c r="X1033" s="39"/>
      <c r="Y1033" s="42">
        <v>43463</v>
      </c>
      <c r="Z1033" s="1">
        <v>2018</v>
      </c>
      <c r="AA1033" s="2"/>
      <c r="AB1033" s="2"/>
      <c r="AC1033" s="2">
        <v>403260.6</v>
      </c>
      <c r="AG1033" s="1" t="s">
        <v>56</v>
      </c>
      <c r="AI1033" s="2">
        <v>403260.6</v>
      </c>
      <c r="AL1033" s="1" t="s">
        <v>4319</v>
      </c>
    </row>
    <row r="1034" spans="1:38" ht="14.45" customHeight="1" x14ac:dyDescent="0.2">
      <c r="A1034" s="1" t="s">
        <v>57</v>
      </c>
      <c r="B1034" s="40" t="s">
        <v>39</v>
      </c>
      <c r="C1034" s="41" t="s">
        <v>58</v>
      </c>
      <c r="D1034" s="1" t="s">
        <v>4315</v>
      </c>
      <c r="E1034" s="1" t="s">
        <v>42</v>
      </c>
      <c r="F1034" s="41"/>
      <c r="G1034" s="41" t="s">
        <v>4316</v>
      </c>
      <c r="H1034" s="39" t="s">
        <v>61</v>
      </c>
      <c r="I1034" s="39" t="s">
        <v>4831</v>
      </c>
      <c r="J1034" s="39">
        <v>2018</v>
      </c>
      <c r="K1034" s="39"/>
      <c r="L1034" s="39"/>
      <c r="M1034" s="39"/>
      <c r="N1034" s="39"/>
      <c r="O1034" s="39"/>
      <c r="P1034" s="39" t="s">
        <v>4457</v>
      </c>
      <c r="Q1034" s="39" t="s">
        <v>264</v>
      </c>
      <c r="R1034" s="39" t="s">
        <v>265</v>
      </c>
      <c r="S1034" s="39" t="s">
        <v>2680</v>
      </c>
      <c r="T1034" s="39" t="s">
        <v>2681</v>
      </c>
      <c r="U1034" s="39">
        <v>1</v>
      </c>
      <c r="V1034" s="39" t="s">
        <v>308</v>
      </c>
      <c r="W1034" s="39"/>
      <c r="X1034" s="39"/>
      <c r="Y1034" s="42">
        <v>43463</v>
      </c>
      <c r="Z1034" s="1">
        <v>2018</v>
      </c>
      <c r="AA1034" s="2"/>
      <c r="AB1034" s="2"/>
      <c r="AC1034" s="2">
        <v>693311.91999999993</v>
      </c>
      <c r="AG1034" s="1" t="s">
        <v>56</v>
      </c>
      <c r="AI1034" s="2">
        <v>693311.91999999993</v>
      </c>
      <c r="AL1034" s="1" t="s">
        <v>4319</v>
      </c>
    </row>
    <row r="1035" spans="1:38" ht="14.45" customHeight="1" x14ac:dyDescent="0.2">
      <c r="A1035" s="1" t="s">
        <v>57</v>
      </c>
      <c r="B1035" s="40" t="s">
        <v>39</v>
      </c>
      <c r="C1035" s="41" t="s">
        <v>58</v>
      </c>
      <c r="D1035" s="1" t="s">
        <v>4315</v>
      </c>
      <c r="E1035" s="1" t="s">
        <v>42</v>
      </c>
      <c r="F1035" s="41"/>
      <c r="G1035" s="41" t="s">
        <v>4316</v>
      </c>
      <c r="H1035" s="39" t="s">
        <v>61</v>
      </c>
      <c r="I1035" s="39" t="s">
        <v>4832</v>
      </c>
      <c r="J1035" s="39">
        <v>2019</v>
      </c>
      <c r="K1035" s="39"/>
      <c r="L1035" s="39"/>
      <c r="M1035" s="39"/>
      <c r="N1035" s="39"/>
      <c r="O1035" s="39"/>
      <c r="P1035" s="39" t="s">
        <v>4457</v>
      </c>
      <c r="Q1035" s="39" t="s">
        <v>264</v>
      </c>
      <c r="R1035" s="39" t="s">
        <v>265</v>
      </c>
      <c r="S1035" s="39" t="s">
        <v>2680</v>
      </c>
      <c r="T1035" s="39" t="s">
        <v>2681</v>
      </c>
      <c r="U1035" s="39">
        <v>1</v>
      </c>
      <c r="V1035" s="39" t="s">
        <v>308</v>
      </c>
      <c r="W1035" s="39"/>
      <c r="X1035" s="39"/>
      <c r="Y1035" s="42">
        <v>43466</v>
      </c>
      <c r="Z1035" s="1">
        <v>2019</v>
      </c>
      <c r="AA1035" s="2"/>
      <c r="AB1035" s="2"/>
      <c r="AC1035" s="2">
        <v>499542.22999999992</v>
      </c>
      <c r="AG1035" s="1" t="s">
        <v>56</v>
      </c>
      <c r="AI1035" s="2">
        <v>499542.22999999992</v>
      </c>
      <c r="AL1035" s="1" t="s">
        <v>4319</v>
      </c>
    </row>
    <row r="1036" spans="1:38" ht="14.45" customHeight="1" x14ac:dyDescent="0.2">
      <c r="A1036" s="1" t="s">
        <v>57</v>
      </c>
      <c r="B1036" s="40" t="s">
        <v>39</v>
      </c>
      <c r="C1036" s="41" t="s">
        <v>58</v>
      </c>
      <c r="D1036" s="1" t="s">
        <v>4315</v>
      </c>
      <c r="E1036" s="1" t="s">
        <v>42</v>
      </c>
      <c r="F1036" s="41"/>
      <c r="G1036" s="41" t="s">
        <v>4316</v>
      </c>
      <c r="H1036" s="39" t="s">
        <v>61</v>
      </c>
      <c r="I1036" s="39" t="s">
        <v>4833</v>
      </c>
      <c r="J1036" s="39">
        <v>2019</v>
      </c>
      <c r="K1036" s="39"/>
      <c r="L1036" s="39"/>
      <c r="M1036" s="39"/>
      <c r="N1036" s="39"/>
      <c r="O1036" s="39"/>
      <c r="P1036" s="39" t="s">
        <v>4457</v>
      </c>
      <c r="Q1036" s="39" t="s">
        <v>264</v>
      </c>
      <c r="R1036" s="39" t="s">
        <v>265</v>
      </c>
      <c r="S1036" s="39" t="s">
        <v>2680</v>
      </c>
      <c r="T1036" s="39" t="s">
        <v>2681</v>
      </c>
      <c r="U1036" s="39">
        <v>1</v>
      </c>
      <c r="V1036" s="39" t="s">
        <v>308</v>
      </c>
      <c r="W1036" s="39"/>
      <c r="X1036" s="39"/>
      <c r="Y1036" s="42">
        <v>43466</v>
      </c>
      <c r="Z1036" s="1">
        <v>2019</v>
      </c>
      <c r="AA1036" s="2"/>
      <c r="AB1036" s="2"/>
      <c r="AC1036" s="2">
        <v>620559.37999999989</v>
      </c>
      <c r="AG1036" s="1" t="s">
        <v>56</v>
      </c>
      <c r="AI1036" s="2">
        <v>620559.37999999989</v>
      </c>
      <c r="AL1036" s="1" t="s">
        <v>4319</v>
      </c>
    </row>
    <row r="1037" spans="1:38" ht="14.45" customHeight="1" x14ac:dyDescent="0.2">
      <c r="A1037" s="1" t="s">
        <v>57</v>
      </c>
      <c r="B1037" s="40" t="s">
        <v>39</v>
      </c>
      <c r="C1037" s="41" t="s">
        <v>58</v>
      </c>
      <c r="D1037" s="1" t="s">
        <v>4315</v>
      </c>
      <c r="E1037" s="1" t="s">
        <v>42</v>
      </c>
      <c r="F1037" s="41"/>
      <c r="G1037" s="41" t="s">
        <v>4316</v>
      </c>
      <c r="H1037" s="39" t="s">
        <v>61</v>
      </c>
      <c r="I1037" s="39" t="s">
        <v>4834</v>
      </c>
      <c r="J1037" s="39">
        <v>2018</v>
      </c>
      <c r="K1037" s="39"/>
      <c r="L1037" s="39"/>
      <c r="M1037" s="39"/>
      <c r="N1037" s="39"/>
      <c r="O1037" s="39"/>
      <c r="P1037" s="39" t="s">
        <v>4457</v>
      </c>
      <c r="Q1037" s="39" t="s">
        <v>264</v>
      </c>
      <c r="R1037" s="39" t="s">
        <v>265</v>
      </c>
      <c r="S1037" s="39" t="s">
        <v>2680</v>
      </c>
      <c r="T1037" s="39" t="s">
        <v>2681</v>
      </c>
      <c r="U1037" s="39">
        <v>1</v>
      </c>
      <c r="V1037" s="39" t="s">
        <v>308</v>
      </c>
      <c r="W1037" s="39"/>
      <c r="X1037" s="39"/>
      <c r="Y1037" s="42">
        <v>43463</v>
      </c>
      <c r="Z1037" s="1">
        <v>2018</v>
      </c>
      <c r="AA1037" s="2"/>
      <c r="AB1037" s="2"/>
      <c r="AC1037" s="2">
        <v>585990.71000000008</v>
      </c>
      <c r="AG1037" s="1" t="s">
        <v>56</v>
      </c>
      <c r="AI1037" s="2">
        <v>585990.71000000008</v>
      </c>
      <c r="AL1037" s="1" t="s">
        <v>4319</v>
      </c>
    </row>
    <row r="1038" spans="1:38" ht="14.45" customHeight="1" x14ac:dyDescent="0.2">
      <c r="A1038" s="1" t="s">
        <v>57</v>
      </c>
      <c r="B1038" s="40" t="s">
        <v>39</v>
      </c>
      <c r="C1038" s="41" t="s">
        <v>58</v>
      </c>
      <c r="D1038" s="1" t="s">
        <v>4315</v>
      </c>
      <c r="E1038" s="1" t="s">
        <v>42</v>
      </c>
      <c r="F1038" s="41"/>
      <c r="G1038" s="41" t="s">
        <v>4316</v>
      </c>
      <c r="H1038" s="39" t="s">
        <v>61</v>
      </c>
      <c r="I1038" s="39" t="s">
        <v>4835</v>
      </c>
      <c r="J1038" s="39">
        <v>2018</v>
      </c>
      <c r="K1038" s="39"/>
      <c r="L1038" s="39"/>
      <c r="M1038" s="39"/>
      <c r="N1038" s="39"/>
      <c r="O1038" s="39"/>
      <c r="P1038" s="39" t="s">
        <v>4457</v>
      </c>
      <c r="Q1038" s="39" t="s">
        <v>264</v>
      </c>
      <c r="R1038" s="39" t="s">
        <v>265</v>
      </c>
      <c r="S1038" s="39" t="s">
        <v>2680</v>
      </c>
      <c r="T1038" s="39" t="s">
        <v>2681</v>
      </c>
      <c r="U1038" s="39">
        <v>1</v>
      </c>
      <c r="V1038" s="39" t="s">
        <v>308</v>
      </c>
      <c r="W1038" s="39"/>
      <c r="X1038" s="39"/>
      <c r="Y1038" s="42">
        <v>43463</v>
      </c>
      <c r="Z1038" s="1">
        <v>2018</v>
      </c>
      <c r="AA1038" s="2"/>
      <c r="AB1038" s="2"/>
      <c r="AC1038" s="2">
        <v>529848.19999999995</v>
      </c>
      <c r="AG1038" s="1" t="s">
        <v>56</v>
      </c>
      <c r="AI1038" s="2">
        <v>529848.19999999995</v>
      </c>
      <c r="AL1038" s="1" t="s">
        <v>4319</v>
      </c>
    </row>
    <row r="1039" spans="1:38" ht="14.45" customHeight="1" x14ac:dyDescent="0.2">
      <c r="A1039" s="1" t="s">
        <v>57</v>
      </c>
      <c r="B1039" s="40" t="s">
        <v>39</v>
      </c>
      <c r="C1039" s="41" t="s">
        <v>58</v>
      </c>
      <c r="D1039" s="1" t="s">
        <v>4315</v>
      </c>
      <c r="E1039" s="1" t="s">
        <v>42</v>
      </c>
      <c r="F1039" s="41"/>
      <c r="G1039" s="41" t="s">
        <v>4316</v>
      </c>
      <c r="H1039" s="39" t="s">
        <v>61</v>
      </c>
      <c r="I1039" s="39" t="s">
        <v>4836</v>
      </c>
      <c r="J1039" s="39">
        <v>2018</v>
      </c>
      <c r="K1039" s="39"/>
      <c r="L1039" s="39"/>
      <c r="M1039" s="39"/>
      <c r="N1039" s="39"/>
      <c r="O1039" s="39"/>
      <c r="P1039" s="39" t="s">
        <v>4457</v>
      </c>
      <c r="Q1039" s="39" t="s">
        <v>264</v>
      </c>
      <c r="R1039" s="39" t="s">
        <v>265</v>
      </c>
      <c r="S1039" s="39" t="s">
        <v>2680</v>
      </c>
      <c r="T1039" s="39" t="s">
        <v>2681</v>
      </c>
      <c r="U1039" s="39">
        <v>1</v>
      </c>
      <c r="V1039" s="39" t="s">
        <v>308</v>
      </c>
      <c r="W1039" s="39"/>
      <c r="X1039" s="39"/>
      <c r="Y1039" s="42">
        <v>43463</v>
      </c>
      <c r="Z1039" s="1">
        <v>2018</v>
      </c>
      <c r="AA1039" s="2"/>
      <c r="AB1039" s="2"/>
      <c r="AC1039" s="2">
        <v>562705.29</v>
      </c>
      <c r="AG1039" s="1" t="s">
        <v>56</v>
      </c>
      <c r="AI1039" s="2">
        <v>562705.29</v>
      </c>
      <c r="AL1039" s="1" t="s">
        <v>4319</v>
      </c>
    </row>
    <row r="1040" spans="1:38" ht="14.45" customHeight="1" x14ac:dyDescent="0.2">
      <c r="A1040" s="1" t="s">
        <v>57</v>
      </c>
      <c r="B1040" s="40" t="s">
        <v>39</v>
      </c>
      <c r="C1040" s="41" t="s">
        <v>58</v>
      </c>
      <c r="D1040" s="1" t="s">
        <v>4315</v>
      </c>
      <c r="E1040" s="1" t="s">
        <v>42</v>
      </c>
      <c r="F1040" s="41"/>
      <c r="G1040" s="41" t="s">
        <v>4316</v>
      </c>
      <c r="H1040" s="39" t="s">
        <v>61</v>
      </c>
      <c r="I1040" s="39" t="s">
        <v>4837</v>
      </c>
      <c r="J1040" s="39">
        <v>2018</v>
      </c>
      <c r="K1040" s="39"/>
      <c r="L1040" s="39"/>
      <c r="M1040" s="39"/>
      <c r="N1040" s="39"/>
      <c r="O1040" s="39"/>
      <c r="P1040" s="39" t="s">
        <v>4457</v>
      </c>
      <c r="Q1040" s="39" t="s">
        <v>264</v>
      </c>
      <c r="R1040" s="39" t="s">
        <v>265</v>
      </c>
      <c r="S1040" s="39" t="s">
        <v>2680</v>
      </c>
      <c r="T1040" s="39" t="s">
        <v>2681</v>
      </c>
      <c r="U1040" s="39">
        <v>1</v>
      </c>
      <c r="V1040" s="39" t="s">
        <v>308</v>
      </c>
      <c r="W1040" s="39"/>
      <c r="X1040" s="39"/>
      <c r="Y1040" s="42">
        <v>43463</v>
      </c>
      <c r="Z1040" s="1">
        <v>2018</v>
      </c>
      <c r="AA1040" s="2"/>
      <c r="AB1040" s="2"/>
      <c r="AC1040" s="2">
        <v>526211.52</v>
      </c>
      <c r="AG1040" s="1" t="s">
        <v>56</v>
      </c>
      <c r="AI1040" s="2">
        <v>526211.52</v>
      </c>
      <c r="AL1040" s="1" t="s">
        <v>4319</v>
      </c>
    </row>
    <row r="1041" spans="1:38" ht="14.45" customHeight="1" x14ac:dyDescent="0.2">
      <c r="A1041" s="1" t="s">
        <v>57</v>
      </c>
      <c r="B1041" s="9" t="s">
        <v>39</v>
      </c>
      <c r="C1041" s="1" t="s">
        <v>58</v>
      </c>
      <c r="D1041" s="1" t="s">
        <v>4315</v>
      </c>
      <c r="E1041" s="1" t="s">
        <v>42</v>
      </c>
      <c r="G1041" s="1" t="s">
        <v>4316</v>
      </c>
      <c r="H1041" s="1" t="s">
        <v>61</v>
      </c>
      <c r="I1041" s="1" t="s">
        <v>4838</v>
      </c>
      <c r="J1041" s="1">
        <v>2019</v>
      </c>
      <c r="P1041" s="1" t="s">
        <v>4457</v>
      </c>
      <c r="Q1041" s="1" t="s">
        <v>264</v>
      </c>
      <c r="R1041" s="1" t="s">
        <v>265</v>
      </c>
      <c r="S1041" s="1" t="s">
        <v>2680</v>
      </c>
      <c r="T1041" s="1" t="s">
        <v>2681</v>
      </c>
      <c r="U1041" s="1">
        <v>1</v>
      </c>
      <c r="V1041" s="1" t="s">
        <v>308</v>
      </c>
      <c r="Y1041" s="10">
        <v>43468</v>
      </c>
      <c r="Z1041" s="1">
        <v>2019</v>
      </c>
      <c r="AA1041" s="2"/>
      <c r="AB1041" s="2"/>
      <c r="AC1041" s="2">
        <v>710814.69000000006</v>
      </c>
      <c r="AG1041" s="1" t="s">
        <v>56</v>
      </c>
      <c r="AI1041" s="2">
        <v>710814.69000000006</v>
      </c>
      <c r="AL1041" s="1" t="s">
        <v>4319</v>
      </c>
    </row>
    <row r="1042" spans="1:38" ht="14.45" customHeight="1" x14ac:dyDescent="0.2">
      <c r="A1042" s="1" t="s">
        <v>57</v>
      </c>
      <c r="B1042" s="9" t="s">
        <v>39</v>
      </c>
      <c r="C1042" s="1" t="s">
        <v>58</v>
      </c>
      <c r="D1042" s="1" t="s">
        <v>4315</v>
      </c>
      <c r="E1042" s="1" t="s">
        <v>42</v>
      </c>
      <c r="G1042" s="1" t="s">
        <v>4316</v>
      </c>
      <c r="H1042" s="1" t="s">
        <v>61</v>
      </c>
      <c r="I1042" s="1" t="s">
        <v>4839</v>
      </c>
      <c r="J1042" s="1">
        <v>2018</v>
      </c>
      <c r="P1042" s="1" t="s">
        <v>4457</v>
      </c>
      <c r="Q1042" s="1" t="s">
        <v>264</v>
      </c>
      <c r="R1042" s="1" t="s">
        <v>265</v>
      </c>
      <c r="S1042" s="1" t="s">
        <v>2680</v>
      </c>
      <c r="T1042" s="1" t="s">
        <v>2681</v>
      </c>
      <c r="U1042" s="1">
        <v>1</v>
      </c>
      <c r="V1042" s="1" t="s">
        <v>308</v>
      </c>
      <c r="Y1042" s="10">
        <v>43463</v>
      </c>
      <c r="Z1042" s="1">
        <v>2018</v>
      </c>
      <c r="AA1042" s="2"/>
      <c r="AB1042" s="2"/>
      <c r="AC1042" s="2">
        <v>114240.68999999999</v>
      </c>
      <c r="AG1042" s="1" t="s">
        <v>56</v>
      </c>
      <c r="AI1042" s="2">
        <v>114240.68999999999</v>
      </c>
      <c r="AL1042" s="1" t="s">
        <v>4319</v>
      </c>
    </row>
    <row r="1043" spans="1:38" ht="14.45" customHeight="1" x14ac:dyDescent="0.2">
      <c r="A1043" s="1" t="s">
        <v>57</v>
      </c>
      <c r="B1043" s="9" t="s">
        <v>39</v>
      </c>
      <c r="C1043" s="1" t="s">
        <v>58</v>
      </c>
      <c r="D1043" s="1" t="s">
        <v>4315</v>
      </c>
      <c r="E1043" s="1" t="s">
        <v>42</v>
      </c>
      <c r="G1043" s="1" t="s">
        <v>4316</v>
      </c>
      <c r="H1043" s="1" t="s">
        <v>61</v>
      </c>
      <c r="I1043" s="1" t="s">
        <v>4840</v>
      </c>
      <c r="J1043" s="1">
        <v>2018</v>
      </c>
      <c r="P1043" s="1" t="s">
        <v>4457</v>
      </c>
      <c r="Q1043" s="1" t="s">
        <v>264</v>
      </c>
      <c r="R1043" s="1" t="s">
        <v>265</v>
      </c>
      <c r="S1043" s="1" t="s">
        <v>2680</v>
      </c>
      <c r="T1043" s="1" t="s">
        <v>2681</v>
      </c>
      <c r="U1043" s="1">
        <v>1</v>
      </c>
      <c r="V1043" s="1" t="s">
        <v>308</v>
      </c>
      <c r="Y1043" s="10">
        <v>43463</v>
      </c>
      <c r="Z1043" s="1">
        <v>2018</v>
      </c>
      <c r="AA1043" s="2"/>
      <c r="AB1043" s="2"/>
      <c r="AC1043" s="2">
        <v>52265.270000000004</v>
      </c>
      <c r="AG1043" s="1" t="s">
        <v>56</v>
      </c>
      <c r="AI1043" s="2">
        <v>52265.270000000004</v>
      </c>
      <c r="AL1043" s="1" t="s">
        <v>4319</v>
      </c>
    </row>
    <row r="1044" spans="1:38" ht="14.45" customHeight="1" x14ac:dyDescent="0.2">
      <c r="A1044" s="1" t="s">
        <v>57</v>
      </c>
      <c r="B1044" s="9" t="s">
        <v>39</v>
      </c>
      <c r="C1044" s="1" t="s">
        <v>58</v>
      </c>
      <c r="D1044" s="1" t="s">
        <v>4315</v>
      </c>
      <c r="E1044" s="1" t="s">
        <v>42</v>
      </c>
      <c r="G1044" s="1" t="s">
        <v>4316</v>
      </c>
      <c r="H1044" s="1" t="s">
        <v>61</v>
      </c>
      <c r="I1044" s="1" t="s">
        <v>4841</v>
      </c>
      <c r="J1044" s="1">
        <v>2018</v>
      </c>
      <c r="P1044" s="1" t="s">
        <v>4457</v>
      </c>
      <c r="Q1044" s="1" t="s">
        <v>264</v>
      </c>
      <c r="R1044" s="1" t="s">
        <v>265</v>
      </c>
      <c r="S1044" s="1" t="s">
        <v>2680</v>
      </c>
      <c r="T1044" s="1" t="s">
        <v>2681</v>
      </c>
      <c r="U1044" s="1">
        <v>1</v>
      </c>
      <c r="V1044" s="1" t="s">
        <v>308</v>
      </c>
      <c r="Y1044" s="10">
        <v>43463</v>
      </c>
      <c r="Z1044" s="1">
        <v>2018</v>
      </c>
      <c r="AA1044" s="2"/>
      <c r="AB1044" s="2"/>
      <c r="AC1044" s="2">
        <v>280612.27999999997</v>
      </c>
      <c r="AG1044" s="1" t="s">
        <v>56</v>
      </c>
      <c r="AI1044" s="2">
        <v>280612.27999999997</v>
      </c>
      <c r="AL1044" s="1" t="s">
        <v>4319</v>
      </c>
    </row>
    <row r="1045" spans="1:38" ht="14.45" customHeight="1" x14ac:dyDescent="0.2">
      <c r="A1045" s="1" t="s">
        <v>57</v>
      </c>
      <c r="B1045" s="9" t="s">
        <v>39</v>
      </c>
      <c r="C1045" s="1" t="s">
        <v>58</v>
      </c>
      <c r="D1045" s="1" t="s">
        <v>4315</v>
      </c>
      <c r="E1045" s="1" t="s">
        <v>42</v>
      </c>
      <c r="G1045" s="1" t="s">
        <v>4316</v>
      </c>
      <c r="H1045" s="1" t="s">
        <v>61</v>
      </c>
      <c r="I1045" s="1" t="s">
        <v>4842</v>
      </c>
      <c r="J1045" s="1">
        <v>2018</v>
      </c>
      <c r="P1045" s="1" t="s">
        <v>4457</v>
      </c>
      <c r="Q1045" s="1" t="s">
        <v>264</v>
      </c>
      <c r="R1045" s="1" t="s">
        <v>265</v>
      </c>
      <c r="S1045" s="1" t="s">
        <v>2680</v>
      </c>
      <c r="T1045" s="1" t="s">
        <v>2681</v>
      </c>
      <c r="U1045" s="1">
        <v>1</v>
      </c>
      <c r="V1045" s="1" t="s">
        <v>308</v>
      </c>
      <c r="Y1045" s="10">
        <v>43463</v>
      </c>
      <c r="Z1045" s="1">
        <v>2018</v>
      </c>
      <c r="AA1045" s="2"/>
      <c r="AB1045" s="2"/>
      <c r="AC1045" s="2">
        <v>389434.57999999996</v>
      </c>
      <c r="AG1045" s="1" t="s">
        <v>56</v>
      </c>
      <c r="AI1045" s="2">
        <v>389434.57999999996</v>
      </c>
      <c r="AL1045" s="1" t="s">
        <v>4319</v>
      </c>
    </row>
    <row r="1046" spans="1:38" ht="14.45" customHeight="1" x14ac:dyDescent="0.2">
      <c r="A1046" s="1" t="s">
        <v>57</v>
      </c>
      <c r="B1046" s="9" t="s">
        <v>39</v>
      </c>
      <c r="C1046" s="1" t="s">
        <v>58</v>
      </c>
      <c r="D1046" s="1" t="s">
        <v>4315</v>
      </c>
      <c r="E1046" s="1" t="s">
        <v>42</v>
      </c>
      <c r="G1046" s="1" t="s">
        <v>4316</v>
      </c>
      <c r="H1046" s="1" t="s">
        <v>61</v>
      </c>
      <c r="I1046" s="1" t="s">
        <v>4843</v>
      </c>
      <c r="J1046" s="1">
        <v>2018</v>
      </c>
      <c r="P1046" s="1" t="s">
        <v>4457</v>
      </c>
      <c r="Q1046" s="1" t="s">
        <v>264</v>
      </c>
      <c r="R1046" s="1" t="s">
        <v>265</v>
      </c>
      <c r="S1046" s="1" t="s">
        <v>2680</v>
      </c>
      <c r="T1046" s="1" t="s">
        <v>2681</v>
      </c>
      <c r="U1046" s="1">
        <v>1</v>
      </c>
      <c r="V1046" s="1" t="s">
        <v>308</v>
      </c>
      <c r="Y1046" s="10">
        <v>43463</v>
      </c>
      <c r="Z1046" s="1">
        <v>2018</v>
      </c>
      <c r="AA1046" s="2"/>
      <c r="AB1046" s="2"/>
      <c r="AC1046" s="2">
        <v>363419.99000000005</v>
      </c>
      <c r="AG1046" s="1" t="s">
        <v>56</v>
      </c>
      <c r="AI1046" s="2">
        <v>363419.99000000005</v>
      </c>
      <c r="AL1046" s="1" t="s">
        <v>4319</v>
      </c>
    </row>
    <row r="1047" spans="1:38" ht="14.45" customHeight="1" x14ac:dyDescent="0.2">
      <c r="A1047" s="1" t="s">
        <v>57</v>
      </c>
      <c r="B1047" s="9" t="s">
        <v>39</v>
      </c>
      <c r="C1047" s="1" t="s">
        <v>58</v>
      </c>
      <c r="D1047" s="1" t="s">
        <v>4315</v>
      </c>
      <c r="E1047" s="1" t="s">
        <v>42</v>
      </c>
      <c r="G1047" s="1" t="s">
        <v>4316</v>
      </c>
      <c r="H1047" s="1" t="s">
        <v>61</v>
      </c>
      <c r="I1047" s="1" t="s">
        <v>4844</v>
      </c>
      <c r="J1047" s="1">
        <v>2018</v>
      </c>
      <c r="P1047" s="1" t="s">
        <v>4457</v>
      </c>
      <c r="Q1047" s="1" t="s">
        <v>264</v>
      </c>
      <c r="R1047" s="1" t="s">
        <v>265</v>
      </c>
      <c r="S1047" s="1" t="s">
        <v>2680</v>
      </c>
      <c r="T1047" s="1" t="s">
        <v>2681</v>
      </c>
      <c r="U1047" s="1">
        <v>1</v>
      </c>
      <c r="V1047" s="1" t="s">
        <v>308</v>
      </c>
      <c r="Y1047" s="10">
        <v>43463</v>
      </c>
      <c r="Z1047" s="1">
        <v>2018</v>
      </c>
      <c r="AA1047" s="2"/>
      <c r="AB1047" s="2"/>
      <c r="AC1047" s="2">
        <v>386039.13</v>
      </c>
      <c r="AG1047" s="1" t="s">
        <v>56</v>
      </c>
      <c r="AI1047" s="2">
        <v>386039.13</v>
      </c>
      <c r="AL1047" s="1" t="s">
        <v>4319</v>
      </c>
    </row>
    <row r="1048" spans="1:38" ht="14.45" customHeight="1" x14ac:dyDescent="0.2">
      <c r="A1048" s="1" t="s">
        <v>57</v>
      </c>
      <c r="B1048" s="9" t="s">
        <v>39</v>
      </c>
      <c r="C1048" s="1" t="s">
        <v>58</v>
      </c>
      <c r="D1048" s="1" t="s">
        <v>4315</v>
      </c>
      <c r="E1048" s="1" t="s">
        <v>42</v>
      </c>
      <c r="G1048" s="1" t="s">
        <v>4316</v>
      </c>
      <c r="H1048" s="1" t="s">
        <v>61</v>
      </c>
      <c r="I1048" s="1" t="s">
        <v>4845</v>
      </c>
      <c r="J1048" s="1">
        <v>2018</v>
      </c>
      <c r="P1048" s="1" t="s">
        <v>4457</v>
      </c>
      <c r="Q1048" s="1" t="s">
        <v>264</v>
      </c>
      <c r="R1048" s="1" t="s">
        <v>265</v>
      </c>
      <c r="S1048" s="1" t="s">
        <v>2680</v>
      </c>
      <c r="T1048" s="1" t="s">
        <v>2681</v>
      </c>
      <c r="U1048" s="1">
        <v>1</v>
      </c>
      <c r="V1048" s="1" t="s">
        <v>308</v>
      </c>
      <c r="Y1048" s="10">
        <v>43463</v>
      </c>
      <c r="Z1048" s="1">
        <v>2018</v>
      </c>
      <c r="AA1048" s="2"/>
      <c r="AB1048" s="2"/>
      <c r="AC1048" s="2">
        <v>345704.45999999996</v>
      </c>
      <c r="AG1048" s="1" t="s">
        <v>56</v>
      </c>
      <c r="AI1048" s="2">
        <v>345704.45999999996</v>
      </c>
      <c r="AL1048" s="1" t="s">
        <v>4319</v>
      </c>
    </row>
    <row r="1049" spans="1:38" ht="14.45" customHeight="1" x14ac:dyDescent="0.2">
      <c r="A1049" s="1" t="s">
        <v>57</v>
      </c>
      <c r="B1049" s="9" t="s">
        <v>39</v>
      </c>
      <c r="C1049" s="1" t="s">
        <v>58</v>
      </c>
      <c r="D1049" s="1" t="s">
        <v>4315</v>
      </c>
      <c r="E1049" s="1" t="s">
        <v>42</v>
      </c>
      <c r="G1049" s="1" t="s">
        <v>4316</v>
      </c>
      <c r="H1049" s="1" t="s">
        <v>61</v>
      </c>
      <c r="I1049" s="1" t="s">
        <v>4846</v>
      </c>
      <c r="J1049" s="1">
        <v>2018</v>
      </c>
      <c r="P1049" s="1" t="s">
        <v>4457</v>
      </c>
      <c r="Q1049" s="1" t="s">
        <v>264</v>
      </c>
      <c r="R1049" s="1" t="s">
        <v>265</v>
      </c>
      <c r="S1049" s="1" t="s">
        <v>2680</v>
      </c>
      <c r="T1049" s="1" t="s">
        <v>2681</v>
      </c>
      <c r="U1049" s="1">
        <v>1</v>
      </c>
      <c r="V1049" s="1" t="s">
        <v>308</v>
      </c>
      <c r="Y1049" s="10">
        <v>43463</v>
      </c>
      <c r="Z1049" s="1">
        <v>2018</v>
      </c>
      <c r="AA1049" s="2"/>
      <c r="AB1049" s="2"/>
      <c r="AC1049" s="2">
        <v>501493.80999999994</v>
      </c>
      <c r="AG1049" s="1" t="s">
        <v>56</v>
      </c>
      <c r="AI1049" s="2">
        <v>501493.80999999994</v>
      </c>
      <c r="AL1049" s="1" t="s">
        <v>4319</v>
      </c>
    </row>
    <row r="1050" spans="1:38" ht="14.45" customHeight="1" x14ac:dyDescent="0.2">
      <c r="A1050" s="1" t="s">
        <v>57</v>
      </c>
      <c r="B1050" s="9" t="s">
        <v>39</v>
      </c>
      <c r="C1050" s="1" t="s">
        <v>58</v>
      </c>
      <c r="D1050" s="1" t="s">
        <v>4315</v>
      </c>
      <c r="E1050" s="1" t="s">
        <v>42</v>
      </c>
      <c r="G1050" s="1" t="s">
        <v>4316</v>
      </c>
      <c r="H1050" s="1" t="s">
        <v>61</v>
      </c>
      <c r="I1050" s="1" t="s">
        <v>4847</v>
      </c>
      <c r="J1050" s="1">
        <v>2018</v>
      </c>
      <c r="P1050" s="1" t="s">
        <v>4457</v>
      </c>
      <c r="Q1050" s="1" t="s">
        <v>264</v>
      </c>
      <c r="R1050" s="1" t="s">
        <v>265</v>
      </c>
      <c r="S1050" s="1" t="s">
        <v>2680</v>
      </c>
      <c r="T1050" s="1" t="s">
        <v>2681</v>
      </c>
      <c r="U1050" s="1">
        <v>1</v>
      </c>
      <c r="V1050" s="1" t="s">
        <v>308</v>
      </c>
      <c r="Y1050" s="10">
        <v>43463</v>
      </c>
      <c r="Z1050" s="1">
        <v>2018</v>
      </c>
      <c r="AA1050" s="2"/>
      <c r="AB1050" s="2"/>
      <c r="AC1050" s="2">
        <v>372546.65</v>
      </c>
      <c r="AG1050" s="1" t="s">
        <v>56</v>
      </c>
      <c r="AI1050" s="2">
        <v>372546.65</v>
      </c>
      <c r="AL1050" s="1" t="s">
        <v>4319</v>
      </c>
    </row>
    <row r="1051" spans="1:38" ht="14.45" customHeight="1" x14ac:dyDescent="0.2">
      <c r="A1051" s="1" t="s">
        <v>57</v>
      </c>
      <c r="B1051" s="9" t="s">
        <v>39</v>
      </c>
      <c r="C1051" s="1" t="s">
        <v>58</v>
      </c>
      <c r="D1051" s="1" t="s">
        <v>4315</v>
      </c>
      <c r="E1051" s="1" t="s">
        <v>42</v>
      </c>
      <c r="G1051" s="1" t="s">
        <v>4316</v>
      </c>
      <c r="H1051" s="1" t="s">
        <v>61</v>
      </c>
      <c r="I1051" s="1" t="s">
        <v>4848</v>
      </c>
      <c r="J1051" s="1">
        <v>2019</v>
      </c>
      <c r="P1051" s="1" t="s">
        <v>4457</v>
      </c>
      <c r="Q1051" s="1" t="s">
        <v>264</v>
      </c>
      <c r="R1051" s="1" t="s">
        <v>265</v>
      </c>
      <c r="S1051" s="1" t="s">
        <v>2680</v>
      </c>
      <c r="T1051" s="1" t="s">
        <v>2681</v>
      </c>
      <c r="U1051" s="1">
        <v>1</v>
      </c>
      <c r="V1051" s="1" t="s">
        <v>308</v>
      </c>
      <c r="Y1051" s="10">
        <v>43466</v>
      </c>
      <c r="Z1051" s="1">
        <v>2019</v>
      </c>
      <c r="AA1051" s="2"/>
      <c r="AB1051" s="2"/>
      <c r="AC1051" s="2">
        <v>516813.22000000009</v>
      </c>
      <c r="AG1051" s="1" t="s">
        <v>56</v>
      </c>
      <c r="AI1051" s="2">
        <v>516813.22000000009</v>
      </c>
      <c r="AL1051" s="1" t="s">
        <v>4319</v>
      </c>
    </row>
    <row r="1052" spans="1:38" ht="14.45" customHeight="1" x14ac:dyDescent="0.2">
      <c r="A1052" s="1" t="s">
        <v>57</v>
      </c>
      <c r="B1052" s="9" t="s">
        <v>39</v>
      </c>
      <c r="C1052" s="1" t="s">
        <v>58</v>
      </c>
      <c r="D1052" s="1" t="s">
        <v>4315</v>
      </c>
      <c r="E1052" s="1" t="s">
        <v>42</v>
      </c>
      <c r="G1052" s="1" t="s">
        <v>4316</v>
      </c>
      <c r="H1052" s="1" t="s">
        <v>61</v>
      </c>
      <c r="I1052" s="1" t="s">
        <v>4849</v>
      </c>
      <c r="J1052" s="1">
        <v>2018</v>
      </c>
      <c r="P1052" s="1" t="s">
        <v>4457</v>
      </c>
      <c r="Q1052" s="1" t="s">
        <v>264</v>
      </c>
      <c r="R1052" s="1" t="s">
        <v>265</v>
      </c>
      <c r="S1052" s="1" t="s">
        <v>2680</v>
      </c>
      <c r="T1052" s="1" t="s">
        <v>2681</v>
      </c>
      <c r="U1052" s="1">
        <v>1</v>
      </c>
      <c r="V1052" s="1" t="s">
        <v>308</v>
      </c>
      <c r="Y1052" s="10">
        <v>43463</v>
      </c>
      <c r="Z1052" s="1">
        <v>2018</v>
      </c>
      <c r="AA1052" s="2"/>
      <c r="AB1052" s="2"/>
      <c r="AC1052" s="2">
        <v>566611.76</v>
      </c>
      <c r="AG1052" s="1" t="s">
        <v>56</v>
      </c>
      <c r="AI1052" s="2">
        <v>566611.76</v>
      </c>
      <c r="AL1052" s="1" t="s">
        <v>4319</v>
      </c>
    </row>
    <row r="1053" spans="1:38" ht="14.45" customHeight="1" x14ac:dyDescent="0.2">
      <c r="A1053" s="1" t="s">
        <v>57</v>
      </c>
      <c r="B1053" s="9" t="s">
        <v>39</v>
      </c>
      <c r="C1053" s="1" t="s">
        <v>58</v>
      </c>
      <c r="D1053" s="1" t="s">
        <v>4315</v>
      </c>
      <c r="E1053" s="1" t="s">
        <v>42</v>
      </c>
      <c r="G1053" s="1" t="s">
        <v>4316</v>
      </c>
      <c r="H1053" s="1" t="s">
        <v>61</v>
      </c>
      <c r="I1053" s="1" t="s">
        <v>4850</v>
      </c>
      <c r="J1053" s="1">
        <v>2018</v>
      </c>
      <c r="P1053" s="1" t="s">
        <v>4457</v>
      </c>
      <c r="Q1053" s="1" t="s">
        <v>264</v>
      </c>
      <c r="R1053" s="1" t="s">
        <v>265</v>
      </c>
      <c r="S1053" s="1" t="s">
        <v>2680</v>
      </c>
      <c r="T1053" s="1" t="s">
        <v>2681</v>
      </c>
      <c r="U1053" s="1">
        <v>1</v>
      </c>
      <c r="V1053" s="1" t="s">
        <v>308</v>
      </c>
      <c r="Y1053" s="10">
        <v>43463</v>
      </c>
      <c r="Z1053" s="1">
        <v>2018</v>
      </c>
      <c r="AA1053" s="2"/>
      <c r="AB1053" s="2"/>
      <c r="AC1053" s="2">
        <v>375587.31000000006</v>
      </c>
      <c r="AG1053" s="1" t="s">
        <v>56</v>
      </c>
      <c r="AI1053" s="2">
        <v>375587.31000000006</v>
      </c>
      <c r="AL1053" s="1" t="s">
        <v>4319</v>
      </c>
    </row>
    <row r="1054" spans="1:38" ht="14.45" customHeight="1" x14ac:dyDescent="0.2">
      <c r="A1054" s="1" t="s">
        <v>57</v>
      </c>
      <c r="B1054" s="9" t="s">
        <v>39</v>
      </c>
      <c r="C1054" s="1" t="s">
        <v>58</v>
      </c>
      <c r="D1054" s="1" t="s">
        <v>4315</v>
      </c>
      <c r="E1054" s="1" t="s">
        <v>42</v>
      </c>
      <c r="G1054" s="1" t="s">
        <v>4316</v>
      </c>
      <c r="H1054" s="1" t="s">
        <v>61</v>
      </c>
      <c r="I1054" s="1" t="s">
        <v>4851</v>
      </c>
      <c r="J1054" s="1">
        <v>2018</v>
      </c>
      <c r="P1054" s="1" t="s">
        <v>4457</v>
      </c>
      <c r="Q1054" s="1" t="s">
        <v>264</v>
      </c>
      <c r="R1054" s="1" t="s">
        <v>265</v>
      </c>
      <c r="S1054" s="1" t="s">
        <v>2680</v>
      </c>
      <c r="T1054" s="1" t="s">
        <v>2681</v>
      </c>
      <c r="U1054" s="1">
        <v>1</v>
      </c>
      <c r="V1054" s="1" t="s">
        <v>308</v>
      </c>
      <c r="Y1054" s="10">
        <v>43463</v>
      </c>
      <c r="Z1054" s="1">
        <v>2018</v>
      </c>
      <c r="AA1054" s="2"/>
      <c r="AB1054" s="2"/>
      <c r="AC1054" s="2">
        <v>397476.15</v>
      </c>
      <c r="AG1054" s="1" t="s">
        <v>56</v>
      </c>
      <c r="AI1054" s="2">
        <v>397476.15</v>
      </c>
      <c r="AL1054" s="1" t="s">
        <v>4319</v>
      </c>
    </row>
    <row r="1055" spans="1:38" ht="14.45" customHeight="1" x14ac:dyDescent="0.2">
      <c r="A1055" s="1" t="s">
        <v>57</v>
      </c>
      <c r="B1055" s="9" t="s">
        <v>39</v>
      </c>
      <c r="C1055" s="1" t="s">
        <v>58</v>
      </c>
      <c r="D1055" s="1" t="s">
        <v>4315</v>
      </c>
      <c r="E1055" s="1" t="s">
        <v>42</v>
      </c>
      <c r="G1055" s="1" t="s">
        <v>4316</v>
      </c>
      <c r="H1055" s="1" t="s">
        <v>61</v>
      </c>
      <c r="I1055" s="1" t="s">
        <v>4852</v>
      </c>
      <c r="J1055" s="1">
        <v>2018</v>
      </c>
      <c r="P1055" s="1" t="s">
        <v>4457</v>
      </c>
      <c r="Q1055" s="1" t="s">
        <v>264</v>
      </c>
      <c r="R1055" s="1" t="s">
        <v>265</v>
      </c>
      <c r="S1055" s="1" t="s">
        <v>2680</v>
      </c>
      <c r="T1055" s="1" t="s">
        <v>2681</v>
      </c>
      <c r="U1055" s="1">
        <v>1</v>
      </c>
      <c r="V1055" s="1" t="s">
        <v>308</v>
      </c>
      <c r="Y1055" s="10">
        <v>43463</v>
      </c>
      <c r="Z1055" s="1">
        <v>2018</v>
      </c>
      <c r="AA1055" s="2"/>
      <c r="AB1055" s="2"/>
      <c r="AC1055" s="2">
        <v>545420.00000000012</v>
      </c>
      <c r="AG1055" s="1" t="s">
        <v>56</v>
      </c>
      <c r="AI1055" s="2">
        <v>545420.00000000012</v>
      </c>
      <c r="AL1055" s="1" t="s">
        <v>4319</v>
      </c>
    </row>
    <row r="1056" spans="1:38" ht="14.45" customHeight="1" x14ac:dyDescent="0.2">
      <c r="A1056" s="1" t="s">
        <v>57</v>
      </c>
      <c r="B1056" s="9" t="s">
        <v>39</v>
      </c>
      <c r="C1056" s="1" t="s">
        <v>58</v>
      </c>
      <c r="D1056" s="1" t="s">
        <v>4315</v>
      </c>
      <c r="E1056" s="1" t="s">
        <v>42</v>
      </c>
      <c r="G1056" s="1" t="s">
        <v>4316</v>
      </c>
      <c r="H1056" s="1" t="s">
        <v>61</v>
      </c>
      <c r="I1056" s="1" t="s">
        <v>4853</v>
      </c>
      <c r="J1056" s="1">
        <v>2018</v>
      </c>
      <c r="P1056" s="1" t="s">
        <v>4457</v>
      </c>
      <c r="Q1056" s="1" t="s">
        <v>264</v>
      </c>
      <c r="R1056" s="1" t="s">
        <v>265</v>
      </c>
      <c r="S1056" s="1" t="s">
        <v>2680</v>
      </c>
      <c r="T1056" s="1" t="s">
        <v>2681</v>
      </c>
      <c r="U1056" s="1">
        <v>1</v>
      </c>
      <c r="V1056" s="1" t="s">
        <v>308</v>
      </c>
      <c r="Y1056" s="10">
        <v>43463</v>
      </c>
      <c r="Z1056" s="1">
        <v>2018</v>
      </c>
      <c r="AA1056" s="2"/>
      <c r="AB1056" s="2"/>
      <c r="AC1056" s="2">
        <v>498626.20000000007</v>
      </c>
      <c r="AG1056" s="1" t="s">
        <v>56</v>
      </c>
      <c r="AI1056" s="2">
        <v>498626.20000000007</v>
      </c>
      <c r="AL1056" s="1" t="s">
        <v>4319</v>
      </c>
    </row>
    <row r="1057" spans="1:38" ht="14.45" customHeight="1" x14ac:dyDescent="0.2">
      <c r="A1057" s="1" t="s">
        <v>57</v>
      </c>
      <c r="B1057" s="9" t="s">
        <v>39</v>
      </c>
      <c r="C1057" s="1" t="s">
        <v>58</v>
      </c>
      <c r="D1057" s="1" t="s">
        <v>4315</v>
      </c>
      <c r="E1057" s="1" t="s">
        <v>42</v>
      </c>
      <c r="G1057" s="1" t="s">
        <v>4316</v>
      </c>
      <c r="H1057" s="1" t="s">
        <v>61</v>
      </c>
      <c r="I1057" s="1" t="s">
        <v>4854</v>
      </c>
      <c r="J1057" s="1">
        <v>2018</v>
      </c>
      <c r="P1057" s="1" t="s">
        <v>4457</v>
      </c>
      <c r="Q1057" s="1" t="s">
        <v>264</v>
      </c>
      <c r="R1057" s="1" t="s">
        <v>265</v>
      </c>
      <c r="S1057" s="1" t="s">
        <v>2680</v>
      </c>
      <c r="T1057" s="1" t="s">
        <v>2681</v>
      </c>
      <c r="U1057" s="1">
        <v>1</v>
      </c>
      <c r="V1057" s="1" t="s">
        <v>308</v>
      </c>
      <c r="Y1057" s="10">
        <v>43463</v>
      </c>
      <c r="Z1057" s="1">
        <v>2018</v>
      </c>
      <c r="AA1057" s="2"/>
      <c r="AB1057" s="2"/>
      <c r="AC1057" s="2">
        <v>391516.24</v>
      </c>
      <c r="AG1057" s="1" t="s">
        <v>56</v>
      </c>
      <c r="AI1057" s="2">
        <v>391516.24</v>
      </c>
      <c r="AL1057" s="1" t="s">
        <v>4319</v>
      </c>
    </row>
    <row r="1058" spans="1:38" ht="14.45" customHeight="1" x14ac:dyDescent="0.2">
      <c r="A1058" s="1" t="s">
        <v>57</v>
      </c>
      <c r="B1058" s="9" t="s">
        <v>39</v>
      </c>
      <c r="C1058" s="1" t="s">
        <v>58</v>
      </c>
      <c r="D1058" s="1" t="s">
        <v>4315</v>
      </c>
      <c r="E1058" s="1" t="s">
        <v>42</v>
      </c>
      <c r="G1058" s="1" t="s">
        <v>4316</v>
      </c>
      <c r="H1058" s="1" t="s">
        <v>61</v>
      </c>
      <c r="I1058" s="1" t="s">
        <v>4855</v>
      </c>
      <c r="J1058" s="1">
        <v>2018</v>
      </c>
      <c r="P1058" s="1" t="s">
        <v>4457</v>
      </c>
      <c r="Q1058" s="1" t="s">
        <v>264</v>
      </c>
      <c r="R1058" s="1" t="s">
        <v>265</v>
      </c>
      <c r="S1058" s="1" t="s">
        <v>2680</v>
      </c>
      <c r="T1058" s="1" t="s">
        <v>2681</v>
      </c>
      <c r="U1058" s="1">
        <v>1</v>
      </c>
      <c r="V1058" s="1" t="s">
        <v>308</v>
      </c>
      <c r="Y1058" s="10">
        <v>43463</v>
      </c>
      <c r="Z1058" s="1">
        <v>2018</v>
      </c>
      <c r="AA1058" s="2"/>
      <c r="AB1058" s="2"/>
      <c r="AC1058" s="2">
        <v>628913.94000000006</v>
      </c>
      <c r="AG1058" s="1" t="s">
        <v>56</v>
      </c>
      <c r="AI1058" s="2">
        <v>628913.94000000006</v>
      </c>
      <c r="AL1058" s="1" t="s">
        <v>4319</v>
      </c>
    </row>
    <row r="1059" spans="1:38" ht="14.45" customHeight="1" x14ac:dyDescent="0.2">
      <c r="A1059" s="1" t="s">
        <v>57</v>
      </c>
      <c r="B1059" s="9" t="s">
        <v>39</v>
      </c>
      <c r="C1059" s="1" t="s">
        <v>58</v>
      </c>
      <c r="D1059" s="1" t="s">
        <v>4315</v>
      </c>
      <c r="E1059" s="1" t="s">
        <v>42</v>
      </c>
      <c r="G1059" s="1" t="s">
        <v>4316</v>
      </c>
      <c r="H1059" s="1" t="s">
        <v>61</v>
      </c>
      <c r="I1059" s="1" t="s">
        <v>4856</v>
      </c>
      <c r="J1059" s="1">
        <v>2018</v>
      </c>
      <c r="P1059" s="1" t="s">
        <v>4457</v>
      </c>
      <c r="Q1059" s="1" t="s">
        <v>264</v>
      </c>
      <c r="R1059" s="1" t="s">
        <v>265</v>
      </c>
      <c r="S1059" s="1" t="s">
        <v>2680</v>
      </c>
      <c r="T1059" s="1" t="s">
        <v>2681</v>
      </c>
      <c r="U1059" s="1">
        <v>1</v>
      </c>
      <c r="V1059" s="1" t="s">
        <v>308</v>
      </c>
      <c r="Y1059" s="10">
        <v>43463</v>
      </c>
      <c r="Z1059" s="1">
        <v>2018</v>
      </c>
      <c r="AA1059" s="2"/>
      <c r="AB1059" s="2"/>
      <c r="AC1059" s="2">
        <v>413471.72000000003</v>
      </c>
      <c r="AG1059" s="1" t="s">
        <v>56</v>
      </c>
      <c r="AI1059" s="2">
        <v>413471.72000000003</v>
      </c>
      <c r="AL1059" s="1" t="s">
        <v>4319</v>
      </c>
    </row>
    <row r="1060" spans="1:38" ht="14.45" customHeight="1" x14ac:dyDescent="0.2">
      <c r="A1060" s="1" t="s">
        <v>57</v>
      </c>
      <c r="B1060" s="9" t="s">
        <v>39</v>
      </c>
      <c r="C1060" s="1" t="s">
        <v>58</v>
      </c>
      <c r="D1060" s="1" t="s">
        <v>4315</v>
      </c>
      <c r="E1060" s="1" t="s">
        <v>42</v>
      </c>
      <c r="G1060" s="1" t="s">
        <v>4316</v>
      </c>
      <c r="H1060" s="1" t="s">
        <v>61</v>
      </c>
      <c r="I1060" s="1" t="s">
        <v>4857</v>
      </c>
      <c r="J1060" s="1">
        <v>2018</v>
      </c>
      <c r="P1060" s="1" t="s">
        <v>4457</v>
      </c>
      <c r="Q1060" s="1" t="s">
        <v>264</v>
      </c>
      <c r="R1060" s="1" t="s">
        <v>265</v>
      </c>
      <c r="S1060" s="1" t="s">
        <v>2680</v>
      </c>
      <c r="T1060" s="1" t="s">
        <v>2681</v>
      </c>
      <c r="U1060" s="1">
        <v>1</v>
      </c>
      <c r="V1060" s="1" t="s">
        <v>308</v>
      </c>
      <c r="Y1060" s="10">
        <v>43463</v>
      </c>
      <c r="Z1060" s="1">
        <v>2018</v>
      </c>
      <c r="AA1060" s="2"/>
      <c r="AB1060" s="2"/>
      <c r="AC1060" s="2">
        <v>444306.19000000006</v>
      </c>
      <c r="AG1060" s="1" t="s">
        <v>56</v>
      </c>
      <c r="AI1060" s="2">
        <v>444306.19000000006</v>
      </c>
      <c r="AL1060" s="1" t="s">
        <v>4319</v>
      </c>
    </row>
    <row r="1061" spans="1:38" ht="14.45" customHeight="1" x14ac:dyDescent="0.2">
      <c r="A1061" s="1" t="s">
        <v>57</v>
      </c>
      <c r="B1061" s="9" t="s">
        <v>39</v>
      </c>
      <c r="C1061" s="1" t="s">
        <v>58</v>
      </c>
      <c r="D1061" s="1" t="s">
        <v>4315</v>
      </c>
      <c r="E1061" s="1" t="s">
        <v>42</v>
      </c>
      <c r="G1061" s="1" t="s">
        <v>4316</v>
      </c>
      <c r="H1061" s="1" t="s">
        <v>61</v>
      </c>
      <c r="I1061" s="1" t="s">
        <v>4858</v>
      </c>
      <c r="J1061" s="1">
        <v>2018</v>
      </c>
      <c r="P1061" s="1" t="s">
        <v>4457</v>
      </c>
      <c r="Q1061" s="1" t="s">
        <v>264</v>
      </c>
      <c r="R1061" s="1" t="s">
        <v>265</v>
      </c>
      <c r="S1061" s="1" t="s">
        <v>2680</v>
      </c>
      <c r="T1061" s="1" t="s">
        <v>2681</v>
      </c>
      <c r="U1061" s="1">
        <v>1</v>
      </c>
      <c r="V1061" s="1" t="s">
        <v>308</v>
      </c>
      <c r="Y1061" s="10">
        <v>43463</v>
      </c>
      <c r="Z1061" s="1">
        <v>2018</v>
      </c>
      <c r="AA1061" s="2"/>
      <c r="AB1061" s="2"/>
      <c r="AC1061" s="2">
        <v>541557.69999999995</v>
      </c>
      <c r="AG1061" s="1" t="s">
        <v>56</v>
      </c>
      <c r="AI1061" s="2">
        <v>541557.69999999995</v>
      </c>
      <c r="AL1061" s="1" t="s">
        <v>4319</v>
      </c>
    </row>
    <row r="1062" spans="1:38" ht="14.45" customHeight="1" x14ac:dyDescent="0.2">
      <c r="A1062" s="1" t="s">
        <v>57</v>
      </c>
      <c r="B1062" s="9" t="s">
        <v>39</v>
      </c>
      <c r="C1062" s="1" t="s">
        <v>58</v>
      </c>
      <c r="D1062" s="1" t="s">
        <v>4315</v>
      </c>
      <c r="E1062" s="1" t="s">
        <v>42</v>
      </c>
      <c r="G1062" s="1" t="s">
        <v>4316</v>
      </c>
      <c r="H1062" s="1" t="s">
        <v>61</v>
      </c>
      <c r="I1062" s="1" t="s">
        <v>4859</v>
      </c>
      <c r="J1062" s="1">
        <v>2018</v>
      </c>
      <c r="P1062" s="1" t="s">
        <v>4457</v>
      </c>
      <c r="Q1062" s="1" t="s">
        <v>264</v>
      </c>
      <c r="R1062" s="1" t="s">
        <v>265</v>
      </c>
      <c r="S1062" s="1" t="s">
        <v>2680</v>
      </c>
      <c r="T1062" s="1" t="s">
        <v>2681</v>
      </c>
      <c r="U1062" s="1">
        <v>1</v>
      </c>
      <c r="V1062" s="1" t="s">
        <v>308</v>
      </c>
      <c r="Y1062" s="10">
        <v>43463</v>
      </c>
      <c r="Z1062" s="1">
        <v>2018</v>
      </c>
      <c r="AA1062" s="2"/>
      <c r="AB1062" s="2"/>
      <c r="AC1062" s="2">
        <v>455133.5</v>
      </c>
      <c r="AG1062" s="1" t="s">
        <v>56</v>
      </c>
      <c r="AI1062" s="2">
        <v>455133.5</v>
      </c>
      <c r="AL1062" s="1" t="s">
        <v>4319</v>
      </c>
    </row>
    <row r="1063" spans="1:38" ht="14.45" customHeight="1" x14ac:dyDescent="0.2">
      <c r="A1063" s="1" t="s">
        <v>57</v>
      </c>
      <c r="B1063" s="9" t="s">
        <v>39</v>
      </c>
      <c r="C1063" s="1" t="s">
        <v>58</v>
      </c>
      <c r="D1063" s="1" t="s">
        <v>4315</v>
      </c>
      <c r="E1063" s="1" t="s">
        <v>42</v>
      </c>
      <c r="G1063" s="1" t="s">
        <v>4316</v>
      </c>
      <c r="H1063" s="1" t="s">
        <v>61</v>
      </c>
      <c r="I1063" s="1" t="s">
        <v>4860</v>
      </c>
      <c r="J1063" s="1">
        <v>2019</v>
      </c>
      <c r="P1063" s="1" t="s">
        <v>4457</v>
      </c>
      <c r="Q1063" s="1" t="s">
        <v>264</v>
      </c>
      <c r="R1063" s="1" t="s">
        <v>265</v>
      </c>
      <c r="S1063" s="1" t="s">
        <v>2680</v>
      </c>
      <c r="T1063" s="1" t="s">
        <v>2681</v>
      </c>
      <c r="U1063" s="1">
        <v>1</v>
      </c>
      <c r="V1063" s="1" t="s">
        <v>308</v>
      </c>
      <c r="Y1063" s="10">
        <v>43466</v>
      </c>
      <c r="Z1063" s="1">
        <v>2019</v>
      </c>
      <c r="AA1063" s="2"/>
      <c r="AB1063" s="2"/>
      <c r="AC1063" s="2">
        <v>618750.47000000009</v>
      </c>
      <c r="AG1063" s="1" t="s">
        <v>56</v>
      </c>
      <c r="AI1063" s="2">
        <v>618750.47000000009</v>
      </c>
      <c r="AL1063" s="1" t="s">
        <v>4319</v>
      </c>
    </row>
    <row r="1064" spans="1:38" ht="14.45" customHeight="1" x14ac:dyDescent="0.2">
      <c r="A1064" s="1" t="s">
        <v>57</v>
      </c>
      <c r="B1064" s="9" t="s">
        <v>39</v>
      </c>
      <c r="C1064" s="1" t="s">
        <v>58</v>
      </c>
      <c r="D1064" s="1" t="s">
        <v>4315</v>
      </c>
      <c r="E1064" s="1" t="s">
        <v>42</v>
      </c>
      <c r="G1064" s="1" t="s">
        <v>4316</v>
      </c>
      <c r="H1064" s="1" t="s">
        <v>61</v>
      </c>
      <c r="I1064" s="1" t="s">
        <v>4861</v>
      </c>
      <c r="J1064" s="1">
        <v>2018</v>
      </c>
      <c r="P1064" s="1" t="s">
        <v>4457</v>
      </c>
      <c r="Q1064" s="1" t="s">
        <v>264</v>
      </c>
      <c r="R1064" s="1" t="s">
        <v>265</v>
      </c>
      <c r="S1064" s="1" t="s">
        <v>2680</v>
      </c>
      <c r="T1064" s="1" t="s">
        <v>2681</v>
      </c>
      <c r="U1064" s="1">
        <v>1</v>
      </c>
      <c r="V1064" s="1" t="s">
        <v>308</v>
      </c>
      <c r="Y1064" s="10">
        <v>43463</v>
      </c>
      <c r="Z1064" s="1">
        <v>2018</v>
      </c>
      <c r="AA1064" s="2"/>
      <c r="AB1064" s="2"/>
      <c r="AC1064" s="2">
        <v>608546.34</v>
      </c>
      <c r="AG1064" s="1" t="s">
        <v>56</v>
      </c>
      <c r="AI1064" s="2">
        <v>608546.34</v>
      </c>
      <c r="AL1064" s="1" t="s">
        <v>4319</v>
      </c>
    </row>
    <row r="1065" spans="1:38" ht="14.45" customHeight="1" x14ac:dyDescent="0.2">
      <c r="A1065" s="1" t="s">
        <v>57</v>
      </c>
      <c r="B1065" s="9" t="s">
        <v>39</v>
      </c>
      <c r="C1065" s="1" t="s">
        <v>58</v>
      </c>
      <c r="D1065" s="1" t="s">
        <v>4315</v>
      </c>
      <c r="E1065" s="1" t="s">
        <v>42</v>
      </c>
      <c r="G1065" s="1" t="s">
        <v>4316</v>
      </c>
      <c r="H1065" s="1" t="s">
        <v>61</v>
      </c>
      <c r="I1065" s="1" t="s">
        <v>4862</v>
      </c>
      <c r="J1065" s="1">
        <v>2018</v>
      </c>
      <c r="P1065" s="1" t="s">
        <v>4457</v>
      </c>
      <c r="Q1065" s="1" t="s">
        <v>264</v>
      </c>
      <c r="R1065" s="1" t="s">
        <v>265</v>
      </c>
      <c r="S1065" s="1" t="s">
        <v>2680</v>
      </c>
      <c r="T1065" s="1" t="s">
        <v>2681</v>
      </c>
      <c r="U1065" s="1">
        <v>1</v>
      </c>
      <c r="V1065" s="1" t="s">
        <v>308</v>
      </c>
      <c r="Y1065" s="10">
        <v>43463</v>
      </c>
      <c r="Z1065" s="1">
        <v>2018</v>
      </c>
      <c r="AA1065" s="2"/>
      <c r="AB1065" s="2"/>
      <c r="AC1065" s="2">
        <v>458885.94999999995</v>
      </c>
      <c r="AG1065" s="1" t="s">
        <v>56</v>
      </c>
      <c r="AI1065" s="2">
        <v>458885.94999999995</v>
      </c>
      <c r="AL1065" s="1" t="s">
        <v>4319</v>
      </c>
    </row>
    <row r="1066" spans="1:38" ht="14.45" customHeight="1" x14ac:dyDescent="0.2">
      <c r="A1066" s="1" t="s">
        <v>57</v>
      </c>
      <c r="B1066" s="9" t="s">
        <v>39</v>
      </c>
      <c r="C1066" s="1" t="s">
        <v>58</v>
      </c>
      <c r="D1066" s="1" t="s">
        <v>4315</v>
      </c>
      <c r="E1066" s="1" t="s">
        <v>42</v>
      </c>
      <c r="G1066" s="1" t="s">
        <v>4316</v>
      </c>
      <c r="H1066" s="1" t="s">
        <v>61</v>
      </c>
      <c r="I1066" s="1" t="s">
        <v>4863</v>
      </c>
      <c r="J1066" s="1">
        <v>2018</v>
      </c>
      <c r="P1066" s="1" t="s">
        <v>4457</v>
      </c>
      <c r="Q1066" s="1" t="s">
        <v>264</v>
      </c>
      <c r="R1066" s="1" t="s">
        <v>265</v>
      </c>
      <c r="S1066" s="1" t="s">
        <v>2680</v>
      </c>
      <c r="T1066" s="1" t="s">
        <v>2681</v>
      </c>
      <c r="U1066" s="1">
        <v>1</v>
      </c>
      <c r="V1066" s="1" t="s">
        <v>308</v>
      </c>
      <c r="Y1066" s="10">
        <v>43463</v>
      </c>
      <c r="Z1066" s="1">
        <v>2018</v>
      </c>
      <c r="AA1066" s="2"/>
      <c r="AB1066" s="2"/>
      <c r="AC1066" s="2">
        <v>407108.58</v>
      </c>
      <c r="AG1066" s="1" t="s">
        <v>56</v>
      </c>
      <c r="AI1066" s="2">
        <v>407108.58</v>
      </c>
      <c r="AL1066" s="1" t="s">
        <v>4319</v>
      </c>
    </row>
    <row r="1067" spans="1:38" ht="14.45" customHeight="1" x14ac:dyDescent="0.2">
      <c r="A1067" s="1" t="s">
        <v>57</v>
      </c>
      <c r="B1067" s="9" t="s">
        <v>39</v>
      </c>
      <c r="C1067" s="1" t="s">
        <v>58</v>
      </c>
      <c r="D1067" s="1" t="s">
        <v>4315</v>
      </c>
      <c r="E1067" s="1" t="s">
        <v>42</v>
      </c>
      <c r="G1067" s="1" t="s">
        <v>4316</v>
      </c>
      <c r="H1067" s="1" t="s">
        <v>61</v>
      </c>
      <c r="I1067" s="1" t="s">
        <v>4864</v>
      </c>
      <c r="J1067" s="1">
        <v>2018</v>
      </c>
      <c r="P1067" s="1" t="s">
        <v>4457</v>
      </c>
      <c r="Q1067" s="1" t="s">
        <v>264</v>
      </c>
      <c r="R1067" s="1" t="s">
        <v>265</v>
      </c>
      <c r="S1067" s="1" t="s">
        <v>2680</v>
      </c>
      <c r="T1067" s="1" t="s">
        <v>2681</v>
      </c>
      <c r="U1067" s="1">
        <v>1</v>
      </c>
      <c r="V1067" s="1" t="s">
        <v>308</v>
      </c>
      <c r="Y1067" s="10">
        <v>43463</v>
      </c>
      <c r="Z1067" s="1">
        <v>2018</v>
      </c>
      <c r="AA1067" s="2"/>
      <c r="AB1067" s="2"/>
      <c r="AC1067" s="2">
        <v>675480.75</v>
      </c>
      <c r="AG1067" s="1" t="s">
        <v>56</v>
      </c>
      <c r="AI1067" s="2">
        <v>675480.75</v>
      </c>
      <c r="AL1067" s="1" t="s">
        <v>4319</v>
      </c>
    </row>
    <row r="1068" spans="1:38" ht="14.45" customHeight="1" x14ac:dyDescent="0.2">
      <c r="A1068" s="1" t="s">
        <v>57</v>
      </c>
      <c r="B1068" s="9" t="s">
        <v>39</v>
      </c>
      <c r="C1068" s="1" t="s">
        <v>58</v>
      </c>
      <c r="D1068" s="1" t="s">
        <v>4315</v>
      </c>
      <c r="E1068" s="1" t="s">
        <v>42</v>
      </c>
      <c r="G1068" s="1" t="s">
        <v>4316</v>
      </c>
      <c r="H1068" s="1" t="s">
        <v>61</v>
      </c>
      <c r="I1068" s="1" t="s">
        <v>4865</v>
      </c>
      <c r="J1068" s="1">
        <v>2018</v>
      </c>
      <c r="P1068" s="1" t="s">
        <v>4457</v>
      </c>
      <c r="Q1068" s="1" t="s">
        <v>264</v>
      </c>
      <c r="R1068" s="1" t="s">
        <v>265</v>
      </c>
      <c r="S1068" s="1" t="s">
        <v>2680</v>
      </c>
      <c r="T1068" s="1" t="s">
        <v>2681</v>
      </c>
      <c r="U1068" s="1">
        <v>1</v>
      </c>
      <c r="V1068" s="1" t="s">
        <v>308</v>
      </c>
      <c r="Y1068" s="10">
        <v>43463</v>
      </c>
      <c r="Z1068" s="1">
        <v>2018</v>
      </c>
      <c r="AA1068" s="2"/>
      <c r="AB1068" s="2"/>
      <c r="AC1068" s="2">
        <v>605254.82999999996</v>
      </c>
      <c r="AG1068" s="1" t="s">
        <v>56</v>
      </c>
      <c r="AI1068" s="2">
        <v>605254.82999999996</v>
      </c>
      <c r="AL1068" s="1" t="s">
        <v>4319</v>
      </c>
    </row>
    <row r="1069" spans="1:38" ht="14.45" customHeight="1" x14ac:dyDescent="0.2">
      <c r="A1069" s="1" t="s">
        <v>57</v>
      </c>
      <c r="B1069" s="9" t="s">
        <v>39</v>
      </c>
      <c r="C1069" s="1" t="s">
        <v>58</v>
      </c>
      <c r="D1069" s="1" t="s">
        <v>4315</v>
      </c>
      <c r="E1069" s="1" t="s">
        <v>42</v>
      </c>
      <c r="G1069" s="1" t="s">
        <v>4316</v>
      </c>
      <c r="H1069" s="1" t="s">
        <v>61</v>
      </c>
      <c r="I1069" s="1" t="s">
        <v>4866</v>
      </c>
      <c r="J1069" s="1">
        <v>2018</v>
      </c>
      <c r="P1069" s="1" t="s">
        <v>4457</v>
      </c>
      <c r="Q1069" s="1" t="s">
        <v>264</v>
      </c>
      <c r="R1069" s="1" t="s">
        <v>265</v>
      </c>
      <c r="S1069" s="1" t="s">
        <v>2680</v>
      </c>
      <c r="T1069" s="1" t="s">
        <v>2681</v>
      </c>
      <c r="U1069" s="1">
        <v>1</v>
      </c>
      <c r="V1069" s="1" t="s">
        <v>308</v>
      </c>
      <c r="Y1069" s="10">
        <v>43463</v>
      </c>
      <c r="Z1069" s="1">
        <v>2018</v>
      </c>
      <c r="AA1069" s="2"/>
      <c r="AB1069" s="2"/>
      <c r="AC1069" s="2">
        <v>625553.0199999999</v>
      </c>
      <c r="AG1069" s="1" t="s">
        <v>56</v>
      </c>
      <c r="AI1069" s="2">
        <v>625553.0199999999</v>
      </c>
      <c r="AL1069" s="1" t="s">
        <v>4319</v>
      </c>
    </row>
    <row r="1070" spans="1:38" ht="14.45" customHeight="1" x14ac:dyDescent="0.2">
      <c r="A1070" s="1" t="s">
        <v>57</v>
      </c>
      <c r="B1070" s="9" t="s">
        <v>39</v>
      </c>
      <c r="C1070" s="1" t="s">
        <v>58</v>
      </c>
      <c r="D1070" s="1" t="s">
        <v>4315</v>
      </c>
      <c r="E1070" s="1" t="s">
        <v>42</v>
      </c>
      <c r="G1070" s="1" t="s">
        <v>4316</v>
      </c>
      <c r="H1070" s="1" t="s">
        <v>61</v>
      </c>
      <c r="I1070" s="1" t="s">
        <v>4867</v>
      </c>
      <c r="J1070" s="1">
        <v>2018</v>
      </c>
      <c r="P1070" s="1" t="s">
        <v>4457</v>
      </c>
      <c r="Q1070" s="1" t="s">
        <v>264</v>
      </c>
      <c r="R1070" s="1" t="s">
        <v>265</v>
      </c>
      <c r="S1070" s="1" t="s">
        <v>2680</v>
      </c>
      <c r="T1070" s="1" t="s">
        <v>2681</v>
      </c>
      <c r="U1070" s="1">
        <v>1</v>
      </c>
      <c r="V1070" s="1" t="s">
        <v>308</v>
      </c>
      <c r="Y1070" s="10">
        <v>43463</v>
      </c>
      <c r="Z1070" s="1">
        <v>2018</v>
      </c>
      <c r="AA1070" s="2"/>
      <c r="AB1070" s="2"/>
      <c r="AC1070" s="2">
        <v>397689.45</v>
      </c>
      <c r="AG1070" s="1" t="s">
        <v>56</v>
      </c>
      <c r="AI1070" s="2">
        <v>397689.45</v>
      </c>
      <c r="AL1070" s="1" t="s">
        <v>4319</v>
      </c>
    </row>
    <row r="1071" spans="1:38" ht="14.45" customHeight="1" x14ac:dyDescent="0.2">
      <c r="A1071" s="1" t="s">
        <v>57</v>
      </c>
      <c r="B1071" s="9" t="s">
        <v>39</v>
      </c>
      <c r="C1071" s="1" t="s">
        <v>58</v>
      </c>
      <c r="D1071" s="1" t="s">
        <v>4315</v>
      </c>
      <c r="E1071" s="1" t="s">
        <v>42</v>
      </c>
      <c r="G1071" s="1" t="s">
        <v>4316</v>
      </c>
      <c r="H1071" s="1" t="s">
        <v>61</v>
      </c>
      <c r="I1071" s="1" t="s">
        <v>4868</v>
      </c>
      <c r="J1071" s="1">
        <v>2018</v>
      </c>
      <c r="P1071" s="1" t="s">
        <v>4457</v>
      </c>
      <c r="Q1071" s="1" t="s">
        <v>264</v>
      </c>
      <c r="R1071" s="1" t="s">
        <v>265</v>
      </c>
      <c r="S1071" s="1" t="s">
        <v>2680</v>
      </c>
      <c r="T1071" s="1" t="s">
        <v>2681</v>
      </c>
      <c r="U1071" s="1">
        <v>1</v>
      </c>
      <c r="V1071" s="1" t="s">
        <v>308</v>
      </c>
      <c r="Y1071" s="10">
        <v>43463</v>
      </c>
      <c r="Z1071" s="1">
        <v>2018</v>
      </c>
      <c r="AA1071" s="2"/>
      <c r="AB1071" s="2"/>
      <c r="AC1071" s="2">
        <v>482522.43000000005</v>
      </c>
      <c r="AG1071" s="1" t="s">
        <v>56</v>
      </c>
      <c r="AI1071" s="2">
        <v>482522.43000000005</v>
      </c>
      <c r="AL1071" s="1" t="s">
        <v>4319</v>
      </c>
    </row>
    <row r="1072" spans="1:38" ht="14.45" customHeight="1" x14ac:dyDescent="0.2">
      <c r="A1072" s="1" t="s">
        <v>57</v>
      </c>
      <c r="B1072" s="9" t="s">
        <v>39</v>
      </c>
      <c r="C1072" s="1" t="s">
        <v>58</v>
      </c>
      <c r="D1072" s="1" t="s">
        <v>4315</v>
      </c>
      <c r="E1072" s="1" t="s">
        <v>42</v>
      </c>
      <c r="G1072" s="1" t="s">
        <v>4316</v>
      </c>
      <c r="H1072" s="1" t="s">
        <v>61</v>
      </c>
      <c r="I1072" s="1" t="s">
        <v>4869</v>
      </c>
      <c r="J1072" s="1">
        <v>2018</v>
      </c>
      <c r="P1072" s="1" t="s">
        <v>4457</v>
      </c>
      <c r="Q1072" s="1" t="s">
        <v>264</v>
      </c>
      <c r="R1072" s="1" t="s">
        <v>265</v>
      </c>
      <c r="S1072" s="1" t="s">
        <v>2680</v>
      </c>
      <c r="T1072" s="1" t="s">
        <v>2681</v>
      </c>
      <c r="U1072" s="1">
        <v>1</v>
      </c>
      <c r="V1072" s="1" t="s">
        <v>308</v>
      </c>
      <c r="Y1072" s="10">
        <v>43463</v>
      </c>
      <c r="Z1072" s="1">
        <v>2018</v>
      </c>
      <c r="AA1072" s="2"/>
      <c r="AB1072" s="2"/>
      <c r="AC1072" s="2">
        <v>411922.26</v>
      </c>
      <c r="AG1072" s="1" t="s">
        <v>56</v>
      </c>
      <c r="AI1072" s="2">
        <v>411922.26</v>
      </c>
      <c r="AL1072" s="1" t="s">
        <v>4319</v>
      </c>
    </row>
    <row r="1073" spans="1:38" ht="14.45" customHeight="1" x14ac:dyDescent="0.2">
      <c r="A1073" s="1" t="s">
        <v>57</v>
      </c>
      <c r="B1073" s="9" t="s">
        <v>39</v>
      </c>
      <c r="C1073" s="1" t="s">
        <v>58</v>
      </c>
      <c r="D1073" s="1" t="s">
        <v>4315</v>
      </c>
      <c r="E1073" s="1" t="s">
        <v>42</v>
      </c>
      <c r="G1073" s="1" t="s">
        <v>4316</v>
      </c>
      <c r="H1073" s="1" t="s">
        <v>61</v>
      </c>
      <c r="I1073" s="1" t="s">
        <v>4870</v>
      </c>
      <c r="J1073" s="1">
        <v>2018</v>
      </c>
      <c r="P1073" s="1" t="s">
        <v>4457</v>
      </c>
      <c r="Q1073" s="1" t="s">
        <v>264</v>
      </c>
      <c r="R1073" s="1" t="s">
        <v>265</v>
      </c>
      <c r="S1073" s="1" t="s">
        <v>2680</v>
      </c>
      <c r="T1073" s="1" t="s">
        <v>2681</v>
      </c>
      <c r="U1073" s="1">
        <v>1</v>
      </c>
      <c r="V1073" s="1" t="s">
        <v>308</v>
      </c>
      <c r="Y1073" s="10">
        <v>43463</v>
      </c>
      <c r="Z1073" s="1">
        <v>2018</v>
      </c>
      <c r="AA1073" s="2"/>
      <c r="AB1073" s="2"/>
      <c r="AC1073" s="2">
        <v>563400.66999999993</v>
      </c>
      <c r="AG1073" s="1" t="s">
        <v>56</v>
      </c>
      <c r="AI1073" s="2">
        <v>563400.66999999993</v>
      </c>
      <c r="AL1073" s="1" t="s">
        <v>4319</v>
      </c>
    </row>
    <row r="1074" spans="1:38" ht="14.45" customHeight="1" x14ac:dyDescent="0.2">
      <c r="A1074" s="1" t="s">
        <v>57</v>
      </c>
      <c r="B1074" s="9" t="s">
        <v>39</v>
      </c>
      <c r="C1074" s="1" t="s">
        <v>58</v>
      </c>
      <c r="D1074" s="1" t="s">
        <v>4315</v>
      </c>
      <c r="E1074" s="1" t="s">
        <v>42</v>
      </c>
      <c r="G1074" s="1" t="s">
        <v>4316</v>
      </c>
      <c r="H1074" s="1" t="s">
        <v>61</v>
      </c>
      <c r="I1074" s="1" t="s">
        <v>4871</v>
      </c>
      <c r="J1074" s="1">
        <v>2018</v>
      </c>
      <c r="P1074" s="1" t="s">
        <v>4457</v>
      </c>
      <c r="Q1074" s="1" t="s">
        <v>264</v>
      </c>
      <c r="R1074" s="1" t="s">
        <v>265</v>
      </c>
      <c r="S1074" s="1" t="s">
        <v>2680</v>
      </c>
      <c r="T1074" s="1" t="s">
        <v>2681</v>
      </c>
      <c r="U1074" s="1">
        <v>1</v>
      </c>
      <c r="V1074" s="1" t="s">
        <v>308</v>
      </c>
      <c r="Y1074" s="10">
        <v>43463</v>
      </c>
      <c r="Z1074" s="1">
        <v>2018</v>
      </c>
      <c r="AA1074" s="2"/>
      <c r="AB1074" s="2"/>
      <c r="AC1074" s="2">
        <v>614678.30999999994</v>
      </c>
      <c r="AG1074" s="1" t="s">
        <v>56</v>
      </c>
      <c r="AI1074" s="2">
        <v>614678.30999999994</v>
      </c>
      <c r="AL1074" s="1" t="s">
        <v>4319</v>
      </c>
    </row>
    <row r="1075" spans="1:38" ht="14.45" customHeight="1" x14ac:dyDescent="0.2">
      <c r="A1075" s="1" t="s">
        <v>57</v>
      </c>
      <c r="B1075" s="9" t="s">
        <v>39</v>
      </c>
      <c r="C1075" s="1" t="s">
        <v>58</v>
      </c>
      <c r="D1075" s="1" t="s">
        <v>4315</v>
      </c>
      <c r="E1075" s="1" t="s">
        <v>42</v>
      </c>
      <c r="G1075" s="1" t="s">
        <v>4316</v>
      </c>
      <c r="H1075" s="1" t="s">
        <v>61</v>
      </c>
      <c r="I1075" s="1" t="s">
        <v>4872</v>
      </c>
      <c r="J1075" s="1">
        <v>2018</v>
      </c>
      <c r="P1075" s="1" t="s">
        <v>4457</v>
      </c>
      <c r="Q1075" s="1" t="s">
        <v>264</v>
      </c>
      <c r="R1075" s="1" t="s">
        <v>265</v>
      </c>
      <c r="S1075" s="1" t="s">
        <v>2680</v>
      </c>
      <c r="T1075" s="1" t="s">
        <v>2681</v>
      </c>
      <c r="U1075" s="1">
        <v>1</v>
      </c>
      <c r="V1075" s="1" t="s">
        <v>308</v>
      </c>
      <c r="Y1075" s="10">
        <v>43463</v>
      </c>
      <c r="Z1075" s="1">
        <v>2018</v>
      </c>
      <c r="AA1075" s="2"/>
      <c r="AB1075" s="2"/>
      <c r="AC1075" s="2">
        <v>415489.95</v>
      </c>
      <c r="AG1075" s="1" t="s">
        <v>56</v>
      </c>
      <c r="AI1075" s="2">
        <v>415489.95</v>
      </c>
      <c r="AL1075" s="1" t="s">
        <v>4319</v>
      </c>
    </row>
    <row r="1076" spans="1:38" ht="14.45" customHeight="1" x14ac:dyDescent="0.2">
      <c r="A1076" s="1" t="s">
        <v>57</v>
      </c>
      <c r="B1076" s="9" t="s">
        <v>39</v>
      </c>
      <c r="C1076" s="1" t="s">
        <v>58</v>
      </c>
      <c r="D1076" s="1" t="s">
        <v>4315</v>
      </c>
      <c r="E1076" s="1" t="s">
        <v>42</v>
      </c>
      <c r="G1076" s="1" t="s">
        <v>4316</v>
      </c>
      <c r="H1076" s="1" t="s">
        <v>61</v>
      </c>
      <c r="I1076" s="1" t="s">
        <v>4873</v>
      </c>
      <c r="J1076" s="1">
        <v>2018</v>
      </c>
      <c r="P1076" s="1" t="s">
        <v>4457</v>
      </c>
      <c r="Q1076" s="1" t="s">
        <v>264</v>
      </c>
      <c r="R1076" s="1" t="s">
        <v>265</v>
      </c>
      <c r="S1076" s="1" t="s">
        <v>2680</v>
      </c>
      <c r="T1076" s="1" t="s">
        <v>2681</v>
      </c>
      <c r="U1076" s="1">
        <v>1</v>
      </c>
      <c r="V1076" s="1" t="s">
        <v>308</v>
      </c>
      <c r="Y1076" s="10">
        <v>43463</v>
      </c>
      <c r="Z1076" s="1">
        <v>2018</v>
      </c>
      <c r="AA1076" s="2"/>
      <c r="AB1076" s="2"/>
      <c r="AC1076" s="2">
        <v>420393.94999999995</v>
      </c>
      <c r="AG1076" s="1" t="s">
        <v>56</v>
      </c>
      <c r="AI1076" s="2">
        <v>420393.94999999995</v>
      </c>
      <c r="AL1076" s="1" t="s">
        <v>4319</v>
      </c>
    </row>
    <row r="1077" spans="1:38" ht="14.45" customHeight="1" x14ac:dyDescent="0.2">
      <c r="A1077" s="1" t="s">
        <v>57</v>
      </c>
      <c r="B1077" s="9" t="s">
        <v>39</v>
      </c>
      <c r="C1077" s="1" t="s">
        <v>58</v>
      </c>
      <c r="D1077" s="1" t="s">
        <v>4315</v>
      </c>
      <c r="E1077" s="1" t="s">
        <v>42</v>
      </c>
      <c r="G1077" s="1" t="s">
        <v>4316</v>
      </c>
      <c r="H1077" s="1" t="s">
        <v>61</v>
      </c>
      <c r="I1077" s="1" t="s">
        <v>4874</v>
      </c>
      <c r="J1077" s="1">
        <v>2018</v>
      </c>
      <c r="P1077" s="1" t="s">
        <v>4457</v>
      </c>
      <c r="Q1077" s="1" t="s">
        <v>264</v>
      </c>
      <c r="R1077" s="1" t="s">
        <v>265</v>
      </c>
      <c r="S1077" s="1" t="s">
        <v>2680</v>
      </c>
      <c r="T1077" s="1" t="s">
        <v>2681</v>
      </c>
      <c r="U1077" s="1">
        <v>1</v>
      </c>
      <c r="V1077" s="1" t="s">
        <v>308</v>
      </c>
      <c r="Y1077" s="10">
        <v>43463</v>
      </c>
      <c r="Z1077" s="1">
        <v>2018</v>
      </c>
      <c r="AA1077" s="2"/>
      <c r="AB1077" s="2"/>
      <c r="AC1077" s="2">
        <v>599194.64</v>
      </c>
      <c r="AG1077" s="1" t="s">
        <v>56</v>
      </c>
      <c r="AI1077" s="2">
        <v>599194.64</v>
      </c>
      <c r="AL1077" s="1" t="s">
        <v>4319</v>
      </c>
    </row>
    <row r="1078" spans="1:38" ht="14.45" customHeight="1" x14ac:dyDescent="0.2">
      <c r="A1078" s="1" t="s">
        <v>57</v>
      </c>
      <c r="B1078" s="9" t="s">
        <v>39</v>
      </c>
      <c r="C1078" s="1" t="s">
        <v>58</v>
      </c>
      <c r="D1078" s="1" t="s">
        <v>4315</v>
      </c>
      <c r="E1078" s="1" t="s">
        <v>42</v>
      </c>
      <c r="G1078" s="1" t="s">
        <v>4316</v>
      </c>
      <c r="H1078" s="1" t="s">
        <v>61</v>
      </c>
      <c r="I1078" s="1" t="s">
        <v>4875</v>
      </c>
      <c r="J1078" s="1">
        <v>2018</v>
      </c>
      <c r="P1078" s="1" t="s">
        <v>4457</v>
      </c>
      <c r="Q1078" s="1" t="s">
        <v>264</v>
      </c>
      <c r="R1078" s="1" t="s">
        <v>265</v>
      </c>
      <c r="S1078" s="1" t="s">
        <v>2680</v>
      </c>
      <c r="T1078" s="1" t="s">
        <v>2681</v>
      </c>
      <c r="U1078" s="1">
        <v>1</v>
      </c>
      <c r="V1078" s="1" t="s">
        <v>308</v>
      </c>
      <c r="Y1078" s="10">
        <v>43463</v>
      </c>
      <c r="Z1078" s="1">
        <v>2018</v>
      </c>
      <c r="AA1078" s="2"/>
      <c r="AB1078" s="2"/>
      <c r="AC1078" s="2">
        <v>826511.37999999989</v>
      </c>
      <c r="AG1078" s="1" t="s">
        <v>56</v>
      </c>
      <c r="AI1078" s="2">
        <v>826511.37999999989</v>
      </c>
      <c r="AL1078" s="1" t="s">
        <v>4319</v>
      </c>
    </row>
    <row r="1079" spans="1:38" ht="14.45" customHeight="1" x14ac:dyDescent="0.2">
      <c r="A1079" s="1" t="s">
        <v>57</v>
      </c>
      <c r="B1079" s="9" t="s">
        <v>39</v>
      </c>
      <c r="C1079" s="1" t="s">
        <v>58</v>
      </c>
      <c r="D1079" s="1" t="s">
        <v>4315</v>
      </c>
      <c r="E1079" s="1" t="s">
        <v>42</v>
      </c>
      <c r="G1079" s="1" t="s">
        <v>4316</v>
      </c>
      <c r="H1079" s="1" t="s">
        <v>61</v>
      </c>
      <c r="I1079" s="1" t="s">
        <v>4876</v>
      </c>
      <c r="J1079" s="1">
        <v>2018</v>
      </c>
      <c r="P1079" s="1" t="s">
        <v>4457</v>
      </c>
      <c r="Q1079" s="1" t="s">
        <v>264</v>
      </c>
      <c r="R1079" s="1" t="s">
        <v>265</v>
      </c>
      <c r="S1079" s="1" t="s">
        <v>2680</v>
      </c>
      <c r="T1079" s="1" t="s">
        <v>2681</v>
      </c>
      <c r="U1079" s="1">
        <v>1</v>
      </c>
      <c r="V1079" s="1" t="s">
        <v>308</v>
      </c>
      <c r="Y1079" s="10">
        <v>43463</v>
      </c>
      <c r="Z1079" s="1">
        <v>2018</v>
      </c>
      <c r="AA1079" s="2"/>
      <c r="AB1079" s="2"/>
      <c r="AC1079" s="2">
        <v>660702.19999999995</v>
      </c>
      <c r="AG1079" s="1" t="s">
        <v>56</v>
      </c>
      <c r="AI1079" s="2">
        <v>660702.19999999995</v>
      </c>
      <c r="AL1079" s="1" t="s">
        <v>4319</v>
      </c>
    </row>
    <row r="1080" spans="1:38" ht="14.45" customHeight="1" x14ac:dyDescent="0.2">
      <c r="A1080" s="1" t="s">
        <v>57</v>
      </c>
      <c r="B1080" s="9" t="s">
        <v>39</v>
      </c>
      <c r="C1080" s="1" t="s">
        <v>58</v>
      </c>
      <c r="D1080" s="1" t="s">
        <v>4315</v>
      </c>
      <c r="E1080" s="1" t="s">
        <v>42</v>
      </c>
      <c r="G1080" s="1" t="s">
        <v>4316</v>
      </c>
      <c r="H1080" s="1" t="s">
        <v>61</v>
      </c>
      <c r="I1080" s="1" t="s">
        <v>4877</v>
      </c>
      <c r="J1080" s="1">
        <v>2018</v>
      </c>
      <c r="P1080" s="1" t="s">
        <v>4457</v>
      </c>
      <c r="Q1080" s="1" t="s">
        <v>264</v>
      </c>
      <c r="R1080" s="1" t="s">
        <v>265</v>
      </c>
      <c r="S1080" s="1" t="s">
        <v>2680</v>
      </c>
      <c r="T1080" s="1" t="s">
        <v>2681</v>
      </c>
      <c r="U1080" s="1">
        <v>1</v>
      </c>
      <c r="V1080" s="1" t="s">
        <v>308</v>
      </c>
      <c r="Y1080" s="10">
        <v>43463</v>
      </c>
      <c r="Z1080" s="1">
        <v>2018</v>
      </c>
      <c r="AA1080" s="2"/>
      <c r="AB1080" s="2"/>
      <c r="AC1080" s="2">
        <v>599533.81000000006</v>
      </c>
      <c r="AG1080" s="1" t="s">
        <v>56</v>
      </c>
      <c r="AI1080" s="2">
        <v>599533.81000000006</v>
      </c>
      <c r="AL1080" s="1" t="s">
        <v>4319</v>
      </c>
    </row>
    <row r="1081" spans="1:38" ht="14.45" customHeight="1" x14ac:dyDescent="0.2">
      <c r="A1081" s="1" t="s">
        <v>57</v>
      </c>
      <c r="B1081" s="9" t="s">
        <v>39</v>
      </c>
      <c r="C1081" s="1" t="s">
        <v>58</v>
      </c>
      <c r="D1081" s="1" t="s">
        <v>4315</v>
      </c>
      <c r="E1081" s="1" t="s">
        <v>42</v>
      </c>
      <c r="G1081" s="1" t="s">
        <v>4316</v>
      </c>
      <c r="H1081" s="1" t="s">
        <v>61</v>
      </c>
      <c r="I1081" s="1" t="s">
        <v>4878</v>
      </c>
      <c r="J1081" s="1">
        <v>2018</v>
      </c>
      <c r="P1081" s="1" t="s">
        <v>4457</v>
      </c>
      <c r="Q1081" s="1" t="s">
        <v>264</v>
      </c>
      <c r="R1081" s="1" t="s">
        <v>265</v>
      </c>
      <c r="S1081" s="1" t="s">
        <v>2680</v>
      </c>
      <c r="T1081" s="1" t="s">
        <v>2681</v>
      </c>
      <c r="U1081" s="1">
        <v>1</v>
      </c>
      <c r="V1081" s="1" t="s">
        <v>308</v>
      </c>
      <c r="Y1081" s="10">
        <v>43463</v>
      </c>
      <c r="Z1081" s="1">
        <v>2018</v>
      </c>
      <c r="AA1081" s="2"/>
      <c r="AB1081" s="2"/>
      <c r="AC1081" s="2">
        <v>536076.37</v>
      </c>
      <c r="AG1081" s="1" t="s">
        <v>56</v>
      </c>
      <c r="AI1081" s="2">
        <v>536076.37</v>
      </c>
      <c r="AL1081" s="1" t="s">
        <v>4319</v>
      </c>
    </row>
    <row r="1082" spans="1:38" ht="14.45" customHeight="1" x14ac:dyDescent="0.2">
      <c r="A1082" s="1" t="s">
        <v>57</v>
      </c>
      <c r="B1082" s="9" t="s">
        <v>39</v>
      </c>
      <c r="C1082" s="1" t="s">
        <v>58</v>
      </c>
      <c r="D1082" s="1" t="s">
        <v>4315</v>
      </c>
      <c r="E1082" s="1" t="s">
        <v>42</v>
      </c>
      <c r="G1082" s="1" t="s">
        <v>4316</v>
      </c>
      <c r="H1082" s="1" t="s">
        <v>61</v>
      </c>
      <c r="I1082" s="1" t="s">
        <v>4879</v>
      </c>
      <c r="J1082" s="1">
        <v>2018</v>
      </c>
      <c r="P1082" s="1" t="s">
        <v>4457</v>
      </c>
      <c r="Q1082" s="1" t="s">
        <v>264</v>
      </c>
      <c r="R1082" s="1" t="s">
        <v>265</v>
      </c>
      <c r="S1082" s="1" t="s">
        <v>2680</v>
      </c>
      <c r="T1082" s="1" t="s">
        <v>2681</v>
      </c>
      <c r="U1082" s="1">
        <v>1</v>
      </c>
      <c r="V1082" s="1" t="s">
        <v>308</v>
      </c>
      <c r="Y1082" s="10">
        <v>43463</v>
      </c>
      <c r="Z1082" s="1">
        <v>2018</v>
      </c>
      <c r="AA1082" s="2"/>
      <c r="AB1082" s="2"/>
      <c r="AC1082" s="2">
        <v>490648.4</v>
      </c>
      <c r="AG1082" s="1" t="s">
        <v>56</v>
      </c>
      <c r="AI1082" s="2">
        <v>490648.4</v>
      </c>
      <c r="AL1082" s="1" t="s">
        <v>4319</v>
      </c>
    </row>
    <row r="1083" spans="1:38" ht="14.45" customHeight="1" x14ac:dyDescent="0.2">
      <c r="A1083" s="1" t="s">
        <v>57</v>
      </c>
      <c r="B1083" s="9" t="s">
        <v>39</v>
      </c>
      <c r="C1083" s="1" t="s">
        <v>58</v>
      </c>
      <c r="D1083" s="1" t="s">
        <v>4315</v>
      </c>
      <c r="E1083" s="1" t="s">
        <v>42</v>
      </c>
      <c r="G1083" s="1" t="s">
        <v>4316</v>
      </c>
      <c r="H1083" s="1" t="s">
        <v>61</v>
      </c>
      <c r="I1083" s="1" t="s">
        <v>4880</v>
      </c>
      <c r="J1083" s="1">
        <v>2018</v>
      </c>
      <c r="P1083" s="1" t="s">
        <v>4457</v>
      </c>
      <c r="Q1083" s="1" t="s">
        <v>264</v>
      </c>
      <c r="R1083" s="1" t="s">
        <v>265</v>
      </c>
      <c r="S1083" s="1" t="s">
        <v>2680</v>
      </c>
      <c r="T1083" s="1" t="s">
        <v>2681</v>
      </c>
      <c r="U1083" s="1">
        <v>1</v>
      </c>
      <c r="V1083" s="1" t="s">
        <v>308</v>
      </c>
      <c r="Y1083" s="10">
        <v>43463</v>
      </c>
      <c r="Z1083" s="1">
        <v>2018</v>
      </c>
      <c r="AA1083" s="2"/>
      <c r="AB1083" s="2"/>
      <c r="AC1083" s="2">
        <v>440441.65</v>
      </c>
      <c r="AG1083" s="1" t="s">
        <v>56</v>
      </c>
      <c r="AI1083" s="2">
        <v>440441.65</v>
      </c>
      <c r="AL1083" s="1" t="s">
        <v>4319</v>
      </c>
    </row>
    <row r="1084" spans="1:38" ht="14.45" customHeight="1" x14ac:dyDescent="0.2">
      <c r="A1084" s="1" t="s">
        <v>57</v>
      </c>
      <c r="B1084" s="9" t="s">
        <v>39</v>
      </c>
      <c r="C1084" s="1" t="s">
        <v>58</v>
      </c>
      <c r="D1084" s="1" t="s">
        <v>4315</v>
      </c>
      <c r="E1084" s="1" t="s">
        <v>42</v>
      </c>
      <c r="G1084" s="1" t="s">
        <v>4316</v>
      </c>
      <c r="H1084" s="1" t="s">
        <v>61</v>
      </c>
      <c r="I1084" s="1" t="s">
        <v>4881</v>
      </c>
      <c r="J1084" s="1">
        <v>2018</v>
      </c>
      <c r="P1084" s="1" t="s">
        <v>4457</v>
      </c>
      <c r="Q1084" s="1" t="s">
        <v>264</v>
      </c>
      <c r="R1084" s="1" t="s">
        <v>265</v>
      </c>
      <c r="S1084" s="1" t="s">
        <v>2680</v>
      </c>
      <c r="T1084" s="1" t="s">
        <v>2681</v>
      </c>
      <c r="U1084" s="1">
        <v>1</v>
      </c>
      <c r="V1084" s="1" t="s">
        <v>308</v>
      </c>
      <c r="Y1084" s="10">
        <v>43463</v>
      </c>
      <c r="Z1084" s="1">
        <v>2018</v>
      </c>
      <c r="AA1084" s="2"/>
      <c r="AB1084" s="2"/>
      <c r="AC1084" s="2">
        <v>664680.13000000012</v>
      </c>
      <c r="AG1084" s="1" t="s">
        <v>56</v>
      </c>
      <c r="AI1084" s="2">
        <v>664680.13000000012</v>
      </c>
      <c r="AL1084" s="1" t="s">
        <v>4319</v>
      </c>
    </row>
    <row r="1085" spans="1:38" ht="14.45" customHeight="1" x14ac:dyDescent="0.2">
      <c r="A1085" s="1" t="s">
        <v>57</v>
      </c>
      <c r="B1085" s="9" t="s">
        <v>39</v>
      </c>
      <c r="C1085" s="1" t="s">
        <v>58</v>
      </c>
      <c r="D1085" s="1" t="s">
        <v>4315</v>
      </c>
      <c r="E1085" s="1" t="s">
        <v>42</v>
      </c>
      <c r="G1085" s="1" t="s">
        <v>4316</v>
      </c>
      <c r="H1085" s="1" t="s">
        <v>61</v>
      </c>
      <c r="I1085" s="1" t="s">
        <v>4882</v>
      </c>
      <c r="J1085" s="1">
        <v>2018</v>
      </c>
      <c r="P1085" s="1" t="s">
        <v>4457</v>
      </c>
      <c r="Q1085" s="1" t="s">
        <v>264</v>
      </c>
      <c r="R1085" s="1" t="s">
        <v>265</v>
      </c>
      <c r="S1085" s="1" t="s">
        <v>2680</v>
      </c>
      <c r="T1085" s="1" t="s">
        <v>2681</v>
      </c>
      <c r="U1085" s="1">
        <v>1</v>
      </c>
      <c r="V1085" s="1" t="s">
        <v>308</v>
      </c>
      <c r="Y1085" s="10">
        <v>43463</v>
      </c>
      <c r="Z1085" s="1">
        <v>2018</v>
      </c>
      <c r="AA1085" s="2"/>
      <c r="AB1085" s="2"/>
      <c r="AC1085" s="2">
        <v>603735.04000000004</v>
      </c>
      <c r="AG1085" s="1" t="s">
        <v>56</v>
      </c>
      <c r="AI1085" s="2">
        <v>603735.04000000004</v>
      </c>
      <c r="AL1085" s="1" t="s">
        <v>4319</v>
      </c>
    </row>
    <row r="1086" spans="1:38" ht="14.45" customHeight="1" x14ac:dyDescent="0.2">
      <c r="A1086" s="1" t="s">
        <v>57</v>
      </c>
      <c r="B1086" s="9" t="s">
        <v>39</v>
      </c>
      <c r="C1086" s="1" t="s">
        <v>58</v>
      </c>
      <c r="D1086" s="1" t="s">
        <v>4315</v>
      </c>
      <c r="E1086" s="1" t="s">
        <v>42</v>
      </c>
      <c r="G1086" s="1" t="s">
        <v>4316</v>
      </c>
      <c r="H1086" s="1" t="s">
        <v>61</v>
      </c>
      <c r="I1086" s="1" t="s">
        <v>4883</v>
      </c>
      <c r="J1086" s="1">
        <v>2018</v>
      </c>
      <c r="P1086" s="1" t="s">
        <v>4457</v>
      </c>
      <c r="Q1086" s="1" t="s">
        <v>264</v>
      </c>
      <c r="R1086" s="1" t="s">
        <v>265</v>
      </c>
      <c r="S1086" s="1" t="s">
        <v>2680</v>
      </c>
      <c r="T1086" s="1" t="s">
        <v>2681</v>
      </c>
      <c r="U1086" s="1">
        <v>1</v>
      </c>
      <c r="V1086" s="1" t="s">
        <v>308</v>
      </c>
      <c r="Y1086" s="10">
        <v>43463</v>
      </c>
      <c r="Z1086" s="1">
        <v>2018</v>
      </c>
      <c r="AA1086" s="2"/>
      <c r="AB1086" s="2"/>
      <c r="AC1086" s="2">
        <v>529337.16</v>
      </c>
      <c r="AG1086" s="1" t="s">
        <v>56</v>
      </c>
      <c r="AI1086" s="2">
        <v>529337.16</v>
      </c>
      <c r="AL1086" s="1" t="s">
        <v>4319</v>
      </c>
    </row>
    <row r="1087" spans="1:38" ht="14.45" customHeight="1" x14ac:dyDescent="0.2">
      <c r="A1087" s="1" t="s">
        <v>57</v>
      </c>
      <c r="B1087" s="9" t="s">
        <v>39</v>
      </c>
      <c r="C1087" s="1" t="s">
        <v>58</v>
      </c>
      <c r="D1087" s="1" t="s">
        <v>4315</v>
      </c>
      <c r="E1087" s="1" t="s">
        <v>42</v>
      </c>
      <c r="G1087" s="1" t="s">
        <v>4316</v>
      </c>
      <c r="H1087" s="1" t="s">
        <v>61</v>
      </c>
      <c r="I1087" s="1" t="s">
        <v>4884</v>
      </c>
      <c r="J1087" s="1">
        <v>2018</v>
      </c>
      <c r="P1087" s="1" t="s">
        <v>4457</v>
      </c>
      <c r="Q1087" s="1" t="s">
        <v>264</v>
      </c>
      <c r="R1087" s="1" t="s">
        <v>265</v>
      </c>
      <c r="S1087" s="1" t="s">
        <v>2680</v>
      </c>
      <c r="T1087" s="1" t="s">
        <v>2681</v>
      </c>
      <c r="U1087" s="1">
        <v>1</v>
      </c>
      <c r="V1087" s="1" t="s">
        <v>308</v>
      </c>
      <c r="Y1087" s="10">
        <v>43463</v>
      </c>
      <c r="Z1087" s="1">
        <v>2018</v>
      </c>
      <c r="AA1087" s="2"/>
      <c r="AB1087" s="2"/>
      <c r="AC1087" s="2">
        <v>805081.3899999999</v>
      </c>
      <c r="AG1087" s="1" t="s">
        <v>56</v>
      </c>
      <c r="AI1087" s="2">
        <v>805081.3899999999</v>
      </c>
      <c r="AL1087" s="1" t="s">
        <v>4319</v>
      </c>
    </row>
    <row r="1088" spans="1:38" ht="14.45" customHeight="1" x14ac:dyDescent="0.2">
      <c r="A1088" s="1" t="s">
        <v>57</v>
      </c>
      <c r="B1088" s="9" t="s">
        <v>39</v>
      </c>
      <c r="C1088" s="1" t="s">
        <v>58</v>
      </c>
      <c r="D1088" s="1" t="s">
        <v>4315</v>
      </c>
      <c r="E1088" s="1" t="s">
        <v>42</v>
      </c>
      <c r="G1088" s="1" t="s">
        <v>4316</v>
      </c>
      <c r="H1088" s="1" t="s">
        <v>61</v>
      </c>
      <c r="I1088" s="1" t="s">
        <v>4885</v>
      </c>
      <c r="J1088" s="1">
        <v>2018</v>
      </c>
      <c r="P1088" s="1" t="s">
        <v>4457</v>
      </c>
      <c r="Q1088" s="1" t="s">
        <v>264</v>
      </c>
      <c r="R1088" s="1" t="s">
        <v>265</v>
      </c>
      <c r="S1088" s="1" t="s">
        <v>2680</v>
      </c>
      <c r="T1088" s="1" t="s">
        <v>2681</v>
      </c>
      <c r="U1088" s="1">
        <v>1</v>
      </c>
      <c r="V1088" s="1" t="s">
        <v>308</v>
      </c>
      <c r="Y1088" s="10">
        <v>43463</v>
      </c>
      <c r="Z1088" s="1">
        <v>2018</v>
      </c>
      <c r="AA1088" s="2"/>
      <c r="AB1088" s="2"/>
      <c r="AC1088" s="2">
        <v>488855.13000000006</v>
      </c>
      <c r="AG1088" s="1" t="s">
        <v>56</v>
      </c>
      <c r="AI1088" s="2">
        <v>488855.13000000006</v>
      </c>
      <c r="AL1088" s="1" t="s">
        <v>4319</v>
      </c>
    </row>
    <row r="1089" spans="1:38" ht="14.45" customHeight="1" x14ac:dyDescent="0.2">
      <c r="A1089" s="1" t="s">
        <v>57</v>
      </c>
      <c r="B1089" s="9" t="s">
        <v>39</v>
      </c>
      <c r="C1089" s="1" t="s">
        <v>58</v>
      </c>
      <c r="D1089" s="1" t="s">
        <v>4315</v>
      </c>
      <c r="E1089" s="1" t="s">
        <v>42</v>
      </c>
      <c r="G1089" s="1" t="s">
        <v>4316</v>
      </c>
      <c r="H1089" s="1" t="s">
        <v>61</v>
      </c>
      <c r="I1089" s="1" t="s">
        <v>4886</v>
      </c>
      <c r="J1089" s="1">
        <v>2018</v>
      </c>
      <c r="P1089" s="1" t="s">
        <v>4457</v>
      </c>
      <c r="Q1089" s="1" t="s">
        <v>264</v>
      </c>
      <c r="R1089" s="1" t="s">
        <v>265</v>
      </c>
      <c r="S1089" s="1" t="s">
        <v>2680</v>
      </c>
      <c r="T1089" s="1" t="s">
        <v>2681</v>
      </c>
      <c r="U1089" s="1">
        <v>1</v>
      </c>
      <c r="V1089" s="1" t="s">
        <v>308</v>
      </c>
      <c r="Y1089" s="10">
        <v>43463</v>
      </c>
      <c r="Z1089" s="1">
        <v>2018</v>
      </c>
      <c r="AA1089" s="2"/>
      <c r="AB1089" s="2"/>
      <c r="AC1089" s="2">
        <v>587932.71</v>
      </c>
      <c r="AG1089" s="1" t="s">
        <v>56</v>
      </c>
      <c r="AI1089" s="2">
        <v>587932.71</v>
      </c>
      <c r="AL1089" s="1" t="s">
        <v>4319</v>
      </c>
    </row>
    <row r="1090" spans="1:38" ht="14.45" customHeight="1" x14ac:dyDescent="0.2">
      <c r="A1090" s="1" t="s">
        <v>57</v>
      </c>
      <c r="B1090" s="9" t="s">
        <v>39</v>
      </c>
      <c r="C1090" s="1" t="s">
        <v>58</v>
      </c>
      <c r="D1090" s="1" t="s">
        <v>4315</v>
      </c>
      <c r="E1090" s="1" t="s">
        <v>42</v>
      </c>
      <c r="G1090" s="1" t="s">
        <v>4316</v>
      </c>
      <c r="H1090" s="1" t="s">
        <v>61</v>
      </c>
      <c r="I1090" s="1" t="s">
        <v>4887</v>
      </c>
      <c r="J1090" s="1">
        <v>2018</v>
      </c>
      <c r="P1090" s="1" t="s">
        <v>4457</v>
      </c>
      <c r="Q1090" s="1" t="s">
        <v>264</v>
      </c>
      <c r="R1090" s="1" t="s">
        <v>265</v>
      </c>
      <c r="S1090" s="1" t="s">
        <v>2680</v>
      </c>
      <c r="T1090" s="1" t="s">
        <v>2681</v>
      </c>
      <c r="U1090" s="1">
        <v>1</v>
      </c>
      <c r="V1090" s="1" t="s">
        <v>308</v>
      </c>
      <c r="Y1090" s="10">
        <v>43463</v>
      </c>
      <c r="Z1090" s="1">
        <v>2018</v>
      </c>
      <c r="AA1090" s="2"/>
      <c r="AB1090" s="2"/>
      <c r="AC1090" s="2">
        <v>714892.62000000011</v>
      </c>
      <c r="AG1090" s="1" t="s">
        <v>56</v>
      </c>
      <c r="AI1090" s="2">
        <v>714892.62000000011</v>
      </c>
      <c r="AL1090" s="1" t="s">
        <v>4319</v>
      </c>
    </row>
    <row r="1091" spans="1:38" ht="14.45" customHeight="1" x14ac:dyDescent="0.2">
      <c r="A1091" s="1" t="s">
        <v>57</v>
      </c>
      <c r="B1091" s="9" t="s">
        <v>39</v>
      </c>
      <c r="C1091" s="1" t="s">
        <v>58</v>
      </c>
      <c r="D1091" s="1" t="s">
        <v>4315</v>
      </c>
      <c r="E1091" s="1" t="s">
        <v>42</v>
      </c>
      <c r="G1091" s="1" t="s">
        <v>4316</v>
      </c>
      <c r="H1091" s="1" t="s">
        <v>61</v>
      </c>
      <c r="I1091" s="1" t="s">
        <v>4888</v>
      </c>
      <c r="J1091" s="1">
        <v>2018</v>
      </c>
      <c r="P1091" s="1" t="s">
        <v>4457</v>
      </c>
      <c r="Q1091" s="1" t="s">
        <v>264</v>
      </c>
      <c r="R1091" s="1" t="s">
        <v>265</v>
      </c>
      <c r="S1091" s="1" t="s">
        <v>2680</v>
      </c>
      <c r="T1091" s="1" t="s">
        <v>2681</v>
      </c>
      <c r="U1091" s="1">
        <v>1</v>
      </c>
      <c r="V1091" s="1" t="s">
        <v>308</v>
      </c>
      <c r="Y1091" s="10">
        <v>43463</v>
      </c>
      <c r="Z1091" s="1">
        <v>2018</v>
      </c>
      <c r="AA1091" s="2"/>
      <c r="AB1091" s="2"/>
      <c r="AC1091" s="2">
        <v>691025.08999999985</v>
      </c>
      <c r="AG1091" s="1" t="s">
        <v>56</v>
      </c>
      <c r="AI1091" s="2">
        <v>691025.08999999985</v>
      </c>
      <c r="AL1091" s="1" t="s">
        <v>4319</v>
      </c>
    </row>
    <row r="1092" spans="1:38" ht="14.45" customHeight="1" x14ac:dyDescent="0.2">
      <c r="A1092" s="1" t="s">
        <v>57</v>
      </c>
      <c r="B1092" s="9" t="s">
        <v>39</v>
      </c>
      <c r="C1092" s="1" t="s">
        <v>58</v>
      </c>
      <c r="D1092" s="1" t="s">
        <v>4315</v>
      </c>
      <c r="E1092" s="1" t="s">
        <v>42</v>
      </c>
      <c r="G1092" s="1" t="s">
        <v>4316</v>
      </c>
      <c r="H1092" s="1" t="s">
        <v>61</v>
      </c>
      <c r="I1092" s="1" t="s">
        <v>4889</v>
      </c>
      <c r="J1092" s="1">
        <v>2018</v>
      </c>
      <c r="P1092" s="1" t="s">
        <v>4457</v>
      </c>
      <c r="Q1092" s="1" t="s">
        <v>264</v>
      </c>
      <c r="R1092" s="1" t="s">
        <v>265</v>
      </c>
      <c r="S1092" s="1" t="s">
        <v>2680</v>
      </c>
      <c r="T1092" s="1" t="s">
        <v>2681</v>
      </c>
      <c r="U1092" s="1">
        <v>1</v>
      </c>
      <c r="V1092" s="1" t="s">
        <v>308</v>
      </c>
      <c r="Y1092" s="10">
        <v>43463</v>
      </c>
      <c r="Z1092" s="1">
        <v>2018</v>
      </c>
      <c r="AA1092" s="2"/>
      <c r="AB1092" s="2"/>
      <c r="AC1092" s="2">
        <v>674655.05999999982</v>
      </c>
      <c r="AG1092" s="1" t="s">
        <v>56</v>
      </c>
      <c r="AI1092" s="2">
        <v>674655.05999999982</v>
      </c>
      <c r="AL1092" s="1" t="s">
        <v>4319</v>
      </c>
    </row>
    <row r="1093" spans="1:38" ht="14.45" customHeight="1" x14ac:dyDescent="0.2">
      <c r="A1093" s="1" t="s">
        <v>57</v>
      </c>
      <c r="B1093" s="9" t="s">
        <v>39</v>
      </c>
      <c r="C1093" s="1" t="s">
        <v>58</v>
      </c>
      <c r="D1093" s="1" t="s">
        <v>4315</v>
      </c>
      <c r="E1093" s="1" t="s">
        <v>42</v>
      </c>
      <c r="G1093" s="1" t="s">
        <v>4316</v>
      </c>
      <c r="H1093" s="1" t="s">
        <v>61</v>
      </c>
      <c r="I1093" s="1" t="s">
        <v>4890</v>
      </c>
      <c r="J1093" s="1">
        <v>2018</v>
      </c>
      <c r="P1093" s="1" t="s">
        <v>4457</v>
      </c>
      <c r="Q1093" s="1" t="s">
        <v>264</v>
      </c>
      <c r="R1093" s="1" t="s">
        <v>265</v>
      </c>
      <c r="S1093" s="1" t="s">
        <v>2680</v>
      </c>
      <c r="T1093" s="1" t="s">
        <v>2681</v>
      </c>
      <c r="U1093" s="1">
        <v>1</v>
      </c>
      <c r="V1093" s="1" t="s">
        <v>308</v>
      </c>
      <c r="Y1093" s="10">
        <v>43463</v>
      </c>
      <c r="Z1093" s="1">
        <v>2018</v>
      </c>
      <c r="AA1093" s="2"/>
      <c r="AB1093" s="2"/>
      <c r="AC1093" s="2">
        <v>738464.69</v>
      </c>
      <c r="AG1093" s="1" t="s">
        <v>56</v>
      </c>
      <c r="AI1093" s="2">
        <v>738464.69</v>
      </c>
      <c r="AL1093" s="1" t="s">
        <v>4319</v>
      </c>
    </row>
    <row r="1094" spans="1:38" ht="14.45" customHeight="1" x14ac:dyDescent="0.2">
      <c r="A1094" s="1" t="s">
        <v>57</v>
      </c>
      <c r="B1094" s="9" t="s">
        <v>39</v>
      </c>
      <c r="C1094" s="1" t="s">
        <v>58</v>
      </c>
      <c r="D1094" s="1" t="s">
        <v>4315</v>
      </c>
      <c r="E1094" s="1" t="s">
        <v>42</v>
      </c>
      <c r="G1094" s="1" t="s">
        <v>4316</v>
      </c>
      <c r="H1094" s="1" t="s">
        <v>61</v>
      </c>
      <c r="I1094" s="1" t="s">
        <v>4891</v>
      </c>
      <c r="J1094" s="1">
        <v>2018</v>
      </c>
      <c r="P1094" s="1" t="s">
        <v>4457</v>
      </c>
      <c r="Q1094" s="1" t="s">
        <v>264</v>
      </c>
      <c r="R1094" s="1" t="s">
        <v>265</v>
      </c>
      <c r="S1094" s="1" t="s">
        <v>2680</v>
      </c>
      <c r="T1094" s="1" t="s">
        <v>2681</v>
      </c>
      <c r="U1094" s="1">
        <v>1</v>
      </c>
      <c r="V1094" s="1" t="s">
        <v>308</v>
      </c>
      <c r="Y1094" s="10">
        <v>43463</v>
      </c>
      <c r="Z1094" s="1">
        <v>2018</v>
      </c>
      <c r="AA1094" s="2"/>
      <c r="AB1094" s="2"/>
      <c r="AC1094" s="2">
        <v>581888.65</v>
      </c>
      <c r="AG1094" s="1" t="s">
        <v>56</v>
      </c>
      <c r="AI1094" s="2">
        <v>581888.65</v>
      </c>
      <c r="AL1094" s="1" t="s">
        <v>4319</v>
      </c>
    </row>
    <row r="1095" spans="1:38" ht="14.45" customHeight="1" x14ac:dyDescent="0.2">
      <c r="A1095" s="1" t="s">
        <v>57</v>
      </c>
      <c r="B1095" s="9" t="s">
        <v>39</v>
      </c>
      <c r="C1095" s="1" t="s">
        <v>58</v>
      </c>
      <c r="D1095" s="1" t="s">
        <v>4315</v>
      </c>
      <c r="E1095" s="1" t="s">
        <v>42</v>
      </c>
      <c r="G1095" s="1" t="s">
        <v>4316</v>
      </c>
      <c r="H1095" s="1" t="s">
        <v>61</v>
      </c>
      <c r="I1095" s="1" t="s">
        <v>4892</v>
      </c>
      <c r="J1095" s="1">
        <v>2018</v>
      </c>
      <c r="P1095" s="1" t="s">
        <v>4457</v>
      </c>
      <c r="Q1095" s="1" t="s">
        <v>264</v>
      </c>
      <c r="R1095" s="1" t="s">
        <v>265</v>
      </c>
      <c r="S1095" s="1" t="s">
        <v>2680</v>
      </c>
      <c r="T1095" s="1" t="s">
        <v>2681</v>
      </c>
      <c r="U1095" s="1">
        <v>1</v>
      </c>
      <c r="V1095" s="1" t="s">
        <v>308</v>
      </c>
      <c r="Y1095" s="10">
        <v>43463</v>
      </c>
      <c r="Z1095" s="1">
        <v>2018</v>
      </c>
      <c r="AA1095" s="2"/>
      <c r="AB1095" s="2"/>
      <c r="AC1095" s="2">
        <v>509606.07</v>
      </c>
      <c r="AG1095" s="1" t="s">
        <v>56</v>
      </c>
      <c r="AI1095" s="2">
        <v>509606.07</v>
      </c>
      <c r="AL1095" s="1" t="s">
        <v>4319</v>
      </c>
    </row>
    <row r="1096" spans="1:38" ht="14.45" customHeight="1" x14ac:dyDescent="0.2">
      <c r="A1096" s="1" t="s">
        <v>57</v>
      </c>
      <c r="B1096" s="9" t="s">
        <v>39</v>
      </c>
      <c r="C1096" s="1" t="s">
        <v>58</v>
      </c>
      <c r="D1096" s="1" t="s">
        <v>4315</v>
      </c>
      <c r="E1096" s="1" t="s">
        <v>42</v>
      </c>
      <c r="G1096" s="1" t="s">
        <v>4316</v>
      </c>
      <c r="H1096" s="1" t="s">
        <v>61</v>
      </c>
      <c r="I1096" s="1" t="s">
        <v>4893</v>
      </c>
      <c r="J1096" s="1">
        <v>2018</v>
      </c>
      <c r="P1096" s="1" t="s">
        <v>4457</v>
      </c>
      <c r="Q1096" s="1" t="s">
        <v>264</v>
      </c>
      <c r="R1096" s="1" t="s">
        <v>265</v>
      </c>
      <c r="S1096" s="1" t="s">
        <v>2680</v>
      </c>
      <c r="T1096" s="1" t="s">
        <v>2681</v>
      </c>
      <c r="U1096" s="1">
        <v>1</v>
      </c>
      <c r="V1096" s="1" t="s">
        <v>308</v>
      </c>
      <c r="Y1096" s="10">
        <v>43463</v>
      </c>
      <c r="Z1096" s="1">
        <v>2018</v>
      </c>
      <c r="AA1096" s="2"/>
      <c r="AB1096" s="2"/>
      <c r="AC1096" s="2">
        <v>280800.25999999995</v>
      </c>
      <c r="AG1096" s="1" t="s">
        <v>56</v>
      </c>
      <c r="AI1096" s="2">
        <v>280800.25999999995</v>
      </c>
      <c r="AL1096" s="1" t="s">
        <v>4319</v>
      </c>
    </row>
    <row r="1097" spans="1:38" ht="14.45" customHeight="1" x14ac:dyDescent="0.2">
      <c r="A1097" s="1" t="s">
        <v>57</v>
      </c>
      <c r="B1097" s="9" t="s">
        <v>39</v>
      </c>
      <c r="C1097" s="1" t="s">
        <v>58</v>
      </c>
      <c r="D1097" s="1" t="s">
        <v>4315</v>
      </c>
      <c r="E1097" s="1" t="s">
        <v>42</v>
      </c>
      <c r="G1097" s="1" t="s">
        <v>4316</v>
      </c>
      <c r="H1097" s="1" t="s">
        <v>61</v>
      </c>
      <c r="I1097" s="1" t="s">
        <v>4894</v>
      </c>
      <c r="J1097" s="1">
        <v>2018</v>
      </c>
      <c r="P1097" s="1" t="s">
        <v>4457</v>
      </c>
      <c r="Q1097" s="1" t="s">
        <v>264</v>
      </c>
      <c r="R1097" s="1" t="s">
        <v>265</v>
      </c>
      <c r="S1097" s="1" t="s">
        <v>2680</v>
      </c>
      <c r="T1097" s="1" t="s">
        <v>2681</v>
      </c>
      <c r="U1097" s="1">
        <v>1</v>
      </c>
      <c r="V1097" s="1" t="s">
        <v>308</v>
      </c>
      <c r="Y1097" s="10">
        <v>43463</v>
      </c>
      <c r="Z1097" s="1">
        <v>2018</v>
      </c>
      <c r="AA1097" s="2"/>
      <c r="AB1097" s="2"/>
      <c r="AC1097" s="2">
        <v>677504.65000000014</v>
      </c>
      <c r="AG1097" s="1" t="s">
        <v>56</v>
      </c>
      <c r="AI1097" s="2">
        <v>677504.65000000014</v>
      </c>
      <c r="AL1097" s="1" t="s">
        <v>4319</v>
      </c>
    </row>
    <row r="1098" spans="1:38" ht="14.45" customHeight="1" x14ac:dyDescent="0.2">
      <c r="A1098" s="1" t="s">
        <v>57</v>
      </c>
      <c r="B1098" s="9" t="s">
        <v>39</v>
      </c>
      <c r="C1098" s="1" t="s">
        <v>58</v>
      </c>
      <c r="D1098" s="1" t="s">
        <v>4315</v>
      </c>
      <c r="E1098" s="1" t="s">
        <v>42</v>
      </c>
      <c r="G1098" s="1" t="s">
        <v>4316</v>
      </c>
      <c r="H1098" s="1" t="s">
        <v>61</v>
      </c>
      <c r="I1098" s="1" t="s">
        <v>4895</v>
      </c>
      <c r="J1098" s="1">
        <v>2018</v>
      </c>
      <c r="P1098" s="1" t="s">
        <v>4457</v>
      </c>
      <c r="Q1098" s="1" t="s">
        <v>264</v>
      </c>
      <c r="R1098" s="1" t="s">
        <v>265</v>
      </c>
      <c r="S1098" s="1" t="s">
        <v>2680</v>
      </c>
      <c r="T1098" s="1" t="s">
        <v>2681</v>
      </c>
      <c r="U1098" s="1">
        <v>1</v>
      </c>
      <c r="V1098" s="1" t="s">
        <v>308</v>
      </c>
      <c r="Y1098" s="10">
        <v>43463</v>
      </c>
      <c r="Z1098" s="1">
        <v>2018</v>
      </c>
      <c r="AA1098" s="2"/>
      <c r="AB1098" s="2"/>
      <c r="AC1098" s="2">
        <v>596348.02</v>
      </c>
      <c r="AG1098" s="1" t="s">
        <v>56</v>
      </c>
      <c r="AI1098" s="2">
        <v>596348.02</v>
      </c>
      <c r="AL1098" s="1" t="s">
        <v>4319</v>
      </c>
    </row>
    <row r="1099" spans="1:38" ht="14.45" customHeight="1" x14ac:dyDescent="0.2">
      <c r="A1099" s="1" t="s">
        <v>57</v>
      </c>
      <c r="B1099" s="9" t="s">
        <v>39</v>
      </c>
      <c r="C1099" s="1" t="s">
        <v>58</v>
      </c>
      <c r="D1099" s="1" t="s">
        <v>4315</v>
      </c>
      <c r="E1099" s="1" t="s">
        <v>42</v>
      </c>
      <c r="G1099" s="1" t="s">
        <v>4316</v>
      </c>
      <c r="H1099" s="1" t="s">
        <v>61</v>
      </c>
      <c r="I1099" s="1" t="s">
        <v>4896</v>
      </c>
      <c r="J1099" s="1">
        <v>2018</v>
      </c>
      <c r="P1099" s="1" t="s">
        <v>4457</v>
      </c>
      <c r="Q1099" s="1" t="s">
        <v>264</v>
      </c>
      <c r="R1099" s="1" t="s">
        <v>265</v>
      </c>
      <c r="S1099" s="1" t="s">
        <v>2680</v>
      </c>
      <c r="T1099" s="1" t="s">
        <v>2681</v>
      </c>
      <c r="U1099" s="1">
        <v>1</v>
      </c>
      <c r="V1099" s="1" t="s">
        <v>308</v>
      </c>
      <c r="Y1099" s="10">
        <v>43463</v>
      </c>
      <c r="Z1099" s="1">
        <v>2018</v>
      </c>
      <c r="AA1099" s="2"/>
      <c r="AB1099" s="2"/>
      <c r="AC1099" s="2">
        <v>560320.42000000004</v>
      </c>
      <c r="AG1099" s="1" t="s">
        <v>56</v>
      </c>
      <c r="AI1099" s="2">
        <v>560320.42000000004</v>
      </c>
      <c r="AL1099" s="1" t="s">
        <v>4319</v>
      </c>
    </row>
    <row r="1100" spans="1:38" ht="14.45" customHeight="1" x14ac:dyDescent="0.2">
      <c r="A1100" s="1" t="s">
        <v>57</v>
      </c>
      <c r="B1100" s="9" t="s">
        <v>39</v>
      </c>
      <c r="C1100" s="1" t="s">
        <v>58</v>
      </c>
      <c r="D1100" s="1" t="s">
        <v>4315</v>
      </c>
      <c r="E1100" s="1" t="s">
        <v>42</v>
      </c>
      <c r="G1100" s="1" t="s">
        <v>4316</v>
      </c>
      <c r="H1100" s="1" t="s">
        <v>61</v>
      </c>
      <c r="I1100" s="1" t="s">
        <v>4897</v>
      </c>
      <c r="J1100" s="1">
        <v>2018</v>
      </c>
      <c r="P1100" s="1" t="s">
        <v>4457</v>
      </c>
      <c r="Q1100" s="1" t="s">
        <v>264</v>
      </c>
      <c r="R1100" s="1" t="s">
        <v>265</v>
      </c>
      <c r="S1100" s="1" t="s">
        <v>2680</v>
      </c>
      <c r="T1100" s="1" t="s">
        <v>2681</v>
      </c>
      <c r="U1100" s="1">
        <v>1</v>
      </c>
      <c r="V1100" s="1" t="s">
        <v>308</v>
      </c>
      <c r="Y1100" s="10">
        <v>43463</v>
      </c>
      <c r="Z1100" s="1">
        <v>2018</v>
      </c>
      <c r="AA1100" s="2"/>
      <c r="AB1100" s="2"/>
      <c r="AC1100" s="2">
        <v>563303.91</v>
      </c>
      <c r="AG1100" s="1" t="s">
        <v>56</v>
      </c>
      <c r="AI1100" s="2">
        <v>563303.91</v>
      </c>
      <c r="AL1100" s="1" t="s">
        <v>4319</v>
      </c>
    </row>
    <row r="1101" spans="1:38" ht="14.45" customHeight="1" x14ac:dyDescent="0.2">
      <c r="A1101" s="1" t="s">
        <v>57</v>
      </c>
      <c r="B1101" s="9" t="s">
        <v>39</v>
      </c>
      <c r="C1101" s="1" t="s">
        <v>58</v>
      </c>
      <c r="D1101" s="1" t="s">
        <v>4315</v>
      </c>
      <c r="E1101" s="1" t="s">
        <v>42</v>
      </c>
      <c r="G1101" s="1" t="s">
        <v>4316</v>
      </c>
      <c r="H1101" s="1" t="s">
        <v>61</v>
      </c>
      <c r="I1101" s="1" t="s">
        <v>4898</v>
      </c>
      <c r="J1101" s="1">
        <v>2018</v>
      </c>
      <c r="P1101" s="1" t="s">
        <v>4457</v>
      </c>
      <c r="Q1101" s="1" t="s">
        <v>264</v>
      </c>
      <c r="R1101" s="1" t="s">
        <v>265</v>
      </c>
      <c r="S1101" s="1" t="s">
        <v>2680</v>
      </c>
      <c r="T1101" s="1" t="s">
        <v>2681</v>
      </c>
      <c r="U1101" s="1">
        <v>1</v>
      </c>
      <c r="V1101" s="1" t="s">
        <v>308</v>
      </c>
      <c r="Y1101" s="10">
        <v>43463</v>
      </c>
      <c r="Z1101" s="1">
        <v>2018</v>
      </c>
      <c r="AA1101" s="2"/>
      <c r="AB1101" s="2"/>
      <c r="AC1101" s="2">
        <v>678984.51999999979</v>
      </c>
      <c r="AG1101" s="1" t="s">
        <v>56</v>
      </c>
      <c r="AI1101" s="2">
        <v>678984.51999999979</v>
      </c>
      <c r="AL1101" s="1" t="s">
        <v>4319</v>
      </c>
    </row>
    <row r="1102" spans="1:38" ht="14.45" customHeight="1" x14ac:dyDescent="0.2">
      <c r="A1102" s="1" t="s">
        <v>57</v>
      </c>
      <c r="B1102" s="9" t="s">
        <v>39</v>
      </c>
      <c r="C1102" s="1" t="s">
        <v>58</v>
      </c>
      <c r="D1102" s="1" t="s">
        <v>4315</v>
      </c>
      <c r="E1102" s="1" t="s">
        <v>42</v>
      </c>
      <c r="G1102" s="1" t="s">
        <v>4316</v>
      </c>
      <c r="H1102" s="1" t="s">
        <v>61</v>
      </c>
      <c r="I1102" s="1" t="s">
        <v>4899</v>
      </c>
      <c r="J1102" s="1">
        <v>2018</v>
      </c>
      <c r="P1102" s="1" t="s">
        <v>4457</v>
      </c>
      <c r="Q1102" s="1" t="s">
        <v>264</v>
      </c>
      <c r="R1102" s="1" t="s">
        <v>265</v>
      </c>
      <c r="S1102" s="1" t="s">
        <v>2680</v>
      </c>
      <c r="T1102" s="1" t="s">
        <v>2681</v>
      </c>
      <c r="U1102" s="1">
        <v>1</v>
      </c>
      <c r="V1102" s="1" t="s">
        <v>308</v>
      </c>
      <c r="Y1102" s="10">
        <v>43463</v>
      </c>
      <c r="Z1102" s="1">
        <v>2018</v>
      </c>
      <c r="AA1102" s="2"/>
      <c r="AB1102" s="2"/>
      <c r="AC1102" s="2">
        <v>656541.82999999996</v>
      </c>
      <c r="AG1102" s="1" t="s">
        <v>56</v>
      </c>
      <c r="AI1102" s="2">
        <v>656541.82999999996</v>
      </c>
      <c r="AL1102" s="1" t="s">
        <v>4319</v>
      </c>
    </row>
    <row r="1103" spans="1:38" ht="14.45" customHeight="1" x14ac:dyDescent="0.2">
      <c r="A1103" s="1" t="s">
        <v>57</v>
      </c>
      <c r="B1103" s="9" t="s">
        <v>39</v>
      </c>
      <c r="C1103" s="1" t="s">
        <v>58</v>
      </c>
      <c r="D1103" s="1" t="s">
        <v>4315</v>
      </c>
      <c r="E1103" s="1" t="s">
        <v>42</v>
      </c>
      <c r="G1103" s="1" t="s">
        <v>4316</v>
      </c>
      <c r="H1103" s="1" t="s">
        <v>61</v>
      </c>
      <c r="I1103" s="1" t="s">
        <v>4900</v>
      </c>
      <c r="J1103" s="1">
        <v>2018</v>
      </c>
      <c r="P1103" s="1" t="s">
        <v>4457</v>
      </c>
      <c r="Q1103" s="1" t="s">
        <v>264</v>
      </c>
      <c r="R1103" s="1" t="s">
        <v>265</v>
      </c>
      <c r="S1103" s="1" t="s">
        <v>2680</v>
      </c>
      <c r="T1103" s="1" t="s">
        <v>2681</v>
      </c>
      <c r="U1103" s="1">
        <v>1</v>
      </c>
      <c r="V1103" s="1" t="s">
        <v>308</v>
      </c>
      <c r="Y1103" s="10">
        <v>43463</v>
      </c>
      <c r="Z1103" s="1">
        <v>2018</v>
      </c>
      <c r="AA1103" s="2"/>
      <c r="AB1103" s="2"/>
      <c r="AC1103" s="2">
        <v>319856.79000000004</v>
      </c>
      <c r="AG1103" s="1" t="s">
        <v>56</v>
      </c>
      <c r="AI1103" s="2">
        <v>319856.79000000004</v>
      </c>
      <c r="AL1103" s="1" t="s">
        <v>4319</v>
      </c>
    </row>
    <row r="1104" spans="1:38" ht="14.45" customHeight="1" x14ac:dyDescent="0.2">
      <c r="A1104" s="1" t="s">
        <v>57</v>
      </c>
      <c r="B1104" s="9" t="s">
        <v>39</v>
      </c>
      <c r="C1104" s="1" t="s">
        <v>58</v>
      </c>
      <c r="D1104" s="1" t="s">
        <v>4315</v>
      </c>
      <c r="E1104" s="1" t="s">
        <v>42</v>
      </c>
      <c r="G1104" s="1" t="s">
        <v>4316</v>
      </c>
      <c r="H1104" s="1" t="s">
        <v>61</v>
      </c>
      <c r="I1104" s="1" t="s">
        <v>4901</v>
      </c>
      <c r="J1104" s="1">
        <v>2018</v>
      </c>
      <c r="P1104" s="1" t="s">
        <v>4457</v>
      </c>
      <c r="Q1104" s="1" t="s">
        <v>264</v>
      </c>
      <c r="R1104" s="1" t="s">
        <v>265</v>
      </c>
      <c r="S1104" s="1" t="s">
        <v>2680</v>
      </c>
      <c r="T1104" s="1" t="s">
        <v>2681</v>
      </c>
      <c r="U1104" s="1">
        <v>1</v>
      </c>
      <c r="V1104" s="1" t="s">
        <v>308</v>
      </c>
      <c r="Y1104" s="10">
        <v>43463</v>
      </c>
      <c r="Z1104" s="1">
        <v>2018</v>
      </c>
      <c r="AA1104" s="2"/>
      <c r="AB1104" s="2"/>
      <c r="AC1104" s="2">
        <v>379196.42</v>
      </c>
      <c r="AG1104" s="1" t="s">
        <v>56</v>
      </c>
      <c r="AI1104" s="2">
        <v>379196.42</v>
      </c>
      <c r="AL1104" s="1" t="s">
        <v>4319</v>
      </c>
    </row>
    <row r="1105" spans="1:38" ht="14.45" customHeight="1" x14ac:dyDescent="0.2">
      <c r="A1105" s="1" t="s">
        <v>57</v>
      </c>
      <c r="B1105" s="9" t="s">
        <v>39</v>
      </c>
      <c r="C1105" s="1" t="s">
        <v>58</v>
      </c>
      <c r="D1105" s="1" t="s">
        <v>4315</v>
      </c>
      <c r="E1105" s="1" t="s">
        <v>42</v>
      </c>
      <c r="G1105" s="1" t="s">
        <v>4316</v>
      </c>
      <c r="H1105" s="1" t="s">
        <v>61</v>
      </c>
      <c r="I1105" s="1" t="s">
        <v>4902</v>
      </c>
      <c r="J1105" s="1">
        <v>2019</v>
      </c>
      <c r="P1105" s="1" t="s">
        <v>4903</v>
      </c>
      <c r="Q1105" s="1" t="s">
        <v>842</v>
      </c>
      <c r="R1105" s="1" t="s">
        <v>884</v>
      </c>
      <c r="S1105" s="1" t="s">
        <v>1793</v>
      </c>
      <c r="T1105" s="1" t="s">
        <v>1794</v>
      </c>
      <c r="V1105" s="1" t="s">
        <v>887</v>
      </c>
      <c r="Y1105" s="10">
        <v>43800</v>
      </c>
      <c r="Z1105" s="1">
        <v>2019</v>
      </c>
      <c r="AA1105" s="2"/>
      <c r="AB1105" s="2"/>
      <c r="AC1105" s="2">
        <v>442006.85000000003</v>
      </c>
      <c r="AG1105" s="1" t="s">
        <v>56</v>
      </c>
      <c r="AI1105" s="2">
        <v>442006.85000000003</v>
      </c>
      <c r="AL1105" s="1" t="s">
        <v>4319</v>
      </c>
    </row>
    <row r="1106" spans="1:38" ht="14.45" customHeight="1" x14ac:dyDescent="0.2">
      <c r="A1106" s="1" t="s">
        <v>57</v>
      </c>
      <c r="B1106" s="9" t="s">
        <v>39</v>
      </c>
      <c r="C1106" s="1" t="s">
        <v>58</v>
      </c>
      <c r="D1106" s="1" t="s">
        <v>4315</v>
      </c>
      <c r="E1106" s="1" t="s">
        <v>42</v>
      </c>
      <c r="G1106" s="1" t="s">
        <v>4316</v>
      </c>
      <c r="H1106" s="1" t="s">
        <v>61</v>
      </c>
      <c r="I1106" s="1" t="s">
        <v>4904</v>
      </c>
      <c r="J1106" s="1">
        <v>2019</v>
      </c>
      <c r="P1106" s="1" t="s">
        <v>4903</v>
      </c>
      <c r="Q1106" s="1" t="s">
        <v>842</v>
      </c>
      <c r="R1106" s="1" t="s">
        <v>884</v>
      </c>
      <c r="S1106" s="1" t="s">
        <v>1793</v>
      </c>
      <c r="T1106" s="1" t="s">
        <v>1794</v>
      </c>
      <c r="V1106" s="1" t="s">
        <v>887</v>
      </c>
      <c r="Y1106" s="10">
        <v>43800</v>
      </c>
      <c r="Z1106" s="1">
        <v>2019</v>
      </c>
      <c r="AA1106" s="2"/>
      <c r="AB1106" s="2"/>
      <c r="AC1106" s="2">
        <v>519553.22000000003</v>
      </c>
      <c r="AG1106" s="1" t="s">
        <v>56</v>
      </c>
      <c r="AI1106" s="2">
        <v>519553.22000000003</v>
      </c>
      <c r="AL1106" s="1" t="s">
        <v>4319</v>
      </c>
    </row>
    <row r="1107" spans="1:38" ht="14.45" customHeight="1" x14ac:dyDescent="0.2">
      <c r="A1107" s="1" t="s">
        <v>57</v>
      </c>
      <c r="B1107" s="9" t="s">
        <v>39</v>
      </c>
      <c r="C1107" s="1" t="s">
        <v>58</v>
      </c>
      <c r="D1107" s="1" t="s">
        <v>4315</v>
      </c>
      <c r="E1107" s="1" t="s">
        <v>42</v>
      </c>
      <c r="G1107" s="1" t="s">
        <v>4316</v>
      </c>
      <c r="H1107" s="1" t="s">
        <v>61</v>
      </c>
      <c r="I1107" s="1" t="s">
        <v>4905</v>
      </c>
      <c r="J1107" s="1">
        <v>2019</v>
      </c>
      <c r="P1107" s="1" t="s">
        <v>4903</v>
      </c>
      <c r="Q1107" s="1" t="s">
        <v>842</v>
      </c>
      <c r="R1107" s="1" t="s">
        <v>884</v>
      </c>
      <c r="S1107" s="1" t="s">
        <v>1793</v>
      </c>
      <c r="T1107" s="1" t="s">
        <v>1794</v>
      </c>
      <c r="V1107" s="1" t="s">
        <v>887</v>
      </c>
      <c r="Y1107" s="10">
        <v>43800</v>
      </c>
      <c r="Z1107" s="1">
        <v>2019</v>
      </c>
      <c r="AA1107" s="2"/>
      <c r="AB1107" s="2"/>
      <c r="AC1107" s="2">
        <v>745235.96000000008</v>
      </c>
      <c r="AG1107" s="1" t="s">
        <v>56</v>
      </c>
      <c r="AI1107" s="2">
        <v>745235.96000000008</v>
      </c>
      <c r="AL1107" s="1" t="s">
        <v>4319</v>
      </c>
    </row>
    <row r="1108" spans="1:38" ht="14.45" customHeight="1" x14ac:dyDescent="0.2">
      <c r="A1108" s="1" t="s">
        <v>57</v>
      </c>
      <c r="B1108" s="9" t="s">
        <v>39</v>
      </c>
      <c r="C1108" s="1" t="s">
        <v>58</v>
      </c>
      <c r="D1108" s="1" t="s">
        <v>4315</v>
      </c>
      <c r="E1108" s="1" t="s">
        <v>42</v>
      </c>
      <c r="G1108" s="1" t="s">
        <v>4316</v>
      </c>
      <c r="H1108" s="1" t="s">
        <v>61</v>
      </c>
      <c r="I1108" s="1" t="s">
        <v>4906</v>
      </c>
      <c r="J1108" s="1">
        <v>2021</v>
      </c>
      <c r="P1108" s="1" t="s">
        <v>4907</v>
      </c>
      <c r="Q1108" s="1" t="s">
        <v>110</v>
      </c>
      <c r="R1108" s="1" t="s">
        <v>605</v>
      </c>
      <c r="S1108" s="1" t="s">
        <v>606</v>
      </c>
      <c r="T1108" s="1" t="s">
        <v>607</v>
      </c>
      <c r="U1108" s="1">
        <v>1</v>
      </c>
      <c r="V1108" s="1" t="s">
        <v>80</v>
      </c>
      <c r="Y1108" s="10">
        <v>44378</v>
      </c>
      <c r="Z1108" s="1">
        <v>2021</v>
      </c>
      <c r="AA1108" s="2"/>
      <c r="AB1108" s="2"/>
      <c r="AC1108" s="2">
        <v>770358.51999999979</v>
      </c>
      <c r="AG1108" s="1" t="s">
        <v>56</v>
      </c>
      <c r="AI1108" s="2">
        <v>770358.51999999979</v>
      </c>
      <c r="AL1108" s="1" t="s">
        <v>4319</v>
      </c>
    </row>
    <row r="1109" spans="1:38" ht="14.45" customHeight="1" x14ac:dyDescent="0.2">
      <c r="A1109" s="1" t="s">
        <v>57</v>
      </c>
      <c r="B1109" s="9" t="s">
        <v>39</v>
      </c>
      <c r="C1109" s="1" t="s">
        <v>58</v>
      </c>
      <c r="D1109" s="1" t="s">
        <v>4315</v>
      </c>
      <c r="E1109" s="1" t="s">
        <v>42</v>
      </c>
      <c r="G1109" s="1" t="s">
        <v>4316</v>
      </c>
      <c r="H1109" s="1" t="s">
        <v>61</v>
      </c>
      <c r="I1109" s="1" t="s">
        <v>4908</v>
      </c>
      <c r="J1109" s="1">
        <v>2019</v>
      </c>
      <c r="P1109" s="1" t="s">
        <v>4907</v>
      </c>
      <c r="Q1109" s="1" t="s">
        <v>110</v>
      </c>
      <c r="R1109" s="1" t="s">
        <v>605</v>
      </c>
      <c r="S1109" s="1" t="s">
        <v>606</v>
      </c>
      <c r="T1109" s="1" t="s">
        <v>607</v>
      </c>
      <c r="U1109" s="1">
        <v>1</v>
      </c>
      <c r="V1109" s="1" t="s">
        <v>80</v>
      </c>
      <c r="Y1109" s="10">
        <v>43647</v>
      </c>
      <c r="Z1109" s="1">
        <v>2019</v>
      </c>
      <c r="AA1109" s="2"/>
      <c r="AB1109" s="2"/>
      <c r="AC1109" s="2">
        <v>428347.05000000005</v>
      </c>
      <c r="AG1109" s="1" t="s">
        <v>56</v>
      </c>
      <c r="AI1109" s="2">
        <v>428347.05000000005</v>
      </c>
      <c r="AL1109" s="1" t="s">
        <v>4319</v>
      </c>
    </row>
    <row r="1110" spans="1:38" ht="14.45" customHeight="1" x14ac:dyDescent="0.2">
      <c r="A1110" s="1" t="s">
        <v>57</v>
      </c>
      <c r="B1110" s="9" t="s">
        <v>39</v>
      </c>
      <c r="C1110" s="1" t="s">
        <v>58</v>
      </c>
      <c r="D1110" s="1" t="s">
        <v>4315</v>
      </c>
      <c r="E1110" s="1" t="s">
        <v>42</v>
      </c>
      <c r="G1110" s="1" t="s">
        <v>4316</v>
      </c>
      <c r="H1110" s="1" t="s">
        <v>61</v>
      </c>
      <c r="I1110" s="1" t="s">
        <v>4909</v>
      </c>
      <c r="J1110" s="1">
        <v>2019</v>
      </c>
      <c r="P1110" s="1" t="s">
        <v>4907</v>
      </c>
      <c r="Q1110" s="1" t="s">
        <v>110</v>
      </c>
      <c r="R1110" s="1" t="s">
        <v>605</v>
      </c>
      <c r="S1110" s="1" t="s">
        <v>606</v>
      </c>
      <c r="T1110" s="1" t="s">
        <v>607</v>
      </c>
      <c r="U1110" s="1">
        <v>1</v>
      </c>
      <c r="V1110" s="1" t="s">
        <v>80</v>
      </c>
      <c r="Y1110" s="10">
        <v>43647</v>
      </c>
      <c r="Z1110" s="1">
        <v>2019</v>
      </c>
      <c r="AA1110" s="2"/>
      <c r="AB1110" s="2"/>
      <c r="AC1110" s="2">
        <v>440707.78</v>
      </c>
      <c r="AG1110" s="1" t="s">
        <v>56</v>
      </c>
      <c r="AI1110" s="2">
        <v>440707.78</v>
      </c>
      <c r="AL1110" s="1" t="s">
        <v>4319</v>
      </c>
    </row>
    <row r="1111" spans="1:38" ht="14.45" customHeight="1" x14ac:dyDescent="0.2">
      <c r="A1111" s="1" t="s">
        <v>57</v>
      </c>
      <c r="B1111" s="9" t="s">
        <v>39</v>
      </c>
      <c r="C1111" s="1" t="s">
        <v>58</v>
      </c>
      <c r="D1111" s="1" t="s">
        <v>4315</v>
      </c>
      <c r="E1111" s="1" t="s">
        <v>42</v>
      </c>
      <c r="G1111" s="1" t="s">
        <v>4316</v>
      </c>
      <c r="H1111" s="1" t="s">
        <v>61</v>
      </c>
      <c r="I1111" s="1" t="s">
        <v>4910</v>
      </c>
      <c r="J1111" s="1">
        <v>2019</v>
      </c>
      <c r="P1111" s="1" t="s">
        <v>4907</v>
      </c>
      <c r="Q1111" s="1" t="s">
        <v>110</v>
      </c>
      <c r="R1111" s="1" t="s">
        <v>605</v>
      </c>
      <c r="S1111" s="1" t="s">
        <v>606</v>
      </c>
      <c r="T1111" s="1" t="s">
        <v>607</v>
      </c>
      <c r="U1111" s="1">
        <v>1</v>
      </c>
      <c r="V1111" s="1" t="s">
        <v>80</v>
      </c>
      <c r="Y1111" s="10">
        <v>43647</v>
      </c>
      <c r="Z1111" s="1">
        <v>2019</v>
      </c>
      <c r="AA1111" s="2"/>
      <c r="AB1111" s="2"/>
      <c r="AC1111" s="2">
        <v>423368.81000000006</v>
      </c>
      <c r="AG1111" s="1" t="s">
        <v>56</v>
      </c>
      <c r="AI1111" s="2">
        <v>423368.81000000006</v>
      </c>
      <c r="AL1111" s="1" t="s">
        <v>4319</v>
      </c>
    </row>
    <row r="1112" spans="1:38" ht="14.45" customHeight="1" x14ac:dyDescent="0.2">
      <c r="A1112" s="1" t="s">
        <v>57</v>
      </c>
      <c r="B1112" s="9" t="s">
        <v>39</v>
      </c>
      <c r="C1112" s="1" t="s">
        <v>58</v>
      </c>
      <c r="D1112" s="1" t="s">
        <v>4315</v>
      </c>
      <c r="E1112" s="1" t="s">
        <v>42</v>
      </c>
      <c r="G1112" s="1" t="s">
        <v>4316</v>
      </c>
      <c r="H1112" s="1" t="s">
        <v>61</v>
      </c>
      <c r="I1112" s="1" t="s">
        <v>4911</v>
      </c>
      <c r="J1112" s="1">
        <v>2019</v>
      </c>
      <c r="P1112" s="1" t="s">
        <v>4907</v>
      </c>
      <c r="Q1112" s="1" t="s">
        <v>110</v>
      </c>
      <c r="R1112" s="1" t="s">
        <v>605</v>
      </c>
      <c r="S1112" s="1" t="s">
        <v>606</v>
      </c>
      <c r="T1112" s="1" t="s">
        <v>607</v>
      </c>
      <c r="U1112" s="1">
        <v>1</v>
      </c>
      <c r="V1112" s="1" t="s">
        <v>80</v>
      </c>
      <c r="Y1112" s="10">
        <v>43647</v>
      </c>
      <c r="Z1112" s="1">
        <v>2019</v>
      </c>
      <c r="AA1112" s="2"/>
      <c r="AB1112" s="2"/>
      <c r="AC1112" s="2">
        <v>419765.33</v>
      </c>
      <c r="AG1112" s="1" t="s">
        <v>56</v>
      </c>
      <c r="AI1112" s="2">
        <v>419765.33</v>
      </c>
      <c r="AL1112" s="1" t="s">
        <v>4319</v>
      </c>
    </row>
    <row r="1113" spans="1:38" ht="14.45" customHeight="1" x14ac:dyDescent="0.2">
      <c r="A1113" s="1" t="s">
        <v>57</v>
      </c>
      <c r="B1113" s="9" t="s">
        <v>39</v>
      </c>
      <c r="C1113" s="1" t="s">
        <v>58</v>
      </c>
      <c r="D1113" s="1" t="s">
        <v>4315</v>
      </c>
      <c r="E1113" s="1" t="s">
        <v>42</v>
      </c>
      <c r="G1113" s="1" t="s">
        <v>4316</v>
      </c>
      <c r="H1113" s="1" t="s">
        <v>61</v>
      </c>
      <c r="I1113" s="1" t="s">
        <v>4912</v>
      </c>
      <c r="J1113" s="1">
        <v>2019</v>
      </c>
      <c r="P1113" s="1" t="s">
        <v>4907</v>
      </c>
      <c r="Q1113" s="1" t="s">
        <v>110</v>
      </c>
      <c r="R1113" s="1" t="s">
        <v>605</v>
      </c>
      <c r="S1113" s="1" t="s">
        <v>606</v>
      </c>
      <c r="T1113" s="1" t="s">
        <v>607</v>
      </c>
      <c r="U1113" s="1">
        <v>1</v>
      </c>
      <c r="V1113" s="1" t="s">
        <v>80</v>
      </c>
      <c r="Y1113" s="10">
        <v>43800</v>
      </c>
      <c r="Z1113" s="1">
        <v>2019</v>
      </c>
      <c r="AA1113" s="2"/>
      <c r="AB1113" s="2"/>
      <c r="AC1113" s="2">
        <v>615100.31000000006</v>
      </c>
      <c r="AG1113" s="1" t="s">
        <v>56</v>
      </c>
      <c r="AI1113" s="2">
        <v>615100.31000000006</v>
      </c>
      <c r="AL1113" s="1" t="s">
        <v>4319</v>
      </c>
    </row>
    <row r="1114" spans="1:38" ht="14.45" customHeight="1" x14ac:dyDescent="0.2">
      <c r="A1114" s="1" t="s">
        <v>57</v>
      </c>
      <c r="B1114" s="9" t="s">
        <v>39</v>
      </c>
      <c r="C1114" s="1" t="s">
        <v>58</v>
      </c>
      <c r="D1114" s="1" t="s">
        <v>4315</v>
      </c>
      <c r="E1114" s="1" t="s">
        <v>42</v>
      </c>
      <c r="G1114" s="1" t="s">
        <v>4316</v>
      </c>
      <c r="H1114" s="1" t="s">
        <v>61</v>
      </c>
      <c r="I1114" s="1" t="s">
        <v>4913</v>
      </c>
      <c r="J1114" s="1">
        <v>2019</v>
      </c>
      <c r="P1114" s="1" t="s">
        <v>4907</v>
      </c>
      <c r="Q1114" s="1" t="s">
        <v>110</v>
      </c>
      <c r="R1114" s="1" t="s">
        <v>605</v>
      </c>
      <c r="S1114" s="1" t="s">
        <v>606</v>
      </c>
      <c r="T1114" s="1" t="s">
        <v>607</v>
      </c>
      <c r="U1114" s="1">
        <v>1</v>
      </c>
      <c r="V1114" s="1" t="s">
        <v>80</v>
      </c>
      <c r="Y1114" s="10">
        <v>43800</v>
      </c>
      <c r="Z1114" s="1">
        <v>2019</v>
      </c>
      <c r="AA1114" s="2"/>
      <c r="AB1114" s="2"/>
      <c r="AC1114" s="2">
        <v>441453.2</v>
      </c>
      <c r="AG1114" s="1" t="s">
        <v>56</v>
      </c>
      <c r="AI1114" s="2">
        <v>441453.2</v>
      </c>
      <c r="AL1114" s="1" t="s">
        <v>4319</v>
      </c>
    </row>
    <row r="1115" spans="1:38" ht="14.45" customHeight="1" x14ac:dyDescent="0.2">
      <c r="A1115" s="1" t="s">
        <v>57</v>
      </c>
      <c r="B1115" s="9" t="s">
        <v>39</v>
      </c>
      <c r="C1115" s="1" t="s">
        <v>58</v>
      </c>
      <c r="D1115" s="1" t="s">
        <v>4315</v>
      </c>
      <c r="E1115" s="1" t="s">
        <v>42</v>
      </c>
      <c r="G1115" s="1" t="s">
        <v>4316</v>
      </c>
      <c r="H1115" s="1" t="s">
        <v>61</v>
      </c>
      <c r="I1115" s="1" t="s">
        <v>4914</v>
      </c>
      <c r="J1115" s="1">
        <v>2019</v>
      </c>
      <c r="P1115" s="1" t="s">
        <v>4907</v>
      </c>
      <c r="Q1115" s="1" t="s">
        <v>110</v>
      </c>
      <c r="R1115" s="1" t="s">
        <v>605</v>
      </c>
      <c r="S1115" s="1" t="s">
        <v>606</v>
      </c>
      <c r="T1115" s="1" t="s">
        <v>607</v>
      </c>
      <c r="U1115" s="1">
        <v>1</v>
      </c>
      <c r="V1115" s="1" t="s">
        <v>80</v>
      </c>
      <c r="Y1115" s="10">
        <v>43800</v>
      </c>
      <c r="Z1115" s="1">
        <v>2019</v>
      </c>
      <c r="AA1115" s="2"/>
      <c r="AB1115" s="2"/>
      <c r="AC1115" s="2">
        <v>567607.3600000001</v>
      </c>
      <c r="AG1115" s="1" t="s">
        <v>56</v>
      </c>
      <c r="AI1115" s="2">
        <v>567607.3600000001</v>
      </c>
      <c r="AL1115" s="1" t="s">
        <v>4319</v>
      </c>
    </row>
    <row r="1116" spans="1:38" ht="14.45" customHeight="1" x14ac:dyDescent="0.2">
      <c r="A1116" s="1" t="s">
        <v>57</v>
      </c>
      <c r="B1116" s="9" t="s">
        <v>39</v>
      </c>
      <c r="C1116" s="1" t="s">
        <v>58</v>
      </c>
      <c r="D1116" s="1" t="s">
        <v>4315</v>
      </c>
      <c r="E1116" s="1" t="s">
        <v>42</v>
      </c>
      <c r="G1116" s="1" t="s">
        <v>4316</v>
      </c>
      <c r="H1116" s="1" t="s">
        <v>61</v>
      </c>
      <c r="I1116" s="1" t="s">
        <v>4915</v>
      </c>
      <c r="J1116" s="1">
        <v>2020</v>
      </c>
      <c r="P1116" s="1" t="s">
        <v>4907</v>
      </c>
      <c r="Q1116" s="1" t="s">
        <v>110</v>
      </c>
      <c r="R1116" s="1" t="s">
        <v>605</v>
      </c>
      <c r="S1116" s="1" t="s">
        <v>606</v>
      </c>
      <c r="T1116" s="1" t="s">
        <v>607</v>
      </c>
      <c r="U1116" s="1">
        <v>1</v>
      </c>
      <c r="V1116" s="1" t="s">
        <v>80</v>
      </c>
      <c r="Y1116" s="10">
        <v>44136</v>
      </c>
      <c r="Z1116" s="1">
        <v>2020</v>
      </c>
      <c r="AA1116" s="2"/>
      <c r="AB1116" s="2"/>
      <c r="AC1116" s="2">
        <v>561661.63</v>
      </c>
      <c r="AG1116" s="1" t="s">
        <v>56</v>
      </c>
      <c r="AI1116" s="2">
        <v>561661.63</v>
      </c>
      <c r="AL1116" s="1" t="s">
        <v>4319</v>
      </c>
    </row>
    <row r="1117" spans="1:38" ht="14.45" customHeight="1" x14ac:dyDescent="0.2">
      <c r="A1117" s="1" t="s">
        <v>57</v>
      </c>
      <c r="B1117" s="9" t="s">
        <v>39</v>
      </c>
      <c r="C1117" s="1" t="s">
        <v>58</v>
      </c>
      <c r="D1117" s="1" t="s">
        <v>4315</v>
      </c>
      <c r="E1117" s="1" t="s">
        <v>42</v>
      </c>
      <c r="G1117" s="1" t="s">
        <v>4316</v>
      </c>
      <c r="H1117" s="1" t="s">
        <v>61</v>
      </c>
      <c r="I1117" s="1" t="s">
        <v>4916</v>
      </c>
      <c r="J1117" s="1">
        <v>2019</v>
      </c>
      <c r="P1117" s="1" t="s">
        <v>4907</v>
      </c>
      <c r="Q1117" s="1" t="s">
        <v>110</v>
      </c>
      <c r="R1117" s="1" t="s">
        <v>605</v>
      </c>
      <c r="S1117" s="1" t="s">
        <v>606</v>
      </c>
      <c r="T1117" s="1" t="s">
        <v>607</v>
      </c>
      <c r="U1117" s="1">
        <v>1</v>
      </c>
      <c r="V1117" s="1" t="s">
        <v>80</v>
      </c>
      <c r="Y1117" s="10">
        <v>43678</v>
      </c>
      <c r="Z1117" s="1">
        <v>2019</v>
      </c>
      <c r="AA1117" s="2"/>
      <c r="AB1117" s="2"/>
      <c r="AC1117" s="2">
        <v>619368.72999999986</v>
      </c>
      <c r="AG1117" s="1" t="s">
        <v>56</v>
      </c>
      <c r="AI1117" s="2">
        <v>619368.72999999986</v>
      </c>
      <c r="AL1117" s="1" t="s">
        <v>4319</v>
      </c>
    </row>
    <row r="1118" spans="1:38" ht="14.45" customHeight="1" x14ac:dyDescent="0.2">
      <c r="A1118" s="1" t="s">
        <v>57</v>
      </c>
      <c r="B1118" s="9" t="s">
        <v>39</v>
      </c>
      <c r="C1118" s="1" t="s">
        <v>58</v>
      </c>
      <c r="D1118" s="1" t="s">
        <v>4315</v>
      </c>
      <c r="E1118" s="1" t="s">
        <v>42</v>
      </c>
      <c r="G1118" s="1" t="s">
        <v>4316</v>
      </c>
      <c r="H1118" s="1" t="s">
        <v>61</v>
      </c>
      <c r="I1118" s="1" t="s">
        <v>4917</v>
      </c>
      <c r="J1118" s="1">
        <v>2019</v>
      </c>
      <c r="P1118" s="1" t="s">
        <v>4471</v>
      </c>
      <c r="Q1118" s="1" t="s">
        <v>50</v>
      </c>
      <c r="R1118" s="1" t="s">
        <v>68</v>
      </c>
      <c r="S1118" s="1" t="s">
        <v>425</v>
      </c>
      <c r="T1118" s="1" t="s">
        <v>426</v>
      </c>
      <c r="U1118" s="1">
        <v>1</v>
      </c>
      <c r="V1118" s="1" t="s">
        <v>195</v>
      </c>
      <c r="Y1118" s="10">
        <v>43466</v>
      </c>
      <c r="Z1118" s="1">
        <v>2019</v>
      </c>
      <c r="AA1118" s="2"/>
      <c r="AB1118" s="2"/>
      <c r="AC1118" s="2">
        <v>693706.56000000017</v>
      </c>
      <c r="AG1118" s="1" t="s">
        <v>56</v>
      </c>
      <c r="AI1118" s="2">
        <v>693706.56000000017</v>
      </c>
      <c r="AL1118" s="1" t="s">
        <v>4319</v>
      </c>
    </row>
    <row r="1119" spans="1:38" ht="14.45" customHeight="1" x14ac:dyDescent="0.2">
      <c r="A1119" s="1" t="s">
        <v>57</v>
      </c>
      <c r="B1119" s="9" t="s">
        <v>39</v>
      </c>
      <c r="C1119" s="1" t="s">
        <v>58</v>
      </c>
      <c r="D1119" s="1" t="s">
        <v>4315</v>
      </c>
      <c r="E1119" s="1" t="s">
        <v>42</v>
      </c>
      <c r="G1119" s="1" t="s">
        <v>4316</v>
      </c>
      <c r="H1119" s="1" t="s">
        <v>61</v>
      </c>
      <c r="I1119" s="1" t="s">
        <v>4918</v>
      </c>
      <c r="J1119" s="1">
        <v>2023</v>
      </c>
      <c r="P1119" s="1" t="s">
        <v>4471</v>
      </c>
      <c r="Q1119" s="1" t="s">
        <v>50</v>
      </c>
      <c r="R1119" s="1" t="s">
        <v>68</v>
      </c>
      <c r="S1119" s="1" t="s">
        <v>425</v>
      </c>
      <c r="T1119" s="1" t="s">
        <v>426</v>
      </c>
      <c r="U1119" s="1">
        <v>1</v>
      </c>
      <c r="V1119" s="1" t="s">
        <v>195</v>
      </c>
      <c r="Y1119" s="10">
        <v>45291</v>
      </c>
      <c r="Z1119" s="1">
        <v>2023</v>
      </c>
      <c r="AA1119" s="2"/>
      <c r="AB1119" s="2"/>
      <c r="AC1119" s="2">
        <v>720247.63000000082</v>
      </c>
      <c r="AG1119" s="1" t="s">
        <v>56</v>
      </c>
      <c r="AI1119" s="2">
        <v>720247.63000000082</v>
      </c>
      <c r="AL1119" s="1" t="s">
        <v>4319</v>
      </c>
    </row>
    <row r="1120" spans="1:38" ht="14.45" customHeight="1" x14ac:dyDescent="0.2">
      <c r="A1120" s="1" t="s">
        <v>57</v>
      </c>
      <c r="B1120" s="9" t="s">
        <v>39</v>
      </c>
      <c r="C1120" s="1" t="s">
        <v>58</v>
      </c>
      <c r="D1120" s="1" t="s">
        <v>4315</v>
      </c>
      <c r="E1120" s="1" t="s">
        <v>42</v>
      </c>
      <c r="G1120" s="1" t="s">
        <v>4316</v>
      </c>
      <c r="H1120" s="1" t="s">
        <v>61</v>
      </c>
      <c r="I1120" s="1" t="s">
        <v>4919</v>
      </c>
      <c r="J1120" s="1">
        <v>2019</v>
      </c>
      <c r="P1120" s="1" t="s">
        <v>4471</v>
      </c>
      <c r="Q1120" s="1" t="s">
        <v>50</v>
      </c>
      <c r="R1120" s="1" t="s">
        <v>68</v>
      </c>
      <c r="S1120" s="1" t="s">
        <v>425</v>
      </c>
      <c r="T1120" s="1" t="s">
        <v>426</v>
      </c>
      <c r="U1120" s="1">
        <v>1</v>
      </c>
      <c r="V1120" s="1" t="s">
        <v>195</v>
      </c>
      <c r="Y1120" s="10">
        <v>43466</v>
      </c>
      <c r="Z1120" s="1">
        <v>2019</v>
      </c>
      <c r="AA1120" s="2"/>
      <c r="AB1120" s="2"/>
      <c r="AC1120" s="2">
        <v>600163.20000000007</v>
      </c>
      <c r="AG1120" s="1" t="s">
        <v>56</v>
      </c>
      <c r="AI1120" s="2">
        <v>600163.20000000007</v>
      </c>
      <c r="AL1120" s="1" t="s">
        <v>4319</v>
      </c>
    </row>
    <row r="1121" spans="1:38" ht="14.45" customHeight="1" x14ac:dyDescent="0.2">
      <c r="A1121" s="1" t="s">
        <v>57</v>
      </c>
      <c r="B1121" s="9" t="s">
        <v>39</v>
      </c>
      <c r="C1121" s="1" t="s">
        <v>58</v>
      </c>
      <c r="D1121" s="1" t="s">
        <v>4315</v>
      </c>
      <c r="E1121" s="1" t="s">
        <v>42</v>
      </c>
      <c r="G1121" s="1" t="s">
        <v>4316</v>
      </c>
      <c r="H1121" s="1" t="s">
        <v>61</v>
      </c>
      <c r="I1121" s="1" t="s">
        <v>4920</v>
      </c>
      <c r="J1121" s="1">
        <v>2024</v>
      </c>
      <c r="P1121" s="1" t="s">
        <v>4318</v>
      </c>
      <c r="Q1121" s="1" t="s">
        <v>101</v>
      </c>
      <c r="R1121" s="1" t="s">
        <v>102</v>
      </c>
      <c r="S1121" s="1" t="s">
        <v>103</v>
      </c>
      <c r="T1121" s="1" t="s">
        <v>104</v>
      </c>
      <c r="U1121" s="1">
        <v>1</v>
      </c>
      <c r="V1121" s="1" t="s">
        <v>101</v>
      </c>
      <c r="Y1121" s="10">
        <v>45419</v>
      </c>
      <c r="Z1121" s="1">
        <v>2024</v>
      </c>
      <c r="AA1121" s="2"/>
      <c r="AB1121" s="2"/>
      <c r="AC1121" s="2">
        <v>520545.83</v>
      </c>
      <c r="AG1121" s="1" t="s">
        <v>56</v>
      </c>
      <c r="AI1121" s="2">
        <v>520545.83</v>
      </c>
      <c r="AL1121" s="1" t="s">
        <v>4319</v>
      </c>
    </row>
    <row r="1122" spans="1:38" ht="14.45" customHeight="1" x14ac:dyDescent="0.2">
      <c r="A1122" s="1" t="s">
        <v>57</v>
      </c>
      <c r="B1122" s="9" t="s">
        <v>39</v>
      </c>
      <c r="C1122" s="1" t="s">
        <v>58</v>
      </c>
      <c r="D1122" s="1" t="s">
        <v>4315</v>
      </c>
      <c r="E1122" s="1" t="s">
        <v>42</v>
      </c>
      <c r="G1122" s="1" t="s">
        <v>4340</v>
      </c>
      <c r="H1122" s="1" t="s">
        <v>61</v>
      </c>
      <c r="I1122" s="1" t="s">
        <v>4921</v>
      </c>
      <c r="J1122" s="1">
        <v>2021</v>
      </c>
      <c r="P1122" s="1" t="s">
        <v>4318</v>
      </c>
      <c r="Q1122" s="1" t="s">
        <v>101</v>
      </c>
      <c r="R1122" s="1" t="s">
        <v>102</v>
      </c>
      <c r="S1122" s="1" t="s">
        <v>103</v>
      </c>
      <c r="T1122" s="1" t="s">
        <v>104</v>
      </c>
      <c r="U1122" s="1">
        <v>1</v>
      </c>
      <c r="V1122" s="1" t="s">
        <v>101</v>
      </c>
      <c r="Y1122" s="10">
        <v>44299</v>
      </c>
      <c r="Z1122" s="1">
        <v>2021</v>
      </c>
      <c r="AA1122" s="2"/>
      <c r="AB1122" s="2"/>
      <c r="AC1122" s="2">
        <v>79451.740000000005</v>
      </c>
      <c r="AG1122" s="1" t="s">
        <v>56</v>
      </c>
      <c r="AI1122" s="2">
        <v>79451.740000000005</v>
      </c>
    </row>
    <row r="1123" spans="1:38" ht="14.45" customHeight="1" x14ac:dyDescent="0.2">
      <c r="A1123" s="1" t="s">
        <v>57</v>
      </c>
      <c r="B1123" s="9" t="s">
        <v>39</v>
      </c>
      <c r="C1123" s="1" t="s">
        <v>58</v>
      </c>
      <c r="D1123" s="1" t="s">
        <v>4315</v>
      </c>
      <c r="E1123" s="1" t="s">
        <v>42</v>
      </c>
      <c r="G1123" s="1" t="s">
        <v>4340</v>
      </c>
      <c r="H1123" s="1" t="s">
        <v>61</v>
      </c>
      <c r="I1123" s="1" t="s">
        <v>4922</v>
      </c>
      <c r="J1123" s="1">
        <v>2021</v>
      </c>
      <c r="P1123" s="1" t="s">
        <v>4318</v>
      </c>
      <c r="Q1123" s="1" t="s">
        <v>101</v>
      </c>
      <c r="R1123" s="1" t="s">
        <v>102</v>
      </c>
      <c r="S1123" s="1" t="s">
        <v>103</v>
      </c>
      <c r="T1123" s="1" t="s">
        <v>104</v>
      </c>
      <c r="U1123" s="1">
        <v>1</v>
      </c>
      <c r="V1123" s="1" t="s">
        <v>101</v>
      </c>
      <c r="Y1123" s="10">
        <v>44299</v>
      </c>
      <c r="Z1123" s="1">
        <v>2021</v>
      </c>
      <c r="AA1123" s="2"/>
      <c r="AB1123" s="2"/>
      <c r="AC1123" s="2">
        <v>41672.28</v>
      </c>
      <c r="AG1123" s="1" t="s">
        <v>56</v>
      </c>
      <c r="AI1123" s="2">
        <v>41672.28</v>
      </c>
    </row>
    <row r="1124" spans="1:38" ht="14.45" customHeight="1" x14ac:dyDescent="0.2">
      <c r="A1124" s="1" t="s">
        <v>57</v>
      </c>
      <c r="B1124" s="9" t="s">
        <v>39</v>
      </c>
      <c r="C1124" s="1" t="s">
        <v>58</v>
      </c>
      <c r="D1124" s="1" t="s">
        <v>4315</v>
      </c>
      <c r="E1124" s="1" t="s">
        <v>42</v>
      </c>
      <c r="G1124" s="1" t="s">
        <v>4340</v>
      </c>
      <c r="H1124" s="1" t="s">
        <v>61</v>
      </c>
      <c r="I1124" s="1" t="s">
        <v>4923</v>
      </c>
      <c r="J1124" s="1">
        <v>2021</v>
      </c>
      <c r="P1124" s="1" t="s">
        <v>4318</v>
      </c>
      <c r="Q1124" s="1" t="s">
        <v>101</v>
      </c>
      <c r="R1124" s="1" t="s">
        <v>102</v>
      </c>
      <c r="S1124" s="1" t="s">
        <v>103</v>
      </c>
      <c r="T1124" s="1" t="s">
        <v>104</v>
      </c>
      <c r="U1124" s="1">
        <v>1</v>
      </c>
      <c r="V1124" s="1" t="s">
        <v>101</v>
      </c>
      <c r="Y1124" s="10">
        <v>44299</v>
      </c>
      <c r="Z1124" s="1">
        <v>2021</v>
      </c>
      <c r="AA1124" s="2"/>
      <c r="AB1124" s="2"/>
      <c r="AC1124" s="2">
        <v>75834.87</v>
      </c>
      <c r="AG1124" s="1" t="s">
        <v>56</v>
      </c>
      <c r="AI1124" s="2">
        <v>75834.87</v>
      </c>
    </row>
    <row r="1125" spans="1:38" ht="14.45" customHeight="1" x14ac:dyDescent="0.2">
      <c r="A1125" s="1" t="s">
        <v>57</v>
      </c>
      <c r="B1125" s="9" t="s">
        <v>39</v>
      </c>
      <c r="C1125" s="1" t="s">
        <v>58</v>
      </c>
      <c r="D1125" s="1" t="s">
        <v>4315</v>
      </c>
      <c r="E1125" s="1" t="s">
        <v>42</v>
      </c>
      <c r="G1125" s="1" t="s">
        <v>4340</v>
      </c>
      <c r="H1125" s="1" t="s">
        <v>61</v>
      </c>
      <c r="I1125" s="1" t="s">
        <v>4924</v>
      </c>
      <c r="J1125" s="1">
        <v>2021</v>
      </c>
      <c r="P1125" s="1" t="s">
        <v>4318</v>
      </c>
      <c r="Q1125" s="1" t="s">
        <v>101</v>
      </c>
      <c r="R1125" s="1" t="s">
        <v>102</v>
      </c>
      <c r="S1125" s="1" t="s">
        <v>103</v>
      </c>
      <c r="T1125" s="1" t="s">
        <v>104</v>
      </c>
      <c r="U1125" s="1">
        <v>1</v>
      </c>
      <c r="V1125" s="1" t="s">
        <v>101</v>
      </c>
      <c r="Y1125" s="10">
        <v>44299</v>
      </c>
      <c r="Z1125" s="1">
        <v>2021</v>
      </c>
      <c r="AA1125" s="2"/>
      <c r="AB1125" s="2"/>
      <c r="AC1125" s="2">
        <v>77507.38</v>
      </c>
      <c r="AG1125" s="1" t="s">
        <v>56</v>
      </c>
      <c r="AI1125" s="2">
        <v>77507.38</v>
      </c>
    </row>
    <row r="1126" spans="1:38" ht="14.45" customHeight="1" x14ac:dyDescent="0.2">
      <c r="A1126" s="1" t="s">
        <v>57</v>
      </c>
      <c r="B1126" s="9" t="s">
        <v>39</v>
      </c>
      <c r="C1126" s="1" t="s">
        <v>58</v>
      </c>
      <c r="D1126" s="1" t="s">
        <v>4315</v>
      </c>
      <c r="E1126" s="1" t="s">
        <v>42</v>
      </c>
      <c r="G1126" s="1" t="s">
        <v>4340</v>
      </c>
      <c r="H1126" s="1" t="s">
        <v>61</v>
      </c>
      <c r="I1126" s="1" t="s">
        <v>4925</v>
      </c>
      <c r="J1126" s="1">
        <v>2021</v>
      </c>
      <c r="P1126" s="1" t="s">
        <v>4318</v>
      </c>
      <c r="Q1126" s="1" t="s">
        <v>101</v>
      </c>
      <c r="R1126" s="1" t="s">
        <v>102</v>
      </c>
      <c r="S1126" s="1" t="s">
        <v>103</v>
      </c>
      <c r="T1126" s="1" t="s">
        <v>104</v>
      </c>
      <c r="U1126" s="1">
        <v>1</v>
      </c>
      <c r="V1126" s="1" t="s">
        <v>101</v>
      </c>
      <c r="Y1126" s="10">
        <v>44299</v>
      </c>
      <c r="Z1126" s="1">
        <v>2021</v>
      </c>
      <c r="AA1126" s="2"/>
      <c r="AB1126" s="2"/>
      <c r="AC1126" s="2">
        <v>50785.120000000003</v>
      </c>
      <c r="AG1126" s="1" t="s">
        <v>56</v>
      </c>
      <c r="AI1126" s="2">
        <v>50785.120000000003</v>
      </c>
    </row>
    <row r="1127" spans="1:38" ht="14.45" customHeight="1" x14ac:dyDescent="0.2">
      <c r="A1127" s="1" t="s">
        <v>57</v>
      </c>
      <c r="B1127" s="9" t="s">
        <v>39</v>
      </c>
      <c r="C1127" s="1" t="s">
        <v>58</v>
      </c>
      <c r="D1127" s="1" t="s">
        <v>4315</v>
      </c>
      <c r="E1127" s="1" t="s">
        <v>42</v>
      </c>
      <c r="G1127" s="1" t="s">
        <v>4340</v>
      </c>
      <c r="H1127" s="1" t="s">
        <v>61</v>
      </c>
      <c r="I1127" s="1" t="s">
        <v>4926</v>
      </c>
      <c r="J1127" s="1">
        <v>2021</v>
      </c>
      <c r="P1127" s="1" t="s">
        <v>4318</v>
      </c>
      <c r="Q1127" s="1" t="s">
        <v>101</v>
      </c>
      <c r="R1127" s="1" t="s">
        <v>102</v>
      </c>
      <c r="S1127" s="1" t="s">
        <v>103</v>
      </c>
      <c r="T1127" s="1" t="s">
        <v>104</v>
      </c>
      <c r="U1127" s="1">
        <v>1</v>
      </c>
      <c r="V1127" s="1" t="s">
        <v>101</v>
      </c>
      <c r="Y1127" s="10">
        <v>44299</v>
      </c>
      <c r="Z1127" s="1">
        <v>2021</v>
      </c>
      <c r="AA1127" s="2"/>
      <c r="AB1127" s="2"/>
      <c r="AC1127" s="2">
        <v>53333.77</v>
      </c>
      <c r="AG1127" s="1" t="s">
        <v>56</v>
      </c>
      <c r="AI1127" s="2">
        <v>53333.77</v>
      </c>
    </row>
    <row r="1128" spans="1:38" ht="14.45" customHeight="1" x14ac:dyDescent="0.2">
      <c r="A1128" s="1" t="s">
        <v>57</v>
      </c>
      <c r="B1128" s="9" t="s">
        <v>39</v>
      </c>
      <c r="C1128" s="1" t="s">
        <v>58</v>
      </c>
      <c r="D1128" s="1" t="s">
        <v>4315</v>
      </c>
      <c r="E1128" s="1" t="s">
        <v>42</v>
      </c>
      <c r="G1128" s="1" t="s">
        <v>4340</v>
      </c>
      <c r="H1128" s="1" t="s">
        <v>61</v>
      </c>
      <c r="I1128" s="1" t="s">
        <v>4927</v>
      </c>
      <c r="J1128" s="1">
        <v>2021</v>
      </c>
      <c r="P1128" s="1" t="s">
        <v>4318</v>
      </c>
      <c r="Q1128" s="1" t="s">
        <v>101</v>
      </c>
      <c r="R1128" s="1" t="s">
        <v>102</v>
      </c>
      <c r="S1128" s="1" t="s">
        <v>103</v>
      </c>
      <c r="T1128" s="1" t="s">
        <v>104</v>
      </c>
      <c r="U1128" s="1">
        <v>1</v>
      </c>
      <c r="V1128" s="1" t="s">
        <v>101</v>
      </c>
      <c r="Y1128" s="10">
        <v>44299</v>
      </c>
      <c r="Z1128" s="1">
        <v>2021</v>
      </c>
      <c r="AA1128" s="2"/>
      <c r="AB1128" s="2"/>
      <c r="AC1128" s="2">
        <v>46735.31</v>
      </c>
      <c r="AG1128" s="1" t="s">
        <v>56</v>
      </c>
      <c r="AI1128" s="2">
        <v>46735.31</v>
      </c>
    </row>
    <row r="1129" spans="1:38" ht="14.45" customHeight="1" x14ac:dyDescent="0.2">
      <c r="A1129" s="1" t="s">
        <v>57</v>
      </c>
      <c r="B1129" s="9" t="s">
        <v>39</v>
      </c>
      <c r="C1129" s="1" t="s">
        <v>58</v>
      </c>
      <c r="D1129" s="1" t="s">
        <v>4315</v>
      </c>
      <c r="E1129" s="1" t="s">
        <v>42</v>
      </c>
      <c r="G1129" s="1" t="s">
        <v>4316</v>
      </c>
      <c r="H1129" s="1" t="s">
        <v>61</v>
      </c>
      <c r="I1129" s="1" t="s">
        <v>4928</v>
      </c>
      <c r="J1129" s="1">
        <v>2018</v>
      </c>
      <c r="P1129" s="1" t="s">
        <v>4318</v>
      </c>
      <c r="Q1129" s="1" t="s">
        <v>101</v>
      </c>
      <c r="R1129" s="1" t="s">
        <v>102</v>
      </c>
      <c r="S1129" s="1" t="s">
        <v>103</v>
      </c>
      <c r="T1129" s="1" t="s">
        <v>104</v>
      </c>
      <c r="U1129" s="1">
        <v>1</v>
      </c>
      <c r="V1129" s="1" t="s">
        <v>101</v>
      </c>
      <c r="Y1129" s="10">
        <v>43464</v>
      </c>
      <c r="Z1129" s="1">
        <v>2018</v>
      </c>
      <c r="AA1129" s="2"/>
      <c r="AB1129" s="2"/>
      <c r="AC1129" s="2">
        <v>352335.58999999997</v>
      </c>
      <c r="AG1129" s="1" t="s">
        <v>56</v>
      </c>
      <c r="AI1129" s="2">
        <v>352335.58999999997</v>
      </c>
      <c r="AL1129" s="1" t="s">
        <v>4319</v>
      </c>
    </row>
    <row r="1130" spans="1:38" ht="14.45" customHeight="1" x14ac:dyDescent="0.2">
      <c r="A1130" s="1" t="s">
        <v>57</v>
      </c>
      <c r="B1130" s="9" t="s">
        <v>39</v>
      </c>
      <c r="C1130" s="1" t="s">
        <v>58</v>
      </c>
      <c r="D1130" s="1" t="s">
        <v>4315</v>
      </c>
      <c r="E1130" s="1" t="s">
        <v>42</v>
      </c>
      <c r="G1130" s="1" t="s">
        <v>4316</v>
      </c>
      <c r="H1130" s="1" t="s">
        <v>61</v>
      </c>
      <c r="I1130" s="1" t="s">
        <v>4929</v>
      </c>
      <c r="J1130" s="1">
        <v>2020</v>
      </c>
      <c r="P1130" s="1" t="s">
        <v>4318</v>
      </c>
      <c r="Q1130" s="1" t="s">
        <v>101</v>
      </c>
      <c r="R1130" s="1" t="s">
        <v>102</v>
      </c>
      <c r="S1130" s="1" t="s">
        <v>103</v>
      </c>
      <c r="T1130" s="1" t="s">
        <v>104</v>
      </c>
      <c r="U1130" s="1">
        <v>1</v>
      </c>
      <c r="V1130" s="1" t="s">
        <v>101</v>
      </c>
      <c r="Y1130" s="10">
        <v>43831</v>
      </c>
      <c r="Z1130" s="1">
        <v>2020</v>
      </c>
      <c r="AA1130" s="2"/>
      <c r="AB1130" s="2"/>
      <c r="AC1130" s="2">
        <v>582146.80000000005</v>
      </c>
      <c r="AG1130" s="1" t="s">
        <v>56</v>
      </c>
      <c r="AI1130" s="2">
        <v>582146.80000000005</v>
      </c>
      <c r="AL1130" s="1" t="s">
        <v>4319</v>
      </c>
    </row>
    <row r="1131" spans="1:38" ht="14.45" customHeight="1" x14ac:dyDescent="0.2">
      <c r="A1131" s="1" t="s">
        <v>57</v>
      </c>
      <c r="B1131" s="9" t="s">
        <v>39</v>
      </c>
      <c r="C1131" s="1" t="s">
        <v>58</v>
      </c>
      <c r="D1131" s="1" t="s">
        <v>4315</v>
      </c>
      <c r="E1131" s="1" t="s">
        <v>42</v>
      </c>
      <c r="G1131" s="1" t="s">
        <v>4316</v>
      </c>
      <c r="H1131" s="1" t="s">
        <v>61</v>
      </c>
      <c r="I1131" s="1" t="s">
        <v>4930</v>
      </c>
      <c r="J1131" s="1">
        <v>2018</v>
      </c>
      <c r="P1131" s="1" t="s">
        <v>4318</v>
      </c>
      <c r="Q1131" s="1" t="s">
        <v>101</v>
      </c>
      <c r="R1131" s="1" t="s">
        <v>102</v>
      </c>
      <c r="S1131" s="1" t="s">
        <v>103</v>
      </c>
      <c r="T1131" s="1" t="s">
        <v>104</v>
      </c>
      <c r="U1131" s="1">
        <v>1</v>
      </c>
      <c r="V1131" s="1" t="s">
        <v>101</v>
      </c>
      <c r="Y1131" s="10">
        <v>43464</v>
      </c>
      <c r="Z1131" s="1">
        <v>2018</v>
      </c>
      <c r="AA1131" s="2"/>
      <c r="AB1131" s="2"/>
      <c r="AC1131" s="2">
        <v>642366.44000000006</v>
      </c>
      <c r="AG1131" s="1" t="s">
        <v>56</v>
      </c>
      <c r="AI1131" s="2">
        <v>642366.44000000006</v>
      </c>
      <c r="AL1131" s="1" t="s">
        <v>4319</v>
      </c>
    </row>
    <row r="1132" spans="1:38" ht="14.45" customHeight="1" x14ac:dyDescent="0.2">
      <c r="A1132" s="1" t="s">
        <v>57</v>
      </c>
      <c r="B1132" s="9" t="s">
        <v>39</v>
      </c>
      <c r="C1132" s="1" t="s">
        <v>58</v>
      </c>
      <c r="D1132" s="1" t="s">
        <v>4315</v>
      </c>
      <c r="E1132" s="1" t="s">
        <v>42</v>
      </c>
      <c r="G1132" s="1" t="s">
        <v>4316</v>
      </c>
      <c r="H1132" s="1" t="s">
        <v>61</v>
      </c>
      <c r="I1132" s="1" t="s">
        <v>4931</v>
      </c>
      <c r="J1132" s="1">
        <v>2018</v>
      </c>
      <c r="P1132" s="1" t="s">
        <v>4318</v>
      </c>
      <c r="Q1132" s="1" t="s">
        <v>101</v>
      </c>
      <c r="R1132" s="1" t="s">
        <v>102</v>
      </c>
      <c r="S1132" s="1" t="s">
        <v>103</v>
      </c>
      <c r="T1132" s="1" t="s">
        <v>104</v>
      </c>
      <c r="U1132" s="1">
        <v>1</v>
      </c>
      <c r="V1132" s="1" t="s">
        <v>101</v>
      </c>
      <c r="Y1132" s="10">
        <v>43464</v>
      </c>
      <c r="Z1132" s="1">
        <v>2018</v>
      </c>
      <c r="AA1132" s="2"/>
      <c r="AB1132" s="2"/>
      <c r="AC1132" s="2">
        <v>452191.33</v>
      </c>
      <c r="AG1132" s="1" t="s">
        <v>56</v>
      </c>
      <c r="AI1132" s="2">
        <v>452191.33</v>
      </c>
      <c r="AL1132" s="1" t="s">
        <v>4319</v>
      </c>
    </row>
    <row r="1133" spans="1:38" ht="14.45" customHeight="1" x14ac:dyDescent="0.2">
      <c r="A1133" s="1" t="s">
        <v>57</v>
      </c>
      <c r="B1133" s="9" t="s">
        <v>39</v>
      </c>
      <c r="C1133" s="1" t="s">
        <v>58</v>
      </c>
      <c r="D1133" s="1" t="s">
        <v>4315</v>
      </c>
      <c r="E1133" s="1" t="s">
        <v>42</v>
      </c>
      <c r="G1133" s="1" t="s">
        <v>4316</v>
      </c>
      <c r="H1133" s="1" t="s">
        <v>61</v>
      </c>
      <c r="I1133" s="1" t="s">
        <v>4932</v>
      </c>
      <c r="J1133" s="1">
        <v>2018</v>
      </c>
      <c r="P1133" s="1" t="s">
        <v>4318</v>
      </c>
      <c r="Q1133" s="1" t="s">
        <v>101</v>
      </c>
      <c r="R1133" s="1" t="s">
        <v>102</v>
      </c>
      <c r="S1133" s="1" t="s">
        <v>103</v>
      </c>
      <c r="T1133" s="1" t="s">
        <v>104</v>
      </c>
      <c r="U1133" s="1">
        <v>1</v>
      </c>
      <c r="V1133" s="1" t="s">
        <v>101</v>
      </c>
      <c r="Y1133" s="10">
        <v>43464</v>
      </c>
      <c r="Z1133" s="1">
        <v>2018</v>
      </c>
      <c r="AA1133" s="2"/>
      <c r="AB1133" s="2"/>
      <c r="AC1133" s="2">
        <v>539276.96</v>
      </c>
      <c r="AG1133" s="1" t="s">
        <v>56</v>
      </c>
      <c r="AI1133" s="2">
        <v>539276.96</v>
      </c>
      <c r="AL1133" s="1" t="s">
        <v>4319</v>
      </c>
    </row>
    <row r="1134" spans="1:38" ht="14.45" customHeight="1" x14ac:dyDescent="0.2">
      <c r="A1134" s="1" t="s">
        <v>57</v>
      </c>
      <c r="B1134" s="9" t="s">
        <v>39</v>
      </c>
      <c r="C1134" s="1" t="s">
        <v>58</v>
      </c>
      <c r="D1134" s="1" t="s">
        <v>4315</v>
      </c>
      <c r="E1134" s="1" t="s">
        <v>42</v>
      </c>
      <c r="G1134" s="1" t="s">
        <v>4316</v>
      </c>
      <c r="H1134" s="1" t="s">
        <v>61</v>
      </c>
      <c r="I1134" s="1" t="s">
        <v>4933</v>
      </c>
      <c r="J1134" s="1">
        <v>2018</v>
      </c>
      <c r="P1134" s="1" t="s">
        <v>4318</v>
      </c>
      <c r="Q1134" s="1" t="s">
        <v>101</v>
      </c>
      <c r="R1134" s="1" t="s">
        <v>102</v>
      </c>
      <c r="S1134" s="1" t="s">
        <v>103</v>
      </c>
      <c r="T1134" s="1" t="s">
        <v>104</v>
      </c>
      <c r="U1134" s="1">
        <v>1</v>
      </c>
      <c r="V1134" s="1" t="s">
        <v>101</v>
      </c>
      <c r="Y1134" s="10">
        <v>43464</v>
      </c>
      <c r="Z1134" s="1">
        <v>2018</v>
      </c>
      <c r="AA1134" s="2"/>
      <c r="AB1134" s="2"/>
      <c r="AC1134" s="2">
        <v>606349.12999999989</v>
      </c>
      <c r="AG1134" s="1" t="s">
        <v>56</v>
      </c>
      <c r="AI1134" s="2">
        <v>606349.12999999989</v>
      </c>
      <c r="AL1134" s="1" t="s">
        <v>4319</v>
      </c>
    </row>
    <row r="1135" spans="1:38" ht="14.45" customHeight="1" x14ac:dyDescent="0.2">
      <c r="A1135" s="1" t="s">
        <v>57</v>
      </c>
      <c r="B1135" s="9" t="s">
        <v>39</v>
      </c>
      <c r="C1135" s="1" t="s">
        <v>58</v>
      </c>
      <c r="D1135" s="1" t="s">
        <v>4315</v>
      </c>
      <c r="E1135" s="1" t="s">
        <v>42</v>
      </c>
      <c r="G1135" s="1" t="s">
        <v>4316</v>
      </c>
      <c r="H1135" s="1" t="s">
        <v>61</v>
      </c>
      <c r="I1135" s="1" t="s">
        <v>4934</v>
      </c>
      <c r="J1135" s="1">
        <v>2018</v>
      </c>
      <c r="P1135" s="1" t="s">
        <v>4318</v>
      </c>
      <c r="Q1135" s="1" t="s">
        <v>101</v>
      </c>
      <c r="R1135" s="1" t="s">
        <v>102</v>
      </c>
      <c r="S1135" s="1" t="s">
        <v>103</v>
      </c>
      <c r="T1135" s="1" t="s">
        <v>104</v>
      </c>
      <c r="U1135" s="1">
        <v>1</v>
      </c>
      <c r="V1135" s="1" t="s">
        <v>101</v>
      </c>
      <c r="Y1135" s="10">
        <v>43464</v>
      </c>
      <c r="Z1135" s="1">
        <v>2018</v>
      </c>
      <c r="AA1135" s="2"/>
      <c r="AB1135" s="2"/>
      <c r="AC1135" s="2">
        <v>606988.52</v>
      </c>
      <c r="AG1135" s="1" t="s">
        <v>56</v>
      </c>
      <c r="AI1135" s="2">
        <v>606988.52</v>
      </c>
      <c r="AL1135" s="1" t="s">
        <v>4319</v>
      </c>
    </row>
    <row r="1136" spans="1:38" ht="14.45" customHeight="1" x14ac:dyDescent="0.2">
      <c r="A1136" s="1" t="s">
        <v>57</v>
      </c>
      <c r="B1136" s="9" t="s">
        <v>39</v>
      </c>
      <c r="C1136" s="1" t="s">
        <v>58</v>
      </c>
      <c r="D1136" s="1" t="s">
        <v>4315</v>
      </c>
      <c r="E1136" s="1" t="s">
        <v>42</v>
      </c>
      <c r="G1136" s="1" t="s">
        <v>4316</v>
      </c>
      <c r="H1136" s="1" t="s">
        <v>61</v>
      </c>
      <c r="I1136" s="1" t="s">
        <v>4935</v>
      </c>
      <c r="J1136" s="1">
        <v>2021</v>
      </c>
      <c r="P1136" s="1" t="s">
        <v>4318</v>
      </c>
      <c r="Q1136" s="1" t="s">
        <v>101</v>
      </c>
      <c r="R1136" s="1" t="s">
        <v>102</v>
      </c>
      <c r="S1136" s="1" t="s">
        <v>103</v>
      </c>
      <c r="T1136" s="1" t="s">
        <v>104</v>
      </c>
      <c r="U1136" s="1">
        <v>1</v>
      </c>
      <c r="V1136" s="1" t="s">
        <v>101</v>
      </c>
      <c r="Y1136" s="10">
        <v>44428</v>
      </c>
      <c r="Z1136" s="1">
        <v>2021</v>
      </c>
      <c r="AA1136" s="2"/>
      <c r="AB1136" s="2"/>
      <c r="AC1136" s="2">
        <v>698779.61</v>
      </c>
      <c r="AG1136" s="1" t="s">
        <v>56</v>
      </c>
      <c r="AI1136" s="2">
        <v>698779.61</v>
      </c>
      <c r="AL1136" s="1" t="s">
        <v>4319</v>
      </c>
    </row>
    <row r="1137" spans="1:38" ht="14.45" customHeight="1" x14ac:dyDescent="0.2">
      <c r="A1137" s="1" t="s">
        <v>57</v>
      </c>
      <c r="B1137" s="9" t="s">
        <v>39</v>
      </c>
      <c r="C1137" s="1" t="s">
        <v>58</v>
      </c>
      <c r="D1137" s="1" t="s">
        <v>4315</v>
      </c>
      <c r="E1137" s="1" t="s">
        <v>42</v>
      </c>
      <c r="G1137" s="1" t="s">
        <v>4316</v>
      </c>
      <c r="H1137" s="1" t="s">
        <v>61</v>
      </c>
      <c r="I1137" s="1" t="s">
        <v>4936</v>
      </c>
      <c r="J1137" s="1">
        <v>2023</v>
      </c>
      <c r="P1137" s="1" t="s">
        <v>4318</v>
      </c>
      <c r="Q1137" s="1" t="s">
        <v>101</v>
      </c>
      <c r="R1137" s="1" t="s">
        <v>102</v>
      </c>
      <c r="S1137" s="1" t="s">
        <v>103</v>
      </c>
      <c r="T1137" s="1" t="s">
        <v>104</v>
      </c>
      <c r="U1137" s="1">
        <v>1</v>
      </c>
      <c r="V1137" s="1" t="s">
        <v>101</v>
      </c>
      <c r="Y1137" s="10">
        <v>45134</v>
      </c>
      <c r="Z1137" s="1">
        <v>2023</v>
      </c>
      <c r="AA1137" s="2"/>
      <c r="AB1137" s="2"/>
      <c r="AC1137" s="2">
        <v>473771.65</v>
      </c>
      <c r="AG1137" s="1" t="s">
        <v>56</v>
      </c>
      <c r="AI1137" s="2">
        <v>473771.65</v>
      </c>
      <c r="AL1137" s="1" t="s">
        <v>4319</v>
      </c>
    </row>
    <row r="1138" spans="1:38" ht="14.45" customHeight="1" x14ac:dyDescent="0.2">
      <c r="A1138" s="1" t="s">
        <v>57</v>
      </c>
      <c r="B1138" s="9" t="s">
        <v>39</v>
      </c>
      <c r="C1138" s="1" t="s">
        <v>58</v>
      </c>
      <c r="D1138" s="1" t="s">
        <v>4315</v>
      </c>
      <c r="E1138" s="1" t="s">
        <v>42</v>
      </c>
      <c r="G1138" s="1" t="s">
        <v>4316</v>
      </c>
      <c r="H1138" s="1" t="s">
        <v>61</v>
      </c>
      <c r="I1138" s="1" t="s">
        <v>4937</v>
      </c>
      <c r="J1138" s="1">
        <v>2023</v>
      </c>
      <c r="P1138" s="1" t="s">
        <v>4318</v>
      </c>
      <c r="Q1138" s="1" t="s">
        <v>101</v>
      </c>
      <c r="R1138" s="1" t="s">
        <v>102</v>
      </c>
      <c r="S1138" s="1" t="s">
        <v>103</v>
      </c>
      <c r="T1138" s="1" t="s">
        <v>104</v>
      </c>
      <c r="U1138" s="1">
        <v>1</v>
      </c>
      <c r="V1138" s="1" t="s">
        <v>101</v>
      </c>
      <c r="Y1138" s="10">
        <v>45291</v>
      </c>
      <c r="Z1138" s="1">
        <v>2023</v>
      </c>
      <c r="AA1138" s="2"/>
      <c r="AB1138" s="2"/>
      <c r="AC1138" s="2">
        <v>619377.66000000015</v>
      </c>
      <c r="AG1138" s="1" t="s">
        <v>56</v>
      </c>
      <c r="AI1138" s="2">
        <v>619377.66000000015</v>
      </c>
      <c r="AL1138" s="1" t="s">
        <v>4319</v>
      </c>
    </row>
    <row r="1139" spans="1:38" ht="14.45" customHeight="1" x14ac:dyDescent="0.2">
      <c r="A1139" s="1" t="s">
        <v>57</v>
      </c>
      <c r="B1139" s="9" t="s">
        <v>39</v>
      </c>
      <c r="C1139" s="1" t="s">
        <v>58</v>
      </c>
      <c r="D1139" s="1" t="s">
        <v>4315</v>
      </c>
      <c r="E1139" s="1" t="s">
        <v>42</v>
      </c>
      <c r="G1139" s="1" t="s">
        <v>4316</v>
      </c>
      <c r="H1139" s="1" t="s">
        <v>61</v>
      </c>
      <c r="I1139" s="1" t="s">
        <v>4938</v>
      </c>
      <c r="J1139" s="1">
        <v>2021</v>
      </c>
      <c r="P1139" s="1" t="s">
        <v>4318</v>
      </c>
      <c r="Q1139" s="1" t="s">
        <v>101</v>
      </c>
      <c r="R1139" s="1" t="s">
        <v>102</v>
      </c>
      <c r="S1139" s="1" t="s">
        <v>103</v>
      </c>
      <c r="T1139" s="1" t="s">
        <v>104</v>
      </c>
      <c r="U1139" s="1">
        <v>1</v>
      </c>
      <c r="V1139" s="1" t="s">
        <v>101</v>
      </c>
      <c r="Y1139" s="10">
        <v>44560</v>
      </c>
      <c r="Z1139" s="1">
        <v>2021</v>
      </c>
      <c r="AA1139" s="2"/>
      <c r="AB1139" s="2"/>
      <c r="AC1139" s="2">
        <v>629561.64</v>
      </c>
      <c r="AG1139" s="1" t="s">
        <v>56</v>
      </c>
      <c r="AI1139" s="2">
        <v>629561.64</v>
      </c>
      <c r="AL1139" s="1" t="s">
        <v>4319</v>
      </c>
    </row>
    <row r="1140" spans="1:38" ht="14.45" customHeight="1" x14ac:dyDescent="0.2">
      <c r="A1140" s="1" t="s">
        <v>57</v>
      </c>
      <c r="B1140" s="9" t="s">
        <v>39</v>
      </c>
      <c r="C1140" s="1" t="s">
        <v>58</v>
      </c>
      <c r="D1140" s="1" t="s">
        <v>4315</v>
      </c>
      <c r="E1140" s="1" t="s">
        <v>42</v>
      </c>
      <c r="G1140" s="1" t="s">
        <v>4316</v>
      </c>
      <c r="H1140" s="1" t="s">
        <v>61</v>
      </c>
      <c r="I1140" s="1" t="s">
        <v>4939</v>
      </c>
      <c r="J1140" s="1">
        <v>2021</v>
      </c>
      <c r="P1140" s="1" t="s">
        <v>4318</v>
      </c>
      <c r="Q1140" s="1" t="s">
        <v>101</v>
      </c>
      <c r="R1140" s="1" t="s">
        <v>102</v>
      </c>
      <c r="S1140" s="1" t="s">
        <v>103</v>
      </c>
      <c r="T1140" s="1" t="s">
        <v>104</v>
      </c>
      <c r="U1140" s="1">
        <v>1</v>
      </c>
      <c r="V1140" s="1" t="s">
        <v>101</v>
      </c>
      <c r="Y1140" s="10">
        <v>44560</v>
      </c>
      <c r="Z1140" s="1">
        <v>2021</v>
      </c>
      <c r="AA1140" s="2"/>
      <c r="AB1140" s="2"/>
      <c r="AC1140" s="2">
        <v>775016.21999999986</v>
      </c>
      <c r="AG1140" s="1" t="s">
        <v>56</v>
      </c>
      <c r="AI1140" s="2">
        <v>775016.21999999986</v>
      </c>
      <c r="AL1140" s="1" t="s">
        <v>4319</v>
      </c>
    </row>
    <row r="1141" spans="1:38" ht="14.45" customHeight="1" x14ac:dyDescent="0.2">
      <c r="A1141" s="1" t="s">
        <v>57</v>
      </c>
      <c r="B1141" s="9" t="s">
        <v>39</v>
      </c>
      <c r="C1141" s="1" t="s">
        <v>58</v>
      </c>
      <c r="D1141" s="1" t="s">
        <v>4315</v>
      </c>
      <c r="E1141" s="1" t="s">
        <v>42</v>
      </c>
      <c r="G1141" s="1" t="s">
        <v>4316</v>
      </c>
      <c r="H1141" s="1" t="s">
        <v>61</v>
      </c>
      <c r="I1141" s="1" t="s">
        <v>4940</v>
      </c>
      <c r="J1141" s="1">
        <v>2023</v>
      </c>
      <c r="P1141" s="1" t="s">
        <v>4318</v>
      </c>
      <c r="Q1141" s="1" t="s">
        <v>101</v>
      </c>
      <c r="R1141" s="1" t="s">
        <v>102</v>
      </c>
      <c r="S1141" s="1" t="s">
        <v>103</v>
      </c>
      <c r="T1141" s="1" t="s">
        <v>104</v>
      </c>
      <c r="U1141" s="1">
        <v>1</v>
      </c>
      <c r="V1141" s="1" t="s">
        <v>101</v>
      </c>
      <c r="Y1141" s="10">
        <v>45014</v>
      </c>
      <c r="Z1141" s="1">
        <v>2023</v>
      </c>
      <c r="AA1141" s="2"/>
      <c r="AB1141" s="2"/>
      <c r="AC1141" s="2">
        <v>636901.93000000005</v>
      </c>
      <c r="AG1141" s="1" t="s">
        <v>56</v>
      </c>
      <c r="AI1141" s="2">
        <v>636901.93000000005</v>
      </c>
      <c r="AL1141" s="1" t="s">
        <v>4319</v>
      </c>
    </row>
    <row r="1142" spans="1:38" ht="14.45" customHeight="1" x14ac:dyDescent="0.2">
      <c r="A1142" s="1" t="s">
        <v>57</v>
      </c>
      <c r="B1142" s="9" t="s">
        <v>39</v>
      </c>
      <c r="C1142" s="1" t="s">
        <v>58</v>
      </c>
      <c r="D1142" s="1" t="s">
        <v>4315</v>
      </c>
      <c r="E1142" s="1" t="s">
        <v>42</v>
      </c>
      <c r="G1142" s="1" t="s">
        <v>4316</v>
      </c>
      <c r="H1142" s="1" t="s">
        <v>61</v>
      </c>
      <c r="I1142" s="1" t="s">
        <v>4941</v>
      </c>
      <c r="J1142" s="1">
        <v>2023</v>
      </c>
      <c r="P1142" s="1" t="s">
        <v>4318</v>
      </c>
      <c r="Q1142" s="1" t="s">
        <v>101</v>
      </c>
      <c r="R1142" s="1" t="s">
        <v>102</v>
      </c>
      <c r="S1142" s="1" t="s">
        <v>103</v>
      </c>
      <c r="T1142" s="1" t="s">
        <v>104</v>
      </c>
      <c r="U1142" s="1">
        <v>1</v>
      </c>
      <c r="V1142" s="1" t="s">
        <v>101</v>
      </c>
      <c r="Y1142" s="10">
        <v>45291</v>
      </c>
      <c r="Z1142" s="1">
        <v>2023</v>
      </c>
      <c r="AA1142" s="2"/>
      <c r="AB1142" s="2"/>
      <c r="AC1142" s="2">
        <v>477882.62000000046</v>
      </c>
      <c r="AG1142" s="1" t="s">
        <v>56</v>
      </c>
      <c r="AI1142" s="2">
        <v>477882.62000000046</v>
      </c>
      <c r="AL1142" s="1" t="s">
        <v>4319</v>
      </c>
    </row>
    <row r="1143" spans="1:38" ht="14.45" customHeight="1" x14ac:dyDescent="0.2">
      <c r="A1143" s="1" t="s">
        <v>57</v>
      </c>
      <c r="B1143" s="9" t="s">
        <v>39</v>
      </c>
      <c r="C1143" s="1" t="s">
        <v>58</v>
      </c>
      <c r="D1143" s="1" t="s">
        <v>4315</v>
      </c>
      <c r="E1143" s="1" t="s">
        <v>42</v>
      </c>
      <c r="G1143" s="1" t="s">
        <v>4316</v>
      </c>
      <c r="H1143" s="1" t="s">
        <v>61</v>
      </c>
      <c r="I1143" s="1" t="s">
        <v>4942</v>
      </c>
      <c r="J1143" s="1">
        <v>2024</v>
      </c>
      <c r="P1143" s="1" t="s">
        <v>4318</v>
      </c>
      <c r="Q1143" s="1" t="s">
        <v>101</v>
      </c>
      <c r="R1143" s="1" t="s">
        <v>102</v>
      </c>
      <c r="S1143" s="1" t="s">
        <v>103</v>
      </c>
      <c r="T1143" s="1" t="s">
        <v>104</v>
      </c>
      <c r="U1143" s="1">
        <v>1</v>
      </c>
      <c r="V1143" s="1" t="s">
        <v>101</v>
      </c>
      <c r="Y1143" s="10">
        <v>45404</v>
      </c>
      <c r="Z1143" s="1">
        <v>2024</v>
      </c>
      <c r="AA1143" s="2"/>
      <c r="AB1143" s="2"/>
      <c r="AC1143" s="2">
        <v>492506.65000000043</v>
      </c>
      <c r="AG1143" s="1" t="s">
        <v>56</v>
      </c>
      <c r="AI1143" s="2">
        <v>492506.65000000043</v>
      </c>
      <c r="AL1143" s="1" t="s">
        <v>4319</v>
      </c>
    </row>
    <row r="1144" spans="1:38" ht="14.45" customHeight="1" x14ac:dyDescent="0.2">
      <c r="A1144" s="1" t="s">
        <v>57</v>
      </c>
      <c r="B1144" s="9" t="s">
        <v>39</v>
      </c>
      <c r="C1144" s="1" t="s">
        <v>58</v>
      </c>
      <c r="D1144" s="1" t="s">
        <v>4315</v>
      </c>
      <c r="E1144" s="1" t="s">
        <v>42</v>
      </c>
      <c r="G1144" s="1" t="s">
        <v>4340</v>
      </c>
      <c r="H1144" s="1" t="s">
        <v>61</v>
      </c>
      <c r="I1144" s="1" t="s">
        <v>4943</v>
      </c>
      <c r="J1144" s="1">
        <v>2021</v>
      </c>
      <c r="P1144" s="1" t="s">
        <v>4318</v>
      </c>
      <c r="Q1144" s="1" t="s">
        <v>101</v>
      </c>
      <c r="R1144" s="1" t="s">
        <v>102</v>
      </c>
      <c r="S1144" s="1" t="s">
        <v>103</v>
      </c>
      <c r="T1144" s="1" t="s">
        <v>104</v>
      </c>
      <c r="U1144" s="1">
        <v>1</v>
      </c>
      <c r="V1144" s="1" t="s">
        <v>101</v>
      </c>
      <c r="Y1144" s="10">
        <v>44299</v>
      </c>
      <c r="Z1144" s="1">
        <v>2021</v>
      </c>
      <c r="AA1144" s="2"/>
      <c r="AB1144" s="2"/>
      <c r="AC1144" s="2">
        <v>77681.39</v>
      </c>
      <c r="AG1144" s="1" t="s">
        <v>56</v>
      </c>
      <c r="AI1144" s="2">
        <v>77681.39</v>
      </c>
    </row>
    <row r="1145" spans="1:38" ht="14.45" customHeight="1" x14ac:dyDescent="0.2">
      <c r="A1145" s="1" t="s">
        <v>57</v>
      </c>
      <c r="B1145" s="9" t="s">
        <v>39</v>
      </c>
      <c r="C1145" s="1" t="s">
        <v>58</v>
      </c>
      <c r="D1145" s="1" t="s">
        <v>4315</v>
      </c>
      <c r="E1145" s="1" t="s">
        <v>42</v>
      </c>
      <c r="G1145" s="1" t="s">
        <v>4316</v>
      </c>
      <c r="H1145" s="1" t="s">
        <v>61</v>
      </c>
      <c r="I1145" s="1" t="s">
        <v>4944</v>
      </c>
      <c r="J1145" s="1">
        <v>2018</v>
      </c>
      <c r="P1145" s="1" t="s">
        <v>4318</v>
      </c>
      <c r="Q1145" s="1" t="s">
        <v>101</v>
      </c>
      <c r="R1145" s="1" t="s">
        <v>102</v>
      </c>
      <c r="S1145" s="1" t="s">
        <v>103</v>
      </c>
      <c r="T1145" s="1" t="s">
        <v>104</v>
      </c>
      <c r="U1145" s="1">
        <v>1</v>
      </c>
      <c r="V1145" s="1" t="s">
        <v>101</v>
      </c>
      <c r="Y1145" s="10">
        <v>43464</v>
      </c>
      <c r="Z1145" s="1">
        <v>2018</v>
      </c>
      <c r="AA1145" s="2"/>
      <c r="AB1145" s="2"/>
      <c r="AC1145" s="2">
        <v>688865.41</v>
      </c>
      <c r="AG1145" s="1" t="s">
        <v>56</v>
      </c>
      <c r="AI1145" s="2">
        <v>688865.41</v>
      </c>
      <c r="AL1145" s="1" t="s">
        <v>4319</v>
      </c>
    </row>
    <row r="1146" spans="1:38" ht="14.45" customHeight="1" x14ac:dyDescent="0.2">
      <c r="A1146" s="1" t="s">
        <v>57</v>
      </c>
      <c r="B1146" s="9" t="s">
        <v>39</v>
      </c>
      <c r="C1146" s="1" t="s">
        <v>58</v>
      </c>
      <c r="D1146" s="1" t="s">
        <v>4315</v>
      </c>
      <c r="E1146" s="1" t="s">
        <v>42</v>
      </c>
      <c r="G1146" s="1" t="s">
        <v>4340</v>
      </c>
      <c r="H1146" s="1" t="s">
        <v>61</v>
      </c>
      <c r="I1146" s="1" t="s">
        <v>4945</v>
      </c>
      <c r="J1146" s="1">
        <v>2021</v>
      </c>
      <c r="P1146" s="1" t="s">
        <v>4318</v>
      </c>
      <c r="Q1146" s="1" t="s">
        <v>101</v>
      </c>
      <c r="R1146" s="1" t="s">
        <v>102</v>
      </c>
      <c r="S1146" s="1" t="s">
        <v>103</v>
      </c>
      <c r="T1146" s="1" t="s">
        <v>104</v>
      </c>
      <c r="U1146" s="1">
        <v>1</v>
      </c>
      <c r="V1146" s="1" t="s">
        <v>101</v>
      </c>
      <c r="Y1146" s="10">
        <v>44299</v>
      </c>
      <c r="Z1146" s="1">
        <v>2021</v>
      </c>
      <c r="AA1146" s="2"/>
      <c r="AB1146" s="2"/>
      <c r="AC1146" s="2">
        <v>65120.04</v>
      </c>
      <c r="AG1146" s="1" t="s">
        <v>56</v>
      </c>
      <c r="AI1146" s="2">
        <v>65120.04</v>
      </c>
    </row>
    <row r="1147" spans="1:38" ht="14.45" customHeight="1" x14ac:dyDescent="0.2">
      <c r="A1147" s="1" t="s">
        <v>57</v>
      </c>
      <c r="B1147" s="9" t="s">
        <v>39</v>
      </c>
      <c r="C1147" s="1" t="s">
        <v>58</v>
      </c>
      <c r="D1147" s="1" t="s">
        <v>4315</v>
      </c>
      <c r="E1147" s="1" t="s">
        <v>42</v>
      </c>
      <c r="G1147" s="1" t="s">
        <v>4316</v>
      </c>
      <c r="H1147" s="1" t="s">
        <v>61</v>
      </c>
      <c r="I1147" s="1" t="s">
        <v>4946</v>
      </c>
      <c r="J1147" s="1">
        <v>2020</v>
      </c>
      <c r="P1147" s="1" t="s">
        <v>4318</v>
      </c>
      <c r="Q1147" s="1" t="s">
        <v>101</v>
      </c>
      <c r="R1147" s="1" t="s">
        <v>102</v>
      </c>
      <c r="S1147" s="1" t="s">
        <v>103</v>
      </c>
      <c r="T1147" s="1" t="s">
        <v>104</v>
      </c>
      <c r="U1147" s="1">
        <v>1</v>
      </c>
      <c r="V1147" s="1" t="s">
        <v>101</v>
      </c>
      <c r="Y1147" s="10">
        <v>43925</v>
      </c>
      <c r="Z1147" s="1">
        <v>2020</v>
      </c>
      <c r="AA1147" s="2"/>
      <c r="AB1147" s="2"/>
      <c r="AC1147" s="2">
        <v>542410.55000000005</v>
      </c>
      <c r="AG1147" s="1" t="s">
        <v>56</v>
      </c>
      <c r="AI1147" s="2">
        <v>542410.55000000005</v>
      </c>
      <c r="AL1147" s="1" t="s">
        <v>4319</v>
      </c>
    </row>
    <row r="1148" spans="1:38" ht="14.45" customHeight="1" x14ac:dyDescent="0.2">
      <c r="A1148" s="1" t="s">
        <v>57</v>
      </c>
      <c r="B1148" s="9" t="s">
        <v>39</v>
      </c>
      <c r="C1148" s="1" t="s">
        <v>58</v>
      </c>
      <c r="D1148" s="1" t="s">
        <v>4315</v>
      </c>
      <c r="E1148" s="1" t="s">
        <v>42</v>
      </c>
      <c r="G1148" s="1" t="s">
        <v>4340</v>
      </c>
      <c r="H1148" s="1" t="s">
        <v>61</v>
      </c>
      <c r="I1148" s="1" t="s">
        <v>4947</v>
      </c>
      <c r="J1148" s="1">
        <v>2021</v>
      </c>
      <c r="P1148" s="1" t="s">
        <v>4318</v>
      </c>
      <c r="Q1148" s="1" t="s">
        <v>101</v>
      </c>
      <c r="R1148" s="1" t="s">
        <v>102</v>
      </c>
      <c r="S1148" s="1" t="s">
        <v>103</v>
      </c>
      <c r="T1148" s="1" t="s">
        <v>104</v>
      </c>
      <c r="U1148" s="1">
        <v>1</v>
      </c>
      <c r="V1148" s="1" t="s">
        <v>101</v>
      </c>
      <c r="Y1148" s="10">
        <v>44299</v>
      </c>
      <c r="Z1148" s="1">
        <v>2021</v>
      </c>
      <c r="AA1148" s="2"/>
      <c r="AB1148" s="2"/>
      <c r="AC1148" s="2">
        <v>51837.4</v>
      </c>
      <c r="AG1148" s="1" t="s">
        <v>56</v>
      </c>
      <c r="AI1148" s="2">
        <v>51837.4</v>
      </c>
    </row>
    <row r="1149" spans="1:38" ht="14.45" customHeight="1" x14ac:dyDescent="0.2">
      <c r="A1149" s="1" t="s">
        <v>57</v>
      </c>
      <c r="B1149" s="9" t="s">
        <v>39</v>
      </c>
      <c r="C1149" s="1" t="s">
        <v>58</v>
      </c>
      <c r="D1149" s="1" t="s">
        <v>4315</v>
      </c>
      <c r="E1149" s="1" t="s">
        <v>42</v>
      </c>
      <c r="G1149" s="1" t="s">
        <v>4316</v>
      </c>
      <c r="H1149" s="1" t="s">
        <v>61</v>
      </c>
      <c r="I1149" s="1" t="s">
        <v>4948</v>
      </c>
      <c r="J1149" s="1">
        <v>2019</v>
      </c>
      <c r="P1149" s="1" t="s">
        <v>4471</v>
      </c>
      <c r="Q1149" s="1" t="s">
        <v>50</v>
      </c>
      <c r="R1149" s="1" t="s">
        <v>68</v>
      </c>
      <c r="S1149" s="1" t="s">
        <v>425</v>
      </c>
      <c r="T1149" s="1" t="s">
        <v>426</v>
      </c>
      <c r="U1149" s="1">
        <v>1</v>
      </c>
      <c r="V1149" s="1" t="s">
        <v>195</v>
      </c>
      <c r="Y1149" s="10">
        <v>43466</v>
      </c>
      <c r="Z1149" s="1">
        <v>2019</v>
      </c>
      <c r="AA1149" s="2"/>
      <c r="AB1149" s="2"/>
      <c r="AC1149" s="2">
        <v>681254.41999999993</v>
      </c>
      <c r="AG1149" s="1" t="s">
        <v>56</v>
      </c>
      <c r="AI1149" s="2">
        <v>681254.41999999993</v>
      </c>
      <c r="AL1149" s="1" t="s">
        <v>4319</v>
      </c>
    </row>
    <row r="1150" spans="1:38" ht="12.6" customHeight="1" x14ac:dyDescent="0.2">
      <c r="A1150" s="1" t="s">
        <v>57</v>
      </c>
      <c r="B1150" s="9" t="s">
        <v>39</v>
      </c>
      <c r="C1150" s="1" t="s">
        <v>58</v>
      </c>
      <c r="D1150" s="1" t="s">
        <v>4315</v>
      </c>
      <c r="E1150" s="1" t="s">
        <v>42</v>
      </c>
      <c r="G1150" s="1" t="s">
        <v>4316</v>
      </c>
      <c r="H1150" s="1" t="s">
        <v>61</v>
      </c>
      <c r="I1150" s="1" t="s">
        <v>4949</v>
      </c>
      <c r="J1150" s="1">
        <v>2019</v>
      </c>
      <c r="P1150" s="1" t="s">
        <v>4471</v>
      </c>
      <c r="Q1150" s="1" t="s">
        <v>50</v>
      </c>
      <c r="R1150" s="1" t="s">
        <v>68</v>
      </c>
      <c r="S1150" s="1" t="s">
        <v>425</v>
      </c>
      <c r="T1150" s="1" t="s">
        <v>426</v>
      </c>
      <c r="U1150" s="1">
        <v>1</v>
      </c>
      <c r="V1150" s="1" t="s">
        <v>195</v>
      </c>
      <c r="Y1150" s="10">
        <v>43466</v>
      </c>
      <c r="Z1150" s="1">
        <v>2019</v>
      </c>
      <c r="AA1150" s="2"/>
      <c r="AB1150" s="2"/>
      <c r="AC1150" s="2">
        <v>377740.25</v>
      </c>
      <c r="AG1150" s="1" t="s">
        <v>56</v>
      </c>
      <c r="AI1150" s="2">
        <v>377740.25</v>
      </c>
      <c r="AL1150" s="1" t="s">
        <v>4319</v>
      </c>
    </row>
    <row r="1151" spans="1:38" ht="100.9" customHeight="1" x14ac:dyDescent="0.2">
      <c r="A1151" s="1" t="s">
        <v>57</v>
      </c>
      <c r="B1151" s="9" t="s">
        <v>39</v>
      </c>
      <c r="C1151" s="1" t="s">
        <v>58</v>
      </c>
      <c r="D1151" s="1" t="s">
        <v>4315</v>
      </c>
      <c r="E1151" s="1" t="s">
        <v>42</v>
      </c>
      <c r="G1151" s="1" t="s">
        <v>4316</v>
      </c>
      <c r="H1151" s="1" t="s">
        <v>61</v>
      </c>
      <c r="I1151" s="1" t="s">
        <v>4950</v>
      </c>
      <c r="J1151" s="1">
        <v>2019</v>
      </c>
      <c r="P1151" s="1" t="s">
        <v>4471</v>
      </c>
      <c r="Q1151" s="1" t="s">
        <v>50</v>
      </c>
      <c r="R1151" s="1" t="s">
        <v>68</v>
      </c>
      <c r="S1151" s="1" t="s">
        <v>425</v>
      </c>
      <c r="T1151" s="1" t="s">
        <v>426</v>
      </c>
      <c r="U1151" s="1">
        <v>1</v>
      </c>
      <c r="V1151" s="1" t="s">
        <v>195</v>
      </c>
      <c r="Y1151" s="10">
        <v>43466</v>
      </c>
      <c r="Z1151" s="1">
        <v>2019</v>
      </c>
      <c r="AA1151" s="2"/>
      <c r="AB1151" s="2"/>
      <c r="AC1151" s="2">
        <v>715205.15</v>
      </c>
      <c r="AG1151" s="1" t="s">
        <v>56</v>
      </c>
      <c r="AI1151" s="2">
        <v>715205.15</v>
      </c>
      <c r="AL1151" s="1" t="s">
        <v>4319</v>
      </c>
    </row>
    <row r="1152" spans="1:38" ht="100.9" customHeight="1" x14ac:dyDescent="0.2">
      <c r="A1152" s="1" t="s">
        <v>57</v>
      </c>
      <c r="B1152" s="9" t="s">
        <v>39</v>
      </c>
      <c r="C1152" s="1" t="s">
        <v>58</v>
      </c>
      <c r="D1152" s="1" t="s">
        <v>4315</v>
      </c>
      <c r="E1152" s="1" t="s">
        <v>42</v>
      </c>
      <c r="G1152" s="1" t="s">
        <v>4316</v>
      </c>
      <c r="H1152" s="1" t="s">
        <v>61</v>
      </c>
      <c r="I1152" s="1" t="s">
        <v>4951</v>
      </c>
      <c r="J1152" s="1">
        <v>2019</v>
      </c>
      <c r="P1152" s="1" t="s">
        <v>4471</v>
      </c>
      <c r="Q1152" s="1" t="s">
        <v>50</v>
      </c>
      <c r="R1152" s="1" t="s">
        <v>68</v>
      </c>
      <c r="S1152" s="1" t="s">
        <v>425</v>
      </c>
      <c r="T1152" s="1" t="s">
        <v>426</v>
      </c>
      <c r="U1152" s="1">
        <v>1</v>
      </c>
      <c r="V1152" s="1" t="s">
        <v>195</v>
      </c>
      <c r="Y1152" s="10">
        <v>43466</v>
      </c>
      <c r="Z1152" s="1">
        <v>2019</v>
      </c>
      <c r="AA1152" s="2"/>
      <c r="AB1152" s="2"/>
      <c r="AC1152" s="2">
        <v>616037.94999999995</v>
      </c>
      <c r="AG1152" s="1" t="s">
        <v>56</v>
      </c>
      <c r="AI1152" s="2">
        <v>616037.94999999995</v>
      </c>
      <c r="AL1152" s="1" t="s">
        <v>4319</v>
      </c>
    </row>
    <row r="1153" spans="1:38" ht="14.45" customHeight="1" x14ac:dyDescent="0.2">
      <c r="A1153" s="1" t="s">
        <v>57</v>
      </c>
      <c r="B1153" s="9" t="s">
        <v>39</v>
      </c>
      <c r="C1153" s="1" t="s">
        <v>58</v>
      </c>
      <c r="D1153" s="1" t="s">
        <v>4315</v>
      </c>
      <c r="E1153" s="1" t="s">
        <v>42</v>
      </c>
      <c r="G1153" s="1" t="s">
        <v>4316</v>
      </c>
      <c r="H1153" s="1" t="s">
        <v>61</v>
      </c>
      <c r="I1153" s="1" t="s">
        <v>4952</v>
      </c>
      <c r="J1153" s="1">
        <v>2019</v>
      </c>
      <c r="P1153" s="1" t="s">
        <v>4471</v>
      </c>
      <c r="Q1153" s="1" t="s">
        <v>50</v>
      </c>
      <c r="R1153" s="1" t="s">
        <v>68</v>
      </c>
      <c r="S1153" s="1" t="s">
        <v>425</v>
      </c>
      <c r="T1153" s="1" t="s">
        <v>426</v>
      </c>
      <c r="U1153" s="1">
        <v>1</v>
      </c>
      <c r="V1153" s="1" t="s">
        <v>195</v>
      </c>
      <c r="Y1153" s="10">
        <v>43466</v>
      </c>
      <c r="Z1153" s="1">
        <v>2019</v>
      </c>
      <c r="AA1153" s="2"/>
      <c r="AB1153" s="2"/>
      <c r="AC1153" s="2">
        <v>725457.19</v>
      </c>
      <c r="AG1153" s="1" t="s">
        <v>56</v>
      </c>
      <c r="AI1153" s="2">
        <v>725457.19</v>
      </c>
      <c r="AL1153" s="1" t="s">
        <v>4319</v>
      </c>
    </row>
    <row r="1154" spans="1:38" ht="14.45" customHeight="1" x14ac:dyDescent="0.2">
      <c r="A1154" s="1" t="s">
        <v>57</v>
      </c>
      <c r="B1154" s="9" t="s">
        <v>39</v>
      </c>
      <c r="C1154" s="1" t="s">
        <v>58</v>
      </c>
      <c r="D1154" s="1" t="s">
        <v>4315</v>
      </c>
      <c r="E1154" s="1" t="s">
        <v>42</v>
      </c>
      <c r="G1154" s="1" t="s">
        <v>4316</v>
      </c>
      <c r="H1154" s="1" t="s">
        <v>61</v>
      </c>
      <c r="I1154" s="1" t="s">
        <v>4953</v>
      </c>
      <c r="J1154" s="1">
        <v>2019</v>
      </c>
      <c r="P1154" s="1" t="s">
        <v>4471</v>
      </c>
      <c r="Q1154" s="1" t="s">
        <v>50</v>
      </c>
      <c r="R1154" s="1" t="s">
        <v>68</v>
      </c>
      <c r="S1154" s="1" t="s">
        <v>425</v>
      </c>
      <c r="T1154" s="1" t="s">
        <v>426</v>
      </c>
      <c r="U1154" s="1">
        <v>1</v>
      </c>
      <c r="V1154" s="1" t="s">
        <v>195</v>
      </c>
      <c r="Y1154" s="10">
        <v>43466</v>
      </c>
      <c r="Z1154" s="1">
        <v>2019</v>
      </c>
      <c r="AA1154" s="2"/>
      <c r="AB1154" s="2"/>
      <c r="AC1154" s="2">
        <v>521100.17</v>
      </c>
      <c r="AG1154" s="1" t="s">
        <v>56</v>
      </c>
      <c r="AI1154" s="2">
        <v>521100.17</v>
      </c>
      <c r="AL1154" s="1" t="s">
        <v>4319</v>
      </c>
    </row>
    <row r="1155" spans="1:38" ht="12.6" customHeight="1" x14ac:dyDescent="0.2">
      <c r="A1155" s="1" t="s">
        <v>57</v>
      </c>
      <c r="B1155" s="9" t="s">
        <v>39</v>
      </c>
      <c r="C1155" s="1" t="s">
        <v>58</v>
      </c>
      <c r="D1155" s="1" t="s">
        <v>4315</v>
      </c>
      <c r="E1155" s="1" t="s">
        <v>42</v>
      </c>
      <c r="G1155" s="1" t="s">
        <v>4316</v>
      </c>
      <c r="H1155" s="1" t="s">
        <v>61</v>
      </c>
      <c r="I1155" s="1" t="s">
        <v>4954</v>
      </c>
      <c r="J1155" s="1">
        <v>2019</v>
      </c>
      <c r="P1155" s="1" t="s">
        <v>4471</v>
      </c>
      <c r="Q1155" s="1" t="s">
        <v>50</v>
      </c>
      <c r="R1155" s="1" t="s">
        <v>68</v>
      </c>
      <c r="S1155" s="1" t="s">
        <v>425</v>
      </c>
      <c r="T1155" s="1" t="s">
        <v>426</v>
      </c>
      <c r="U1155" s="1">
        <v>1</v>
      </c>
      <c r="V1155" s="1" t="s">
        <v>195</v>
      </c>
      <c r="Y1155" s="10">
        <v>43466</v>
      </c>
      <c r="Z1155" s="1">
        <v>2019</v>
      </c>
      <c r="AA1155" s="2"/>
      <c r="AB1155" s="2"/>
      <c r="AC1155" s="2">
        <v>401465.83999999997</v>
      </c>
      <c r="AG1155" s="1" t="s">
        <v>56</v>
      </c>
      <c r="AI1155" s="2">
        <v>401465.83999999997</v>
      </c>
      <c r="AL1155" s="1" t="s">
        <v>4319</v>
      </c>
    </row>
    <row r="1156" spans="1:38" ht="12.6" customHeight="1" x14ac:dyDescent="0.2">
      <c r="A1156" s="1" t="s">
        <v>57</v>
      </c>
      <c r="B1156" s="9" t="s">
        <v>39</v>
      </c>
      <c r="C1156" s="1" t="s">
        <v>58</v>
      </c>
      <c r="D1156" s="1" t="s">
        <v>4315</v>
      </c>
      <c r="E1156" s="1" t="s">
        <v>42</v>
      </c>
      <c r="G1156" s="1" t="s">
        <v>4316</v>
      </c>
      <c r="H1156" s="1" t="s">
        <v>61</v>
      </c>
      <c r="I1156" s="1" t="s">
        <v>4955</v>
      </c>
      <c r="J1156" s="1">
        <v>2019</v>
      </c>
      <c r="P1156" s="1" t="s">
        <v>4471</v>
      </c>
      <c r="Q1156" s="1" t="s">
        <v>50</v>
      </c>
      <c r="R1156" s="1" t="s">
        <v>68</v>
      </c>
      <c r="S1156" s="1" t="s">
        <v>425</v>
      </c>
      <c r="T1156" s="1" t="s">
        <v>426</v>
      </c>
      <c r="U1156" s="1">
        <v>1</v>
      </c>
      <c r="V1156" s="1" t="s">
        <v>195</v>
      </c>
      <c r="Y1156" s="10">
        <v>43466</v>
      </c>
      <c r="Z1156" s="1">
        <v>2019</v>
      </c>
      <c r="AA1156" s="2"/>
      <c r="AB1156" s="2"/>
      <c r="AC1156" s="2">
        <v>698174.30999999994</v>
      </c>
      <c r="AG1156" s="1" t="s">
        <v>56</v>
      </c>
      <c r="AI1156" s="2">
        <v>698174.30999999994</v>
      </c>
      <c r="AL1156" s="1" t="s">
        <v>4319</v>
      </c>
    </row>
    <row r="1157" spans="1:38" ht="12.6" customHeight="1" x14ac:dyDescent="0.2">
      <c r="A1157" s="1" t="s">
        <v>57</v>
      </c>
      <c r="B1157" s="9" t="s">
        <v>39</v>
      </c>
      <c r="C1157" s="1" t="s">
        <v>58</v>
      </c>
      <c r="D1157" s="1" t="s">
        <v>4315</v>
      </c>
      <c r="E1157" s="1" t="s">
        <v>42</v>
      </c>
      <c r="G1157" s="1" t="s">
        <v>4316</v>
      </c>
      <c r="H1157" s="1" t="s">
        <v>61</v>
      </c>
      <c r="I1157" s="1" t="s">
        <v>4956</v>
      </c>
      <c r="J1157" s="1">
        <v>2019</v>
      </c>
      <c r="P1157" s="1" t="s">
        <v>4471</v>
      </c>
      <c r="Q1157" s="1" t="s">
        <v>50</v>
      </c>
      <c r="R1157" s="1" t="s">
        <v>68</v>
      </c>
      <c r="S1157" s="1" t="s">
        <v>425</v>
      </c>
      <c r="T1157" s="1" t="s">
        <v>426</v>
      </c>
      <c r="U1157" s="1">
        <v>1</v>
      </c>
      <c r="V1157" s="1" t="s">
        <v>195</v>
      </c>
      <c r="Y1157" s="10">
        <v>43617</v>
      </c>
      <c r="Z1157" s="1">
        <v>2019</v>
      </c>
      <c r="AA1157" s="2"/>
      <c r="AB1157" s="2"/>
      <c r="AC1157" s="2">
        <v>683240.28</v>
      </c>
      <c r="AG1157" s="1" t="s">
        <v>56</v>
      </c>
      <c r="AI1157" s="2">
        <v>683240.28</v>
      </c>
      <c r="AL1157" s="1" t="s">
        <v>4319</v>
      </c>
    </row>
    <row r="1158" spans="1:38" ht="12.6" customHeight="1" x14ac:dyDescent="0.2">
      <c r="A1158" s="1" t="s">
        <v>57</v>
      </c>
      <c r="B1158" s="9" t="s">
        <v>39</v>
      </c>
      <c r="C1158" s="1" t="s">
        <v>58</v>
      </c>
      <c r="D1158" s="1" t="s">
        <v>4315</v>
      </c>
      <c r="E1158" s="1" t="s">
        <v>42</v>
      </c>
      <c r="G1158" s="1" t="s">
        <v>4316</v>
      </c>
      <c r="H1158" s="1" t="s">
        <v>61</v>
      </c>
      <c r="I1158" s="1" t="s">
        <v>4957</v>
      </c>
      <c r="J1158" s="1">
        <v>2019</v>
      </c>
      <c r="P1158" s="1" t="s">
        <v>4471</v>
      </c>
      <c r="Q1158" s="1" t="s">
        <v>50</v>
      </c>
      <c r="R1158" s="1" t="s">
        <v>68</v>
      </c>
      <c r="S1158" s="1" t="s">
        <v>425</v>
      </c>
      <c r="T1158" s="1" t="s">
        <v>426</v>
      </c>
      <c r="U1158" s="1">
        <v>1</v>
      </c>
      <c r="V1158" s="1" t="s">
        <v>195</v>
      </c>
      <c r="Y1158" s="10">
        <v>43466</v>
      </c>
      <c r="Z1158" s="1">
        <v>2019</v>
      </c>
      <c r="AA1158" s="2"/>
      <c r="AB1158" s="2"/>
      <c r="AC1158" s="2">
        <v>622913.55999999994</v>
      </c>
      <c r="AG1158" s="1" t="s">
        <v>56</v>
      </c>
      <c r="AI1158" s="2">
        <v>622913.55999999994</v>
      </c>
      <c r="AL1158" s="1" t="s">
        <v>4319</v>
      </c>
    </row>
    <row r="1159" spans="1:38" ht="12.6" customHeight="1" x14ac:dyDescent="0.2">
      <c r="A1159" s="1" t="s">
        <v>57</v>
      </c>
      <c r="B1159" s="9" t="s">
        <v>39</v>
      </c>
      <c r="C1159" s="1" t="s">
        <v>58</v>
      </c>
      <c r="D1159" s="1" t="s">
        <v>4315</v>
      </c>
      <c r="E1159" s="1" t="s">
        <v>42</v>
      </c>
      <c r="G1159" s="1" t="s">
        <v>4316</v>
      </c>
      <c r="H1159" s="1" t="s">
        <v>61</v>
      </c>
      <c r="I1159" s="1" t="s">
        <v>4958</v>
      </c>
      <c r="J1159" s="1">
        <v>2019</v>
      </c>
      <c r="P1159" s="1" t="s">
        <v>4471</v>
      </c>
      <c r="Q1159" s="1" t="s">
        <v>50</v>
      </c>
      <c r="R1159" s="1" t="s">
        <v>68</v>
      </c>
      <c r="S1159" s="1" t="s">
        <v>425</v>
      </c>
      <c r="T1159" s="1" t="s">
        <v>426</v>
      </c>
      <c r="U1159" s="1">
        <v>1</v>
      </c>
      <c r="V1159" s="1" t="s">
        <v>195</v>
      </c>
      <c r="Y1159" s="10">
        <v>43617</v>
      </c>
      <c r="Z1159" s="1">
        <v>2019</v>
      </c>
      <c r="AA1159" s="2"/>
      <c r="AB1159" s="2"/>
      <c r="AC1159" s="2">
        <v>510154.51000000007</v>
      </c>
      <c r="AG1159" s="1" t="s">
        <v>56</v>
      </c>
      <c r="AI1159" s="2">
        <v>510154.51000000007</v>
      </c>
      <c r="AL1159" s="1" t="s">
        <v>4319</v>
      </c>
    </row>
    <row r="1160" spans="1:38" ht="12.6" customHeight="1" x14ac:dyDescent="0.2">
      <c r="A1160" s="1" t="s">
        <v>57</v>
      </c>
      <c r="B1160" s="9" t="s">
        <v>39</v>
      </c>
      <c r="C1160" s="1" t="s">
        <v>58</v>
      </c>
      <c r="D1160" s="1" t="s">
        <v>4315</v>
      </c>
      <c r="E1160" s="1" t="s">
        <v>42</v>
      </c>
      <c r="G1160" s="1" t="s">
        <v>4316</v>
      </c>
      <c r="H1160" s="1" t="s">
        <v>61</v>
      </c>
      <c r="I1160" s="1" t="s">
        <v>4959</v>
      </c>
      <c r="J1160" s="1">
        <v>2018</v>
      </c>
      <c r="P1160" s="1" t="s">
        <v>4474</v>
      </c>
      <c r="Q1160" s="1" t="s">
        <v>50</v>
      </c>
      <c r="R1160" s="1" t="s">
        <v>68</v>
      </c>
      <c r="S1160" s="1" t="s">
        <v>430</v>
      </c>
      <c r="T1160" s="1" t="s">
        <v>431</v>
      </c>
      <c r="U1160" s="1">
        <v>1</v>
      </c>
      <c r="V1160" s="1" t="s">
        <v>71</v>
      </c>
      <c r="Y1160" s="10">
        <v>43465</v>
      </c>
      <c r="Z1160" s="1">
        <v>2018</v>
      </c>
      <c r="AA1160" s="2"/>
      <c r="AB1160" s="2"/>
      <c r="AC1160" s="2">
        <v>384458.1</v>
      </c>
      <c r="AG1160" s="1" t="s">
        <v>56</v>
      </c>
      <c r="AI1160" s="2">
        <v>384458.1</v>
      </c>
      <c r="AL1160" s="1" t="s">
        <v>4319</v>
      </c>
    </row>
    <row r="1161" spans="1:38" ht="12.6" customHeight="1" x14ac:dyDescent="0.2">
      <c r="A1161" s="1" t="s">
        <v>57</v>
      </c>
      <c r="B1161" s="9" t="s">
        <v>39</v>
      </c>
      <c r="C1161" s="1" t="s">
        <v>58</v>
      </c>
      <c r="D1161" s="1" t="s">
        <v>4315</v>
      </c>
      <c r="E1161" s="1" t="s">
        <v>42</v>
      </c>
      <c r="G1161" s="1" t="s">
        <v>4316</v>
      </c>
      <c r="H1161" s="1" t="s">
        <v>61</v>
      </c>
      <c r="I1161" s="1" t="s">
        <v>4960</v>
      </c>
      <c r="J1161" s="1">
        <v>2018</v>
      </c>
      <c r="P1161" s="1" t="s">
        <v>4474</v>
      </c>
      <c r="Q1161" s="1" t="s">
        <v>50</v>
      </c>
      <c r="R1161" s="1" t="s">
        <v>68</v>
      </c>
      <c r="S1161" s="1" t="s">
        <v>430</v>
      </c>
      <c r="T1161" s="1" t="s">
        <v>431</v>
      </c>
      <c r="U1161" s="1">
        <v>1</v>
      </c>
      <c r="V1161" s="1" t="s">
        <v>71</v>
      </c>
      <c r="Y1161" s="10">
        <v>43461</v>
      </c>
      <c r="Z1161" s="1">
        <v>2018</v>
      </c>
      <c r="AA1161" s="2"/>
      <c r="AB1161" s="2"/>
      <c r="AC1161" s="2">
        <v>468341.02</v>
      </c>
      <c r="AG1161" s="1" t="s">
        <v>56</v>
      </c>
      <c r="AI1161" s="2">
        <v>468341.02</v>
      </c>
      <c r="AL1161" s="1" t="s">
        <v>4319</v>
      </c>
    </row>
    <row r="1162" spans="1:38" ht="14.45" customHeight="1" x14ac:dyDescent="0.2">
      <c r="A1162" s="1" t="s">
        <v>57</v>
      </c>
      <c r="B1162" s="9" t="s">
        <v>39</v>
      </c>
      <c r="C1162" s="1" t="s">
        <v>58</v>
      </c>
      <c r="D1162" s="1" t="s">
        <v>4315</v>
      </c>
      <c r="E1162" s="1" t="s">
        <v>42</v>
      </c>
      <c r="G1162" s="1" t="s">
        <v>4316</v>
      </c>
      <c r="H1162" s="1" t="s">
        <v>61</v>
      </c>
      <c r="I1162" s="1" t="s">
        <v>4961</v>
      </c>
      <c r="J1162" s="1">
        <v>2018</v>
      </c>
      <c r="P1162" s="1" t="s">
        <v>4474</v>
      </c>
      <c r="Q1162" s="1" t="s">
        <v>50</v>
      </c>
      <c r="R1162" s="1" t="s">
        <v>68</v>
      </c>
      <c r="S1162" s="1" t="s">
        <v>430</v>
      </c>
      <c r="T1162" s="1" t="s">
        <v>431</v>
      </c>
      <c r="U1162" s="1">
        <v>1</v>
      </c>
      <c r="V1162" s="1" t="s">
        <v>71</v>
      </c>
      <c r="Y1162" s="10">
        <v>43461</v>
      </c>
      <c r="Z1162" s="1">
        <v>2018</v>
      </c>
      <c r="AA1162" s="2"/>
      <c r="AB1162" s="2"/>
      <c r="AC1162" s="2">
        <v>463681.89</v>
      </c>
      <c r="AG1162" s="1" t="s">
        <v>56</v>
      </c>
      <c r="AI1162" s="2">
        <v>463681.89</v>
      </c>
      <c r="AL1162" s="1" t="s">
        <v>4319</v>
      </c>
    </row>
    <row r="1163" spans="1:38" ht="12.6" customHeight="1" x14ac:dyDescent="0.2">
      <c r="A1163" s="1" t="s">
        <v>57</v>
      </c>
      <c r="B1163" s="9" t="s">
        <v>39</v>
      </c>
      <c r="C1163" s="1" t="s">
        <v>58</v>
      </c>
      <c r="D1163" s="1" t="s">
        <v>4315</v>
      </c>
      <c r="E1163" s="1" t="s">
        <v>42</v>
      </c>
      <c r="G1163" s="1" t="s">
        <v>4316</v>
      </c>
      <c r="H1163" s="1" t="s">
        <v>61</v>
      </c>
      <c r="I1163" s="1" t="s">
        <v>4962</v>
      </c>
      <c r="J1163" s="1">
        <v>2018</v>
      </c>
      <c r="P1163" s="1" t="s">
        <v>4474</v>
      </c>
      <c r="Q1163" s="1" t="s">
        <v>50</v>
      </c>
      <c r="R1163" s="1" t="s">
        <v>68</v>
      </c>
      <c r="S1163" s="1" t="s">
        <v>430</v>
      </c>
      <c r="T1163" s="1" t="s">
        <v>431</v>
      </c>
      <c r="U1163" s="1">
        <v>1</v>
      </c>
      <c r="V1163" s="1" t="s">
        <v>71</v>
      </c>
      <c r="Y1163" s="10">
        <v>43465</v>
      </c>
      <c r="Z1163" s="1">
        <v>2018</v>
      </c>
      <c r="AA1163" s="2"/>
      <c r="AB1163" s="2"/>
      <c r="AC1163" s="2">
        <v>250747.05</v>
      </c>
      <c r="AG1163" s="1" t="s">
        <v>56</v>
      </c>
      <c r="AI1163" s="2">
        <v>250747.05</v>
      </c>
      <c r="AL1163" s="1" t="s">
        <v>4319</v>
      </c>
    </row>
    <row r="1164" spans="1:38" ht="12.6" customHeight="1" x14ac:dyDescent="0.2">
      <c r="A1164" s="1" t="s">
        <v>57</v>
      </c>
      <c r="B1164" s="9" t="s">
        <v>39</v>
      </c>
      <c r="C1164" s="1" t="s">
        <v>58</v>
      </c>
      <c r="D1164" s="1" t="s">
        <v>4315</v>
      </c>
      <c r="E1164" s="1" t="s">
        <v>42</v>
      </c>
      <c r="G1164" s="1" t="s">
        <v>4316</v>
      </c>
      <c r="H1164" s="1" t="s">
        <v>61</v>
      </c>
      <c r="I1164" s="1" t="s">
        <v>4963</v>
      </c>
      <c r="J1164" s="1">
        <v>2018</v>
      </c>
      <c r="P1164" s="1" t="s">
        <v>4474</v>
      </c>
      <c r="Q1164" s="1" t="s">
        <v>50</v>
      </c>
      <c r="R1164" s="1" t="s">
        <v>68</v>
      </c>
      <c r="S1164" s="1" t="s">
        <v>430</v>
      </c>
      <c r="T1164" s="1" t="s">
        <v>431</v>
      </c>
      <c r="U1164" s="1">
        <v>1</v>
      </c>
      <c r="V1164" s="1" t="s">
        <v>71</v>
      </c>
      <c r="Y1164" s="10">
        <v>43461</v>
      </c>
      <c r="Z1164" s="1">
        <v>2018</v>
      </c>
      <c r="AA1164" s="2"/>
      <c r="AB1164" s="2"/>
      <c r="AC1164" s="2">
        <v>546456.57999999996</v>
      </c>
      <c r="AG1164" s="1" t="s">
        <v>56</v>
      </c>
      <c r="AI1164" s="2">
        <v>546456.57999999996</v>
      </c>
      <c r="AL1164" s="1" t="s">
        <v>4319</v>
      </c>
    </row>
    <row r="1165" spans="1:38" ht="12.6" customHeight="1" x14ac:dyDescent="0.2">
      <c r="A1165" s="1" t="s">
        <v>57</v>
      </c>
      <c r="B1165" s="9" t="s">
        <v>39</v>
      </c>
      <c r="C1165" s="1" t="s">
        <v>58</v>
      </c>
      <c r="D1165" s="1" t="s">
        <v>4315</v>
      </c>
      <c r="E1165" s="1" t="s">
        <v>42</v>
      </c>
      <c r="G1165" s="1" t="s">
        <v>4316</v>
      </c>
      <c r="H1165" s="1" t="s">
        <v>61</v>
      </c>
      <c r="I1165" s="1" t="s">
        <v>4964</v>
      </c>
      <c r="J1165" s="1">
        <v>2018</v>
      </c>
      <c r="P1165" s="1" t="s">
        <v>4474</v>
      </c>
      <c r="Q1165" s="1" t="s">
        <v>50</v>
      </c>
      <c r="R1165" s="1" t="s">
        <v>68</v>
      </c>
      <c r="S1165" s="1" t="s">
        <v>430</v>
      </c>
      <c r="T1165" s="1" t="s">
        <v>431</v>
      </c>
      <c r="U1165" s="1">
        <v>1</v>
      </c>
      <c r="V1165" s="1" t="s">
        <v>71</v>
      </c>
      <c r="Y1165" s="10">
        <v>43461</v>
      </c>
      <c r="Z1165" s="1">
        <v>2018</v>
      </c>
      <c r="AA1165" s="2"/>
      <c r="AB1165" s="2"/>
      <c r="AC1165" s="2">
        <v>390511.51999999996</v>
      </c>
      <c r="AG1165" s="1" t="s">
        <v>56</v>
      </c>
      <c r="AI1165" s="2">
        <v>390511.51999999996</v>
      </c>
      <c r="AL1165" s="1" t="s">
        <v>4319</v>
      </c>
    </row>
    <row r="1166" spans="1:38" ht="12.6" customHeight="1" x14ac:dyDescent="0.2">
      <c r="A1166" s="1" t="s">
        <v>57</v>
      </c>
      <c r="B1166" s="9" t="s">
        <v>39</v>
      </c>
      <c r="C1166" s="1" t="s">
        <v>58</v>
      </c>
      <c r="D1166" s="1" t="s">
        <v>4315</v>
      </c>
      <c r="E1166" s="1" t="s">
        <v>42</v>
      </c>
      <c r="G1166" s="1" t="s">
        <v>4316</v>
      </c>
      <c r="H1166" s="1" t="s">
        <v>61</v>
      </c>
      <c r="I1166" s="1" t="s">
        <v>4965</v>
      </c>
      <c r="J1166" s="1">
        <v>2018</v>
      </c>
      <c r="P1166" s="1" t="s">
        <v>4474</v>
      </c>
      <c r="Q1166" s="1" t="s">
        <v>50</v>
      </c>
      <c r="R1166" s="1" t="s">
        <v>68</v>
      </c>
      <c r="S1166" s="1" t="s">
        <v>430</v>
      </c>
      <c r="T1166" s="1" t="s">
        <v>431</v>
      </c>
      <c r="U1166" s="1">
        <v>1</v>
      </c>
      <c r="V1166" s="1" t="s">
        <v>71</v>
      </c>
      <c r="Y1166" s="10">
        <v>43461</v>
      </c>
      <c r="Z1166" s="1">
        <v>2018</v>
      </c>
      <c r="AA1166" s="2"/>
      <c r="AB1166" s="2"/>
      <c r="AC1166" s="2">
        <v>321382.28999999998</v>
      </c>
      <c r="AG1166" s="1" t="s">
        <v>56</v>
      </c>
      <c r="AI1166" s="2">
        <v>321382.28999999998</v>
      </c>
      <c r="AL1166" s="1" t="s">
        <v>4319</v>
      </c>
    </row>
    <row r="1167" spans="1:38" ht="12.6" customHeight="1" x14ac:dyDescent="0.2">
      <c r="A1167" s="1" t="s">
        <v>57</v>
      </c>
      <c r="B1167" s="9" t="s">
        <v>39</v>
      </c>
      <c r="C1167" s="1" t="s">
        <v>58</v>
      </c>
      <c r="D1167" s="1" t="s">
        <v>4315</v>
      </c>
      <c r="E1167" s="1" t="s">
        <v>42</v>
      </c>
      <c r="G1167" s="1" t="s">
        <v>4316</v>
      </c>
      <c r="H1167" s="1" t="s">
        <v>61</v>
      </c>
      <c r="I1167" s="1" t="s">
        <v>4966</v>
      </c>
      <c r="J1167" s="1">
        <v>2018</v>
      </c>
      <c r="P1167" s="1" t="s">
        <v>4474</v>
      </c>
      <c r="Q1167" s="1" t="s">
        <v>50</v>
      </c>
      <c r="R1167" s="1" t="s">
        <v>68</v>
      </c>
      <c r="S1167" s="1" t="s">
        <v>430</v>
      </c>
      <c r="T1167" s="1" t="s">
        <v>431</v>
      </c>
      <c r="U1167" s="1">
        <v>1</v>
      </c>
      <c r="V1167" s="1" t="s">
        <v>71</v>
      </c>
      <c r="Y1167" s="10">
        <v>43461</v>
      </c>
      <c r="Z1167" s="1">
        <v>2018</v>
      </c>
      <c r="AA1167" s="2"/>
      <c r="AB1167" s="2"/>
      <c r="AC1167" s="2">
        <v>417556.15</v>
      </c>
      <c r="AG1167" s="1" t="s">
        <v>56</v>
      </c>
      <c r="AI1167" s="2">
        <v>417556.15</v>
      </c>
      <c r="AL1167" s="1" t="s">
        <v>4319</v>
      </c>
    </row>
    <row r="1168" spans="1:38" ht="12.6" customHeight="1" x14ac:dyDescent="0.2">
      <c r="A1168" s="1" t="s">
        <v>57</v>
      </c>
      <c r="B1168" s="9" t="s">
        <v>39</v>
      </c>
      <c r="C1168" s="1" t="s">
        <v>58</v>
      </c>
      <c r="D1168" s="1" t="s">
        <v>4315</v>
      </c>
      <c r="E1168" s="1" t="s">
        <v>42</v>
      </c>
      <c r="G1168" s="1" t="s">
        <v>4316</v>
      </c>
      <c r="H1168" s="1" t="s">
        <v>61</v>
      </c>
      <c r="I1168" s="1" t="s">
        <v>4967</v>
      </c>
      <c r="J1168" s="1">
        <v>2018</v>
      </c>
      <c r="P1168" s="1" t="s">
        <v>4474</v>
      </c>
      <c r="Q1168" s="1" t="s">
        <v>50</v>
      </c>
      <c r="R1168" s="1" t="s">
        <v>68</v>
      </c>
      <c r="S1168" s="1" t="s">
        <v>430</v>
      </c>
      <c r="T1168" s="1" t="s">
        <v>431</v>
      </c>
      <c r="U1168" s="1">
        <v>1</v>
      </c>
      <c r="V1168" s="1" t="s">
        <v>71</v>
      </c>
      <c r="Y1168" s="10">
        <v>43461</v>
      </c>
      <c r="Z1168" s="1">
        <v>2018</v>
      </c>
      <c r="AA1168" s="2"/>
      <c r="AB1168" s="2"/>
      <c r="AC1168" s="2">
        <v>307040.82999999996</v>
      </c>
      <c r="AG1168" s="1" t="s">
        <v>56</v>
      </c>
      <c r="AI1168" s="2">
        <v>307040.82999999996</v>
      </c>
      <c r="AL1168" s="1" t="s">
        <v>4319</v>
      </c>
    </row>
    <row r="1169" spans="1:38" ht="12.6" customHeight="1" x14ac:dyDescent="0.2">
      <c r="A1169" s="1" t="s">
        <v>57</v>
      </c>
      <c r="B1169" s="9" t="s">
        <v>39</v>
      </c>
      <c r="C1169" s="1" t="s">
        <v>58</v>
      </c>
      <c r="D1169" s="1" t="s">
        <v>4315</v>
      </c>
      <c r="E1169" s="1" t="s">
        <v>42</v>
      </c>
      <c r="G1169" s="1" t="s">
        <v>4316</v>
      </c>
      <c r="H1169" s="1" t="s">
        <v>61</v>
      </c>
      <c r="I1169" s="1" t="s">
        <v>4968</v>
      </c>
      <c r="J1169" s="1">
        <v>2018</v>
      </c>
      <c r="P1169" s="1" t="s">
        <v>4474</v>
      </c>
      <c r="Q1169" s="1" t="s">
        <v>50</v>
      </c>
      <c r="R1169" s="1" t="s">
        <v>68</v>
      </c>
      <c r="S1169" s="1" t="s">
        <v>430</v>
      </c>
      <c r="T1169" s="1" t="s">
        <v>431</v>
      </c>
      <c r="U1169" s="1">
        <v>1</v>
      </c>
      <c r="V1169" s="1" t="s">
        <v>71</v>
      </c>
      <c r="Y1169" s="10">
        <v>43461</v>
      </c>
      <c r="Z1169" s="1">
        <v>2018</v>
      </c>
      <c r="AA1169" s="2"/>
      <c r="AB1169" s="2"/>
      <c r="AC1169" s="2">
        <v>572154.88</v>
      </c>
      <c r="AG1169" s="1" t="s">
        <v>56</v>
      </c>
      <c r="AI1169" s="2">
        <v>572154.88</v>
      </c>
      <c r="AL1169" s="1" t="s">
        <v>4319</v>
      </c>
    </row>
    <row r="1170" spans="1:38" ht="12.6" customHeight="1" x14ac:dyDescent="0.2">
      <c r="A1170" s="1" t="s">
        <v>57</v>
      </c>
      <c r="B1170" s="9" t="s">
        <v>39</v>
      </c>
      <c r="C1170" s="1" t="s">
        <v>58</v>
      </c>
      <c r="D1170" s="1" t="s">
        <v>4315</v>
      </c>
      <c r="E1170" s="1" t="s">
        <v>42</v>
      </c>
      <c r="G1170" s="1" t="s">
        <v>4316</v>
      </c>
      <c r="H1170" s="1" t="s">
        <v>61</v>
      </c>
      <c r="I1170" s="1" t="s">
        <v>4969</v>
      </c>
      <c r="J1170" s="1">
        <v>2018</v>
      </c>
      <c r="P1170" s="1" t="s">
        <v>4474</v>
      </c>
      <c r="Q1170" s="1" t="s">
        <v>50</v>
      </c>
      <c r="R1170" s="1" t="s">
        <v>68</v>
      </c>
      <c r="S1170" s="1" t="s">
        <v>430</v>
      </c>
      <c r="T1170" s="1" t="s">
        <v>431</v>
      </c>
      <c r="U1170" s="1">
        <v>1</v>
      </c>
      <c r="V1170" s="1" t="s">
        <v>71</v>
      </c>
      <c r="Y1170" s="10">
        <v>43461</v>
      </c>
      <c r="Z1170" s="1">
        <v>2018</v>
      </c>
      <c r="AA1170" s="2"/>
      <c r="AB1170" s="2"/>
      <c r="AC1170" s="2">
        <v>371758.08000000007</v>
      </c>
      <c r="AG1170" s="1" t="s">
        <v>56</v>
      </c>
      <c r="AI1170" s="2">
        <v>371758.08000000007</v>
      </c>
      <c r="AL1170" s="1" t="s">
        <v>4319</v>
      </c>
    </row>
    <row r="1171" spans="1:38" ht="12.6" customHeight="1" x14ac:dyDescent="0.2">
      <c r="A1171" s="1" t="s">
        <v>57</v>
      </c>
      <c r="B1171" s="9" t="s">
        <v>39</v>
      </c>
      <c r="C1171" s="1" t="s">
        <v>58</v>
      </c>
      <c r="D1171" s="1" t="s">
        <v>4315</v>
      </c>
      <c r="E1171" s="1" t="s">
        <v>42</v>
      </c>
      <c r="G1171" s="1" t="s">
        <v>4316</v>
      </c>
      <c r="H1171" s="1" t="s">
        <v>61</v>
      </c>
      <c r="I1171" s="1" t="s">
        <v>4970</v>
      </c>
      <c r="J1171" s="1">
        <v>2018</v>
      </c>
      <c r="P1171" s="1" t="s">
        <v>4474</v>
      </c>
      <c r="Q1171" s="1" t="s">
        <v>50</v>
      </c>
      <c r="R1171" s="1" t="s">
        <v>68</v>
      </c>
      <c r="S1171" s="1" t="s">
        <v>430</v>
      </c>
      <c r="T1171" s="1" t="s">
        <v>431</v>
      </c>
      <c r="U1171" s="1">
        <v>1</v>
      </c>
      <c r="V1171" s="1" t="s">
        <v>71</v>
      </c>
      <c r="Y1171" s="10">
        <v>43461</v>
      </c>
      <c r="Z1171" s="1">
        <v>2018</v>
      </c>
      <c r="AA1171" s="2"/>
      <c r="AB1171" s="2"/>
      <c r="AC1171" s="2">
        <v>355448.54000000004</v>
      </c>
      <c r="AG1171" s="1" t="s">
        <v>56</v>
      </c>
      <c r="AI1171" s="2">
        <v>355448.54000000004</v>
      </c>
      <c r="AL1171" s="1" t="s">
        <v>4319</v>
      </c>
    </row>
    <row r="1172" spans="1:38" ht="12.6" customHeight="1" x14ac:dyDescent="0.2">
      <c r="A1172" s="1" t="s">
        <v>57</v>
      </c>
      <c r="B1172" s="9" t="s">
        <v>39</v>
      </c>
      <c r="C1172" s="1" t="s">
        <v>58</v>
      </c>
      <c r="D1172" s="1" t="s">
        <v>4315</v>
      </c>
      <c r="E1172" s="1" t="s">
        <v>42</v>
      </c>
      <c r="G1172" s="1" t="s">
        <v>4316</v>
      </c>
      <c r="H1172" s="1" t="s">
        <v>61</v>
      </c>
      <c r="I1172" s="1" t="s">
        <v>4971</v>
      </c>
      <c r="J1172" s="1">
        <v>2018</v>
      </c>
      <c r="P1172" s="1" t="s">
        <v>4474</v>
      </c>
      <c r="Q1172" s="1" t="s">
        <v>50</v>
      </c>
      <c r="R1172" s="1" t="s">
        <v>68</v>
      </c>
      <c r="S1172" s="1" t="s">
        <v>430</v>
      </c>
      <c r="T1172" s="1" t="s">
        <v>431</v>
      </c>
      <c r="U1172" s="1">
        <v>1</v>
      </c>
      <c r="V1172" s="1" t="s">
        <v>71</v>
      </c>
      <c r="Y1172" s="10">
        <v>43461</v>
      </c>
      <c r="Z1172" s="1">
        <v>2018</v>
      </c>
      <c r="AA1172" s="2"/>
      <c r="AB1172" s="2"/>
      <c r="AC1172" s="2">
        <v>413721.4499999999</v>
      </c>
      <c r="AG1172" s="1" t="s">
        <v>56</v>
      </c>
      <c r="AI1172" s="2">
        <v>413721.4499999999</v>
      </c>
      <c r="AL1172" s="1" t="s">
        <v>4319</v>
      </c>
    </row>
    <row r="1173" spans="1:38" ht="12.6" customHeight="1" x14ac:dyDescent="0.2">
      <c r="A1173" s="1" t="s">
        <v>57</v>
      </c>
      <c r="B1173" s="9" t="s">
        <v>39</v>
      </c>
      <c r="C1173" s="1" t="s">
        <v>58</v>
      </c>
      <c r="D1173" s="1" t="s">
        <v>4315</v>
      </c>
      <c r="E1173" s="1" t="s">
        <v>42</v>
      </c>
      <c r="G1173" s="1" t="s">
        <v>4316</v>
      </c>
      <c r="H1173" s="1" t="s">
        <v>61</v>
      </c>
      <c r="I1173" s="1" t="s">
        <v>4972</v>
      </c>
      <c r="J1173" s="1">
        <v>2018</v>
      </c>
      <c r="P1173" s="1" t="s">
        <v>4474</v>
      </c>
      <c r="Q1173" s="1" t="s">
        <v>50</v>
      </c>
      <c r="R1173" s="1" t="s">
        <v>68</v>
      </c>
      <c r="S1173" s="1" t="s">
        <v>430</v>
      </c>
      <c r="T1173" s="1" t="s">
        <v>431</v>
      </c>
      <c r="U1173" s="1">
        <v>1</v>
      </c>
      <c r="V1173" s="1" t="s">
        <v>71</v>
      </c>
      <c r="Y1173" s="10">
        <v>43461</v>
      </c>
      <c r="Z1173" s="1">
        <v>2018</v>
      </c>
      <c r="AA1173" s="2"/>
      <c r="AB1173" s="2"/>
      <c r="AC1173" s="2">
        <v>422320.27999999997</v>
      </c>
      <c r="AG1173" s="1" t="s">
        <v>56</v>
      </c>
      <c r="AI1173" s="2">
        <v>422320.27999999997</v>
      </c>
      <c r="AL1173" s="1" t="s">
        <v>4319</v>
      </c>
    </row>
    <row r="1174" spans="1:38" ht="12.6" customHeight="1" x14ac:dyDescent="0.2">
      <c r="A1174" s="1" t="s">
        <v>57</v>
      </c>
      <c r="B1174" s="9" t="s">
        <v>39</v>
      </c>
      <c r="C1174" s="1" t="s">
        <v>58</v>
      </c>
      <c r="D1174" s="1" t="s">
        <v>4315</v>
      </c>
      <c r="E1174" s="1" t="s">
        <v>42</v>
      </c>
      <c r="G1174" s="1" t="s">
        <v>4316</v>
      </c>
      <c r="H1174" s="1" t="s">
        <v>61</v>
      </c>
      <c r="I1174" s="1" t="s">
        <v>4973</v>
      </c>
      <c r="J1174" s="1">
        <v>2018</v>
      </c>
      <c r="P1174" s="1" t="s">
        <v>4474</v>
      </c>
      <c r="Q1174" s="1" t="s">
        <v>50</v>
      </c>
      <c r="R1174" s="1" t="s">
        <v>68</v>
      </c>
      <c r="S1174" s="1" t="s">
        <v>430</v>
      </c>
      <c r="T1174" s="1" t="s">
        <v>431</v>
      </c>
      <c r="U1174" s="1">
        <v>1</v>
      </c>
      <c r="V1174" s="1" t="s">
        <v>71</v>
      </c>
      <c r="Y1174" s="10">
        <v>43461</v>
      </c>
      <c r="Z1174" s="1">
        <v>2018</v>
      </c>
      <c r="AA1174" s="2"/>
      <c r="AB1174" s="2"/>
      <c r="AC1174" s="2">
        <v>449056.55</v>
      </c>
      <c r="AG1174" s="1" t="s">
        <v>56</v>
      </c>
      <c r="AI1174" s="2">
        <v>449056.55</v>
      </c>
      <c r="AL1174" s="1" t="s">
        <v>4319</v>
      </c>
    </row>
    <row r="1175" spans="1:38" ht="12.6" customHeight="1" x14ac:dyDescent="0.2">
      <c r="A1175" s="1" t="s">
        <v>57</v>
      </c>
      <c r="B1175" s="9" t="s">
        <v>39</v>
      </c>
      <c r="C1175" s="1" t="s">
        <v>58</v>
      </c>
      <c r="D1175" s="1" t="s">
        <v>4315</v>
      </c>
      <c r="E1175" s="1" t="s">
        <v>42</v>
      </c>
      <c r="G1175" s="1" t="s">
        <v>4316</v>
      </c>
      <c r="H1175" s="1" t="s">
        <v>61</v>
      </c>
      <c r="I1175" s="1" t="s">
        <v>4974</v>
      </c>
      <c r="J1175" s="1">
        <v>2018</v>
      </c>
      <c r="P1175" s="1" t="s">
        <v>4474</v>
      </c>
      <c r="Q1175" s="1" t="s">
        <v>50</v>
      </c>
      <c r="R1175" s="1" t="s">
        <v>68</v>
      </c>
      <c r="S1175" s="1" t="s">
        <v>430</v>
      </c>
      <c r="T1175" s="1" t="s">
        <v>431</v>
      </c>
      <c r="U1175" s="1">
        <v>1</v>
      </c>
      <c r="V1175" s="1" t="s">
        <v>71</v>
      </c>
      <c r="Y1175" s="10">
        <v>43461</v>
      </c>
      <c r="Z1175" s="1">
        <v>2018</v>
      </c>
      <c r="AA1175" s="2"/>
      <c r="AB1175" s="2"/>
      <c r="AC1175" s="2">
        <v>531165.84</v>
      </c>
      <c r="AG1175" s="1" t="s">
        <v>56</v>
      </c>
      <c r="AI1175" s="2">
        <v>531165.84</v>
      </c>
      <c r="AL1175" s="1" t="s">
        <v>4319</v>
      </c>
    </row>
    <row r="1176" spans="1:38" ht="12.6" customHeight="1" x14ac:dyDescent="0.2">
      <c r="A1176" s="1" t="s">
        <v>57</v>
      </c>
      <c r="B1176" s="9" t="s">
        <v>39</v>
      </c>
      <c r="C1176" s="1" t="s">
        <v>58</v>
      </c>
      <c r="D1176" s="1" t="s">
        <v>4315</v>
      </c>
      <c r="E1176" s="1" t="s">
        <v>42</v>
      </c>
      <c r="G1176" s="1" t="s">
        <v>4316</v>
      </c>
      <c r="H1176" s="1" t="s">
        <v>61</v>
      </c>
      <c r="I1176" s="1" t="s">
        <v>4975</v>
      </c>
      <c r="J1176" s="1">
        <v>2018</v>
      </c>
      <c r="P1176" s="1" t="s">
        <v>4474</v>
      </c>
      <c r="Q1176" s="1" t="s">
        <v>50</v>
      </c>
      <c r="R1176" s="1" t="s">
        <v>68</v>
      </c>
      <c r="S1176" s="1" t="s">
        <v>430</v>
      </c>
      <c r="T1176" s="1" t="s">
        <v>431</v>
      </c>
      <c r="U1176" s="1">
        <v>1</v>
      </c>
      <c r="V1176" s="1" t="s">
        <v>71</v>
      </c>
      <c r="Y1176" s="10">
        <v>43461</v>
      </c>
      <c r="Z1176" s="1">
        <v>2018</v>
      </c>
      <c r="AA1176" s="2"/>
      <c r="AB1176" s="2"/>
      <c r="AC1176" s="2">
        <v>420426.64999999997</v>
      </c>
      <c r="AG1176" s="1" t="s">
        <v>56</v>
      </c>
      <c r="AI1176" s="2">
        <v>420426.64999999997</v>
      </c>
      <c r="AL1176" s="1" t="s">
        <v>4319</v>
      </c>
    </row>
    <row r="1177" spans="1:38" ht="12.6" customHeight="1" x14ac:dyDescent="0.2">
      <c r="A1177" s="1" t="s">
        <v>57</v>
      </c>
      <c r="B1177" s="9" t="s">
        <v>39</v>
      </c>
      <c r="C1177" s="1" t="s">
        <v>58</v>
      </c>
      <c r="D1177" s="1" t="s">
        <v>4315</v>
      </c>
      <c r="E1177" s="1" t="s">
        <v>42</v>
      </c>
      <c r="G1177" s="1" t="s">
        <v>4316</v>
      </c>
      <c r="H1177" s="1" t="s">
        <v>61</v>
      </c>
      <c r="I1177" s="1" t="s">
        <v>4976</v>
      </c>
      <c r="J1177" s="1">
        <v>2018</v>
      </c>
      <c r="P1177" s="1" t="s">
        <v>4474</v>
      </c>
      <c r="Q1177" s="1" t="s">
        <v>50</v>
      </c>
      <c r="R1177" s="1" t="s">
        <v>68</v>
      </c>
      <c r="S1177" s="1" t="s">
        <v>430</v>
      </c>
      <c r="T1177" s="1" t="s">
        <v>431</v>
      </c>
      <c r="U1177" s="1">
        <v>1</v>
      </c>
      <c r="V1177" s="1" t="s">
        <v>71</v>
      </c>
      <c r="Y1177" s="10">
        <v>43461</v>
      </c>
      <c r="Z1177" s="1">
        <v>2018</v>
      </c>
      <c r="AA1177" s="2"/>
      <c r="AB1177" s="2"/>
      <c r="AC1177" s="2">
        <v>630059.42999999993</v>
      </c>
      <c r="AG1177" s="1" t="s">
        <v>56</v>
      </c>
      <c r="AI1177" s="2">
        <v>630059.42999999993</v>
      </c>
      <c r="AL1177" s="1" t="s">
        <v>4319</v>
      </c>
    </row>
    <row r="1178" spans="1:38" ht="12.6" customHeight="1" x14ac:dyDescent="0.2">
      <c r="A1178" s="1" t="s">
        <v>57</v>
      </c>
      <c r="B1178" s="9" t="s">
        <v>39</v>
      </c>
      <c r="C1178" s="1" t="s">
        <v>58</v>
      </c>
      <c r="D1178" s="1" t="s">
        <v>4315</v>
      </c>
      <c r="E1178" s="1" t="s">
        <v>42</v>
      </c>
      <c r="G1178" s="1" t="s">
        <v>4316</v>
      </c>
      <c r="H1178" s="1" t="s">
        <v>61</v>
      </c>
      <c r="I1178" s="1" t="s">
        <v>4977</v>
      </c>
      <c r="J1178" s="1">
        <v>2019</v>
      </c>
      <c r="P1178" s="1" t="s">
        <v>4474</v>
      </c>
      <c r="Q1178" s="1" t="s">
        <v>50</v>
      </c>
      <c r="R1178" s="1" t="s">
        <v>68</v>
      </c>
      <c r="S1178" s="1" t="s">
        <v>430</v>
      </c>
      <c r="T1178" s="1" t="s">
        <v>431</v>
      </c>
      <c r="U1178" s="1">
        <v>1</v>
      </c>
      <c r="V1178" s="1" t="s">
        <v>71</v>
      </c>
      <c r="Y1178" s="10">
        <v>43480</v>
      </c>
      <c r="Z1178" s="1">
        <v>2019</v>
      </c>
      <c r="AA1178" s="2"/>
      <c r="AB1178" s="2"/>
      <c r="AC1178" s="2">
        <v>513431.97000000009</v>
      </c>
      <c r="AG1178" s="1" t="s">
        <v>56</v>
      </c>
      <c r="AI1178" s="2">
        <v>513431.97000000009</v>
      </c>
      <c r="AL1178" s="1" t="s">
        <v>4319</v>
      </c>
    </row>
    <row r="1179" spans="1:38" ht="12.6" customHeight="1" x14ac:dyDescent="0.2">
      <c r="A1179" s="1" t="s">
        <v>57</v>
      </c>
      <c r="B1179" s="9" t="s">
        <v>39</v>
      </c>
      <c r="C1179" s="1" t="s">
        <v>58</v>
      </c>
      <c r="D1179" s="1" t="s">
        <v>4315</v>
      </c>
      <c r="E1179" s="1" t="s">
        <v>42</v>
      </c>
      <c r="G1179" s="1" t="s">
        <v>4316</v>
      </c>
      <c r="H1179" s="1" t="s">
        <v>61</v>
      </c>
      <c r="I1179" s="1" t="s">
        <v>4978</v>
      </c>
      <c r="J1179" s="1">
        <v>2018</v>
      </c>
      <c r="P1179" s="1" t="s">
        <v>4979</v>
      </c>
      <c r="Q1179" s="1" t="s">
        <v>50</v>
      </c>
      <c r="R1179" s="1" t="s">
        <v>68</v>
      </c>
      <c r="S1179" s="1" t="s">
        <v>189</v>
      </c>
      <c r="T1179" s="1" t="s">
        <v>190</v>
      </c>
      <c r="U1179" s="1">
        <v>1</v>
      </c>
      <c r="V1179" s="1" t="s">
        <v>71</v>
      </c>
      <c r="Y1179" s="10">
        <v>43463</v>
      </c>
      <c r="Z1179" s="1">
        <v>2018</v>
      </c>
      <c r="AA1179" s="2"/>
      <c r="AB1179" s="2"/>
      <c r="AC1179" s="2">
        <v>541469.22</v>
      </c>
      <c r="AG1179" s="1" t="s">
        <v>56</v>
      </c>
      <c r="AI1179" s="2">
        <v>541469.22</v>
      </c>
      <c r="AL1179" s="1" t="s">
        <v>4319</v>
      </c>
    </row>
    <row r="1180" spans="1:38" ht="12.6" customHeight="1" x14ac:dyDescent="0.2">
      <c r="A1180" s="1" t="s">
        <v>57</v>
      </c>
      <c r="B1180" s="9" t="s">
        <v>39</v>
      </c>
      <c r="C1180" s="1" t="s">
        <v>58</v>
      </c>
      <c r="D1180" s="1" t="s">
        <v>4315</v>
      </c>
      <c r="E1180" s="1" t="s">
        <v>42</v>
      </c>
      <c r="G1180" s="1" t="s">
        <v>4316</v>
      </c>
      <c r="H1180" s="1" t="s">
        <v>61</v>
      </c>
      <c r="I1180" s="1" t="s">
        <v>4980</v>
      </c>
      <c r="J1180" s="1">
        <v>2019</v>
      </c>
      <c r="P1180" s="1" t="s">
        <v>4474</v>
      </c>
      <c r="Q1180" s="1" t="s">
        <v>50</v>
      </c>
      <c r="R1180" s="1" t="s">
        <v>68</v>
      </c>
      <c r="S1180" s="1" t="s">
        <v>430</v>
      </c>
      <c r="T1180" s="1" t="s">
        <v>431</v>
      </c>
      <c r="U1180" s="1">
        <v>1</v>
      </c>
      <c r="V1180" s="1" t="s">
        <v>71</v>
      </c>
      <c r="Y1180" s="10">
        <v>43466</v>
      </c>
      <c r="Z1180" s="1">
        <v>2019</v>
      </c>
      <c r="AA1180" s="2"/>
      <c r="AB1180" s="2"/>
      <c r="AC1180" s="2">
        <v>693215.48</v>
      </c>
      <c r="AG1180" s="1" t="s">
        <v>56</v>
      </c>
      <c r="AI1180" s="2">
        <v>693215.48</v>
      </c>
      <c r="AL1180" s="1" t="s">
        <v>4319</v>
      </c>
    </row>
    <row r="1181" spans="1:38" ht="12.6" customHeight="1" x14ac:dyDescent="0.2">
      <c r="A1181" s="1" t="s">
        <v>57</v>
      </c>
      <c r="B1181" s="9" t="s">
        <v>39</v>
      </c>
      <c r="C1181" s="1" t="s">
        <v>58</v>
      </c>
      <c r="D1181" s="1" t="s">
        <v>4315</v>
      </c>
      <c r="E1181" s="1" t="s">
        <v>42</v>
      </c>
      <c r="G1181" s="1" t="s">
        <v>4316</v>
      </c>
      <c r="H1181" s="1" t="s">
        <v>61</v>
      </c>
      <c r="I1181" s="1" t="s">
        <v>4981</v>
      </c>
      <c r="J1181" s="1">
        <v>2018</v>
      </c>
      <c r="P1181" s="1" t="s">
        <v>4474</v>
      </c>
      <c r="Q1181" s="1" t="s">
        <v>50</v>
      </c>
      <c r="R1181" s="1" t="s">
        <v>68</v>
      </c>
      <c r="S1181" s="1" t="s">
        <v>430</v>
      </c>
      <c r="T1181" s="1" t="s">
        <v>431</v>
      </c>
      <c r="U1181" s="1">
        <v>1</v>
      </c>
      <c r="V1181" s="1" t="s">
        <v>71</v>
      </c>
      <c r="Y1181" s="10">
        <v>43461</v>
      </c>
      <c r="Z1181" s="1">
        <v>2018</v>
      </c>
      <c r="AA1181" s="2"/>
      <c r="AB1181" s="2"/>
      <c r="AC1181" s="2">
        <v>446499.02</v>
      </c>
      <c r="AG1181" s="1" t="s">
        <v>56</v>
      </c>
      <c r="AI1181" s="2">
        <v>446499.02</v>
      </c>
      <c r="AL1181" s="1" t="s">
        <v>4319</v>
      </c>
    </row>
    <row r="1182" spans="1:38" ht="12.6" customHeight="1" x14ac:dyDescent="0.2">
      <c r="A1182" s="1" t="s">
        <v>57</v>
      </c>
      <c r="B1182" s="9" t="s">
        <v>39</v>
      </c>
      <c r="C1182" s="1" t="s">
        <v>58</v>
      </c>
      <c r="D1182" s="1" t="s">
        <v>4315</v>
      </c>
      <c r="E1182" s="1" t="s">
        <v>42</v>
      </c>
      <c r="G1182" s="1" t="s">
        <v>4316</v>
      </c>
      <c r="H1182" s="1" t="s">
        <v>61</v>
      </c>
      <c r="I1182" s="1" t="s">
        <v>4982</v>
      </c>
      <c r="J1182" s="1">
        <v>2018</v>
      </c>
      <c r="P1182" s="1" t="s">
        <v>4474</v>
      </c>
      <c r="Q1182" s="1" t="s">
        <v>50</v>
      </c>
      <c r="R1182" s="1" t="s">
        <v>68</v>
      </c>
      <c r="S1182" s="1" t="s">
        <v>430</v>
      </c>
      <c r="T1182" s="1" t="s">
        <v>431</v>
      </c>
      <c r="U1182" s="1">
        <v>1</v>
      </c>
      <c r="V1182" s="1" t="s">
        <v>71</v>
      </c>
      <c r="Y1182" s="10">
        <v>43461</v>
      </c>
      <c r="Z1182" s="1">
        <v>2018</v>
      </c>
      <c r="AA1182" s="2"/>
      <c r="AB1182" s="2"/>
      <c r="AC1182" s="2">
        <v>497264.32</v>
      </c>
      <c r="AG1182" s="1" t="s">
        <v>56</v>
      </c>
      <c r="AI1182" s="2">
        <v>497264.32</v>
      </c>
      <c r="AL1182" s="1" t="s">
        <v>4319</v>
      </c>
    </row>
    <row r="1183" spans="1:38" ht="12.6" customHeight="1" x14ac:dyDescent="0.2">
      <c r="A1183" s="1" t="s">
        <v>57</v>
      </c>
      <c r="B1183" s="9" t="s">
        <v>39</v>
      </c>
      <c r="C1183" s="1" t="s">
        <v>58</v>
      </c>
      <c r="D1183" s="1" t="s">
        <v>4315</v>
      </c>
      <c r="E1183" s="1" t="s">
        <v>42</v>
      </c>
      <c r="G1183" s="1" t="s">
        <v>4316</v>
      </c>
      <c r="H1183" s="1" t="s">
        <v>61</v>
      </c>
      <c r="I1183" s="1" t="s">
        <v>4983</v>
      </c>
      <c r="J1183" s="1">
        <v>2018</v>
      </c>
      <c r="P1183" s="1" t="s">
        <v>4474</v>
      </c>
      <c r="Q1183" s="1" t="s">
        <v>50</v>
      </c>
      <c r="R1183" s="1" t="s">
        <v>68</v>
      </c>
      <c r="S1183" s="1" t="s">
        <v>430</v>
      </c>
      <c r="T1183" s="1" t="s">
        <v>431</v>
      </c>
      <c r="U1183" s="1">
        <v>1</v>
      </c>
      <c r="V1183" s="1" t="s">
        <v>71</v>
      </c>
      <c r="Y1183" s="10">
        <v>43461</v>
      </c>
      <c r="Z1183" s="1">
        <v>2018</v>
      </c>
      <c r="AA1183" s="2"/>
      <c r="AB1183" s="2"/>
      <c r="AC1183" s="2">
        <v>484623.72</v>
      </c>
      <c r="AG1183" s="1" t="s">
        <v>56</v>
      </c>
      <c r="AI1183" s="2">
        <v>484623.72</v>
      </c>
      <c r="AL1183" s="1" t="s">
        <v>4319</v>
      </c>
    </row>
    <row r="1184" spans="1:38" ht="12.6" customHeight="1" x14ac:dyDescent="0.2">
      <c r="A1184" s="1" t="s">
        <v>57</v>
      </c>
      <c r="B1184" s="9" t="s">
        <v>39</v>
      </c>
      <c r="C1184" s="1" t="s">
        <v>58</v>
      </c>
      <c r="D1184" s="1" t="s">
        <v>4315</v>
      </c>
      <c r="E1184" s="1" t="s">
        <v>42</v>
      </c>
      <c r="G1184" s="1" t="s">
        <v>4316</v>
      </c>
      <c r="H1184" s="1" t="s">
        <v>61</v>
      </c>
      <c r="I1184" s="1" t="s">
        <v>4984</v>
      </c>
      <c r="J1184" s="1">
        <v>2018</v>
      </c>
      <c r="P1184" s="1" t="s">
        <v>4474</v>
      </c>
      <c r="Q1184" s="1" t="s">
        <v>50</v>
      </c>
      <c r="R1184" s="1" t="s">
        <v>68</v>
      </c>
      <c r="S1184" s="1" t="s">
        <v>430</v>
      </c>
      <c r="T1184" s="1" t="s">
        <v>431</v>
      </c>
      <c r="U1184" s="1">
        <v>1</v>
      </c>
      <c r="V1184" s="1" t="s">
        <v>71</v>
      </c>
      <c r="Y1184" s="10">
        <v>43461</v>
      </c>
      <c r="Z1184" s="1">
        <v>2018</v>
      </c>
      <c r="AA1184" s="2"/>
      <c r="AB1184" s="2"/>
      <c r="AC1184" s="2">
        <v>508675.73</v>
      </c>
      <c r="AG1184" s="1" t="s">
        <v>56</v>
      </c>
      <c r="AI1184" s="2">
        <v>508675.73</v>
      </c>
      <c r="AL1184" s="1" t="s">
        <v>4319</v>
      </c>
    </row>
    <row r="1185" spans="1:38" ht="12.6" customHeight="1" x14ac:dyDescent="0.2">
      <c r="A1185" s="1" t="s">
        <v>57</v>
      </c>
      <c r="B1185" s="9" t="s">
        <v>39</v>
      </c>
      <c r="C1185" s="1" t="s">
        <v>58</v>
      </c>
      <c r="D1185" s="1" t="s">
        <v>4315</v>
      </c>
      <c r="E1185" s="1" t="s">
        <v>42</v>
      </c>
      <c r="G1185" s="1" t="s">
        <v>4340</v>
      </c>
      <c r="H1185" s="1" t="s">
        <v>61</v>
      </c>
      <c r="I1185" s="1" t="s">
        <v>4985</v>
      </c>
      <c r="J1185" s="1">
        <v>2020</v>
      </c>
      <c r="P1185" s="1" t="s">
        <v>4471</v>
      </c>
      <c r="Q1185" s="1" t="s">
        <v>50</v>
      </c>
      <c r="R1185" s="1" t="s">
        <v>68</v>
      </c>
      <c r="S1185" s="1" t="s">
        <v>425</v>
      </c>
      <c r="T1185" s="1" t="s">
        <v>426</v>
      </c>
      <c r="U1185" s="1">
        <v>1</v>
      </c>
      <c r="V1185" s="1" t="s">
        <v>195</v>
      </c>
      <c r="Y1185" s="10">
        <v>44008</v>
      </c>
      <c r="Z1185" s="1">
        <v>2020</v>
      </c>
      <c r="AA1185" s="2"/>
      <c r="AB1185" s="2"/>
      <c r="AC1185" s="2">
        <v>20623.89</v>
      </c>
      <c r="AG1185" s="1" t="s">
        <v>56</v>
      </c>
      <c r="AI1185" s="2">
        <v>20623.89</v>
      </c>
    </row>
    <row r="1186" spans="1:38" ht="12.6" customHeight="1" x14ac:dyDescent="0.2">
      <c r="A1186" s="1" t="s">
        <v>57</v>
      </c>
      <c r="B1186" s="9" t="s">
        <v>39</v>
      </c>
      <c r="C1186" s="1" t="s">
        <v>58</v>
      </c>
      <c r="D1186" s="1" t="s">
        <v>4315</v>
      </c>
      <c r="E1186" s="1" t="s">
        <v>42</v>
      </c>
      <c r="G1186" s="1" t="s">
        <v>4340</v>
      </c>
      <c r="H1186" s="1" t="s">
        <v>61</v>
      </c>
      <c r="I1186" s="1" t="s">
        <v>4986</v>
      </c>
      <c r="J1186" s="1">
        <v>2020</v>
      </c>
      <c r="P1186" s="1" t="s">
        <v>4471</v>
      </c>
      <c r="Q1186" s="1" t="s">
        <v>50</v>
      </c>
      <c r="R1186" s="1" t="s">
        <v>68</v>
      </c>
      <c r="S1186" s="1" t="s">
        <v>425</v>
      </c>
      <c r="T1186" s="1" t="s">
        <v>426</v>
      </c>
      <c r="U1186" s="1">
        <v>1</v>
      </c>
      <c r="V1186" s="1" t="s">
        <v>195</v>
      </c>
      <c r="Y1186" s="10">
        <v>44008</v>
      </c>
      <c r="Z1186" s="1">
        <v>2020</v>
      </c>
      <c r="AA1186" s="2"/>
      <c r="AB1186" s="2"/>
      <c r="AC1186" s="2">
        <v>20041.41</v>
      </c>
      <c r="AG1186" s="1" t="s">
        <v>56</v>
      </c>
      <c r="AI1186" s="2">
        <v>20041.41</v>
      </c>
    </row>
    <row r="1187" spans="1:38" ht="12.6" customHeight="1" x14ac:dyDescent="0.2">
      <c r="A1187" s="1" t="s">
        <v>57</v>
      </c>
      <c r="B1187" s="9" t="s">
        <v>39</v>
      </c>
      <c r="C1187" s="1" t="s">
        <v>58</v>
      </c>
      <c r="D1187" s="1" t="s">
        <v>4315</v>
      </c>
      <c r="E1187" s="1" t="s">
        <v>42</v>
      </c>
      <c r="G1187" s="1" t="s">
        <v>4316</v>
      </c>
      <c r="H1187" s="1" t="s">
        <v>61</v>
      </c>
      <c r="I1187" s="1" t="s">
        <v>4987</v>
      </c>
      <c r="J1187" s="1">
        <v>2019</v>
      </c>
      <c r="P1187" s="1" t="s">
        <v>4471</v>
      </c>
      <c r="Q1187" s="1" t="s">
        <v>50</v>
      </c>
      <c r="R1187" s="1" t="s">
        <v>68</v>
      </c>
      <c r="S1187" s="1" t="s">
        <v>425</v>
      </c>
      <c r="T1187" s="1" t="s">
        <v>426</v>
      </c>
      <c r="U1187" s="1">
        <v>1</v>
      </c>
      <c r="V1187" s="1" t="s">
        <v>195</v>
      </c>
      <c r="Y1187" s="10">
        <v>43466</v>
      </c>
      <c r="Z1187" s="1">
        <v>2019</v>
      </c>
      <c r="AA1187" s="2"/>
      <c r="AB1187" s="2"/>
      <c r="AC1187" s="2">
        <v>709778.02</v>
      </c>
      <c r="AG1187" s="1" t="s">
        <v>56</v>
      </c>
      <c r="AI1187" s="2">
        <v>709778.02</v>
      </c>
      <c r="AL1187" s="1" t="s">
        <v>4319</v>
      </c>
    </row>
    <row r="1188" spans="1:38" ht="12.6" customHeight="1" x14ac:dyDescent="0.2">
      <c r="A1188" s="1" t="s">
        <v>57</v>
      </c>
      <c r="B1188" s="9" t="s">
        <v>39</v>
      </c>
      <c r="C1188" s="1" t="s">
        <v>58</v>
      </c>
      <c r="D1188" s="1" t="s">
        <v>4315</v>
      </c>
      <c r="E1188" s="1" t="s">
        <v>42</v>
      </c>
      <c r="G1188" s="1" t="s">
        <v>4316</v>
      </c>
      <c r="H1188" s="1" t="s">
        <v>61</v>
      </c>
      <c r="I1188" s="1" t="s">
        <v>4988</v>
      </c>
      <c r="J1188" s="1">
        <v>2019</v>
      </c>
      <c r="P1188" s="1" t="s">
        <v>4471</v>
      </c>
      <c r="Q1188" s="1" t="s">
        <v>50</v>
      </c>
      <c r="R1188" s="1" t="s">
        <v>68</v>
      </c>
      <c r="S1188" s="1" t="s">
        <v>425</v>
      </c>
      <c r="T1188" s="1" t="s">
        <v>426</v>
      </c>
      <c r="U1188" s="1">
        <v>1</v>
      </c>
      <c r="V1188" s="1" t="s">
        <v>195</v>
      </c>
      <c r="Y1188" s="10">
        <v>43466</v>
      </c>
      <c r="Z1188" s="1">
        <v>2019</v>
      </c>
      <c r="AA1188" s="2"/>
      <c r="AB1188" s="2"/>
      <c r="AC1188" s="2">
        <v>594440.16</v>
      </c>
      <c r="AG1188" s="1" t="s">
        <v>56</v>
      </c>
      <c r="AI1188" s="2">
        <v>594440.16</v>
      </c>
      <c r="AL1188" s="1" t="s">
        <v>4319</v>
      </c>
    </row>
    <row r="1189" spans="1:38" ht="12.6" customHeight="1" x14ac:dyDescent="0.2">
      <c r="A1189" s="1" t="s">
        <v>57</v>
      </c>
      <c r="B1189" s="9" t="s">
        <v>39</v>
      </c>
      <c r="C1189" s="1" t="s">
        <v>58</v>
      </c>
      <c r="D1189" s="1" t="s">
        <v>4315</v>
      </c>
      <c r="E1189" s="1" t="s">
        <v>42</v>
      </c>
      <c r="G1189" s="1" t="s">
        <v>4316</v>
      </c>
      <c r="H1189" s="1" t="s">
        <v>61</v>
      </c>
      <c r="I1189" s="1" t="s">
        <v>4989</v>
      </c>
      <c r="J1189" s="1">
        <v>2019</v>
      </c>
      <c r="P1189" s="1" t="s">
        <v>4474</v>
      </c>
      <c r="Q1189" s="1" t="s">
        <v>50</v>
      </c>
      <c r="R1189" s="1" t="s">
        <v>77</v>
      </c>
      <c r="S1189" s="1" t="s">
        <v>198</v>
      </c>
      <c r="T1189" s="1" t="s">
        <v>199</v>
      </c>
      <c r="U1189" s="1">
        <v>1</v>
      </c>
      <c r="V1189" s="1" t="s">
        <v>186</v>
      </c>
      <c r="Y1189" s="10">
        <v>43467</v>
      </c>
      <c r="Z1189" s="1">
        <v>2019</v>
      </c>
      <c r="AA1189" s="2"/>
      <c r="AB1189" s="2"/>
      <c r="AC1189" s="2">
        <v>331916.20999999996</v>
      </c>
      <c r="AG1189" s="1" t="s">
        <v>56</v>
      </c>
      <c r="AI1189" s="2">
        <v>331916.20999999996</v>
      </c>
      <c r="AL1189" s="1" t="s">
        <v>4319</v>
      </c>
    </row>
    <row r="1190" spans="1:38" ht="12.6" customHeight="1" x14ac:dyDescent="0.2">
      <c r="A1190" s="1" t="s">
        <v>57</v>
      </c>
      <c r="B1190" s="9" t="s">
        <v>39</v>
      </c>
      <c r="C1190" s="1" t="s">
        <v>58</v>
      </c>
      <c r="D1190" s="1" t="s">
        <v>4315</v>
      </c>
      <c r="E1190" s="1" t="s">
        <v>42</v>
      </c>
      <c r="G1190" s="1" t="s">
        <v>4316</v>
      </c>
      <c r="H1190" s="1" t="s">
        <v>61</v>
      </c>
      <c r="I1190" s="1" t="s">
        <v>4990</v>
      </c>
      <c r="J1190" s="1">
        <v>2019</v>
      </c>
      <c r="P1190" s="1" t="s">
        <v>4474</v>
      </c>
      <c r="Q1190" s="1" t="s">
        <v>50</v>
      </c>
      <c r="R1190" s="1" t="s">
        <v>77</v>
      </c>
      <c r="S1190" s="1" t="s">
        <v>198</v>
      </c>
      <c r="T1190" s="1" t="s">
        <v>199</v>
      </c>
      <c r="U1190" s="1">
        <v>1</v>
      </c>
      <c r="V1190" s="1" t="s">
        <v>186</v>
      </c>
      <c r="Y1190" s="10">
        <v>43466</v>
      </c>
      <c r="Z1190" s="1">
        <v>2019</v>
      </c>
      <c r="AA1190" s="2"/>
      <c r="AB1190" s="2"/>
      <c r="AC1190" s="2">
        <v>318283.09999999998</v>
      </c>
      <c r="AG1190" s="1" t="s">
        <v>56</v>
      </c>
      <c r="AI1190" s="2">
        <v>318283.09999999998</v>
      </c>
      <c r="AL1190" s="1" t="s">
        <v>4319</v>
      </c>
    </row>
    <row r="1191" spans="1:38" ht="12.6" customHeight="1" x14ac:dyDescent="0.2">
      <c r="A1191" s="1" t="s">
        <v>57</v>
      </c>
      <c r="B1191" s="9" t="s">
        <v>39</v>
      </c>
      <c r="C1191" s="1" t="s">
        <v>58</v>
      </c>
      <c r="D1191" s="1" t="s">
        <v>4315</v>
      </c>
      <c r="E1191" s="1" t="s">
        <v>42</v>
      </c>
      <c r="G1191" s="1" t="s">
        <v>4316</v>
      </c>
      <c r="H1191" s="1" t="s">
        <v>61</v>
      </c>
      <c r="I1191" s="1" t="s">
        <v>4991</v>
      </c>
      <c r="J1191" s="1">
        <v>2019</v>
      </c>
      <c r="P1191" s="1" t="s">
        <v>4474</v>
      </c>
      <c r="Q1191" s="1" t="s">
        <v>50</v>
      </c>
      <c r="R1191" s="1" t="s">
        <v>77</v>
      </c>
      <c r="S1191" s="1" t="s">
        <v>198</v>
      </c>
      <c r="T1191" s="1" t="s">
        <v>199</v>
      </c>
      <c r="U1191" s="1">
        <v>1</v>
      </c>
      <c r="V1191" s="1" t="s">
        <v>186</v>
      </c>
      <c r="Y1191" s="10">
        <v>43486</v>
      </c>
      <c r="Z1191" s="1">
        <v>2019</v>
      </c>
      <c r="AA1191" s="2"/>
      <c r="AB1191" s="2"/>
      <c r="AC1191" s="2">
        <v>271982.33</v>
      </c>
      <c r="AG1191" s="1" t="s">
        <v>56</v>
      </c>
      <c r="AI1191" s="2">
        <v>271982.33</v>
      </c>
      <c r="AL1191" s="1" t="s">
        <v>4319</v>
      </c>
    </row>
    <row r="1192" spans="1:38" ht="12.6" customHeight="1" x14ac:dyDescent="0.2">
      <c r="A1192" s="1" t="s">
        <v>57</v>
      </c>
      <c r="B1192" s="9" t="s">
        <v>39</v>
      </c>
      <c r="C1192" s="1" t="s">
        <v>58</v>
      </c>
      <c r="D1192" s="1" t="s">
        <v>59</v>
      </c>
      <c r="E1192" s="1" t="s">
        <v>42</v>
      </c>
      <c r="G1192" s="1" t="s">
        <v>88</v>
      </c>
      <c r="H1192" s="1" t="s">
        <v>61</v>
      </c>
      <c r="I1192" s="1" t="s">
        <v>4992</v>
      </c>
      <c r="J1192" s="1" t="s">
        <v>82</v>
      </c>
      <c r="K1192" s="1" t="s">
        <v>4993</v>
      </c>
      <c r="P1192" s="1" t="s">
        <v>4994</v>
      </c>
      <c r="Q1192" s="1" t="s">
        <v>50</v>
      </c>
      <c r="R1192" s="1" t="s">
        <v>68</v>
      </c>
      <c r="S1192" s="1" t="s">
        <v>189</v>
      </c>
      <c r="T1192" s="1" t="s">
        <v>190</v>
      </c>
      <c r="U1192" s="1">
        <v>1</v>
      </c>
      <c r="V1192" s="1" t="s">
        <v>71</v>
      </c>
      <c r="W1192" s="1" t="s">
        <v>4993</v>
      </c>
      <c r="X1192" s="1" t="s">
        <v>87</v>
      </c>
      <c r="Y1192" s="10">
        <v>45069</v>
      </c>
      <c r="Z1192" s="1">
        <v>2023</v>
      </c>
      <c r="AA1192" s="2">
        <v>207222.76</v>
      </c>
      <c r="AB1192" s="2"/>
      <c r="AC1192" s="2">
        <v>62166.83</v>
      </c>
      <c r="AD1192" s="1">
        <v>6</v>
      </c>
      <c r="AG1192" s="1" t="s">
        <v>432</v>
      </c>
      <c r="AH1192" s="1" t="s">
        <v>4371</v>
      </c>
      <c r="AI1192" s="2">
        <v>0</v>
      </c>
    </row>
    <row r="1193" spans="1:38" ht="12.6" customHeight="1" x14ac:dyDescent="0.2">
      <c r="A1193" s="1" t="s">
        <v>57</v>
      </c>
      <c r="B1193" s="9" t="s">
        <v>39</v>
      </c>
      <c r="C1193" s="1" t="s">
        <v>58</v>
      </c>
      <c r="D1193" s="1" t="s">
        <v>59</v>
      </c>
      <c r="E1193" s="1" t="s">
        <v>42</v>
      </c>
      <c r="G1193" s="1" t="s">
        <v>88</v>
      </c>
      <c r="H1193" s="1" t="s">
        <v>61</v>
      </c>
      <c r="I1193" s="1" t="s">
        <v>4995</v>
      </c>
      <c r="J1193" s="1" t="s">
        <v>82</v>
      </c>
      <c r="K1193" s="1" t="s">
        <v>4996</v>
      </c>
      <c r="P1193" s="1" t="s">
        <v>4997</v>
      </c>
      <c r="Q1193" s="1" t="s">
        <v>50</v>
      </c>
      <c r="R1193" s="1" t="s">
        <v>68</v>
      </c>
      <c r="S1193" s="1" t="s">
        <v>1596</v>
      </c>
      <c r="T1193" s="1" t="s">
        <v>1597</v>
      </c>
      <c r="U1193" s="1">
        <v>1</v>
      </c>
      <c r="V1193" s="1" t="s">
        <v>71</v>
      </c>
      <c r="W1193" s="1" t="s">
        <v>4996</v>
      </c>
      <c r="X1193" s="1" t="s">
        <v>87</v>
      </c>
      <c r="Y1193" s="10">
        <v>45069</v>
      </c>
      <c r="Z1193" s="1">
        <v>2023</v>
      </c>
      <c r="AA1193" s="2">
        <v>92823.5</v>
      </c>
      <c r="AB1193" s="2"/>
      <c r="AC1193" s="2">
        <v>34847.050000000003</v>
      </c>
      <c r="AD1193" s="1">
        <v>1</v>
      </c>
      <c r="AG1193" s="1" t="s">
        <v>432</v>
      </c>
      <c r="AH1193" s="1" t="s">
        <v>4371</v>
      </c>
      <c r="AI1193" s="2">
        <v>0</v>
      </c>
    </row>
    <row r="1194" spans="1:38" ht="12.6" customHeight="1" x14ac:dyDescent="0.25">
      <c r="A1194" s="1" t="s">
        <v>57</v>
      </c>
      <c r="B1194" s="9" t="s">
        <v>39</v>
      </c>
      <c r="C1194" s="1" t="s">
        <v>58</v>
      </c>
      <c r="D1194" s="1" t="s">
        <v>59</v>
      </c>
      <c r="E1194" s="1" t="s">
        <v>42</v>
      </c>
      <c r="G1194" s="1" t="s">
        <v>88</v>
      </c>
      <c r="H1194" s="1" t="s">
        <v>61</v>
      </c>
      <c r="I1194" s="1" t="s">
        <v>4998</v>
      </c>
      <c r="J1194" s="1" t="s">
        <v>82</v>
      </c>
      <c r="K1194" s="1" t="s">
        <v>4999</v>
      </c>
      <c r="P1194" s="1" t="s">
        <v>5000</v>
      </c>
      <c r="Q1194" s="1" t="s">
        <v>50</v>
      </c>
      <c r="R1194" s="1" t="s">
        <v>68</v>
      </c>
      <c r="S1194" s="16" t="s">
        <v>814</v>
      </c>
      <c r="T1194" s="1" t="s">
        <v>815</v>
      </c>
      <c r="U1194" s="1">
        <v>2</v>
      </c>
      <c r="V1194" s="1" t="s">
        <v>71</v>
      </c>
      <c r="W1194" s="1" t="s">
        <v>4999</v>
      </c>
      <c r="X1194" s="1" t="s">
        <v>87</v>
      </c>
      <c r="Y1194" s="10">
        <v>45098</v>
      </c>
      <c r="Z1194" s="1">
        <v>2023</v>
      </c>
      <c r="AA1194" s="2">
        <v>154000</v>
      </c>
      <c r="AB1194" s="2"/>
      <c r="AC1194" s="2">
        <v>23100</v>
      </c>
      <c r="AD1194" s="1">
        <v>4</v>
      </c>
      <c r="AG1194" s="1" t="s">
        <v>432</v>
      </c>
      <c r="AH1194" s="1" t="s">
        <v>4371</v>
      </c>
      <c r="AI1194" s="2">
        <v>0</v>
      </c>
      <c r="AL1194" s="1" t="s">
        <v>5001</v>
      </c>
    </row>
    <row r="1195" spans="1:38" ht="12.6" customHeight="1" x14ac:dyDescent="0.2">
      <c r="A1195" s="1" t="s">
        <v>57</v>
      </c>
      <c r="B1195" s="9" t="s">
        <v>39</v>
      </c>
      <c r="C1195" s="1" t="s">
        <v>58</v>
      </c>
      <c r="D1195" s="1" t="s">
        <v>59</v>
      </c>
      <c r="E1195" s="1" t="s">
        <v>42</v>
      </c>
      <c r="G1195" s="1" t="s">
        <v>88</v>
      </c>
      <c r="H1195" s="1" t="s">
        <v>61</v>
      </c>
      <c r="I1195" s="1" t="s">
        <v>5002</v>
      </c>
      <c r="J1195" s="1" t="s">
        <v>82</v>
      </c>
      <c r="K1195" s="1" t="s">
        <v>5003</v>
      </c>
      <c r="P1195" s="1" t="s">
        <v>5004</v>
      </c>
      <c r="Q1195" s="1" t="s">
        <v>50</v>
      </c>
      <c r="R1195" s="1" t="s">
        <v>68</v>
      </c>
      <c r="S1195" s="1" t="s">
        <v>5005</v>
      </c>
      <c r="T1195" s="1" t="s">
        <v>5006</v>
      </c>
      <c r="U1195" s="1">
        <v>2</v>
      </c>
      <c r="V1195" s="1" t="s">
        <v>80</v>
      </c>
      <c r="W1195" s="1" t="s">
        <v>5003</v>
      </c>
      <c r="X1195" s="1" t="s">
        <v>87</v>
      </c>
      <c r="Y1195" s="10">
        <v>45098</v>
      </c>
      <c r="Z1195" s="1">
        <v>2023</v>
      </c>
      <c r="AA1195" s="2">
        <v>65443</v>
      </c>
      <c r="AB1195" s="2"/>
      <c r="AC1195" s="2">
        <v>9816.4500000000007</v>
      </c>
      <c r="AD1195" s="1">
        <v>3</v>
      </c>
      <c r="AG1195" s="1" t="s">
        <v>432</v>
      </c>
      <c r="AH1195" s="1" t="s">
        <v>4371</v>
      </c>
      <c r="AI1195" s="2">
        <v>0</v>
      </c>
      <c r="AL1195" s="1" t="s">
        <v>5007</v>
      </c>
    </row>
    <row r="1196" spans="1:38" ht="12.6" customHeight="1" x14ac:dyDescent="0.2">
      <c r="A1196" s="1" t="s">
        <v>57</v>
      </c>
      <c r="B1196" s="9" t="s">
        <v>39</v>
      </c>
      <c r="C1196" s="1" t="s">
        <v>58</v>
      </c>
      <c r="D1196" s="1" t="s">
        <v>59</v>
      </c>
      <c r="E1196" s="1" t="s">
        <v>42</v>
      </c>
      <c r="G1196" s="1" t="s">
        <v>88</v>
      </c>
      <c r="H1196" s="1" t="s">
        <v>61</v>
      </c>
      <c r="I1196" s="1" t="s">
        <v>5008</v>
      </c>
      <c r="J1196" s="1" t="s">
        <v>82</v>
      </c>
      <c r="K1196" s="1" t="s">
        <v>5009</v>
      </c>
      <c r="P1196" s="1" t="s">
        <v>5010</v>
      </c>
      <c r="Q1196" s="1" t="s">
        <v>50</v>
      </c>
      <c r="R1196" s="1" t="s">
        <v>68</v>
      </c>
      <c r="S1196" s="1" t="s">
        <v>692</v>
      </c>
      <c r="T1196" s="1" t="s">
        <v>693</v>
      </c>
      <c r="U1196" s="1">
        <v>2</v>
      </c>
      <c r="V1196" s="1" t="s">
        <v>71</v>
      </c>
      <c r="W1196" s="1" t="s">
        <v>5009</v>
      </c>
      <c r="X1196" s="1" t="s">
        <v>138</v>
      </c>
      <c r="Y1196" s="10">
        <v>45132</v>
      </c>
      <c r="Z1196" s="1">
        <v>2023</v>
      </c>
      <c r="AA1196" s="2">
        <v>467400.03</v>
      </c>
      <c r="AB1196" s="2"/>
      <c r="AC1196" s="2">
        <v>84110</v>
      </c>
      <c r="AD1196" s="1">
        <v>6</v>
      </c>
      <c r="AE1196" s="1">
        <v>1</v>
      </c>
      <c r="AG1196" s="1" t="s">
        <v>432</v>
      </c>
      <c r="AH1196" s="1" t="s">
        <v>492</v>
      </c>
      <c r="AI1196" s="2">
        <v>0</v>
      </c>
      <c r="AL1196" s="1" t="s">
        <v>5011</v>
      </c>
    </row>
    <row r="1197" spans="1:38" ht="12.6" customHeight="1" x14ac:dyDescent="0.2">
      <c r="A1197" s="1" t="s">
        <v>57</v>
      </c>
      <c r="B1197" s="9" t="s">
        <v>39</v>
      </c>
      <c r="C1197" s="1" t="s">
        <v>58</v>
      </c>
      <c r="D1197" s="1" t="s">
        <v>59</v>
      </c>
      <c r="E1197" s="1" t="s">
        <v>42</v>
      </c>
      <c r="G1197" s="1" t="s">
        <v>88</v>
      </c>
      <c r="H1197" s="1" t="s">
        <v>61</v>
      </c>
      <c r="I1197" s="1" t="s">
        <v>5012</v>
      </c>
      <c r="J1197" s="1" t="s">
        <v>82</v>
      </c>
      <c r="K1197" s="1" t="s">
        <v>5013</v>
      </c>
      <c r="P1197" s="1" t="s">
        <v>5014</v>
      </c>
      <c r="Q1197" s="1" t="s">
        <v>50</v>
      </c>
      <c r="R1197" s="1" t="s">
        <v>68</v>
      </c>
      <c r="S1197" s="1" t="s">
        <v>69</v>
      </c>
      <c r="T1197" s="1" t="s">
        <v>70</v>
      </c>
      <c r="U1197" s="1">
        <v>1</v>
      </c>
      <c r="V1197" s="1" t="s">
        <v>71</v>
      </c>
      <c r="W1197" s="1" t="s">
        <v>5013</v>
      </c>
      <c r="X1197" s="1" t="s">
        <v>309</v>
      </c>
      <c r="Y1197" s="10">
        <v>45162</v>
      </c>
      <c r="Z1197" s="1">
        <v>2023</v>
      </c>
      <c r="AA1197" s="2">
        <v>277207.64</v>
      </c>
      <c r="AB1197" s="2"/>
      <c r="AC1197" s="2">
        <v>97162.29</v>
      </c>
      <c r="AD1197" s="1">
        <v>3</v>
      </c>
      <c r="AE1197" s="1">
        <v>2</v>
      </c>
      <c r="AG1197" s="1" t="s">
        <v>432</v>
      </c>
      <c r="AH1197" s="1" t="s">
        <v>4371</v>
      </c>
      <c r="AI1197" s="2">
        <v>0</v>
      </c>
      <c r="AL1197" s="15" t="s">
        <v>5015</v>
      </c>
    </row>
    <row r="1198" spans="1:38" ht="12.6" customHeight="1" x14ac:dyDescent="0.2">
      <c r="A1198" s="1" t="s">
        <v>57</v>
      </c>
      <c r="B1198" s="9" t="s">
        <v>39</v>
      </c>
      <c r="C1198" s="1" t="s">
        <v>58</v>
      </c>
      <c r="D1198" s="1" t="s">
        <v>59</v>
      </c>
      <c r="E1198" s="1" t="s">
        <v>42</v>
      </c>
      <c r="G1198" s="1" t="s">
        <v>88</v>
      </c>
      <c r="H1198" s="1" t="s">
        <v>61</v>
      </c>
      <c r="I1198" s="1" t="s">
        <v>5016</v>
      </c>
      <c r="J1198" s="1" t="s">
        <v>82</v>
      </c>
      <c r="K1198" s="1" t="s">
        <v>5017</v>
      </c>
      <c r="P1198" s="1" t="s">
        <v>5018</v>
      </c>
      <c r="Q1198" s="1" t="s">
        <v>50</v>
      </c>
      <c r="R1198" s="1" t="s">
        <v>68</v>
      </c>
      <c r="S1198" s="1" t="s">
        <v>172</v>
      </c>
      <c r="T1198" s="1" t="s">
        <v>173</v>
      </c>
      <c r="U1198" s="1">
        <v>2</v>
      </c>
      <c r="V1198" s="1" t="s">
        <v>80</v>
      </c>
      <c r="W1198" s="1" t="s">
        <v>5017</v>
      </c>
      <c r="X1198" s="1" t="s">
        <v>87</v>
      </c>
      <c r="Y1198" s="10">
        <v>45098</v>
      </c>
      <c r="Z1198" s="1">
        <v>2023</v>
      </c>
      <c r="AA1198" s="2">
        <v>70000</v>
      </c>
      <c r="AB1198" s="2"/>
      <c r="AC1198" s="2">
        <v>17500</v>
      </c>
      <c r="AD1198" s="1">
        <v>1</v>
      </c>
      <c r="AG1198" s="1" t="s">
        <v>432</v>
      </c>
      <c r="AH1198" s="1" t="s">
        <v>4371</v>
      </c>
      <c r="AI1198" s="2">
        <v>0</v>
      </c>
    </row>
    <row r="1199" spans="1:38" ht="12.6" customHeight="1" x14ac:dyDescent="0.2">
      <c r="A1199" s="1" t="s">
        <v>57</v>
      </c>
      <c r="B1199" s="9" t="s">
        <v>39</v>
      </c>
      <c r="C1199" s="1" t="s">
        <v>58</v>
      </c>
      <c r="D1199" s="1" t="s">
        <v>59</v>
      </c>
      <c r="E1199" s="1" t="s">
        <v>42</v>
      </c>
      <c r="G1199" s="1" t="s">
        <v>88</v>
      </c>
      <c r="H1199" s="1" t="s">
        <v>61</v>
      </c>
      <c r="I1199" s="1" t="s">
        <v>5019</v>
      </c>
      <c r="J1199" s="1" t="s">
        <v>82</v>
      </c>
      <c r="K1199" s="1" t="s">
        <v>5020</v>
      </c>
      <c r="P1199" s="1" t="s">
        <v>5021</v>
      </c>
      <c r="Q1199" s="1" t="s">
        <v>50</v>
      </c>
      <c r="R1199" s="1" t="s">
        <v>68</v>
      </c>
      <c r="S1199" s="1" t="s">
        <v>5022</v>
      </c>
      <c r="T1199" s="1" t="s">
        <v>5023</v>
      </c>
      <c r="U1199" s="1">
        <v>2</v>
      </c>
      <c r="V1199" s="1" t="s">
        <v>80</v>
      </c>
      <c r="W1199" s="1" t="s">
        <v>5020</v>
      </c>
      <c r="X1199" s="1" t="s">
        <v>87</v>
      </c>
      <c r="Y1199" s="10">
        <v>45069</v>
      </c>
      <c r="Z1199" s="1">
        <v>2023</v>
      </c>
      <c r="AA1199" s="2">
        <v>73965.87</v>
      </c>
      <c r="AB1199" s="2"/>
      <c r="AC1199" s="2">
        <v>7396.59</v>
      </c>
      <c r="AD1199" s="1">
        <v>0</v>
      </c>
      <c r="AG1199" s="1" t="s">
        <v>432</v>
      </c>
      <c r="AH1199" s="1" t="s">
        <v>4371</v>
      </c>
      <c r="AI1199" s="2">
        <v>0</v>
      </c>
      <c r="AK1199" s="1" t="s">
        <v>440</v>
      </c>
    </row>
    <row r="1200" spans="1:38" ht="12.6" customHeight="1" x14ac:dyDescent="0.2">
      <c r="A1200" s="1" t="s">
        <v>57</v>
      </c>
      <c r="B1200" s="9" t="s">
        <v>39</v>
      </c>
      <c r="C1200" s="1" t="s">
        <v>58</v>
      </c>
      <c r="D1200" s="1" t="s">
        <v>59</v>
      </c>
      <c r="E1200" s="1" t="s">
        <v>42</v>
      </c>
      <c r="G1200" s="1" t="s">
        <v>88</v>
      </c>
      <c r="H1200" s="1" t="s">
        <v>61</v>
      </c>
      <c r="I1200" s="1" t="s">
        <v>5024</v>
      </c>
      <c r="J1200" s="1" t="s">
        <v>82</v>
      </c>
      <c r="K1200" s="1" t="s">
        <v>5025</v>
      </c>
      <c r="P1200" s="1" t="s">
        <v>5026</v>
      </c>
      <c r="Q1200" s="1" t="s">
        <v>50</v>
      </c>
      <c r="R1200" s="1" t="s">
        <v>68</v>
      </c>
      <c r="S1200" s="1" t="s">
        <v>1479</v>
      </c>
      <c r="T1200" s="1" t="s">
        <v>1480</v>
      </c>
      <c r="U1200" s="1">
        <v>1</v>
      </c>
      <c r="V1200" s="1" t="s">
        <v>71</v>
      </c>
      <c r="W1200" s="1" t="s">
        <v>5025</v>
      </c>
      <c r="X1200" s="1" t="s">
        <v>145</v>
      </c>
      <c r="Y1200" s="10">
        <v>45069</v>
      </c>
      <c r="Z1200" s="1">
        <v>2023</v>
      </c>
      <c r="AA1200" s="2">
        <v>54108.77</v>
      </c>
      <c r="AB1200" s="2"/>
      <c r="AC1200" s="2">
        <v>16232.63</v>
      </c>
      <c r="AD1200" s="1">
        <v>1</v>
      </c>
      <c r="AG1200" s="1" t="s">
        <v>432</v>
      </c>
      <c r="AH1200" s="1" t="s">
        <v>4371</v>
      </c>
      <c r="AI1200" s="2">
        <v>0</v>
      </c>
    </row>
    <row r="1201" spans="1:38" ht="12.6" customHeight="1" x14ac:dyDescent="0.2">
      <c r="A1201" s="1" t="s">
        <v>57</v>
      </c>
      <c r="B1201" s="9" t="s">
        <v>39</v>
      </c>
      <c r="C1201" s="1" t="s">
        <v>58</v>
      </c>
      <c r="D1201" s="1" t="s">
        <v>59</v>
      </c>
      <c r="E1201" s="1" t="s">
        <v>42</v>
      </c>
      <c r="G1201" s="1" t="s">
        <v>88</v>
      </c>
      <c r="H1201" s="1" t="s">
        <v>61</v>
      </c>
      <c r="I1201" s="1" t="s">
        <v>5027</v>
      </c>
      <c r="J1201" s="1" t="s">
        <v>82</v>
      </c>
      <c r="K1201" s="1" t="s">
        <v>5028</v>
      </c>
      <c r="P1201" s="1" t="s">
        <v>5029</v>
      </c>
      <c r="Q1201" s="1" t="s">
        <v>50</v>
      </c>
      <c r="R1201" s="1" t="s">
        <v>68</v>
      </c>
      <c r="S1201" s="1" t="s">
        <v>1203</v>
      </c>
      <c r="T1201" s="1" t="s">
        <v>1204</v>
      </c>
      <c r="U1201" s="1">
        <v>1</v>
      </c>
      <c r="V1201" s="1" t="s">
        <v>195</v>
      </c>
      <c r="W1201" s="1" t="s">
        <v>5028</v>
      </c>
      <c r="X1201" s="1" t="s">
        <v>321</v>
      </c>
      <c r="Y1201" s="10">
        <v>44315</v>
      </c>
      <c r="Z1201" s="1">
        <v>2021</v>
      </c>
      <c r="AA1201" s="2">
        <v>199954</v>
      </c>
      <c r="AB1201" s="2"/>
      <c r="AC1201" s="2">
        <v>50000</v>
      </c>
      <c r="AD1201" s="1">
        <v>1</v>
      </c>
      <c r="AG1201" s="1" t="s">
        <v>432</v>
      </c>
      <c r="AH1201" s="1" t="s">
        <v>492</v>
      </c>
      <c r="AI1201" s="2">
        <v>0</v>
      </c>
    </row>
    <row r="1202" spans="1:38" ht="12.6" customHeight="1" x14ac:dyDescent="0.25">
      <c r="A1202" s="1" t="s">
        <v>57</v>
      </c>
      <c r="B1202" s="9" t="s">
        <v>38</v>
      </c>
      <c r="C1202" s="1" t="s">
        <v>40</v>
      </c>
      <c r="D1202" s="1" t="s">
        <v>41</v>
      </c>
      <c r="E1202" s="1" t="s">
        <v>42</v>
      </c>
      <c r="F1202" s="1" t="s">
        <v>4705</v>
      </c>
      <c r="G1202" s="1" t="s">
        <v>4706</v>
      </c>
      <c r="H1202" s="1" t="s">
        <v>45</v>
      </c>
      <c r="I1202" s="1" t="s">
        <v>5030</v>
      </c>
      <c r="J1202" s="1">
        <v>2023</v>
      </c>
      <c r="K1202" s="1" t="s">
        <v>5031</v>
      </c>
      <c r="L1202" s="1" t="s">
        <v>5032</v>
      </c>
      <c r="M1202" s="1" t="s">
        <v>5033</v>
      </c>
      <c r="N1202" s="1" t="s">
        <v>5034</v>
      </c>
      <c r="P1202" s="1" t="s">
        <v>5035</v>
      </c>
      <c r="Q1202" s="1" t="s">
        <v>50</v>
      </c>
      <c r="R1202" s="1" t="s">
        <v>77</v>
      </c>
      <c r="S1202" s="1" t="s">
        <v>2638</v>
      </c>
      <c r="T1202" s="1" t="s">
        <v>2639</v>
      </c>
      <c r="U1202" s="1">
        <v>1</v>
      </c>
      <c r="V1202" s="1" t="s">
        <v>186</v>
      </c>
      <c r="W1202" s="1" t="s">
        <v>5036</v>
      </c>
      <c r="X1202" s="1" t="s">
        <v>240</v>
      </c>
      <c r="Y1202" s="10">
        <v>45496</v>
      </c>
      <c r="Z1202" s="1">
        <v>2024</v>
      </c>
      <c r="AA1202" s="35">
        <v>35635560</v>
      </c>
      <c r="AB1202" s="35"/>
      <c r="AC1202" s="35">
        <v>10690668</v>
      </c>
      <c r="AG1202" s="1" t="s">
        <v>3912</v>
      </c>
      <c r="AI1202" s="2">
        <v>10690668</v>
      </c>
      <c r="AK1202" s="1" t="s">
        <v>4714</v>
      </c>
      <c r="AL1202" s="2" t="s">
        <v>4715</v>
      </c>
    </row>
    <row r="1203" spans="1:38" ht="12.6" customHeight="1" x14ac:dyDescent="0.2">
      <c r="A1203" s="1" t="s">
        <v>57</v>
      </c>
      <c r="B1203" s="9" t="s">
        <v>39</v>
      </c>
      <c r="C1203" s="1" t="s">
        <v>58</v>
      </c>
      <c r="D1203" s="1" t="s">
        <v>59</v>
      </c>
      <c r="E1203" s="1" t="s">
        <v>42</v>
      </c>
      <c r="G1203" s="1" t="s">
        <v>88</v>
      </c>
      <c r="H1203" s="1" t="s">
        <v>61</v>
      </c>
      <c r="I1203" s="1" t="s">
        <v>5037</v>
      </c>
      <c r="J1203" s="1" t="s">
        <v>82</v>
      </c>
      <c r="K1203" s="1" t="s">
        <v>5038</v>
      </c>
      <c r="P1203" s="1" t="s">
        <v>5039</v>
      </c>
      <c r="Q1203" s="1" t="s">
        <v>50</v>
      </c>
      <c r="R1203" s="1" t="s">
        <v>68</v>
      </c>
      <c r="S1203" s="1" t="s">
        <v>1596</v>
      </c>
      <c r="T1203" s="1" t="s">
        <v>1597</v>
      </c>
      <c r="U1203" s="1">
        <v>1</v>
      </c>
      <c r="V1203" s="1" t="s">
        <v>71</v>
      </c>
      <c r="W1203" s="1" t="s">
        <v>5038</v>
      </c>
      <c r="X1203" s="1" t="s">
        <v>87</v>
      </c>
      <c r="Y1203" s="10">
        <v>45069</v>
      </c>
      <c r="Z1203" s="1">
        <v>2023</v>
      </c>
      <c r="AA1203" s="2">
        <v>231123</v>
      </c>
      <c r="AB1203" s="2"/>
      <c r="AC1203" s="2">
        <v>69336.899999999994</v>
      </c>
      <c r="AD1203" s="1">
        <v>2</v>
      </c>
      <c r="AG1203" s="1" t="s">
        <v>432</v>
      </c>
      <c r="AH1203" s="1" t="s">
        <v>4371</v>
      </c>
      <c r="AI1203" s="2">
        <v>0</v>
      </c>
      <c r="AL1203" s="1" t="s">
        <v>5040</v>
      </c>
    </row>
    <row r="1204" spans="1:38" ht="12.6" customHeight="1" x14ac:dyDescent="0.2">
      <c r="A1204" s="1" t="s">
        <v>57</v>
      </c>
      <c r="B1204" s="9" t="s">
        <v>39</v>
      </c>
      <c r="C1204" s="1" t="s">
        <v>58</v>
      </c>
      <c r="D1204" s="1" t="s">
        <v>59</v>
      </c>
      <c r="E1204" s="1" t="s">
        <v>42</v>
      </c>
      <c r="G1204" s="1" t="s">
        <v>88</v>
      </c>
      <c r="H1204" s="1" t="s">
        <v>61</v>
      </c>
      <c r="I1204" s="1" t="s">
        <v>5041</v>
      </c>
      <c r="J1204" s="1" t="s">
        <v>82</v>
      </c>
      <c r="K1204" s="1" t="s">
        <v>5042</v>
      </c>
      <c r="P1204" s="1" t="s">
        <v>5043</v>
      </c>
      <c r="Q1204" s="1" t="s">
        <v>50</v>
      </c>
      <c r="R1204" s="1" t="s">
        <v>68</v>
      </c>
      <c r="S1204" s="1" t="s">
        <v>5044</v>
      </c>
      <c r="T1204" s="1" t="s">
        <v>5045</v>
      </c>
      <c r="U1204" s="1">
        <v>2</v>
      </c>
      <c r="V1204" s="1" t="s">
        <v>80</v>
      </c>
      <c r="W1204" s="1" t="s">
        <v>5042</v>
      </c>
      <c r="X1204" s="1" t="s">
        <v>145</v>
      </c>
      <c r="Y1204" s="10">
        <v>45162</v>
      </c>
      <c r="Z1204" s="1">
        <v>2023</v>
      </c>
      <c r="AA1204" s="2">
        <v>145914.9</v>
      </c>
      <c r="AB1204" s="2"/>
      <c r="AC1204" s="2">
        <v>28887.24</v>
      </c>
      <c r="AD1204" s="1">
        <v>1</v>
      </c>
      <c r="AE1204" s="1">
        <v>1</v>
      </c>
      <c r="AG1204" s="1" t="s">
        <v>432</v>
      </c>
      <c r="AH1204" s="1" t="s">
        <v>4371</v>
      </c>
      <c r="AI1204" s="2">
        <v>0</v>
      </c>
      <c r="AL1204" s="1" t="s">
        <v>5046</v>
      </c>
    </row>
    <row r="1205" spans="1:38" ht="12.6" customHeight="1" x14ac:dyDescent="0.2">
      <c r="A1205" s="1" t="s">
        <v>57</v>
      </c>
      <c r="B1205" s="9" t="s">
        <v>39</v>
      </c>
      <c r="C1205" s="1" t="s">
        <v>58</v>
      </c>
      <c r="D1205" s="1" t="s">
        <v>59</v>
      </c>
      <c r="E1205" s="1" t="s">
        <v>42</v>
      </c>
      <c r="G1205" s="1" t="s">
        <v>88</v>
      </c>
      <c r="H1205" s="1" t="s">
        <v>61</v>
      </c>
      <c r="I1205" s="1" t="s">
        <v>5047</v>
      </c>
      <c r="J1205" s="1" t="s">
        <v>82</v>
      </c>
      <c r="K1205" s="1" t="s">
        <v>5048</v>
      </c>
      <c r="P1205" s="1" t="s">
        <v>5049</v>
      </c>
      <c r="Q1205" s="1" t="s">
        <v>50</v>
      </c>
      <c r="R1205" s="1" t="s">
        <v>68</v>
      </c>
      <c r="S1205" s="1" t="s">
        <v>189</v>
      </c>
      <c r="T1205" s="1" t="s">
        <v>190</v>
      </c>
      <c r="U1205" s="1">
        <v>1</v>
      </c>
      <c r="V1205" s="1" t="s">
        <v>71</v>
      </c>
      <c r="W1205" s="1" t="s">
        <v>5048</v>
      </c>
      <c r="X1205" s="1" t="s">
        <v>87</v>
      </c>
      <c r="Y1205" s="10">
        <v>43825</v>
      </c>
      <c r="Z1205" s="1">
        <v>2019</v>
      </c>
      <c r="AA1205" s="2">
        <v>138145.70000000001</v>
      </c>
      <c r="AB1205" s="2"/>
      <c r="AC1205" s="2">
        <v>55443.71</v>
      </c>
      <c r="AD1205" s="1">
        <v>2</v>
      </c>
      <c r="AE1205" s="1">
        <v>1</v>
      </c>
      <c r="AG1205" s="1" t="s">
        <v>432</v>
      </c>
      <c r="AH1205" s="1" t="s">
        <v>4371</v>
      </c>
      <c r="AI1205" s="2">
        <v>0</v>
      </c>
    </row>
    <row r="1206" spans="1:38" ht="12.6" customHeight="1" x14ac:dyDescent="0.2">
      <c r="A1206" s="1" t="s">
        <v>57</v>
      </c>
      <c r="B1206" s="9" t="s">
        <v>39</v>
      </c>
      <c r="C1206" s="1" t="s">
        <v>58</v>
      </c>
      <c r="D1206" s="1" t="s">
        <v>59</v>
      </c>
      <c r="E1206" s="1" t="s">
        <v>42</v>
      </c>
      <c r="G1206" s="1" t="s">
        <v>88</v>
      </c>
      <c r="H1206" s="1" t="s">
        <v>61</v>
      </c>
      <c r="I1206" s="1" t="s">
        <v>5050</v>
      </c>
      <c r="J1206" s="1" t="s">
        <v>82</v>
      </c>
      <c r="K1206" s="1" t="s">
        <v>5051</v>
      </c>
      <c r="P1206" s="1" t="s">
        <v>5052</v>
      </c>
      <c r="Q1206" s="1" t="s">
        <v>50</v>
      </c>
      <c r="R1206" s="1" t="s">
        <v>68</v>
      </c>
      <c r="S1206" s="1" t="s">
        <v>3077</v>
      </c>
      <c r="T1206" s="1" t="s">
        <v>3078</v>
      </c>
      <c r="U1206" s="1">
        <v>1</v>
      </c>
      <c r="V1206" s="1" t="s">
        <v>71</v>
      </c>
      <c r="W1206" s="1" t="s">
        <v>5051</v>
      </c>
      <c r="X1206" s="1" t="s">
        <v>87</v>
      </c>
      <c r="Y1206" s="10">
        <v>45098</v>
      </c>
      <c r="Z1206" s="1">
        <v>2023</v>
      </c>
      <c r="AA1206" s="2">
        <v>265742.32</v>
      </c>
      <c r="AB1206" s="2"/>
      <c r="AC1206" s="2">
        <v>65000</v>
      </c>
      <c r="AD1206" s="1">
        <v>1</v>
      </c>
      <c r="AE1206" s="1">
        <v>0.5</v>
      </c>
      <c r="AG1206" s="1" t="s">
        <v>432</v>
      </c>
      <c r="AH1206" s="1" t="s">
        <v>4371</v>
      </c>
      <c r="AI1206" s="2">
        <v>0</v>
      </c>
      <c r="AK1206" s="1" t="s">
        <v>440</v>
      </c>
    </row>
    <row r="1207" spans="1:38" ht="12.6" customHeight="1" x14ac:dyDescent="0.2">
      <c r="A1207" s="1" t="s">
        <v>57</v>
      </c>
      <c r="B1207" s="9" t="s">
        <v>39</v>
      </c>
      <c r="C1207" s="1" t="s">
        <v>58</v>
      </c>
      <c r="D1207" s="1" t="s">
        <v>59</v>
      </c>
      <c r="E1207" s="1" t="s">
        <v>42</v>
      </c>
      <c r="G1207" s="1" t="s">
        <v>88</v>
      </c>
      <c r="H1207" s="1" t="s">
        <v>61</v>
      </c>
      <c r="I1207" s="1" t="s">
        <v>5053</v>
      </c>
      <c r="J1207" s="1" t="s">
        <v>82</v>
      </c>
      <c r="K1207" s="1" t="s">
        <v>5054</v>
      </c>
      <c r="P1207" s="1" t="s">
        <v>5052</v>
      </c>
      <c r="Q1207" s="1" t="s">
        <v>50</v>
      </c>
      <c r="R1207" s="1" t="s">
        <v>68</v>
      </c>
      <c r="S1207" s="1" t="s">
        <v>3077</v>
      </c>
      <c r="T1207" s="1" t="s">
        <v>3078</v>
      </c>
      <c r="U1207" s="1">
        <v>1</v>
      </c>
      <c r="V1207" s="1" t="s">
        <v>71</v>
      </c>
      <c r="W1207" s="1" t="s">
        <v>5054</v>
      </c>
      <c r="X1207" s="1" t="s">
        <v>145</v>
      </c>
      <c r="Y1207" s="10">
        <v>45069</v>
      </c>
      <c r="Z1207" s="1">
        <v>2023</v>
      </c>
      <c r="AA1207" s="2">
        <v>157344.67000000001</v>
      </c>
      <c r="AB1207" s="2"/>
      <c r="AC1207" s="2">
        <v>54203.4</v>
      </c>
      <c r="AD1207" s="1">
        <v>1</v>
      </c>
      <c r="AE1207" s="1">
        <v>1</v>
      </c>
      <c r="AG1207" s="1" t="s">
        <v>432</v>
      </c>
      <c r="AH1207" s="1" t="s">
        <v>4371</v>
      </c>
      <c r="AI1207" s="2">
        <v>0</v>
      </c>
    </row>
    <row r="1208" spans="1:38" ht="12.6" customHeight="1" x14ac:dyDescent="0.2">
      <c r="A1208" s="1" t="s">
        <v>57</v>
      </c>
      <c r="B1208" s="9" t="s">
        <v>39</v>
      </c>
      <c r="C1208" s="1" t="s">
        <v>58</v>
      </c>
      <c r="D1208" s="1" t="s">
        <v>59</v>
      </c>
      <c r="E1208" s="1" t="s">
        <v>42</v>
      </c>
      <c r="G1208" s="1" t="s">
        <v>60</v>
      </c>
      <c r="H1208" s="1" t="s">
        <v>61</v>
      </c>
      <c r="I1208" s="1" t="s">
        <v>5055</v>
      </c>
      <c r="J1208" s="1">
        <v>2021</v>
      </c>
      <c r="K1208" s="1" t="s">
        <v>5056</v>
      </c>
      <c r="P1208" s="1" t="s">
        <v>5057</v>
      </c>
      <c r="Q1208" s="1" t="s">
        <v>50</v>
      </c>
      <c r="R1208" s="1" t="s">
        <v>68</v>
      </c>
      <c r="S1208" s="1" t="s">
        <v>1479</v>
      </c>
      <c r="T1208" s="1" t="s">
        <v>1480</v>
      </c>
      <c r="U1208" s="1">
        <v>1</v>
      </c>
      <c r="V1208" s="1" t="s">
        <v>71</v>
      </c>
      <c r="W1208" s="1" t="s">
        <v>5056</v>
      </c>
      <c r="X1208" s="1" t="s">
        <v>138</v>
      </c>
      <c r="Y1208" s="10">
        <v>44893</v>
      </c>
      <c r="Z1208" s="1">
        <v>2022</v>
      </c>
      <c r="AA1208" s="2">
        <v>2359778.8150000004</v>
      </c>
      <c r="AB1208" s="2"/>
      <c r="AC1208" s="2">
        <v>471955.76300000009</v>
      </c>
      <c r="AD1208" s="1">
        <v>20</v>
      </c>
      <c r="AE1208" s="1">
        <v>20</v>
      </c>
      <c r="AG1208" s="1" t="s">
        <v>432</v>
      </c>
      <c r="AH1208" s="1" t="s">
        <v>492</v>
      </c>
      <c r="AI1208" s="2">
        <v>0</v>
      </c>
    </row>
    <row r="1209" spans="1:38" ht="12.6" customHeight="1" x14ac:dyDescent="0.2">
      <c r="A1209" s="1" t="s">
        <v>57</v>
      </c>
      <c r="B1209" s="9" t="s">
        <v>39</v>
      </c>
      <c r="C1209" s="1" t="s">
        <v>58</v>
      </c>
      <c r="D1209" s="1" t="s">
        <v>59</v>
      </c>
      <c r="E1209" s="1" t="s">
        <v>42</v>
      </c>
      <c r="G1209" s="1" t="s">
        <v>60</v>
      </c>
      <c r="H1209" s="1" t="s">
        <v>61</v>
      </c>
      <c r="I1209" s="1" t="s">
        <v>5058</v>
      </c>
      <c r="J1209" s="1">
        <v>2021</v>
      </c>
      <c r="K1209" s="1" t="s">
        <v>5059</v>
      </c>
      <c r="P1209" s="1" t="s">
        <v>5060</v>
      </c>
      <c r="Q1209" s="1" t="s">
        <v>50</v>
      </c>
      <c r="R1209" s="1" t="s">
        <v>68</v>
      </c>
      <c r="S1209" s="1" t="s">
        <v>69</v>
      </c>
      <c r="T1209" s="1" t="s">
        <v>70</v>
      </c>
      <c r="U1209" s="1">
        <v>1</v>
      </c>
      <c r="V1209" s="1" t="s">
        <v>71</v>
      </c>
      <c r="W1209" s="1" t="s">
        <v>5059</v>
      </c>
      <c r="X1209" s="1" t="s">
        <v>571</v>
      </c>
      <c r="Y1209" s="10">
        <v>44557</v>
      </c>
      <c r="Z1209" s="1">
        <v>2021</v>
      </c>
      <c r="AA1209" s="2">
        <v>738325.31</v>
      </c>
      <c r="AB1209" s="2"/>
      <c r="AC1209" s="2">
        <v>221497.59300000005</v>
      </c>
      <c r="AD1209" s="1">
        <v>16</v>
      </c>
      <c r="AE1209" s="1">
        <v>4</v>
      </c>
      <c r="AG1209" s="1" t="s">
        <v>432</v>
      </c>
      <c r="AH1209" s="1" t="s">
        <v>433</v>
      </c>
      <c r="AI1209" s="2">
        <v>0</v>
      </c>
    </row>
    <row r="1210" spans="1:38" ht="12.6" customHeight="1" x14ac:dyDescent="0.2">
      <c r="A1210" s="1" t="s">
        <v>57</v>
      </c>
      <c r="B1210" s="9" t="s">
        <v>39</v>
      </c>
      <c r="C1210" s="1" t="s">
        <v>58</v>
      </c>
      <c r="D1210" s="1" t="s">
        <v>59</v>
      </c>
      <c r="E1210" s="1" t="s">
        <v>42</v>
      </c>
      <c r="G1210" s="1" t="s">
        <v>88</v>
      </c>
      <c r="H1210" s="1" t="s">
        <v>61</v>
      </c>
      <c r="I1210" s="1" t="s">
        <v>5061</v>
      </c>
      <c r="J1210" s="1">
        <v>2021</v>
      </c>
      <c r="K1210" s="1" t="s">
        <v>5062</v>
      </c>
      <c r="P1210" s="1" t="s">
        <v>5063</v>
      </c>
      <c r="Q1210" s="1" t="s">
        <v>50</v>
      </c>
      <c r="R1210" s="1" t="s">
        <v>68</v>
      </c>
      <c r="S1210" s="1" t="s">
        <v>425</v>
      </c>
      <c r="T1210" s="1" t="s">
        <v>426</v>
      </c>
      <c r="U1210" s="1">
        <v>1</v>
      </c>
      <c r="V1210" s="1" t="s">
        <v>195</v>
      </c>
      <c r="W1210" s="1" t="s">
        <v>5062</v>
      </c>
      <c r="X1210" s="1" t="s">
        <v>145</v>
      </c>
      <c r="Y1210" s="10">
        <v>44557</v>
      </c>
      <c r="Z1210" s="1">
        <v>2021</v>
      </c>
      <c r="AA1210" s="2">
        <v>199900</v>
      </c>
      <c r="AB1210" s="2"/>
      <c r="AC1210" s="2">
        <v>30000</v>
      </c>
      <c r="AD1210" s="1">
        <v>1</v>
      </c>
      <c r="AG1210" s="1" t="s">
        <v>432</v>
      </c>
      <c r="AH1210" s="1" t="s">
        <v>492</v>
      </c>
      <c r="AI1210" s="2">
        <v>0</v>
      </c>
    </row>
    <row r="1211" spans="1:38" ht="12.6" customHeight="1" x14ac:dyDescent="0.2">
      <c r="A1211" s="1" t="s">
        <v>57</v>
      </c>
      <c r="B1211" s="9" t="s">
        <v>39</v>
      </c>
      <c r="C1211" s="1" t="s">
        <v>58</v>
      </c>
      <c r="D1211" s="1" t="s">
        <v>59</v>
      </c>
      <c r="E1211" s="1" t="s">
        <v>42</v>
      </c>
      <c r="G1211" s="1" t="s">
        <v>88</v>
      </c>
      <c r="H1211" s="1" t="s">
        <v>61</v>
      </c>
      <c r="I1211" s="1" t="s">
        <v>5064</v>
      </c>
      <c r="J1211" s="1">
        <v>2021</v>
      </c>
      <c r="K1211" s="1" t="s">
        <v>5065</v>
      </c>
      <c r="P1211" s="1" t="s">
        <v>5066</v>
      </c>
      <c r="Q1211" s="1" t="s">
        <v>50</v>
      </c>
      <c r="R1211" s="1" t="s">
        <v>68</v>
      </c>
      <c r="S1211" s="1" t="s">
        <v>3437</v>
      </c>
      <c r="T1211" s="1" t="s">
        <v>3438</v>
      </c>
      <c r="U1211" s="1">
        <v>1</v>
      </c>
      <c r="V1211" s="1" t="s">
        <v>195</v>
      </c>
      <c r="W1211" s="1" t="s">
        <v>5065</v>
      </c>
      <c r="X1211" s="1" t="s">
        <v>145</v>
      </c>
      <c r="Y1211" s="10">
        <v>44557</v>
      </c>
      <c r="Z1211" s="1">
        <v>2021</v>
      </c>
      <c r="AA1211" s="2">
        <v>77368.509999999995</v>
      </c>
      <c r="AB1211" s="2"/>
      <c r="AC1211" s="2">
        <v>23210.55</v>
      </c>
      <c r="AD1211" s="1">
        <v>1</v>
      </c>
      <c r="AG1211" s="1" t="s">
        <v>432</v>
      </c>
      <c r="AH1211" s="1" t="s">
        <v>492</v>
      </c>
      <c r="AI1211" s="2">
        <v>0</v>
      </c>
      <c r="AL1211" s="17" t="s">
        <v>5067</v>
      </c>
    </row>
    <row r="1212" spans="1:38" ht="12.6" customHeight="1" x14ac:dyDescent="0.2">
      <c r="A1212" s="1" t="s">
        <v>57</v>
      </c>
      <c r="B1212" s="9" t="s">
        <v>39</v>
      </c>
      <c r="C1212" s="1" t="s">
        <v>58</v>
      </c>
      <c r="D1212" s="1" t="s">
        <v>59</v>
      </c>
      <c r="E1212" s="1" t="s">
        <v>42</v>
      </c>
      <c r="G1212" s="1" t="s">
        <v>88</v>
      </c>
      <c r="H1212" s="1" t="s">
        <v>61</v>
      </c>
      <c r="I1212" s="1" t="s">
        <v>5068</v>
      </c>
      <c r="J1212" s="1">
        <v>2021</v>
      </c>
      <c r="K1212" s="1" t="s">
        <v>5069</v>
      </c>
      <c r="P1212" s="1" t="s">
        <v>5070</v>
      </c>
      <c r="Q1212" s="1" t="s">
        <v>50</v>
      </c>
      <c r="R1212" s="1" t="s">
        <v>68</v>
      </c>
      <c r="S1212" s="1" t="s">
        <v>425</v>
      </c>
      <c r="T1212" s="1" t="s">
        <v>426</v>
      </c>
      <c r="U1212" s="1">
        <v>1</v>
      </c>
      <c r="V1212" s="1" t="s">
        <v>195</v>
      </c>
      <c r="W1212" s="1" t="s">
        <v>5069</v>
      </c>
      <c r="X1212" s="1" t="s">
        <v>145</v>
      </c>
      <c r="Y1212" s="10">
        <v>44557</v>
      </c>
      <c r="Z1212" s="1">
        <v>2021</v>
      </c>
      <c r="AA1212" s="2">
        <v>199990</v>
      </c>
      <c r="AB1212" s="2"/>
      <c r="AC1212" s="2">
        <v>30000</v>
      </c>
      <c r="AD1212" s="1">
        <v>1</v>
      </c>
      <c r="AG1212" s="1" t="s">
        <v>432</v>
      </c>
      <c r="AH1212" s="1" t="s">
        <v>492</v>
      </c>
      <c r="AI1212" s="2">
        <v>0</v>
      </c>
    </row>
    <row r="1213" spans="1:38" ht="12.6" customHeight="1" x14ac:dyDescent="0.2">
      <c r="A1213" s="1" t="s">
        <v>57</v>
      </c>
      <c r="B1213" s="9" t="s">
        <v>38</v>
      </c>
      <c r="C1213" s="1" t="s">
        <v>58</v>
      </c>
      <c r="D1213" s="1" t="s">
        <v>146</v>
      </c>
      <c r="E1213" s="1" t="s">
        <v>42</v>
      </c>
      <c r="G1213" s="1" t="s">
        <v>155</v>
      </c>
      <c r="H1213" s="1" t="s">
        <v>156</v>
      </c>
      <c r="I1213" s="1" t="s">
        <v>5071</v>
      </c>
      <c r="J1213" s="1">
        <v>2022</v>
      </c>
      <c r="K1213" s="1" t="s">
        <v>5072</v>
      </c>
      <c r="L1213" s="1" t="s">
        <v>5073</v>
      </c>
      <c r="P1213" s="1" t="s">
        <v>5074</v>
      </c>
      <c r="Q1213" s="1" t="s">
        <v>1109</v>
      </c>
      <c r="R1213" s="1" t="s">
        <v>1110</v>
      </c>
      <c r="S1213" s="1" t="s">
        <v>2040</v>
      </c>
      <c r="T1213" s="1" t="s">
        <v>2041</v>
      </c>
      <c r="V1213" s="1" t="s">
        <v>54</v>
      </c>
      <c r="W1213" s="1" t="s">
        <v>5075</v>
      </c>
      <c r="Y1213" s="10">
        <v>45112</v>
      </c>
      <c r="Z1213" s="1">
        <v>2023</v>
      </c>
      <c r="AA1213" s="2">
        <v>1376052.24</v>
      </c>
      <c r="AB1213" s="2"/>
      <c r="AC1213" s="2">
        <v>370259.83076923428</v>
      </c>
      <c r="AG1213" s="1" t="s">
        <v>56</v>
      </c>
      <c r="AI1213" s="2">
        <v>370259.83076923428</v>
      </c>
    </row>
    <row r="1214" spans="1:38" ht="12.6" customHeight="1" x14ac:dyDescent="0.25">
      <c r="A1214" s="1" t="s">
        <v>57</v>
      </c>
      <c r="B1214" s="20" t="s">
        <v>38</v>
      </c>
      <c r="C1214" s="3" t="s">
        <v>58</v>
      </c>
      <c r="D1214" s="1" t="s">
        <v>146</v>
      </c>
      <c r="E1214" s="1" t="s">
        <v>42</v>
      </c>
      <c r="F1214" s="1" t="s">
        <v>1236</v>
      </c>
      <c r="G1214" s="1" t="s">
        <v>155</v>
      </c>
      <c r="H1214" s="1" t="s">
        <v>156</v>
      </c>
      <c r="I1214" s="3" t="s">
        <v>5076</v>
      </c>
      <c r="J1214" s="1">
        <v>2022</v>
      </c>
      <c r="K1214" s="1" t="s">
        <v>5077</v>
      </c>
      <c r="L1214" s="23" t="s">
        <v>5078</v>
      </c>
      <c r="M1214" s="1" t="s">
        <v>1240</v>
      </c>
      <c r="P1214" s="1" t="s">
        <v>3830</v>
      </c>
      <c r="Q1214" s="1" t="s">
        <v>101</v>
      </c>
      <c r="R1214" s="1" t="s">
        <v>102</v>
      </c>
      <c r="S1214" s="11" t="s">
        <v>2028</v>
      </c>
      <c r="T1214" s="3" t="s">
        <v>2029</v>
      </c>
      <c r="U1214" s="1">
        <v>2</v>
      </c>
      <c r="V1214" s="3" t="s">
        <v>101</v>
      </c>
      <c r="W1214" s="3" t="s">
        <v>5078</v>
      </c>
      <c r="X1214" s="3" t="s">
        <v>1396</v>
      </c>
      <c r="Y1214" s="21"/>
      <c r="Z1214" s="3">
        <v>2025</v>
      </c>
      <c r="AA1214" s="22">
        <v>1138338.1299999999</v>
      </c>
      <c r="AB1214" s="22"/>
      <c r="AC1214" s="22">
        <v>1138338.1299999999</v>
      </c>
      <c r="AD1214" s="2"/>
      <c r="AG1214" s="1" t="s">
        <v>56</v>
      </c>
      <c r="AI1214" s="22">
        <v>1138338.1299999999</v>
      </c>
    </row>
    <row r="1215" spans="1:38" ht="12.6" customHeight="1" x14ac:dyDescent="0.2">
      <c r="A1215" s="1" t="s">
        <v>57</v>
      </c>
      <c r="B1215" s="9" t="s">
        <v>39</v>
      </c>
      <c r="C1215" s="1" t="s">
        <v>58</v>
      </c>
      <c r="D1215" s="1" t="s">
        <v>4315</v>
      </c>
      <c r="E1215" s="1" t="s">
        <v>42</v>
      </c>
      <c r="G1215" s="1" t="s">
        <v>4316</v>
      </c>
      <c r="H1215" s="1" t="s">
        <v>61</v>
      </c>
      <c r="I1215" s="1" t="s">
        <v>5079</v>
      </c>
      <c r="J1215" s="1">
        <v>2019</v>
      </c>
      <c r="P1215" s="1" t="s">
        <v>4471</v>
      </c>
      <c r="Q1215" s="1" t="s">
        <v>50</v>
      </c>
      <c r="R1215" s="1" t="s">
        <v>68</v>
      </c>
      <c r="S1215" s="1" t="s">
        <v>425</v>
      </c>
      <c r="T1215" s="1" t="s">
        <v>426</v>
      </c>
      <c r="U1215" s="1">
        <v>1</v>
      </c>
      <c r="V1215" s="1" t="s">
        <v>195</v>
      </c>
      <c r="Y1215" s="10">
        <v>43466</v>
      </c>
      <c r="Z1215" s="1">
        <v>2019</v>
      </c>
      <c r="AA1215" s="2"/>
      <c r="AB1215" s="2"/>
      <c r="AC1215" s="2">
        <v>292051.86</v>
      </c>
      <c r="AG1215" s="1" t="s">
        <v>56</v>
      </c>
      <c r="AI1215" s="2">
        <v>292051.86</v>
      </c>
      <c r="AL1215" s="1" t="s">
        <v>4319</v>
      </c>
    </row>
    <row r="1216" spans="1:38" ht="12.6" customHeight="1" x14ac:dyDescent="0.2">
      <c r="A1216" s="1" t="s">
        <v>57</v>
      </c>
      <c r="B1216" s="9" t="s">
        <v>39</v>
      </c>
      <c r="C1216" s="1" t="s">
        <v>58</v>
      </c>
      <c r="D1216" s="1" t="s">
        <v>4315</v>
      </c>
      <c r="E1216" s="1" t="s">
        <v>42</v>
      </c>
      <c r="G1216" s="1" t="s">
        <v>4316</v>
      </c>
      <c r="H1216" s="1" t="s">
        <v>61</v>
      </c>
      <c r="I1216" s="1" t="s">
        <v>5080</v>
      </c>
      <c r="J1216" s="1">
        <v>2019</v>
      </c>
      <c r="P1216" s="1" t="s">
        <v>4471</v>
      </c>
      <c r="Q1216" s="1" t="s">
        <v>50</v>
      </c>
      <c r="R1216" s="1" t="s">
        <v>68</v>
      </c>
      <c r="S1216" s="1" t="s">
        <v>425</v>
      </c>
      <c r="T1216" s="1" t="s">
        <v>426</v>
      </c>
      <c r="U1216" s="1">
        <v>1</v>
      </c>
      <c r="V1216" s="1" t="s">
        <v>195</v>
      </c>
      <c r="Y1216" s="10">
        <v>43466</v>
      </c>
      <c r="Z1216" s="1">
        <v>2019</v>
      </c>
      <c r="AA1216" s="2"/>
      <c r="AB1216" s="2"/>
      <c r="AC1216" s="2">
        <v>557497.35000000009</v>
      </c>
      <c r="AG1216" s="1" t="s">
        <v>56</v>
      </c>
      <c r="AI1216" s="2">
        <v>557497.35000000009</v>
      </c>
      <c r="AL1216" s="1" t="s">
        <v>4319</v>
      </c>
    </row>
    <row r="1217" spans="1:38" ht="12.6" customHeight="1" x14ac:dyDescent="0.2">
      <c r="A1217" s="1" t="s">
        <v>57</v>
      </c>
      <c r="B1217" s="9" t="s">
        <v>39</v>
      </c>
      <c r="C1217" s="1" t="s">
        <v>58</v>
      </c>
      <c r="D1217" s="1" t="s">
        <v>4315</v>
      </c>
      <c r="E1217" s="1" t="s">
        <v>42</v>
      </c>
      <c r="G1217" s="1" t="s">
        <v>4316</v>
      </c>
      <c r="H1217" s="1" t="s">
        <v>61</v>
      </c>
      <c r="I1217" s="1" t="s">
        <v>5081</v>
      </c>
      <c r="J1217" s="1">
        <v>2018</v>
      </c>
      <c r="P1217" s="1" t="s">
        <v>4474</v>
      </c>
      <c r="Q1217" s="1" t="s">
        <v>50</v>
      </c>
      <c r="R1217" s="1" t="s">
        <v>68</v>
      </c>
      <c r="S1217" s="1" t="s">
        <v>430</v>
      </c>
      <c r="T1217" s="1" t="s">
        <v>431</v>
      </c>
      <c r="U1217" s="1">
        <v>1</v>
      </c>
      <c r="V1217" s="1" t="s">
        <v>71</v>
      </c>
      <c r="Y1217" s="10">
        <v>43461</v>
      </c>
      <c r="Z1217" s="1">
        <v>2018</v>
      </c>
      <c r="AA1217" s="2"/>
      <c r="AB1217" s="2"/>
      <c r="AC1217" s="2">
        <v>446969.76999999996</v>
      </c>
      <c r="AG1217" s="1" t="s">
        <v>56</v>
      </c>
      <c r="AI1217" s="2">
        <v>446969.76999999996</v>
      </c>
      <c r="AL1217" s="1" t="s">
        <v>4319</v>
      </c>
    </row>
    <row r="1218" spans="1:38" ht="12.6" customHeight="1" x14ac:dyDescent="0.2">
      <c r="A1218" s="1" t="s">
        <v>57</v>
      </c>
      <c r="B1218" s="9" t="s">
        <v>39</v>
      </c>
      <c r="C1218" s="1" t="s">
        <v>58</v>
      </c>
      <c r="D1218" s="1" t="s">
        <v>4315</v>
      </c>
      <c r="E1218" s="1" t="s">
        <v>42</v>
      </c>
      <c r="G1218" s="1" t="s">
        <v>4316</v>
      </c>
      <c r="H1218" s="1" t="s">
        <v>61</v>
      </c>
      <c r="I1218" s="1" t="s">
        <v>5082</v>
      </c>
      <c r="J1218" s="1">
        <v>2018</v>
      </c>
      <c r="P1218" s="1" t="s">
        <v>4474</v>
      </c>
      <c r="Q1218" s="1" t="s">
        <v>50</v>
      </c>
      <c r="R1218" s="1" t="s">
        <v>68</v>
      </c>
      <c r="S1218" s="1" t="s">
        <v>430</v>
      </c>
      <c r="T1218" s="1" t="s">
        <v>431</v>
      </c>
      <c r="U1218" s="1">
        <v>1</v>
      </c>
      <c r="V1218" s="1" t="s">
        <v>71</v>
      </c>
      <c r="Y1218" s="10">
        <v>43461</v>
      </c>
      <c r="Z1218" s="1">
        <v>2018</v>
      </c>
      <c r="AA1218" s="2"/>
      <c r="AB1218" s="2"/>
      <c r="AC1218" s="2">
        <v>472204.85</v>
      </c>
      <c r="AG1218" s="1" t="s">
        <v>56</v>
      </c>
      <c r="AI1218" s="2">
        <v>472204.85</v>
      </c>
      <c r="AL1218" s="1" t="s">
        <v>4319</v>
      </c>
    </row>
    <row r="1219" spans="1:38" ht="12.6" customHeight="1" x14ac:dyDescent="0.2">
      <c r="A1219" s="1" t="s">
        <v>57</v>
      </c>
      <c r="B1219" s="9" t="s">
        <v>39</v>
      </c>
      <c r="C1219" s="1" t="s">
        <v>58</v>
      </c>
      <c r="D1219" s="1" t="s">
        <v>4315</v>
      </c>
      <c r="E1219" s="1" t="s">
        <v>42</v>
      </c>
      <c r="G1219" s="1" t="s">
        <v>4316</v>
      </c>
      <c r="H1219" s="1" t="s">
        <v>61</v>
      </c>
      <c r="I1219" s="1" t="s">
        <v>5083</v>
      </c>
      <c r="J1219" s="1">
        <v>2018</v>
      </c>
      <c r="P1219" s="1" t="s">
        <v>4474</v>
      </c>
      <c r="Q1219" s="1" t="s">
        <v>50</v>
      </c>
      <c r="R1219" s="1" t="s">
        <v>68</v>
      </c>
      <c r="S1219" s="1" t="s">
        <v>430</v>
      </c>
      <c r="T1219" s="1" t="s">
        <v>431</v>
      </c>
      <c r="U1219" s="1">
        <v>1</v>
      </c>
      <c r="V1219" s="1" t="s">
        <v>71</v>
      </c>
      <c r="Y1219" s="10">
        <v>43461</v>
      </c>
      <c r="Z1219" s="1">
        <v>2018</v>
      </c>
      <c r="AA1219" s="2"/>
      <c r="AB1219" s="2"/>
      <c r="AC1219" s="2">
        <v>582608.22</v>
      </c>
      <c r="AG1219" s="1" t="s">
        <v>56</v>
      </c>
      <c r="AI1219" s="2">
        <v>582608.22</v>
      </c>
      <c r="AL1219" s="1" t="s">
        <v>4319</v>
      </c>
    </row>
    <row r="1220" spans="1:38" ht="12.6" customHeight="1" x14ac:dyDescent="0.2">
      <c r="A1220" s="1" t="s">
        <v>57</v>
      </c>
      <c r="B1220" s="9" t="s">
        <v>39</v>
      </c>
      <c r="C1220" s="1" t="s">
        <v>58</v>
      </c>
      <c r="D1220" s="1" t="s">
        <v>4315</v>
      </c>
      <c r="E1220" s="1" t="s">
        <v>42</v>
      </c>
      <c r="G1220" s="1" t="s">
        <v>4316</v>
      </c>
      <c r="H1220" s="1" t="s">
        <v>61</v>
      </c>
      <c r="I1220" s="1" t="s">
        <v>5084</v>
      </c>
      <c r="J1220" s="1">
        <v>2019</v>
      </c>
      <c r="P1220" s="1" t="s">
        <v>4474</v>
      </c>
      <c r="Q1220" s="1" t="s">
        <v>50</v>
      </c>
      <c r="R1220" s="1" t="s">
        <v>68</v>
      </c>
      <c r="S1220" s="1" t="s">
        <v>430</v>
      </c>
      <c r="T1220" s="1" t="s">
        <v>431</v>
      </c>
      <c r="U1220" s="1">
        <v>1</v>
      </c>
      <c r="V1220" s="1" t="s">
        <v>71</v>
      </c>
      <c r="Y1220" s="10">
        <v>43486</v>
      </c>
      <c r="Z1220" s="1">
        <v>2019</v>
      </c>
      <c r="AA1220" s="2"/>
      <c r="AB1220" s="2"/>
      <c r="AC1220" s="2">
        <v>539200.03</v>
      </c>
      <c r="AG1220" s="1" t="s">
        <v>56</v>
      </c>
      <c r="AI1220" s="2">
        <v>539200.03</v>
      </c>
      <c r="AL1220" s="1" t="s">
        <v>4319</v>
      </c>
    </row>
    <row r="1221" spans="1:38" ht="12.6" customHeight="1" x14ac:dyDescent="0.2">
      <c r="A1221" s="1" t="s">
        <v>57</v>
      </c>
      <c r="B1221" s="9" t="s">
        <v>39</v>
      </c>
      <c r="C1221" s="1" t="s">
        <v>58</v>
      </c>
      <c r="D1221" s="1" t="s">
        <v>4315</v>
      </c>
      <c r="E1221" s="1" t="s">
        <v>42</v>
      </c>
      <c r="G1221" s="1" t="s">
        <v>4316</v>
      </c>
      <c r="H1221" s="1" t="s">
        <v>61</v>
      </c>
      <c r="I1221" s="1" t="s">
        <v>5085</v>
      </c>
      <c r="J1221" s="1">
        <v>2018</v>
      </c>
      <c r="P1221" s="1" t="s">
        <v>4474</v>
      </c>
      <c r="Q1221" s="1" t="s">
        <v>50</v>
      </c>
      <c r="R1221" s="1" t="s">
        <v>68</v>
      </c>
      <c r="S1221" s="1" t="s">
        <v>430</v>
      </c>
      <c r="T1221" s="1" t="s">
        <v>431</v>
      </c>
      <c r="U1221" s="1">
        <v>1</v>
      </c>
      <c r="V1221" s="1" t="s">
        <v>71</v>
      </c>
      <c r="Y1221" s="10">
        <v>43461</v>
      </c>
      <c r="Z1221" s="1">
        <v>2018</v>
      </c>
      <c r="AA1221" s="2"/>
      <c r="AB1221" s="2"/>
      <c r="AC1221" s="2">
        <v>650496.32000000007</v>
      </c>
      <c r="AG1221" s="1" t="s">
        <v>56</v>
      </c>
      <c r="AI1221" s="2">
        <v>650496.32000000007</v>
      </c>
      <c r="AL1221" s="1" t="s">
        <v>4319</v>
      </c>
    </row>
    <row r="1222" spans="1:38" ht="12.6" customHeight="1" x14ac:dyDescent="0.2">
      <c r="A1222" s="1" t="s">
        <v>57</v>
      </c>
      <c r="B1222" s="9" t="s">
        <v>39</v>
      </c>
      <c r="C1222" s="1" t="s">
        <v>58</v>
      </c>
      <c r="D1222" s="1" t="s">
        <v>4315</v>
      </c>
      <c r="E1222" s="1" t="s">
        <v>42</v>
      </c>
      <c r="G1222" s="1" t="s">
        <v>4316</v>
      </c>
      <c r="H1222" s="1" t="s">
        <v>61</v>
      </c>
      <c r="I1222" s="1" t="s">
        <v>5086</v>
      </c>
      <c r="J1222" s="1">
        <v>2018</v>
      </c>
      <c r="P1222" s="1" t="s">
        <v>4474</v>
      </c>
      <c r="Q1222" s="1" t="s">
        <v>50</v>
      </c>
      <c r="R1222" s="1" t="s">
        <v>68</v>
      </c>
      <c r="S1222" s="1" t="s">
        <v>430</v>
      </c>
      <c r="T1222" s="1" t="s">
        <v>431</v>
      </c>
      <c r="U1222" s="1">
        <v>1</v>
      </c>
      <c r="V1222" s="1" t="s">
        <v>71</v>
      </c>
      <c r="Y1222" s="10">
        <v>43461</v>
      </c>
      <c r="Z1222" s="1">
        <v>2018</v>
      </c>
      <c r="AA1222" s="2"/>
      <c r="AB1222" s="2"/>
      <c r="AC1222" s="2">
        <v>444586.17000000004</v>
      </c>
      <c r="AG1222" s="1" t="s">
        <v>56</v>
      </c>
      <c r="AI1222" s="2">
        <v>444586.17000000004</v>
      </c>
      <c r="AL1222" s="1" t="s">
        <v>4319</v>
      </c>
    </row>
    <row r="1223" spans="1:38" ht="12.6" customHeight="1" x14ac:dyDescent="0.2">
      <c r="A1223" s="1" t="s">
        <v>57</v>
      </c>
      <c r="B1223" s="9" t="s">
        <v>39</v>
      </c>
      <c r="C1223" s="1" t="s">
        <v>58</v>
      </c>
      <c r="D1223" s="1" t="s">
        <v>4315</v>
      </c>
      <c r="E1223" s="1" t="s">
        <v>42</v>
      </c>
      <c r="G1223" s="1" t="s">
        <v>4316</v>
      </c>
      <c r="H1223" s="1" t="s">
        <v>61</v>
      </c>
      <c r="I1223" s="1" t="s">
        <v>5087</v>
      </c>
      <c r="J1223" s="1">
        <v>2019</v>
      </c>
      <c r="P1223" s="1" t="s">
        <v>4474</v>
      </c>
      <c r="Q1223" s="1" t="s">
        <v>50</v>
      </c>
      <c r="R1223" s="1" t="s">
        <v>68</v>
      </c>
      <c r="S1223" s="1" t="s">
        <v>430</v>
      </c>
      <c r="T1223" s="1" t="s">
        <v>431</v>
      </c>
      <c r="U1223" s="1">
        <v>1</v>
      </c>
      <c r="V1223" s="1" t="s">
        <v>71</v>
      </c>
      <c r="Y1223" s="10">
        <v>43486</v>
      </c>
      <c r="Z1223" s="1">
        <v>2019</v>
      </c>
      <c r="AA1223" s="2"/>
      <c r="AB1223" s="2"/>
      <c r="AC1223" s="2">
        <v>352291.83</v>
      </c>
      <c r="AG1223" s="1" t="s">
        <v>56</v>
      </c>
      <c r="AI1223" s="2">
        <v>352291.83</v>
      </c>
      <c r="AL1223" s="1" t="s">
        <v>4319</v>
      </c>
    </row>
    <row r="1224" spans="1:38" ht="12.6" customHeight="1" x14ac:dyDescent="0.2">
      <c r="A1224" s="1" t="s">
        <v>57</v>
      </c>
      <c r="B1224" s="9" t="s">
        <v>39</v>
      </c>
      <c r="C1224" s="1" t="s">
        <v>58</v>
      </c>
      <c r="D1224" s="1" t="s">
        <v>4315</v>
      </c>
      <c r="E1224" s="1" t="s">
        <v>42</v>
      </c>
      <c r="G1224" s="1" t="s">
        <v>4316</v>
      </c>
      <c r="H1224" s="1" t="s">
        <v>61</v>
      </c>
      <c r="I1224" s="1" t="s">
        <v>5088</v>
      </c>
      <c r="J1224" s="1">
        <v>2018</v>
      </c>
      <c r="P1224" s="1" t="s">
        <v>4474</v>
      </c>
      <c r="Q1224" s="1" t="s">
        <v>50</v>
      </c>
      <c r="R1224" s="1" t="s">
        <v>68</v>
      </c>
      <c r="S1224" s="1" t="s">
        <v>430</v>
      </c>
      <c r="T1224" s="1" t="s">
        <v>431</v>
      </c>
      <c r="U1224" s="1">
        <v>1</v>
      </c>
      <c r="V1224" s="1" t="s">
        <v>71</v>
      </c>
      <c r="Y1224" s="10">
        <v>43461</v>
      </c>
      <c r="Z1224" s="1">
        <v>2018</v>
      </c>
      <c r="AA1224" s="2"/>
      <c r="AB1224" s="2"/>
      <c r="AC1224" s="2">
        <v>658280.07999999996</v>
      </c>
      <c r="AG1224" s="1" t="s">
        <v>56</v>
      </c>
      <c r="AI1224" s="2">
        <v>658280.07999999996</v>
      </c>
      <c r="AL1224" s="1" t="s">
        <v>4319</v>
      </c>
    </row>
    <row r="1225" spans="1:38" ht="12.6" customHeight="1" x14ac:dyDescent="0.2">
      <c r="A1225" s="1" t="s">
        <v>57</v>
      </c>
      <c r="B1225" s="9" t="s">
        <v>39</v>
      </c>
      <c r="C1225" s="1" t="s">
        <v>58</v>
      </c>
      <c r="D1225" s="1" t="s">
        <v>4315</v>
      </c>
      <c r="E1225" s="1" t="s">
        <v>42</v>
      </c>
      <c r="G1225" s="1" t="s">
        <v>4316</v>
      </c>
      <c r="H1225" s="1" t="s">
        <v>61</v>
      </c>
      <c r="I1225" s="1" t="s">
        <v>5089</v>
      </c>
      <c r="J1225" s="1">
        <v>2018</v>
      </c>
      <c r="P1225" s="1" t="s">
        <v>4474</v>
      </c>
      <c r="Q1225" s="1" t="s">
        <v>50</v>
      </c>
      <c r="R1225" s="1" t="s">
        <v>68</v>
      </c>
      <c r="S1225" s="1" t="s">
        <v>430</v>
      </c>
      <c r="T1225" s="1" t="s">
        <v>431</v>
      </c>
      <c r="U1225" s="1">
        <v>1</v>
      </c>
      <c r="V1225" s="1" t="s">
        <v>71</v>
      </c>
      <c r="Y1225" s="10">
        <v>43459</v>
      </c>
      <c r="Z1225" s="1">
        <v>2018</v>
      </c>
      <c r="AA1225" s="2"/>
      <c r="AB1225" s="2"/>
      <c r="AC1225" s="2">
        <v>539555.32000000007</v>
      </c>
      <c r="AG1225" s="1" t="s">
        <v>56</v>
      </c>
      <c r="AI1225" s="2">
        <v>539555.32000000007</v>
      </c>
      <c r="AL1225" s="1" t="s">
        <v>4319</v>
      </c>
    </row>
    <row r="1226" spans="1:38" ht="12.6" customHeight="1" x14ac:dyDescent="0.2">
      <c r="A1226" s="1" t="s">
        <v>57</v>
      </c>
      <c r="B1226" s="9" t="s">
        <v>39</v>
      </c>
      <c r="C1226" s="1" t="s">
        <v>58</v>
      </c>
      <c r="D1226" s="1" t="s">
        <v>4315</v>
      </c>
      <c r="E1226" s="1" t="s">
        <v>42</v>
      </c>
      <c r="G1226" s="1" t="s">
        <v>4316</v>
      </c>
      <c r="H1226" s="1" t="s">
        <v>61</v>
      </c>
      <c r="I1226" s="1" t="s">
        <v>5090</v>
      </c>
      <c r="J1226" s="1">
        <v>2018</v>
      </c>
      <c r="P1226" s="1" t="s">
        <v>4474</v>
      </c>
      <c r="Q1226" s="1" t="s">
        <v>50</v>
      </c>
      <c r="R1226" s="1" t="s">
        <v>68</v>
      </c>
      <c r="S1226" s="1" t="s">
        <v>430</v>
      </c>
      <c r="T1226" s="1" t="s">
        <v>431</v>
      </c>
      <c r="U1226" s="1">
        <v>1</v>
      </c>
      <c r="V1226" s="1" t="s">
        <v>71</v>
      </c>
      <c r="Y1226" s="10">
        <v>43461</v>
      </c>
      <c r="Z1226" s="1">
        <v>2018</v>
      </c>
      <c r="AA1226" s="2"/>
      <c r="AB1226" s="2"/>
      <c r="AC1226" s="2">
        <v>364456.16000000003</v>
      </c>
      <c r="AG1226" s="1" t="s">
        <v>56</v>
      </c>
      <c r="AI1226" s="2">
        <v>364456.16000000003</v>
      </c>
      <c r="AL1226" s="1" t="s">
        <v>4319</v>
      </c>
    </row>
    <row r="1227" spans="1:38" ht="12.6" customHeight="1" x14ac:dyDescent="0.2">
      <c r="A1227" s="1" t="s">
        <v>57</v>
      </c>
      <c r="B1227" s="9" t="s">
        <v>39</v>
      </c>
      <c r="C1227" s="1" t="s">
        <v>58</v>
      </c>
      <c r="D1227" s="1" t="s">
        <v>4315</v>
      </c>
      <c r="E1227" s="1" t="s">
        <v>42</v>
      </c>
      <c r="G1227" s="1" t="s">
        <v>4316</v>
      </c>
      <c r="H1227" s="1" t="s">
        <v>61</v>
      </c>
      <c r="I1227" s="1" t="s">
        <v>5091</v>
      </c>
      <c r="J1227" s="1">
        <v>2018</v>
      </c>
      <c r="P1227" s="1" t="s">
        <v>4474</v>
      </c>
      <c r="Q1227" s="1" t="s">
        <v>50</v>
      </c>
      <c r="R1227" s="1" t="s">
        <v>68</v>
      </c>
      <c r="S1227" s="1" t="s">
        <v>430</v>
      </c>
      <c r="T1227" s="1" t="s">
        <v>431</v>
      </c>
      <c r="U1227" s="1">
        <v>1</v>
      </c>
      <c r="V1227" s="1" t="s">
        <v>71</v>
      </c>
      <c r="Y1227" s="10">
        <v>43461</v>
      </c>
      <c r="Z1227" s="1">
        <v>2018</v>
      </c>
      <c r="AA1227" s="2"/>
      <c r="AB1227" s="2"/>
      <c r="AC1227" s="2">
        <v>185516.29</v>
      </c>
      <c r="AG1227" s="1" t="s">
        <v>56</v>
      </c>
      <c r="AI1227" s="2">
        <v>185516.29</v>
      </c>
      <c r="AL1227" s="1" t="s">
        <v>4319</v>
      </c>
    </row>
    <row r="1228" spans="1:38" ht="12.6" customHeight="1" x14ac:dyDescent="0.2">
      <c r="A1228" s="1" t="s">
        <v>57</v>
      </c>
      <c r="B1228" s="9" t="s">
        <v>39</v>
      </c>
      <c r="C1228" s="1" t="s">
        <v>58</v>
      </c>
      <c r="D1228" s="1" t="s">
        <v>4315</v>
      </c>
      <c r="E1228" s="1" t="s">
        <v>42</v>
      </c>
      <c r="G1228" s="1" t="s">
        <v>4316</v>
      </c>
      <c r="H1228" s="1" t="s">
        <v>61</v>
      </c>
      <c r="I1228" s="1" t="s">
        <v>5092</v>
      </c>
      <c r="J1228" s="1">
        <v>2021</v>
      </c>
      <c r="P1228" s="1" t="s">
        <v>4474</v>
      </c>
      <c r="Q1228" s="1" t="s">
        <v>50</v>
      </c>
      <c r="R1228" s="1" t="s">
        <v>77</v>
      </c>
      <c r="S1228" s="1" t="s">
        <v>198</v>
      </c>
      <c r="T1228" s="1" t="s">
        <v>199</v>
      </c>
      <c r="U1228" s="1">
        <v>1</v>
      </c>
      <c r="V1228" s="1" t="s">
        <v>186</v>
      </c>
      <c r="Y1228" s="10">
        <v>43471</v>
      </c>
      <c r="Z1228" s="1">
        <v>2019</v>
      </c>
      <c r="AA1228" s="2"/>
      <c r="AB1228" s="2"/>
      <c r="AC1228" s="2">
        <v>330552.99</v>
      </c>
      <c r="AG1228" s="1" t="s">
        <v>56</v>
      </c>
      <c r="AI1228" s="2">
        <v>330552.99</v>
      </c>
      <c r="AL1228" s="1" t="s">
        <v>4319</v>
      </c>
    </row>
    <row r="1229" spans="1:38" ht="12.6" customHeight="1" x14ac:dyDescent="0.2">
      <c r="A1229" s="1" t="s">
        <v>57</v>
      </c>
      <c r="B1229" s="9" t="s">
        <v>39</v>
      </c>
      <c r="C1229" s="1" t="s">
        <v>58</v>
      </c>
      <c r="D1229" s="1" t="s">
        <v>4315</v>
      </c>
      <c r="E1229" s="1" t="s">
        <v>42</v>
      </c>
      <c r="G1229" s="1" t="s">
        <v>4316</v>
      </c>
      <c r="H1229" s="1" t="s">
        <v>61</v>
      </c>
      <c r="I1229" s="1" t="s">
        <v>5093</v>
      </c>
      <c r="J1229" s="1">
        <v>2019</v>
      </c>
      <c r="P1229" s="1" t="s">
        <v>4471</v>
      </c>
      <c r="Q1229" s="1" t="s">
        <v>50</v>
      </c>
      <c r="R1229" s="1" t="s">
        <v>68</v>
      </c>
      <c r="S1229" s="1" t="s">
        <v>425</v>
      </c>
      <c r="T1229" s="1" t="s">
        <v>426</v>
      </c>
      <c r="U1229" s="1">
        <v>1</v>
      </c>
      <c r="V1229" s="1" t="s">
        <v>195</v>
      </c>
      <c r="Y1229" s="10">
        <v>43466</v>
      </c>
      <c r="Z1229" s="1">
        <v>2019</v>
      </c>
      <c r="AA1229" s="2"/>
      <c r="AB1229" s="2"/>
      <c r="AC1229" s="2">
        <v>653936.09</v>
      </c>
      <c r="AG1229" s="1" t="s">
        <v>56</v>
      </c>
      <c r="AI1229" s="2">
        <v>653936.09</v>
      </c>
      <c r="AL1229" s="1" t="s">
        <v>4319</v>
      </c>
    </row>
    <row r="1230" spans="1:38" ht="12.6" customHeight="1" x14ac:dyDescent="0.2">
      <c r="A1230" s="1" t="s">
        <v>57</v>
      </c>
      <c r="B1230" s="9" t="s">
        <v>39</v>
      </c>
      <c r="C1230" s="1" t="s">
        <v>58</v>
      </c>
      <c r="D1230" s="1" t="s">
        <v>4315</v>
      </c>
      <c r="E1230" s="1" t="s">
        <v>42</v>
      </c>
      <c r="G1230" s="1" t="s">
        <v>4316</v>
      </c>
      <c r="H1230" s="1" t="s">
        <v>61</v>
      </c>
      <c r="I1230" s="1" t="s">
        <v>5094</v>
      </c>
      <c r="J1230" s="1">
        <v>2019</v>
      </c>
      <c r="P1230" s="1" t="s">
        <v>4471</v>
      </c>
      <c r="Q1230" s="1" t="s">
        <v>50</v>
      </c>
      <c r="R1230" s="1" t="s">
        <v>68</v>
      </c>
      <c r="S1230" s="1" t="s">
        <v>425</v>
      </c>
      <c r="T1230" s="1" t="s">
        <v>426</v>
      </c>
      <c r="U1230" s="1">
        <v>1</v>
      </c>
      <c r="V1230" s="1" t="s">
        <v>195</v>
      </c>
      <c r="Y1230" s="10">
        <v>43466</v>
      </c>
      <c r="Z1230" s="1">
        <v>2019</v>
      </c>
      <c r="AA1230" s="2"/>
      <c r="AB1230" s="2"/>
      <c r="AC1230" s="2">
        <v>518535.76</v>
      </c>
      <c r="AG1230" s="1" t="s">
        <v>56</v>
      </c>
      <c r="AI1230" s="2">
        <v>518535.76</v>
      </c>
      <c r="AL1230" s="1" t="s">
        <v>4319</v>
      </c>
    </row>
    <row r="1231" spans="1:38" ht="12.6" customHeight="1" x14ac:dyDescent="0.2">
      <c r="A1231" s="1" t="s">
        <v>57</v>
      </c>
      <c r="B1231" s="9" t="s">
        <v>39</v>
      </c>
      <c r="C1231" s="1" t="s">
        <v>58</v>
      </c>
      <c r="D1231" s="1" t="s">
        <v>4315</v>
      </c>
      <c r="E1231" s="1" t="s">
        <v>42</v>
      </c>
      <c r="G1231" s="1" t="s">
        <v>4316</v>
      </c>
      <c r="H1231" s="1" t="s">
        <v>61</v>
      </c>
      <c r="I1231" s="1" t="s">
        <v>5095</v>
      </c>
      <c r="J1231" s="1">
        <v>2019</v>
      </c>
      <c r="P1231" s="1" t="s">
        <v>4471</v>
      </c>
      <c r="Q1231" s="1" t="s">
        <v>50</v>
      </c>
      <c r="R1231" s="1" t="s">
        <v>68</v>
      </c>
      <c r="S1231" s="1" t="s">
        <v>425</v>
      </c>
      <c r="T1231" s="1" t="s">
        <v>426</v>
      </c>
      <c r="U1231" s="1">
        <v>1</v>
      </c>
      <c r="V1231" s="1" t="s">
        <v>195</v>
      </c>
      <c r="Y1231" s="10">
        <v>43466</v>
      </c>
      <c r="Z1231" s="1">
        <v>2019</v>
      </c>
      <c r="AA1231" s="2"/>
      <c r="AB1231" s="2"/>
      <c r="AC1231" s="2">
        <v>568858.25</v>
      </c>
      <c r="AG1231" s="1" t="s">
        <v>56</v>
      </c>
      <c r="AI1231" s="2">
        <v>568858.25</v>
      </c>
      <c r="AL1231" s="1" t="s">
        <v>4319</v>
      </c>
    </row>
    <row r="1232" spans="1:38" ht="12.6" customHeight="1" x14ac:dyDescent="0.2">
      <c r="A1232" s="1" t="s">
        <v>57</v>
      </c>
      <c r="B1232" s="9" t="s">
        <v>39</v>
      </c>
      <c r="C1232" s="1" t="s">
        <v>58</v>
      </c>
      <c r="D1232" s="1" t="s">
        <v>4315</v>
      </c>
      <c r="E1232" s="1" t="s">
        <v>42</v>
      </c>
      <c r="G1232" s="1" t="s">
        <v>4316</v>
      </c>
      <c r="H1232" s="1" t="s">
        <v>61</v>
      </c>
      <c r="I1232" s="1" t="s">
        <v>5096</v>
      </c>
      <c r="J1232" s="1">
        <v>2019</v>
      </c>
      <c r="P1232" s="1" t="s">
        <v>4471</v>
      </c>
      <c r="Q1232" s="1" t="s">
        <v>50</v>
      </c>
      <c r="R1232" s="1" t="s">
        <v>68</v>
      </c>
      <c r="S1232" s="1" t="s">
        <v>425</v>
      </c>
      <c r="T1232" s="1" t="s">
        <v>426</v>
      </c>
      <c r="U1232" s="1">
        <v>1</v>
      </c>
      <c r="V1232" s="1" t="s">
        <v>195</v>
      </c>
      <c r="Y1232" s="10">
        <v>43466</v>
      </c>
      <c r="Z1232" s="1">
        <v>2019</v>
      </c>
      <c r="AA1232" s="2"/>
      <c r="AB1232" s="2"/>
      <c r="AC1232" s="2">
        <v>553194.42000000004</v>
      </c>
      <c r="AG1232" s="1" t="s">
        <v>56</v>
      </c>
      <c r="AI1232" s="2">
        <v>553194.42000000004</v>
      </c>
      <c r="AL1232" s="1" t="s">
        <v>4319</v>
      </c>
    </row>
    <row r="1233" spans="1:38" ht="12.6" customHeight="1" x14ac:dyDescent="0.2">
      <c r="A1233" s="1" t="s">
        <v>57</v>
      </c>
      <c r="B1233" s="9" t="s">
        <v>39</v>
      </c>
      <c r="C1233" s="1" t="s">
        <v>58</v>
      </c>
      <c r="D1233" s="1" t="s">
        <v>4315</v>
      </c>
      <c r="E1233" s="1" t="s">
        <v>42</v>
      </c>
      <c r="G1233" s="1" t="s">
        <v>4316</v>
      </c>
      <c r="H1233" s="1" t="s">
        <v>61</v>
      </c>
      <c r="I1233" s="1" t="s">
        <v>5097</v>
      </c>
      <c r="J1233" s="1">
        <v>2019</v>
      </c>
      <c r="P1233" s="1" t="s">
        <v>4471</v>
      </c>
      <c r="Q1233" s="1" t="s">
        <v>50</v>
      </c>
      <c r="R1233" s="1" t="s">
        <v>68</v>
      </c>
      <c r="S1233" s="1" t="s">
        <v>425</v>
      </c>
      <c r="T1233" s="1" t="s">
        <v>426</v>
      </c>
      <c r="U1233" s="1">
        <v>1</v>
      </c>
      <c r="V1233" s="1" t="s">
        <v>195</v>
      </c>
      <c r="Y1233" s="10">
        <v>43466</v>
      </c>
      <c r="Z1233" s="1">
        <v>2019</v>
      </c>
      <c r="AA1233" s="2"/>
      <c r="AB1233" s="2"/>
      <c r="AC1233" s="2">
        <v>583412.57000000007</v>
      </c>
      <c r="AG1233" s="1" t="s">
        <v>56</v>
      </c>
      <c r="AI1233" s="2">
        <v>583412.57000000007</v>
      </c>
      <c r="AL1233" s="1" t="s">
        <v>4319</v>
      </c>
    </row>
    <row r="1234" spans="1:38" ht="12.6" customHeight="1" x14ac:dyDescent="0.2">
      <c r="A1234" s="1" t="s">
        <v>57</v>
      </c>
      <c r="B1234" s="9" t="s">
        <v>39</v>
      </c>
      <c r="C1234" s="1" t="s">
        <v>58</v>
      </c>
      <c r="D1234" s="1" t="s">
        <v>4315</v>
      </c>
      <c r="E1234" s="1" t="s">
        <v>42</v>
      </c>
      <c r="G1234" s="1" t="s">
        <v>4316</v>
      </c>
      <c r="H1234" s="1" t="s">
        <v>61</v>
      </c>
      <c r="I1234" s="1" t="s">
        <v>5098</v>
      </c>
      <c r="J1234" s="1">
        <v>2019</v>
      </c>
      <c r="P1234" s="1" t="s">
        <v>4471</v>
      </c>
      <c r="Q1234" s="1" t="s">
        <v>50</v>
      </c>
      <c r="R1234" s="1" t="s">
        <v>68</v>
      </c>
      <c r="S1234" s="1" t="s">
        <v>425</v>
      </c>
      <c r="T1234" s="1" t="s">
        <v>426</v>
      </c>
      <c r="U1234" s="1">
        <v>1</v>
      </c>
      <c r="V1234" s="1" t="s">
        <v>195</v>
      </c>
      <c r="Y1234" s="10">
        <v>43466</v>
      </c>
      <c r="Z1234" s="1">
        <v>2019</v>
      </c>
      <c r="AA1234" s="2"/>
      <c r="AB1234" s="2"/>
      <c r="AC1234" s="2">
        <v>374169.52</v>
      </c>
      <c r="AG1234" s="1" t="s">
        <v>56</v>
      </c>
      <c r="AI1234" s="2">
        <v>374169.52</v>
      </c>
      <c r="AL1234" s="1" t="s">
        <v>4319</v>
      </c>
    </row>
    <row r="1235" spans="1:38" ht="12.6" customHeight="1" x14ac:dyDescent="0.2">
      <c r="A1235" s="1" t="s">
        <v>57</v>
      </c>
      <c r="B1235" s="9" t="s">
        <v>39</v>
      </c>
      <c r="C1235" s="1" t="s">
        <v>58</v>
      </c>
      <c r="D1235" s="1" t="s">
        <v>4315</v>
      </c>
      <c r="E1235" s="1" t="s">
        <v>42</v>
      </c>
      <c r="G1235" s="1" t="s">
        <v>4316</v>
      </c>
      <c r="H1235" s="1" t="s">
        <v>61</v>
      </c>
      <c r="I1235" s="1" t="s">
        <v>5099</v>
      </c>
      <c r="J1235" s="1">
        <v>2019</v>
      </c>
      <c r="P1235" s="1" t="s">
        <v>4471</v>
      </c>
      <c r="Q1235" s="1" t="s">
        <v>50</v>
      </c>
      <c r="R1235" s="1" t="s">
        <v>68</v>
      </c>
      <c r="S1235" s="1" t="s">
        <v>425</v>
      </c>
      <c r="T1235" s="1" t="s">
        <v>426</v>
      </c>
      <c r="U1235" s="1">
        <v>1</v>
      </c>
      <c r="V1235" s="1" t="s">
        <v>195</v>
      </c>
      <c r="Y1235" s="10">
        <v>43466</v>
      </c>
      <c r="Z1235" s="1">
        <v>2019</v>
      </c>
      <c r="AA1235" s="2"/>
      <c r="AB1235" s="2"/>
      <c r="AC1235" s="2">
        <v>141698.82</v>
      </c>
      <c r="AG1235" s="1" t="s">
        <v>56</v>
      </c>
      <c r="AI1235" s="2">
        <v>141698.82</v>
      </c>
      <c r="AL1235" s="1" t="s">
        <v>4319</v>
      </c>
    </row>
    <row r="1236" spans="1:38" ht="12.6" customHeight="1" x14ac:dyDescent="0.2">
      <c r="A1236" s="1" t="s">
        <v>57</v>
      </c>
      <c r="B1236" s="9" t="s">
        <v>39</v>
      </c>
      <c r="C1236" s="1" t="s">
        <v>58</v>
      </c>
      <c r="D1236" s="1" t="s">
        <v>4315</v>
      </c>
      <c r="E1236" s="1" t="s">
        <v>42</v>
      </c>
      <c r="G1236" s="1" t="s">
        <v>4316</v>
      </c>
      <c r="H1236" s="1" t="s">
        <v>61</v>
      </c>
      <c r="I1236" s="1" t="s">
        <v>5100</v>
      </c>
      <c r="J1236" s="1">
        <v>2019</v>
      </c>
      <c r="P1236" s="1" t="s">
        <v>4471</v>
      </c>
      <c r="Q1236" s="1" t="s">
        <v>50</v>
      </c>
      <c r="R1236" s="1" t="s">
        <v>68</v>
      </c>
      <c r="S1236" s="1" t="s">
        <v>425</v>
      </c>
      <c r="T1236" s="1" t="s">
        <v>426</v>
      </c>
      <c r="U1236" s="1">
        <v>1</v>
      </c>
      <c r="V1236" s="1" t="s">
        <v>195</v>
      </c>
      <c r="Y1236" s="10">
        <v>43466</v>
      </c>
      <c r="Z1236" s="1">
        <v>2019</v>
      </c>
      <c r="AA1236" s="2"/>
      <c r="AB1236" s="2"/>
      <c r="AC1236" s="2">
        <v>484258.33000000007</v>
      </c>
      <c r="AG1236" s="1" t="s">
        <v>56</v>
      </c>
      <c r="AI1236" s="2">
        <v>484258.33000000007</v>
      </c>
      <c r="AL1236" s="1" t="s">
        <v>4319</v>
      </c>
    </row>
    <row r="1237" spans="1:38" ht="12.6" customHeight="1" x14ac:dyDescent="0.2">
      <c r="A1237" s="1" t="s">
        <v>57</v>
      </c>
      <c r="B1237" s="9" t="s">
        <v>39</v>
      </c>
      <c r="C1237" s="1" t="s">
        <v>58</v>
      </c>
      <c r="D1237" s="1" t="s">
        <v>4315</v>
      </c>
      <c r="E1237" s="1" t="s">
        <v>42</v>
      </c>
      <c r="G1237" s="1" t="s">
        <v>4316</v>
      </c>
      <c r="H1237" s="1" t="s">
        <v>61</v>
      </c>
      <c r="I1237" s="1" t="s">
        <v>5101</v>
      </c>
      <c r="J1237" s="1">
        <v>2021</v>
      </c>
      <c r="P1237" s="1" t="s">
        <v>4471</v>
      </c>
      <c r="Q1237" s="1" t="s">
        <v>50</v>
      </c>
      <c r="R1237" s="1" t="s">
        <v>68</v>
      </c>
      <c r="S1237" s="1" t="s">
        <v>425</v>
      </c>
      <c r="T1237" s="1" t="s">
        <v>426</v>
      </c>
      <c r="U1237" s="1">
        <v>1</v>
      </c>
      <c r="V1237" s="1" t="s">
        <v>195</v>
      </c>
      <c r="Y1237" s="10">
        <v>44317</v>
      </c>
      <c r="Z1237" s="1">
        <v>2021</v>
      </c>
      <c r="AA1237" s="2"/>
      <c r="AB1237" s="2"/>
      <c r="AC1237" s="2">
        <v>707416.6</v>
      </c>
      <c r="AG1237" s="1" t="s">
        <v>56</v>
      </c>
      <c r="AI1237" s="2">
        <v>707416.6</v>
      </c>
      <c r="AL1237" s="1" t="s">
        <v>4319</v>
      </c>
    </row>
    <row r="1238" spans="1:38" ht="12.6" customHeight="1" x14ac:dyDescent="0.2">
      <c r="A1238" s="1" t="s">
        <v>57</v>
      </c>
      <c r="B1238" s="9" t="s">
        <v>39</v>
      </c>
      <c r="C1238" s="1" t="s">
        <v>58</v>
      </c>
      <c r="D1238" s="1" t="s">
        <v>4315</v>
      </c>
      <c r="E1238" s="1" t="s">
        <v>42</v>
      </c>
      <c r="G1238" s="1" t="s">
        <v>4316</v>
      </c>
      <c r="H1238" s="1" t="s">
        <v>61</v>
      </c>
      <c r="I1238" s="1" t="s">
        <v>5102</v>
      </c>
      <c r="J1238" s="1">
        <v>2019</v>
      </c>
      <c r="P1238" s="1" t="s">
        <v>4471</v>
      </c>
      <c r="Q1238" s="1" t="s">
        <v>50</v>
      </c>
      <c r="R1238" s="1" t="s">
        <v>68</v>
      </c>
      <c r="S1238" s="1" t="s">
        <v>425</v>
      </c>
      <c r="T1238" s="1" t="s">
        <v>426</v>
      </c>
      <c r="U1238" s="1">
        <v>1</v>
      </c>
      <c r="V1238" s="1" t="s">
        <v>195</v>
      </c>
      <c r="Y1238" s="10">
        <v>43800</v>
      </c>
      <c r="Z1238" s="1">
        <v>2019</v>
      </c>
      <c r="AA1238" s="2"/>
      <c r="AB1238" s="2"/>
      <c r="AC1238" s="2">
        <v>761693.16999999993</v>
      </c>
      <c r="AG1238" s="1" t="s">
        <v>56</v>
      </c>
      <c r="AI1238" s="2">
        <v>761693.16999999993</v>
      </c>
      <c r="AL1238" s="1" t="s">
        <v>4319</v>
      </c>
    </row>
    <row r="1239" spans="1:38" ht="12.6" customHeight="1" x14ac:dyDescent="0.2">
      <c r="A1239" s="1" t="s">
        <v>57</v>
      </c>
      <c r="B1239" s="9" t="s">
        <v>39</v>
      </c>
      <c r="C1239" s="1" t="s">
        <v>58</v>
      </c>
      <c r="D1239" s="1" t="s">
        <v>4315</v>
      </c>
      <c r="E1239" s="1" t="s">
        <v>42</v>
      </c>
      <c r="G1239" s="1" t="s">
        <v>4316</v>
      </c>
      <c r="H1239" s="1" t="s">
        <v>61</v>
      </c>
      <c r="I1239" s="1" t="s">
        <v>5103</v>
      </c>
      <c r="J1239" s="1">
        <v>2019</v>
      </c>
      <c r="P1239" s="1" t="s">
        <v>4471</v>
      </c>
      <c r="Q1239" s="1" t="s">
        <v>50</v>
      </c>
      <c r="R1239" s="1" t="s">
        <v>68</v>
      </c>
      <c r="S1239" s="1" t="s">
        <v>425</v>
      </c>
      <c r="T1239" s="1" t="s">
        <v>426</v>
      </c>
      <c r="U1239" s="1">
        <v>1</v>
      </c>
      <c r="V1239" s="1" t="s">
        <v>195</v>
      </c>
      <c r="Y1239" s="10">
        <v>43800</v>
      </c>
      <c r="Z1239" s="1">
        <v>2019</v>
      </c>
      <c r="AA1239" s="2"/>
      <c r="AB1239" s="2"/>
      <c r="AC1239" s="2">
        <v>599196.84000000008</v>
      </c>
      <c r="AG1239" s="1" t="s">
        <v>56</v>
      </c>
      <c r="AI1239" s="2">
        <v>599196.84000000008</v>
      </c>
      <c r="AL1239" s="1" t="s">
        <v>4319</v>
      </c>
    </row>
    <row r="1240" spans="1:38" ht="12.6" customHeight="1" x14ac:dyDescent="0.2">
      <c r="A1240" s="1" t="s">
        <v>57</v>
      </c>
      <c r="B1240" s="9" t="s">
        <v>39</v>
      </c>
      <c r="C1240" s="1" t="s">
        <v>58</v>
      </c>
      <c r="D1240" s="1" t="s">
        <v>4315</v>
      </c>
      <c r="E1240" s="1" t="s">
        <v>42</v>
      </c>
      <c r="G1240" s="1" t="s">
        <v>4316</v>
      </c>
      <c r="H1240" s="1" t="s">
        <v>61</v>
      </c>
      <c r="I1240" s="1" t="s">
        <v>5104</v>
      </c>
      <c r="J1240" s="1">
        <v>2019</v>
      </c>
      <c r="P1240" s="1" t="s">
        <v>4471</v>
      </c>
      <c r="Q1240" s="1" t="s">
        <v>50</v>
      </c>
      <c r="R1240" s="1" t="s">
        <v>68</v>
      </c>
      <c r="S1240" s="1" t="s">
        <v>425</v>
      </c>
      <c r="T1240" s="1" t="s">
        <v>426</v>
      </c>
      <c r="U1240" s="1">
        <v>1</v>
      </c>
      <c r="V1240" s="1" t="s">
        <v>195</v>
      </c>
      <c r="Y1240" s="10">
        <v>43466</v>
      </c>
      <c r="Z1240" s="1">
        <v>2019</v>
      </c>
      <c r="AA1240" s="2"/>
      <c r="AB1240" s="2"/>
      <c r="AC1240" s="2">
        <v>629315.83999999997</v>
      </c>
      <c r="AG1240" s="1" t="s">
        <v>56</v>
      </c>
      <c r="AI1240" s="2">
        <v>629315.83999999997</v>
      </c>
      <c r="AL1240" s="1" t="s">
        <v>4319</v>
      </c>
    </row>
    <row r="1241" spans="1:38" ht="12.6" customHeight="1" x14ac:dyDescent="0.2">
      <c r="A1241" s="1" t="s">
        <v>57</v>
      </c>
      <c r="B1241" s="9" t="s">
        <v>39</v>
      </c>
      <c r="C1241" s="1" t="s">
        <v>58</v>
      </c>
      <c r="D1241" s="1" t="s">
        <v>4315</v>
      </c>
      <c r="E1241" s="1" t="s">
        <v>42</v>
      </c>
      <c r="G1241" s="1" t="s">
        <v>4316</v>
      </c>
      <c r="H1241" s="1" t="s">
        <v>61</v>
      </c>
      <c r="I1241" s="1" t="s">
        <v>5105</v>
      </c>
      <c r="J1241" s="1">
        <v>2019</v>
      </c>
      <c r="P1241" s="1" t="s">
        <v>4471</v>
      </c>
      <c r="Q1241" s="1" t="s">
        <v>50</v>
      </c>
      <c r="R1241" s="1" t="s">
        <v>68</v>
      </c>
      <c r="S1241" s="1" t="s">
        <v>425</v>
      </c>
      <c r="T1241" s="1" t="s">
        <v>426</v>
      </c>
      <c r="U1241" s="1">
        <v>1</v>
      </c>
      <c r="V1241" s="1" t="s">
        <v>195</v>
      </c>
      <c r="Y1241" s="10">
        <v>43466</v>
      </c>
      <c r="Z1241" s="1">
        <v>2019</v>
      </c>
      <c r="AA1241" s="2"/>
      <c r="AB1241" s="2"/>
      <c r="AC1241" s="2">
        <v>539089.87999999989</v>
      </c>
      <c r="AG1241" s="1" t="s">
        <v>56</v>
      </c>
      <c r="AI1241" s="2">
        <v>539089.87999999989</v>
      </c>
      <c r="AL1241" s="1" t="s">
        <v>4319</v>
      </c>
    </row>
    <row r="1242" spans="1:38" ht="12.6" customHeight="1" x14ac:dyDescent="0.2">
      <c r="A1242" s="1" t="s">
        <v>57</v>
      </c>
      <c r="B1242" s="9" t="s">
        <v>39</v>
      </c>
      <c r="C1242" s="1" t="s">
        <v>58</v>
      </c>
      <c r="D1242" s="1" t="s">
        <v>4315</v>
      </c>
      <c r="E1242" s="1" t="s">
        <v>42</v>
      </c>
      <c r="G1242" s="1" t="s">
        <v>4316</v>
      </c>
      <c r="H1242" s="1" t="s">
        <v>61</v>
      </c>
      <c r="I1242" s="1" t="s">
        <v>5106</v>
      </c>
      <c r="J1242" s="1">
        <v>2019</v>
      </c>
      <c r="P1242" s="1" t="s">
        <v>4471</v>
      </c>
      <c r="Q1242" s="1" t="s">
        <v>50</v>
      </c>
      <c r="R1242" s="1" t="s">
        <v>68</v>
      </c>
      <c r="S1242" s="1" t="s">
        <v>425</v>
      </c>
      <c r="T1242" s="1" t="s">
        <v>426</v>
      </c>
      <c r="U1242" s="1">
        <v>1</v>
      </c>
      <c r="V1242" s="1" t="s">
        <v>195</v>
      </c>
      <c r="Y1242" s="10">
        <v>43466</v>
      </c>
      <c r="Z1242" s="1">
        <v>2019</v>
      </c>
      <c r="AA1242" s="2"/>
      <c r="AB1242" s="2"/>
      <c r="AC1242" s="2">
        <v>657624.27000000014</v>
      </c>
      <c r="AG1242" s="1" t="s">
        <v>56</v>
      </c>
      <c r="AI1242" s="2">
        <v>657624.27000000014</v>
      </c>
      <c r="AL1242" s="1" t="s">
        <v>4319</v>
      </c>
    </row>
    <row r="1243" spans="1:38" ht="12.6" customHeight="1" x14ac:dyDescent="0.2">
      <c r="A1243" s="1" t="s">
        <v>57</v>
      </c>
      <c r="B1243" s="9" t="s">
        <v>39</v>
      </c>
      <c r="C1243" s="1" t="s">
        <v>58</v>
      </c>
      <c r="D1243" s="1" t="s">
        <v>4315</v>
      </c>
      <c r="E1243" s="1" t="s">
        <v>42</v>
      </c>
      <c r="G1243" s="1" t="s">
        <v>4340</v>
      </c>
      <c r="H1243" s="1" t="s">
        <v>61</v>
      </c>
      <c r="I1243" s="1" t="s">
        <v>5107</v>
      </c>
      <c r="J1243" s="1">
        <v>2020</v>
      </c>
      <c r="P1243" s="1" t="s">
        <v>4471</v>
      </c>
      <c r="Q1243" s="1" t="s">
        <v>50</v>
      </c>
      <c r="R1243" s="1" t="s">
        <v>68</v>
      </c>
      <c r="S1243" s="1" t="s">
        <v>425</v>
      </c>
      <c r="T1243" s="1" t="s">
        <v>426</v>
      </c>
      <c r="U1243" s="1">
        <v>1</v>
      </c>
      <c r="V1243" s="1" t="s">
        <v>195</v>
      </c>
      <c r="Y1243" s="10">
        <v>44008</v>
      </c>
      <c r="Z1243" s="1">
        <v>2020</v>
      </c>
      <c r="AA1243" s="2"/>
      <c r="AB1243" s="2"/>
      <c r="AC1243" s="2">
        <v>21286.15</v>
      </c>
      <c r="AG1243" s="1" t="s">
        <v>56</v>
      </c>
      <c r="AI1243" s="2">
        <v>21286.15</v>
      </c>
    </row>
    <row r="1244" spans="1:38" ht="12.6" customHeight="1" x14ac:dyDescent="0.2">
      <c r="A1244" s="1" t="s">
        <v>57</v>
      </c>
      <c r="B1244" s="9" t="s">
        <v>39</v>
      </c>
      <c r="C1244" s="1" t="s">
        <v>58</v>
      </c>
      <c r="D1244" s="1" t="s">
        <v>4315</v>
      </c>
      <c r="E1244" s="1" t="s">
        <v>42</v>
      </c>
      <c r="G1244" s="1" t="s">
        <v>4316</v>
      </c>
      <c r="H1244" s="1" t="s">
        <v>61</v>
      </c>
      <c r="I1244" s="1" t="s">
        <v>5108</v>
      </c>
      <c r="J1244" s="1">
        <v>2018</v>
      </c>
      <c r="P1244" s="1" t="s">
        <v>4474</v>
      </c>
      <c r="Q1244" s="1" t="s">
        <v>50</v>
      </c>
      <c r="R1244" s="1" t="s">
        <v>68</v>
      </c>
      <c r="S1244" s="1" t="s">
        <v>430</v>
      </c>
      <c r="T1244" s="1" t="s">
        <v>431</v>
      </c>
      <c r="U1244" s="1">
        <v>1</v>
      </c>
      <c r="V1244" s="1" t="s">
        <v>71</v>
      </c>
      <c r="Y1244" s="10">
        <v>43461</v>
      </c>
      <c r="Z1244" s="1">
        <v>2018</v>
      </c>
      <c r="AA1244" s="2"/>
      <c r="AB1244" s="2"/>
      <c r="AC1244" s="2">
        <v>414630.75000000006</v>
      </c>
      <c r="AG1244" s="1" t="s">
        <v>56</v>
      </c>
      <c r="AI1244" s="2">
        <v>414630.75000000006</v>
      </c>
      <c r="AL1244" s="1" t="s">
        <v>4319</v>
      </c>
    </row>
    <row r="1245" spans="1:38" ht="12.6" customHeight="1" x14ac:dyDescent="0.2">
      <c r="A1245" s="1" t="s">
        <v>57</v>
      </c>
      <c r="B1245" s="9" t="s">
        <v>39</v>
      </c>
      <c r="C1245" s="1" t="s">
        <v>58</v>
      </c>
      <c r="D1245" s="1" t="s">
        <v>4315</v>
      </c>
      <c r="E1245" s="1" t="s">
        <v>42</v>
      </c>
      <c r="G1245" s="1" t="s">
        <v>4316</v>
      </c>
      <c r="H1245" s="1" t="s">
        <v>61</v>
      </c>
      <c r="I1245" s="1" t="s">
        <v>5109</v>
      </c>
      <c r="J1245" s="1">
        <v>2021</v>
      </c>
      <c r="P1245" s="1" t="s">
        <v>4979</v>
      </c>
      <c r="Q1245" s="1" t="s">
        <v>50</v>
      </c>
      <c r="R1245" s="1" t="s">
        <v>68</v>
      </c>
      <c r="S1245" s="1" t="s">
        <v>189</v>
      </c>
      <c r="T1245" s="1" t="s">
        <v>190</v>
      </c>
      <c r="U1245" s="1">
        <v>1</v>
      </c>
      <c r="V1245" s="1" t="s">
        <v>71</v>
      </c>
      <c r="Y1245" s="10">
        <v>44454</v>
      </c>
      <c r="Z1245" s="1">
        <v>2021</v>
      </c>
      <c r="AA1245" s="2"/>
      <c r="AB1245" s="2"/>
      <c r="AC1245" s="2">
        <v>334040.56000000006</v>
      </c>
      <c r="AG1245" s="1" t="s">
        <v>56</v>
      </c>
      <c r="AI1245" s="2">
        <v>334040.56000000006</v>
      </c>
      <c r="AL1245" s="1" t="s">
        <v>4319</v>
      </c>
    </row>
    <row r="1246" spans="1:38" ht="12.6" customHeight="1" x14ac:dyDescent="0.2">
      <c r="A1246" s="1" t="s">
        <v>57</v>
      </c>
      <c r="B1246" s="9" t="s">
        <v>39</v>
      </c>
      <c r="C1246" s="1" t="s">
        <v>58</v>
      </c>
      <c r="D1246" s="1" t="s">
        <v>4315</v>
      </c>
      <c r="E1246" s="1" t="s">
        <v>42</v>
      </c>
      <c r="G1246" s="1" t="s">
        <v>4316</v>
      </c>
      <c r="H1246" s="1" t="s">
        <v>61</v>
      </c>
      <c r="I1246" s="1" t="s">
        <v>5110</v>
      </c>
      <c r="J1246" s="1">
        <v>2018</v>
      </c>
      <c r="P1246" s="1" t="s">
        <v>4474</v>
      </c>
      <c r="Q1246" s="1" t="s">
        <v>50</v>
      </c>
      <c r="R1246" s="1" t="s">
        <v>68</v>
      </c>
      <c r="S1246" s="1" t="s">
        <v>430</v>
      </c>
      <c r="T1246" s="1" t="s">
        <v>431</v>
      </c>
      <c r="U1246" s="1">
        <v>1</v>
      </c>
      <c r="V1246" s="1" t="s">
        <v>71</v>
      </c>
      <c r="Y1246" s="10">
        <v>43461</v>
      </c>
      <c r="Z1246" s="1">
        <v>2018</v>
      </c>
      <c r="AA1246" s="2"/>
      <c r="AB1246" s="2"/>
      <c r="AC1246" s="2">
        <v>564056.17000000004</v>
      </c>
      <c r="AG1246" s="1" t="s">
        <v>56</v>
      </c>
      <c r="AI1246" s="2">
        <v>564056.17000000004</v>
      </c>
      <c r="AL1246" s="1" t="s">
        <v>4319</v>
      </c>
    </row>
    <row r="1247" spans="1:38" ht="12.6" customHeight="1" x14ac:dyDescent="0.2">
      <c r="A1247" s="1" t="s">
        <v>57</v>
      </c>
      <c r="B1247" s="9" t="s">
        <v>39</v>
      </c>
      <c r="C1247" s="1" t="s">
        <v>58</v>
      </c>
      <c r="D1247" s="1" t="s">
        <v>4315</v>
      </c>
      <c r="E1247" s="1" t="s">
        <v>42</v>
      </c>
      <c r="G1247" s="1" t="s">
        <v>4316</v>
      </c>
      <c r="H1247" s="1" t="s">
        <v>61</v>
      </c>
      <c r="I1247" s="1" t="s">
        <v>5111</v>
      </c>
      <c r="J1247" s="1">
        <v>2018</v>
      </c>
      <c r="P1247" s="1" t="s">
        <v>4979</v>
      </c>
      <c r="Q1247" s="1" t="s">
        <v>50</v>
      </c>
      <c r="R1247" s="1" t="s">
        <v>68</v>
      </c>
      <c r="S1247" s="1" t="s">
        <v>189</v>
      </c>
      <c r="T1247" s="1" t="s">
        <v>190</v>
      </c>
      <c r="U1247" s="1">
        <v>1</v>
      </c>
      <c r="V1247" s="1" t="s">
        <v>71</v>
      </c>
      <c r="Y1247" s="10">
        <v>43461</v>
      </c>
      <c r="Z1247" s="1">
        <v>2018</v>
      </c>
      <c r="AA1247" s="2"/>
      <c r="AB1247" s="2"/>
      <c r="AC1247" s="2">
        <v>434527.13</v>
      </c>
      <c r="AG1247" s="1" t="s">
        <v>56</v>
      </c>
      <c r="AI1247" s="2">
        <v>434527.13</v>
      </c>
      <c r="AL1247" s="1" t="s">
        <v>4319</v>
      </c>
    </row>
    <row r="1248" spans="1:38" ht="12.6" customHeight="1" x14ac:dyDescent="0.2">
      <c r="A1248" s="1" t="s">
        <v>57</v>
      </c>
      <c r="B1248" s="9" t="s">
        <v>39</v>
      </c>
      <c r="C1248" s="1" t="s">
        <v>58</v>
      </c>
      <c r="D1248" s="1" t="s">
        <v>4315</v>
      </c>
      <c r="E1248" s="1" t="s">
        <v>42</v>
      </c>
      <c r="G1248" s="1" t="s">
        <v>4316</v>
      </c>
      <c r="H1248" s="1" t="s">
        <v>61</v>
      </c>
      <c r="I1248" s="1" t="s">
        <v>5112</v>
      </c>
      <c r="J1248" s="1">
        <v>2018</v>
      </c>
      <c r="P1248" s="1" t="s">
        <v>4474</v>
      </c>
      <c r="Q1248" s="1" t="s">
        <v>50</v>
      </c>
      <c r="R1248" s="1" t="s">
        <v>68</v>
      </c>
      <c r="S1248" s="1" t="s">
        <v>430</v>
      </c>
      <c r="T1248" s="1" t="s">
        <v>431</v>
      </c>
      <c r="U1248" s="1">
        <v>1</v>
      </c>
      <c r="V1248" s="1" t="s">
        <v>71</v>
      </c>
      <c r="Y1248" s="10">
        <v>43461</v>
      </c>
      <c r="Z1248" s="1">
        <v>2018</v>
      </c>
      <c r="AA1248" s="2"/>
      <c r="AB1248" s="2"/>
      <c r="AC1248" s="2">
        <v>764831.4</v>
      </c>
      <c r="AG1248" s="1" t="s">
        <v>56</v>
      </c>
      <c r="AI1248" s="2">
        <v>764831.4</v>
      </c>
      <c r="AL1248" s="1" t="s">
        <v>4319</v>
      </c>
    </row>
    <row r="1249" spans="1:38" ht="12.6" customHeight="1" x14ac:dyDescent="0.2">
      <c r="A1249" s="1" t="s">
        <v>57</v>
      </c>
      <c r="B1249" s="9" t="s">
        <v>39</v>
      </c>
      <c r="C1249" s="1" t="s">
        <v>58</v>
      </c>
      <c r="D1249" s="1" t="s">
        <v>4315</v>
      </c>
      <c r="E1249" s="1" t="s">
        <v>42</v>
      </c>
      <c r="G1249" s="1" t="s">
        <v>4316</v>
      </c>
      <c r="H1249" s="1" t="s">
        <v>61</v>
      </c>
      <c r="I1249" s="1" t="s">
        <v>5113</v>
      </c>
      <c r="J1249" s="1">
        <v>2018</v>
      </c>
      <c r="P1249" s="1" t="s">
        <v>4474</v>
      </c>
      <c r="Q1249" s="1" t="s">
        <v>264</v>
      </c>
      <c r="R1249" s="1" t="s">
        <v>265</v>
      </c>
      <c r="S1249" s="1" t="s">
        <v>935</v>
      </c>
      <c r="T1249" s="1" t="s">
        <v>936</v>
      </c>
      <c r="U1249" s="1">
        <v>1</v>
      </c>
      <c r="V1249" s="1" t="s">
        <v>308</v>
      </c>
      <c r="Y1249" s="10">
        <v>43465</v>
      </c>
      <c r="Z1249" s="1">
        <v>2018</v>
      </c>
      <c r="AA1249" s="2"/>
      <c r="AB1249" s="2"/>
      <c r="AC1249" s="2">
        <v>236100.61</v>
      </c>
      <c r="AG1249" s="1" t="s">
        <v>56</v>
      </c>
      <c r="AI1249" s="2">
        <v>236100.61</v>
      </c>
      <c r="AL1249" s="1" t="s">
        <v>4319</v>
      </c>
    </row>
    <row r="1250" spans="1:38" ht="12.6" customHeight="1" x14ac:dyDescent="0.2">
      <c r="A1250" s="1" t="s">
        <v>57</v>
      </c>
      <c r="B1250" s="9" t="s">
        <v>39</v>
      </c>
      <c r="C1250" s="1" t="s">
        <v>58</v>
      </c>
      <c r="D1250" s="1" t="s">
        <v>4315</v>
      </c>
      <c r="E1250" s="1" t="s">
        <v>42</v>
      </c>
      <c r="G1250" s="1" t="s">
        <v>4316</v>
      </c>
      <c r="H1250" s="1" t="s">
        <v>61</v>
      </c>
      <c r="I1250" s="1" t="s">
        <v>5114</v>
      </c>
      <c r="J1250" s="1">
        <v>2018</v>
      </c>
      <c r="P1250" s="1" t="s">
        <v>4474</v>
      </c>
      <c r="Q1250" s="1" t="s">
        <v>264</v>
      </c>
      <c r="R1250" s="1" t="s">
        <v>265</v>
      </c>
      <c r="S1250" s="1" t="s">
        <v>935</v>
      </c>
      <c r="T1250" s="1" t="s">
        <v>936</v>
      </c>
      <c r="U1250" s="1">
        <v>1</v>
      </c>
      <c r="V1250" s="1" t="s">
        <v>308</v>
      </c>
      <c r="Y1250" s="10">
        <v>43461</v>
      </c>
      <c r="Z1250" s="1">
        <v>2018</v>
      </c>
      <c r="AA1250" s="2"/>
      <c r="AB1250" s="2"/>
      <c r="AC1250" s="2">
        <v>367714.75</v>
      </c>
      <c r="AG1250" s="1" t="s">
        <v>56</v>
      </c>
      <c r="AI1250" s="2">
        <v>367714.75</v>
      </c>
      <c r="AL1250" s="1" t="s">
        <v>4319</v>
      </c>
    </row>
    <row r="1251" spans="1:38" ht="12.6" customHeight="1" x14ac:dyDescent="0.2">
      <c r="A1251" s="1" t="s">
        <v>57</v>
      </c>
      <c r="B1251" s="9" t="s">
        <v>39</v>
      </c>
      <c r="C1251" s="1" t="s">
        <v>58</v>
      </c>
      <c r="D1251" s="1" t="s">
        <v>4315</v>
      </c>
      <c r="E1251" s="1" t="s">
        <v>42</v>
      </c>
      <c r="G1251" s="1" t="s">
        <v>4316</v>
      </c>
      <c r="H1251" s="1" t="s">
        <v>61</v>
      </c>
      <c r="I1251" s="1" t="s">
        <v>5115</v>
      </c>
      <c r="J1251" s="1">
        <v>2018</v>
      </c>
      <c r="P1251" s="1" t="s">
        <v>4474</v>
      </c>
      <c r="Q1251" s="1" t="s">
        <v>264</v>
      </c>
      <c r="R1251" s="1" t="s">
        <v>265</v>
      </c>
      <c r="S1251" s="1" t="s">
        <v>935</v>
      </c>
      <c r="T1251" s="1" t="s">
        <v>936</v>
      </c>
      <c r="U1251" s="1">
        <v>1</v>
      </c>
      <c r="V1251" s="1" t="s">
        <v>308</v>
      </c>
      <c r="Y1251" s="10">
        <v>43461</v>
      </c>
      <c r="Z1251" s="1">
        <v>2018</v>
      </c>
      <c r="AA1251" s="2"/>
      <c r="AB1251" s="2"/>
      <c r="AC1251" s="2">
        <v>615266.37</v>
      </c>
      <c r="AG1251" s="1" t="s">
        <v>56</v>
      </c>
      <c r="AI1251" s="2">
        <v>615266.37</v>
      </c>
      <c r="AL1251" s="1" t="s">
        <v>4319</v>
      </c>
    </row>
    <row r="1252" spans="1:38" ht="12.6" customHeight="1" x14ac:dyDescent="0.2">
      <c r="A1252" s="1" t="s">
        <v>57</v>
      </c>
      <c r="B1252" s="9" t="s">
        <v>39</v>
      </c>
      <c r="C1252" s="1" t="s">
        <v>58</v>
      </c>
      <c r="D1252" s="1" t="s">
        <v>4315</v>
      </c>
      <c r="E1252" s="1" t="s">
        <v>42</v>
      </c>
      <c r="G1252" s="1" t="s">
        <v>4316</v>
      </c>
      <c r="H1252" s="1" t="s">
        <v>61</v>
      </c>
      <c r="I1252" s="1" t="s">
        <v>5116</v>
      </c>
      <c r="J1252" s="1">
        <v>2018</v>
      </c>
      <c r="P1252" s="1" t="s">
        <v>4474</v>
      </c>
      <c r="Q1252" s="1" t="s">
        <v>264</v>
      </c>
      <c r="R1252" s="1" t="s">
        <v>265</v>
      </c>
      <c r="S1252" s="1" t="s">
        <v>935</v>
      </c>
      <c r="T1252" s="1" t="s">
        <v>936</v>
      </c>
      <c r="U1252" s="1">
        <v>1</v>
      </c>
      <c r="V1252" s="1" t="s">
        <v>308</v>
      </c>
      <c r="Y1252" s="10">
        <v>43461</v>
      </c>
      <c r="Z1252" s="1">
        <v>2018</v>
      </c>
      <c r="AA1252" s="2"/>
      <c r="AB1252" s="2"/>
      <c r="AC1252" s="2">
        <v>331093.86</v>
      </c>
      <c r="AG1252" s="1" t="s">
        <v>56</v>
      </c>
      <c r="AI1252" s="2">
        <v>331093.86</v>
      </c>
      <c r="AL1252" s="1" t="s">
        <v>4319</v>
      </c>
    </row>
    <row r="1253" spans="1:38" ht="12.6" customHeight="1" x14ac:dyDescent="0.2">
      <c r="A1253" s="1" t="s">
        <v>57</v>
      </c>
      <c r="B1253" s="9" t="s">
        <v>39</v>
      </c>
      <c r="C1253" s="1" t="s">
        <v>58</v>
      </c>
      <c r="D1253" s="1" t="s">
        <v>4315</v>
      </c>
      <c r="E1253" s="1" t="s">
        <v>42</v>
      </c>
      <c r="G1253" s="1" t="s">
        <v>4316</v>
      </c>
      <c r="H1253" s="1" t="s">
        <v>61</v>
      </c>
      <c r="I1253" s="1" t="s">
        <v>5117</v>
      </c>
      <c r="J1253" s="1">
        <v>2018</v>
      </c>
      <c r="P1253" s="1" t="s">
        <v>4474</v>
      </c>
      <c r="Q1253" s="1" t="s">
        <v>264</v>
      </c>
      <c r="R1253" s="1" t="s">
        <v>265</v>
      </c>
      <c r="S1253" s="1" t="s">
        <v>935</v>
      </c>
      <c r="T1253" s="1" t="s">
        <v>936</v>
      </c>
      <c r="U1253" s="1">
        <v>1</v>
      </c>
      <c r="V1253" s="1" t="s">
        <v>308</v>
      </c>
      <c r="Y1253" s="10">
        <v>43461</v>
      </c>
      <c r="Z1253" s="1">
        <v>2018</v>
      </c>
      <c r="AA1253" s="2"/>
      <c r="AB1253" s="2"/>
      <c r="AC1253" s="2">
        <v>348148.8600000001</v>
      </c>
      <c r="AG1253" s="1" t="s">
        <v>56</v>
      </c>
      <c r="AI1253" s="2">
        <v>348148.8600000001</v>
      </c>
      <c r="AL1253" s="1" t="s">
        <v>4319</v>
      </c>
    </row>
    <row r="1254" spans="1:38" ht="12.6" customHeight="1" x14ac:dyDescent="0.2">
      <c r="A1254" s="1" t="s">
        <v>57</v>
      </c>
      <c r="B1254" s="9" t="s">
        <v>39</v>
      </c>
      <c r="C1254" s="1" t="s">
        <v>58</v>
      </c>
      <c r="D1254" s="1" t="s">
        <v>4315</v>
      </c>
      <c r="E1254" s="1" t="s">
        <v>42</v>
      </c>
      <c r="G1254" s="1" t="s">
        <v>4316</v>
      </c>
      <c r="H1254" s="1" t="s">
        <v>61</v>
      </c>
      <c r="I1254" s="1" t="s">
        <v>5118</v>
      </c>
      <c r="J1254" s="1">
        <v>2018</v>
      </c>
      <c r="P1254" s="1" t="s">
        <v>4474</v>
      </c>
      <c r="Q1254" s="1" t="s">
        <v>264</v>
      </c>
      <c r="R1254" s="1" t="s">
        <v>265</v>
      </c>
      <c r="S1254" s="1" t="s">
        <v>935</v>
      </c>
      <c r="T1254" s="1" t="s">
        <v>936</v>
      </c>
      <c r="U1254" s="1">
        <v>1</v>
      </c>
      <c r="V1254" s="1" t="s">
        <v>308</v>
      </c>
      <c r="Y1254" s="10">
        <v>43465</v>
      </c>
      <c r="Z1254" s="1">
        <v>2018</v>
      </c>
      <c r="AA1254" s="2"/>
      <c r="AB1254" s="2"/>
      <c r="AC1254" s="2">
        <v>510279.38</v>
      </c>
      <c r="AG1254" s="1" t="s">
        <v>56</v>
      </c>
      <c r="AI1254" s="2">
        <v>510279.38</v>
      </c>
      <c r="AL1254" s="1" t="s">
        <v>4319</v>
      </c>
    </row>
    <row r="1255" spans="1:38" ht="12.6" customHeight="1" x14ac:dyDescent="0.2">
      <c r="A1255" s="1" t="s">
        <v>57</v>
      </c>
      <c r="B1255" s="9" t="s">
        <v>39</v>
      </c>
      <c r="C1255" s="1" t="s">
        <v>58</v>
      </c>
      <c r="D1255" s="1" t="s">
        <v>4315</v>
      </c>
      <c r="E1255" s="1" t="s">
        <v>42</v>
      </c>
      <c r="G1255" s="1" t="s">
        <v>4316</v>
      </c>
      <c r="H1255" s="1" t="s">
        <v>61</v>
      </c>
      <c r="I1255" s="1" t="s">
        <v>5119</v>
      </c>
      <c r="J1255" s="1">
        <v>2018</v>
      </c>
      <c r="P1255" s="1" t="s">
        <v>4474</v>
      </c>
      <c r="Q1255" s="1" t="s">
        <v>264</v>
      </c>
      <c r="R1255" s="1" t="s">
        <v>265</v>
      </c>
      <c r="S1255" s="1" t="s">
        <v>935</v>
      </c>
      <c r="T1255" s="1" t="s">
        <v>936</v>
      </c>
      <c r="U1255" s="1">
        <v>1</v>
      </c>
      <c r="V1255" s="1" t="s">
        <v>308</v>
      </c>
      <c r="Y1255" s="10">
        <v>43461</v>
      </c>
      <c r="Z1255" s="1">
        <v>2018</v>
      </c>
      <c r="AA1255" s="2"/>
      <c r="AB1255" s="2"/>
      <c r="AC1255" s="2">
        <v>621810.4</v>
      </c>
      <c r="AG1255" s="1" t="s">
        <v>56</v>
      </c>
      <c r="AI1255" s="2">
        <v>621810.4</v>
      </c>
      <c r="AL1255" s="1" t="s">
        <v>4319</v>
      </c>
    </row>
    <row r="1256" spans="1:38" ht="12.6" customHeight="1" x14ac:dyDescent="0.2">
      <c r="A1256" s="1" t="s">
        <v>57</v>
      </c>
      <c r="B1256" s="9" t="s">
        <v>39</v>
      </c>
      <c r="C1256" s="1" t="s">
        <v>58</v>
      </c>
      <c r="D1256" s="1" t="s">
        <v>4315</v>
      </c>
      <c r="E1256" s="1" t="s">
        <v>42</v>
      </c>
      <c r="G1256" s="1" t="s">
        <v>4316</v>
      </c>
      <c r="H1256" s="1" t="s">
        <v>61</v>
      </c>
      <c r="I1256" s="1" t="s">
        <v>5120</v>
      </c>
      <c r="J1256" s="1">
        <v>2018</v>
      </c>
      <c r="P1256" s="1" t="s">
        <v>4474</v>
      </c>
      <c r="Q1256" s="1" t="s">
        <v>264</v>
      </c>
      <c r="R1256" s="1" t="s">
        <v>265</v>
      </c>
      <c r="S1256" s="1" t="s">
        <v>935</v>
      </c>
      <c r="T1256" s="1" t="s">
        <v>936</v>
      </c>
      <c r="U1256" s="1">
        <v>1</v>
      </c>
      <c r="V1256" s="1" t="s">
        <v>308</v>
      </c>
      <c r="Y1256" s="10">
        <v>43461</v>
      </c>
      <c r="Z1256" s="1">
        <v>2018</v>
      </c>
      <c r="AA1256" s="2"/>
      <c r="AB1256" s="2"/>
      <c r="AC1256" s="2">
        <v>536813.6</v>
      </c>
      <c r="AG1256" s="1" t="s">
        <v>56</v>
      </c>
      <c r="AI1256" s="2">
        <v>536813.6</v>
      </c>
      <c r="AL1256" s="1" t="s">
        <v>4319</v>
      </c>
    </row>
    <row r="1257" spans="1:38" ht="12.6" customHeight="1" x14ac:dyDescent="0.2">
      <c r="A1257" s="1" t="s">
        <v>57</v>
      </c>
      <c r="B1257" s="9" t="s">
        <v>39</v>
      </c>
      <c r="C1257" s="1" t="s">
        <v>58</v>
      </c>
      <c r="D1257" s="1" t="s">
        <v>4315</v>
      </c>
      <c r="E1257" s="1" t="s">
        <v>42</v>
      </c>
      <c r="G1257" s="1" t="s">
        <v>4316</v>
      </c>
      <c r="H1257" s="1" t="s">
        <v>61</v>
      </c>
      <c r="I1257" s="1" t="s">
        <v>5121</v>
      </c>
      <c r="J1257" s="1">
        <v>2018</v>
      </c>
      <c r="P1257" s="1" t="s">
        <v>4474</v>
      </c>
      <c r="Q1257" s="1" t="s">
        <v>264</v>
      </c>
      <c r="R1257" s="1" t="s">
        <v>265</v>
      </c>
      <c r="S1257" s="1" t="s">
        <v>935</v>
      </c>
      <c r="T1257" s="1" t="s">
        <v>936</v>
      </c>
      <c r="U1257" s="1">
        <v>1</v>
      </c>
      <c r="V1257" s="1" t="s">
        <v>308</v>
      </c>
      <c r="Y1257" s="10">
        <v>43461</v>
      </c>
      <c r="Z1257" s="1">
        <v>2018</v>
      </c>
      <c r="AA1257" s="2"/>
      <c r="AB1257" s="2"/>
      <c r="AC1257" s="2">
        <v>558185.55000000005</v>
      </c>
      <c r="AG1257" s="1" t="s">
        <v>56</v>
      </c>
      <c r="AI1257" s="2">
        <v>558185.55000000005</v>
      </c>
      <c r="AL1257" s="1" t="s">
        <v>4319</v>
      </c>
    </row>
    <row r="1258" spans="1:38" ht="12.6" customHeight="1" x14ac:dyDescent="0.2">
      <c r="A1258" s="1" t="s">
        <v>57</v>
      </c>
      <c r="B1258" s="9" t="s">
        <v>39</v>
      </c>
      <c r="C1258" s="1" t="s">
        <v>58</v>
      </c>
      <c r="D1258" s="1" t="s">
        <v>4315</v>
      </c>
      <c r="E1258" s="1" t="s">
        <v>42</v>
      </c>
      <c r="G1258" s="1" t="s">
        <v>4316</v>
      </c>
      <c r="H1258" s="1" t="s">
        <v>61</v>
      </c>
      <c r="I1258" s="1" t="s">
        <v>5122</v>
      </c>
      <c r="J1258" s="1">
        <v>2018</v>
      </c>
      <c r="P1258" s="1" t="s">
        <v>4474</v>
      </c>
      <c r="Q1258" s="1" t="s">
        <v>264</v>
      </c>
      <c r="R1258" s="1" t="s">
        <v>265</v>
      </c>
      <c r="S1258" s="1" t="s">
        <v>935</v>
      </c>
      <c r="T1258" s="1" t="s">
        <v>936</v>
      </c>
      <c r="U1258" s="1">
        <v>1</v>
      </c>
      <c r="V1258" s="1" t="s">
        <v>308</v>
      </c>
      <c r="Y1258" s="10">
        <v>43461</v>
      </c>
      <c r="Z1258" s="1">
        <v>2018</v>
      </c>
      <c r="AA1258" s="2"/>
      <c r="AB1258" s="2"/>
      <c r="AC1258" s="2">
        <v>447342.2</v>
      </c>
      <c r="AG1258" s="1" t="s">
        <v>56</v>
      </c>
      <c r="AI1258" s="2">
        <v>447342.2</v>
      </c>
      <c r="AL1258" s="1" t="s">
        <v>4319</v>
      </c>
    </row>
    <row r="1259" spans="1:38" ht="12.6" customHeight="1" x14ac:dyDescent="0.2">
      <c r="A1259" s="1" t="s">
        <v>57</v>
      </c>
      <c r="B1259" s="9" t="s">
        <v>39</v>
      </c>
      <c r="C1259" s="1" t="s">
        <v>58</v>
      </c>
      <c r="D1259" s="1" t="s">
        <v>4315</v>
      </c>
      <c r="E1259" s="1" t="s">
        <v>42</v>
      </c>
      <c r="G1259" s="1" t="s">
        <v>4316</v>
      </c>
      <c r="H1259" s="1" t="s">
        <v>61</v>
      </c>
      <c r="I1259" s="1" t="s">
        <v>5123</v>
      </c>
      <c r="J1259" s="1">
        <v>2018</v>
      </c>
      <c r="P1259" s="1" t="s">
        <v>4474</v>
      </c>
      <c r="Q1259" s="1" t="s">
        <v>264</v>
      </c>
      <c r="R1259" s="1" t="s">
        <v>265</v>
      </c>
      <c r="S1259" s="1" t="s">
        <v>935</v>
      </c>
      <c r="T1259" s="1" t="s">
        <v>936</v>
      </c>
      <c r="U1259" s="1">
        <v>1</v>
      </c>
      <c r="V1259" s="1" t="s">
        <v>308</v>
      </c>
      <c r="Y1259" s="10">
        <v>43461</v>
      </c>
      <c r="Z1259" s="1">
        <v>2018</v>
      </c>
      <c r="AA1259" s="2"/>
      <c r="AB1259" s="2"/>
      <c r="AC1259" s="2">
        <v>473553.51000000013</v>
      </c>
      <c r="AG1259" s="1" t="s">
        <v>56</v>
      </c>
      <c r="AI1259" s="2">
        <v>473553.51000000013</v>
      </c>
      <c r="AL1259" s="1" t="s">
        <v>4319</v>
      </c>
    </row>
    <row r="1260" spans="1:38" ht="12.6" customHeight="1" x14ac:dyDescent="0.2">
      <c r="A1260" s="1" t="s">
        <v>57</v>
      </c>
      <c r="B1260" s="9" t="s">
        <v>39</v>
      </c>
      <c r="C1260" s="1" t="s">
        <v>58</v>
      </c>
      <c r="D1260" s="1" t="s">
        <v>4315</v>
      </c>
      <c r="E1260" s="1" t="s">
        <v>42</v>
      </c>
      <c r="G1260" s="1" t="s">
        <v>4316</v>
      </c>
      <c r="H1260" s="1" t="s">
        <v>61</v>
      </c>
      <c r="I1260" s="1" t="s">
        <v>5124</v>
      </c>
      <c r="J1260" s="1">
        <v>2018</v>
      </c>
      <c r="P1260" s="1" t="s">
        <v>4474</v>
      </c>
      <c r="Q1260" s="1" t="s">
        <v>264</v>
      </c>
      <c r="R1260" s="1" t="s">
        <v>265</v>
      </c>
      <c r="S1260" s="1" t="s">
        <v>935</v>
      </c>
      <c r="T1260" s="1" t="s">
        <v>936</v>
      </c>
      <c r="U1260" s="1">
        <v>1</v>
      </c>
      <c r="V1260" s="1" t="s">
        <v>308</v>
      </c>
      <c r="Y1260" s="10">
        <v>43461</v>
      </c>
      <c r="Z1260" s="1">
        <v>2018</v>
      </c>
      <c r="AA1260" s="2"/>
      <c r="AB1260" s="2"/>
      <c r="AC1260" s="2">
        <v>547951.24</v>
      </c>
      <c r="AG1260" s="1" t="s">
        <v>56</v>
      </c>
      <c r="AI1260" s="2">
        <v>547951.24</v>
      </c>
      <c r="AL1260" s="1" t="s">
        <v>4319</v>
      </c>
    </row>
    <row r="1261" spans="1:38" ht="12.6" customHeight="1" x14ac:dyDescent="0.2">
      <c r="A1261" s="1" t="s">
        <v>57</v>
      </c>
      <c r="B1261" s="9" t="s">
        <v>39</v>
      </c>
      <c r="C1261" s="1" t="s">
        <v>58</v>
      </c>
      <c r="D1261" s="1" t="s">
        <v>4315</v>
      </c>
      <c r="E1261" s="1" t="s">
        <v>42</v>
      </c>
      <c r="G1261" s="1" t="s">
        <v>4316</v>
      </c>
      <c r="H1261" s="1" t="s">
        <v>61</v>
      </c>
      <c r="I1261" s="1" t="s">
        <v>5125</v>
      </c>
      <c r="J1261" s="1">
        <v>2018</v>
      </c>
      <c r="P1261" s="1" t="s">
        <v>4474</v>
      </c>
      <c r="Q1261" s="1" t="s">
        <v>264</v>
      </c>
      <c r="R1261" s="1" t="s">
        <v>265</v>
      </c>
      <c r="S1261" s="1" t="s">
        <v>935</v>
      </c>
      <c r="T1261" s="1" t="s">
        <v>936</v>
      </c>
      <c r="U1261" s="1">
        <v>1</v>
      </c>
      <c r="V1261" s="1" t="s">
        <v>308</v>
      </c>
      <c r="Y1261" s="10">
        <v>43461</v>
      </c>
      <c r="Z1261" s="1">
        <v>2018</v>
      </c>
      <c r="AA1261" s="2"/>
      <c r="AB1261" s="2"/>
      <c r="AC1261" s="2">
        <v>395745.38</v>
      </c>
      <c r="AG1261" s="1" t="s">
        <v>56</v>
      </c>
      <c r="AI1261" s="2">
        <v>395745.38</v>
      </c>
      <c r="AL1261" s="1" t="s">
        <v>4319</v>
      </c>
    </row>
    <row r="1262" spans="1:38" ht="12.6" customHeight="1" x14ac:dyDescent="0.2">
      <c r="A1262" s="1" t="s">
        <v>57</v>
      </c>
      <c r="B1262" s="9" t="s">
        <v>39</v>
      </c>
      <c r="C1262" s="1" t="s">
        <v>58</v>
      </c>
      <c r="D1262" s="1" t="s">
        <v>4315</v>
      </c>
      <c r="E1262" s="1" t="s">
        <v>42</v>
      </c>
      <c r="G1262" s="1" t="s">
        <v>4316</v>
      </c>
      <c r="H1262" s="1" t="s">
        <v>61</v>
      </c>
      <c r="I1262" s="1" t="s">
        <v>5126</v>
      </c>
      <c r="J1262" s="1">
        <v>2018</v>
      </c>
      <c r="P1262" s="1" t="s">
        <v>4474</v>
      </c>
      <c r="Q1262" s="1" t="s">
        <v>264</v>
      </c>
      <c r="R1262" s="1" t="s">
        <v>265</v>
      </c>
      <c r="S1262" s="1" t="s">
        <v>935</v>
      </c>
      <c r="T1262" s="1" t="s">
        <v>936</v>
      </c>
      <c r="U1262" s="1">
        <v>1</v>
      </c>
      <c r="V1262" s="1" t="s">
        <v>308</v>
      </c>
      <c r="Y1262" s="10">
        <v>43461</v>
      </c>
      <c r="Z1262" s="1">
        <v>2018</v>
      </c>
      <c r="AA1262" s="2"/>
      <c r="AB1262" s="2"/>
      <c r="AC1262" s="2">
        <v>493573.08999999997</v>
      </c>
      <c r="AG1262" s="1" t="s">
        <v>56</v>
      </c>
      <c r="AI1262" s="2">
        <v>493573.08999999997</v>
      </c>
      <c r="AL1262" s="1" t="s">
        <v>4319</v>
      </c>
    </row>
    <row r="1263" spans="1:38" ht="12.6" customHeight="1" x14ac:dyDescent="0.2">
      <c r="A1263" s="1" t="s">
        <v>57</v>
      </c>
      <c r="B1263" s="9" t="s">
        <v>39</v>
      </c>
      <c r="C1263" s="1" t="s">
        <v>58</v>
      </c>
      <c r="D1263" s="1" t="s">
        <v>4315</v>
      </c>
      <c r="E1263" s="1" t="s">
        <v>42</v>
      </c>
      <c r="G1263" s="1" t="s">
        <v>4316</v>
      </c>
      <c r="H1263" s="1" t="s">
        <v>61</v>
      </c>
      <c r="I1263" s="1" t="s">
        <v>5127</v>
      </c>
      <c r="J1263" s="1">
        <v>2018</v>
      </c>
      <c r="P1263" s="1" t="s">
        <v>4474</v>
      </c>
      <c r="Q1263" s="1" t="s">
        <v>264</v>
      </c>
      <c r="R1263" s="1" t="s">
        <v>265</v>
      </c>
      <c r="S1263" s="1" t="s">
        <v>935</v>
      </c>
      <c r="T1263" s="1" t="s">
        <v>936</v>
      </c>
      <c r="U1263" s="1">
        <v>1</v>
      </c>
      <c r="V1263" s="1" t="s">
        <v>308</v>
      </c>
      <c r="Y1263" s="10">
        <v>43461</v>
      </c>
      <c r="Z1263" s="1">
        <v>2018</v>
      </c>
      <c r="AA1263" s="2"/>
      <c r="AB1263" s="2"/>
      <c r="AC1263" s="2">
        <v>388040.26</v>
      </c>
      <c r="AG1263" s="1" t="s">
        <v>56</v>
      </c>
      <c r="AI1263" s="2">
        <v>388040.26</v>
      </c>
      <c r="AL1263" s="1" t="s">
        <v>4319</v>
      </c>
    </row>
    <row r="1264" spans="1:38" ht="12.6" customHeight="1" x14ac:dyDescent="0.2">
      <c r="A1264" s="1" t="s">
        <v>57</v>
      </c>
      <c r="B1264" s="9" t="s">
        <v>39</v>
      </c>
      <c r="C1264" s="1" t="s">
        <v>58</v>
      </c>
      <c r="D1264" s="1" t="s">
        <v>4315</v>
      </c>
      <c r="E1264" s="1" t="s">
        <v>42</v>
      </c>
      <c r="G1264" s="1" t="s">
        <v>4316</v>
      </c>
      <c r="H1264" s="1" t="s">
        <v>61</v>
      </c>
      <c r="I1264" s="1" t="s">
        <v>5128</v>
      </c>
      <c r="J1264" s="1">
        <v>2018</v>
      </c>
      <c r="P1264" s="1" t="s">
        <v>4474</v>
      </c>
      <c r="Q1264" s="1" t="s">
        <v>264</v>
      </c>
      <c r="R1264" s="1" t="s">
        <v>265</v>
      </c>
      <c r="S1264" s="1" t="s">
        <v>935</v>
      </c>
      <c r="T1264" s="1" t="s">
        <v>936</v>
      </c>
      <c r="U1264" s="1">
        <v>1</v>
      </c>
      <c r="V1264" s="1" t="s">
        <v>308</v>
      </c>
      <c r="Y1264" s="10">
        <v>43461</v>
      </c>
      <c r="Z1264" s="1">
        <v>2018</v>
      </c>
      <c r="AA1264" s="2"/>
      <c r="AB1264" s="2"/>
      <c r="AC1264" s="2">
        <v>430069.95999999996</v>
      </c>
      <c r="AG1264" s="1" t="s">
        <v>56</v>
      </c>
      <c r="AI1264" s="2">
        <v>430069.95999999996</v>
      </c>
      <c r="AL1264" s="1" t="s">
        <v>4319</v>
      </c>
    </row>
    <row r="1265" spans="1:38" ht="12.6" customHeight="1" x14ac:dyDescent="0.2">
      <c r="A1265" s="1" t="s">
        <v>57</v>
      </c>
      <c r="B1265" s="9" t="s">
        <v>39</v>
      </c>
      <c r="C1265" s="1" t="s">
        <v>58</v>
      </c>
      <c r="D1265" s="1" t="s">
        <v>4315</v>
      </c>
      <c r="E1265" s="1" t="s">
        <v>42</v>
      </c>
      <c r="G1265" s="1" t="s">
        <v>4316</v>
      </c>
      <c r="H1265" s="1" t="s">
        <v>61</v>
      </c>
      <c r="I1265" s="1" t="s">
        <v>5129</v>
      </c>
      <c r="J1265" s="1">
        <v>2018</v>
      </c>
      <c r="P1265" s="1" t="s">
        <v>4474</v>
      </c>
      <c r="Q1265" s="1" t="s">
        <v>264</v>
      </c>
      <c r="R1265" s="1" t="s">
        <v>265</v>
      </c>
      <c r="S1265" s="1" t="s">
        <v>935</v>
      </c>
      <c r="T1265" s="1" t="s">
        <v>936</v>
      </c>
      <c r="U1265" s="1">
        <v>1</v>
      </c>
      <c r="V1265" s="1" t="s">
        <v>308</v>
      </c>
      <c r="Y1265" s="10">
        <v>43465</v>
      </c>
      <c r="Z1265" s="1">
        <v>2018</v>
      </c>
      <c r="AA1265" s="2"/>
      <c r="AB1265" s="2"/>
      <c r="AC1265" s="2">
        <v>214258.94999999995</v>
      </c>
      <c r="AG1265" s="1" t="s">
        <v>56</v>
      </c>
      <c r="AI1265" s="2">
        <v>214258.94999999995</v>
      </c>
      <c r="AL1265" s="1" t="s">
        <v>4319</v>
      </c>
    </row>
    <row r="1266" spans="1:38" ht="12.6" customHeight="1" x14ac:dyDescent="0.2">
      <c r="A1266" s="1" t="s">
        <v>57</v>
      </c>
      <c r="B1266" s="9" t="s">
        <v>39</v>
      </c>
      <c r="C1266" s="1" t="s">
        <v>58</v>
      </c>
      <c r="D1266" s="1" t="s">
        <v>4315</v>
      </c>
      <c r="E1266" s="1" t="s">
        <v>42</v>
      </c>
      <c r="G1266" s="1" t="s">
        <v>4316</v>
      </c>
      <c r="H1266" s="1" t="s">
        <v>61</v>
      </c>
      <c r="I1266" s="1" t="s">
        <v>5130</v>
      </c>
      <c r="J1266" s="1">
        <v>2018</v>
      </c>
      <c r="P1266" s="1" t="s">
        <v>4474</v>
      </c>
      <c r="Q1266" s="1" t="s">
        <v>264</v>
      </c>
      <c r="R1266" s="1" t="s">
        <v>265</v>
      </c>
      <c r="S1266" s="1" t="s">
        <v>935</v>
      </c>
      <c r="T1266" s="1" t="s">
        <v>936</v>
      </c>
      <c r="U1266" s="1">
        <v>1</v>
      </c>
      <c r="V1266" s="1" t="s">
        <v>308</v>
      </c>
      <c r="Y1266" s="10">
        <v>43461</v>
      </c>
      <c r="Z1266" s="1">
        <v>2018</v>
      </c>
      <c r="AA1266" s="2"/>
      <c r="AB1266" s="2"/>
      <c r="AC1266" s="2">
        <v>274942.37999999995</v>
      </c>
      <c r="AG1266" s="1" t="s">
        <v>56</v>
      </c>
      <c r="AI1266" s="2">
        <v>274942.37999999995</v>
      </c>
      <c r="AL1266" s="1" t="s">
        <v>4319</v>
      </c>
    </row>
    <row r="1267" spans="1:38" ht="12.6" customHeight="1" x14ac:dyDescent="0.2">
      <c r="A1267" s="1" t="s">
        <v>57</v>
      </c>
      <c r="B1267" s="9" t="s">
        <v>39</v>
      </c>
      <c r="C1267" s="1" t="s">
        <v>58</v>
      </c>
      <c r="D1267" s="1" t="s">
        <v>4315</v>
      </c>
      <c r="E1267" s="1" t="s">
        <v>42</v>
      </c>
      <c r="G1267" s="1" t="s">
        <v>4316</v>
      </c>
      <c r="H1267" s="1" t="s">
        <v>61</v>
      </c>
      <c r="I1267" s="1" t="s">
        <v>5131</v>
      </c>
      <c r="J1267" s="1">
        <v>2018</v>
      </c>
      <c r="P1267" s="1" t="s">
        <v>4474</v>
      </c>
      <c r="Q1267" s="1" t="s">
        <v>264</v>
      </c>
      <c r="R1267" s="1" t="s">
        <v>265</v>
      </c>
      <c r="S1267" s="1" t="s">
        <v>935</v>
      </c>
      <c r="T1267" s="1" t="s">
        <v>936</v>
      </c>
      <c r="U1267" s="1">
        <v>1</v>
      </c>
      <c r="V1267" s="1" t="s">
        <v>308</v>
      </c>
      <c r="Y1267" s="10">
        <v>43461</v>
      </c>
      <c r="Z1267" s="1">
        <v>2018</v>
      </c>
      <c r="AA1267" s="2"/>
      <c r="AB1267" s="2"/>
      <c r="AC1267" s="2">
        <v>326622.77</v>
      </c>
      <c r="AG1267" s="1" t="s">
        <v>56</v>
      </c>
      <c r="AI1267" s="2">
        <v>326622.77</v>
      </c>
      <c r="AL1267" s="1" t="s">
        <v>4319</v>
      </c>
    </row>
    <row r="1268" spans="1:38" ht="12.6" customHeight="1" x14ac:dyDescent="0.2">
      <c r="A1268" s="1" t="s">
        <v>57</v>
      </c>
      <c r="B1268" s="9" t="s">
        <v>39</v>
      </c>
      <c r="C1268" s="1" t="s">
        <v>58</v>
      </c>
      <c r="D1268" s="1" t="s">
        <v>4315</v>
      </c>
      <c r="E1268" s="1" t="s">
        <v>42</v>
      </c>
      <c r="G1268" s="1" t="s">
        <v>4316</v>
      </c>
      <c r="H1268" s="1" t="s">
        <v>61</v>
      </c>
      <c r="I1268" s="1" t="s">
        <v>5132</v>
      </c>
      <c r="J1268" s="1">
        <v>2018</v>
      </c>
      <c r="P1268" s="1" t="s">
        <v>4474</v>
      </c>
      <c r="Q1268" s="1" t="s">
        <v>264</v>
      </c>
      <c r="R1268" s="1" t="s">
        <v>265</v>
      </c>
      <c r="S1268" s="1" t="s">
        <v>935</v>
      </c>
      <c r="T1268" s="1" t="s">
        <v>936</v>
      </c>
      <c r="U1268" s="1">
        <v>1</v>
      </c>
      <c r="V1268" s="1" t="s">
        <v>308</v>
      </c>
      <c r="Y1268" s="10">
        <v>43461</v>
      </c>
      <c r="Z1268" s="1">
        <v>2018</v>
      </c>
      <c r="AA1268" s="2"/>
      <c r="AB1268" s="2"/>
      <c r="AC1268" s="2">
        <v>307748.88</v>
      </c>
      <c r="AG1268" s="1" t="s">
        <v>56</v>
      </c>
      <c r="AI1268" s="2">
        <v>307748.88</v>
      </c>
      <c r="AL1268" s="1" t="s">
        <v>4319</v>
      </c>
    </row>
    <row r="1269" spans="1:38" ht="12.6" customHeight="1" x14ac:dyDescent="0.2">
      <c r="A1269" s="1" t="s">
        <v>57</v>
      </c>
      <c r="B1269" s="9" t="s">
        <v>39</v>
      </c>
      <c r="C1269" s="1" t="s">
        <v>58</v>
      </c>
      <c r="D1269" s="1" t="s">
        <v>4315</v>
      </c>
      <c r="E1269" s="1" t="s">
        <v>42</v>
      </c>
      <c r="G1269" s="1" t="s">
        <v>4316</v>
      </c>
      <c r="H1269" s="1" t="s">
        <v>61</v>
      </c>
      <c r="I1269" s="1" t="s">
        <v>5133</v>
      </c>
      <c r="J1269" s="1">
        <v>2018</v>
      </c>
      <c r="P1269" s="1" t="s">
        <v>4474</v>
      </c>
      <c r="Q1269" s="1" t="s">
        <v>264</v>
      </c>
      <c r="R1269" s="1" t="s">
        <v>265</v>
      </c>
      <c r="S1269" s="1" t="s">
        <v>935</v>
      </c>
      <c r="T1269" s="1" t="s">
        <v>936</v>
      </c>
      <c r="U1269" s="1">
        <v>1</v>
      </c>
      <c r="V1269" s="1" t="s">
        <v>308</v>
      </c>
      <c r="Y1269" s="10">
        <v>43461</v>
      </c>
      <c r="Z1269" s="1">
        <v>2018</v>
      </c>
      <c r="AA1269" s="2"/>
      <c r="AB1269" s="2"/>
      <c r="AC1269" s="2">
        <v>622563.09000000008</v>
      </c>
      <c r="AG1269" s="1" t="s">
        <v>56</v>
      </c>
      <c r="AI1269" s="2">
        <v>622563.09000000008</v>
      </c>
      <c r="AL1269" s="1" t="s">
        <v>4319</v>
      </c>
    </row>
    <row r="1270" spans="1:38" ht="12.6" customHeight="1" x14ac:dyDescent="0.2">
      <c r="A1270" s="1" t="s">
        <v>57</v>
      </c>
      <c r="B1270" s="9" t="s">
        <v>39</v>
      </c>
      <c r="C1270" s="1" t="s">
        <v>58</v>
      </c>
      <c r="D1270" s="1" t="s">
        <v>4315</v>
      </c>
      <c r="E1270" s="1" t="s">
        <v>42</v>
      </c>
      <c r="G1270" s="1" t="s">
        <v>4316</v>
      </c>
      <c r="H1270" s="1" t="s">
        <v>61</v>
      </c>
      <c r="I1270" s="1" t="s">
        <v>5134</v>
      </c>
      <c r="J1270" s="1">
        <v>2018</v>
      </c>
      <c r="P1270" s="1" t="s">
        <v>4474</v>
      </c>
      <c r="Q1270" s="1" t="s">
        <v>264</v>
      </c>
      <c r="R1270" s="1" t="s">
        <v>265</v>
      </c>
      <c r="S1270" s="1" t="s">
        <v>935</v>
      </c>
      <c r="T1270" s="1" t="s">
        <v>936</v>
      </c>
      <c r="U1270" s="1">
        <v>1</v>
      </c>
      <c r="V1270" s="1" t="s">
        <v>308</v>
      </c>
      <c r="Y1270" s="10">
        <v>43461</v>
      </c>
      <c r="Z1270" s="1">
        <v>2018</v>
      </c>
      <c r="AA1270" s="2"/>
      <c r="AB1270" s="2"/>
      <c r="AC1270" s="2">
        <v>445381.35000000003</v>
      </c>
      <c r="AG1270" s="1" t="s">
        <v>56</v>
      </c>
      <c r="AI1270" s="2">
        <v>445381.35000000003</v>
      </c>
      <c r="AL1270" s="1" t="s">
        <v>4319</v>
      </c>
    </row>
    <row r="1271" spans="1:38" ht="12.6" customHeight="1" x14ac:dyDescent="0.2">
      <c r="A1271" s="1" t="s">
        <v>57</v>
      </c>
      <c r="B1271" s="9" t="s">
        <v>39</v>
      </c>
      <c r="C1271" s="1" t="s">
        <v>58</v>
      </c>
      <c r="D1271" s="1" t="s">
        <v>4315</v>
      </c>
      <c r="E1271" s="1" t="s">
        <v>42</v>
      </c>
      <c r="G1271" s="1" t="s">
        <v>4316</v>
      </c>
      <c r="H1271" s="1" t="s">
        <v>61</v>
      </c>
      <c r="I1271" s="1" t="s">
        <v>5135</v>
      </c>
      <c r="J1271" s="1">
        <v>2018</v>
      </c>
      <c r="P1271" s="1" t="s">
        <v>4474</v>
      </c>
      <c r="Q1271" s="1" t="s">
        <v>264</v>
      </c>
      <c r="R1271" s="1" t="s">
        <v>265</v>
      </c>
      <c r="S1271" s="1" t="s">
        <v>935</v>
      </c>
      <c r="T1271" s="1" t="s">
        <v>936</v>
      </c>
      <c r="U1271" s="1">
        <v>1</v>
      </c>
      <c r="V1271" s="1" t="s">
        <v>308</v>
      </c>
      <c r="Y1271" s="10">
        <v>43461</v>
      </c>
      <c r="Z1271" s="1">
        <v>2018</v>
      </c>
      <c r="AA1271" s="2"/>
      <c r="AB1271" s="2"/>
      <c r="AC1271" s="2">
        <v>542910.19000000006</v>
      </c>
      <c r="AG1271" s="1" t="s">
        <v>56</v>
      </c>
      <c r="AI1271" s="2">
        <v>542910.19000000006</v>
      </c>
      <c r="AL1271" s="1" t="s">
        <v>4319</v>
      </c>
    </row>
    <row r="1272" spans="1:38" ht="12.6" customHeight="1" x14ac:dyDescent="0.2">
      <c r="A1272" s="1" t="s">
        <v>57</v>
      </c>
      <c r="B1272" s="9" t="s">
        <v>39</v>
      </c>
      <c r="C1272" s="1" t="s">
        <v>58</v>
      </c>
      <c r="D1272" s="1" t="s">
        <v>4315</v>
      </c>
      <c r="E1272" s="1" t="s">
        <v>42</v>
      </c>
      <c r="G1272" s="1" t="s">
        <v>4316</v>
      </c>
      <c r="H1272" s="1" t="s">
        <v>61</v>
      </c>
      <c r="I1272" s="1" t="s">
        <v>5136</v>
      </c>
      <c r="J1272" s="1">
        <v>2018</v>
      </c>
      <c r="P1272" s="1" t="s">
        <v>4474</v>
      </c>
      <c r="Q1272" s="1" t="s">
        <v>264</v>
      </c>
      <c r="R1272" s="1" t="s">
        <v>265</v>
      </c>
      <c r="S1272" s="1" t="s">
        <v>935</v>
      </c>
      <c r="T1272" s="1" t="s">
        <v>936</v>
      </c>
      <c r="U1272" s="1">
        <v>1</v>
      </c>
      <c r="V1272" s="1" t="s">
        <v>308</v>
      </c>
      <c r="Y1272" s="10">
        <v>43465</v>
      </c>
      <c r="Z1272" s="1">
        <v>2018</v>
      </c>
      <c r="AA1272" s="2"/>
      <c r="AB1272" s="2"/>
      <c r="AC1272" s="2">
        <v>283938.3</v>
      </c>
      <c r="AG1272" s="1" t="s">
        <v>56</v>
      </c>
      <c r="AI1272" s="2">
        <v>283938.3</v>
      </c>
      <c r="AL1272" s="1" t="s">
        <v>4319</v>
      </c>
    </row>
    <row r="1273" spans="1:38" ht="12.6" customHeight="1" x14ac:dyDescent="0.2">
      <c r="A1273" s="1" t="s">
        <v>57</v>
      </c>
      <c r="B1273" s="9" t="s">
        <v>39</v>
      </c>
      <c r="C1273" s="1" t="s">
        <v>58</v>
      </c>
      <c r="D1273" s="1" t="s">
        <v>4315</v>
      </c>
      <c r="E1273" s="1" t="s">
        <v>42</v>
      </c>
      <c r="G1273" s="1" t="s">
        <v>4316</v>
      </c>
      <c r="H1273" s="1" t="s">
        <v>61</v>
      </c>
      <c r="I1273" s="1" t="s">
        <v>5137</v>
      </c>
      <c r="J1273" s="1">
        <v>2018</v>
      </c>
      <c r="P1273" s="1" t="s">
        <v>4474</v>
      </c>
      <c r="Q1273" s="1" t="s">
        <v>264</v>
      </c>
      <c r="R1273" s="1" t="s">
        <v>265</v>
      </c>
      <c r="S1273" s="1" t="s">
        <v>935</v>
      </c>
      <c r="T1273" s="1" t="s">
        <v>936</v>
      </c>
      <c r="U1273" s="1">
        <v>1</v>
      </c>
      <c r="V1273" s="1" t="s">
        <v>308</v>
      </c>
      <c r="Y1273" s="10">
        <v>43461</v>
      </c>
      <c r="Z1273" s="1">
        <v>2018</v>
      </c>
      <c r="AA1273" s="2"/>
      <c r="AB1273" s="2"/>
      <c r="AC1273" s="2">
        <v>494338.66000000003</v>
      </c>
      <c r="AG1273" s="1" t="s">
        <v>56</v>
      </c>
      <c r="AI1273" s="2">
        <v>494338.66000000003</v>
      </c>
      <c r="AL1273" s="1" t="s">
        <v>4319</v>
      </c>
    </row>
    <row r="1274" spans="1:38" ht="12.6" customHeight="1" x14ac:dyDescent="0.2">
      <c r="A1274" s="1" t="s">
        <v>57</v>
      </c>
      <c r="B1274" s="9" t="s">
        <v>39</v>
      </c>
      <c r="C1274" s="1" t="s">
        <v>58</v>
      </c>
      <c r="D1274" s="1" t="s">
        <v>4315</v>
      </c>
      <c r="E1274" s="1" t="s">
        <v>42</v>
      </c>
      <c r="G1274" s="1" t="s">
        <v>4316</v>
      </c>
      <c r="H1274" s="1" t="s">
        <v>61</v>
      </c>
      <c r="I1274" s="1" t="s">
        <v>5138</v>
      </c>
      <c r="J1274" s="1">
        <v>2018</v>
      </c>
      <c r="P1274" s="1" t="s">
        <v>4474</v>
      </c>
      <c r="Q1274" s="1" t="s">
        <v>50</v>
      </c>
      <c r="R1274" s="1" t="s">
        <v>68</v>
      </c>
      <c r="S1274" s="1" t="s">
        <v>430</v>
      </c>
      <c r="T1274" s="1" t="s">
        <v>431</v>
      </c>
      <c r="U1274" s="1">
        <v>1</v>
      </c>
      <c r="V1274" s="1" t="s">
        <v>71</v>
      </c>
      <c r="Y1274" s="10">
        <v>43461</v>
      </c>
      <c r="Z1274" s="1">
        <v>2018</v>
      </c>
      <c r="AA1274" s="2"/>
      <c r="AB1274" s="2"/>
      <c r="AC1274" s="2">
        <v>424947.31</v>
      </c>
      <c r="AG1274" s="1" t="s">
        <v>56</v>
      </c>
      <c r="AI1274" s="2">
        <v>424947.31</v>
      </c>
      <c r="AL1274" s="1" t="s">
        <v>4319</v>
      </c>
    </row>
    <row r="1275" spans="1:38" ht="12.6" customHeight="1" x14ac:dyDescent="0.2">
      <c r="A1275" s="1" t="s">
        <v>57</v>
      </c>
      <c r="B1275" s="9" t="s">
        <v>39</v>
      </c>
      <c r="C1275" s="1" t="s">
        <v>58</v>
      </c>
      <c r="D1275" s="1" t="s">
        <v>4315</v>
      </c>
      <c r="E1275" s="1" t="s">
        <v>42</v>
      </c>
      <c r="G1275" s="1" t="s">
        <v>4316</v>
      </c>
      <c r="H1275" s="1" t="s">
        <v>61</v>
      </c>
      <c r="I1275" s="1" t="s">
        <v>5139</v>
      </c>
      <c r="J1275" s="1">
        <v>2018</v>
      </c>
      <c r="P1275" s="1" t="s">
        <v>4474</v>
      </c>
      <c r="Q1275" s="1" t="s">
        <v>50</v>
      </c>
      <c r="R1275" s="1" t="s">
        <v>68</v>
      </c>
      <c r="S1275" s="1" t="s">
        <v>430</v>
      </c>
      <c r="T1275" s="1" t="s">
        <v>431</v>
      </c>
      <c r="U1275" s="1">
        <v>1</v>
      </c>
      <c r="V1275" s="1" t="s">
        <v>71</v>
      </c>
      <c r="Y1275" s="10">
        <v>43461</v>
      </c>
      <c r="Z1275" s="1">
        <v>2018</v>
      </c>
      <c r="AA1275" s="2"/>
      <c r="AB1275" s="2"/>
      <c r="AC1275" s="2">
        <v>540245.07000000007</v>
      </c>
      <c r="AG1275" s="1" t="s">
        <v>56</v>
      </c>
      <c r="AI1275" s="2">
        <v>540245.07000000007</v>
      </c>
      <c r="AL1275" s="1" t="s">
        <v>4319</v>
      </c>
    </row>
    <row r="1276" spans="1:38" ht="12.6" customHeight="1" x14ac:dyDescent="0.2">
      <c r="A1276" s="1" t="s">
        <v>57</v>
      </c>
      <c r="B1276" s="9" t="s">
        <v>39</v>
      </c>
      <c r="C1276" s="1" t="s">
        <v>58</v>
      </c>
      <c r="D1276" s="1" t="s">
        <v>4315</v>
      </c>
      <c r="E1276" s="1" t="s">
        <v>42</v>
      </c>
      <c r="G1276" s="1" t="s">
        <v>4316</v>
      </c>
      <c r="H1276" s="1" t="s">
        <v>61</v>
      </c>
      <c r="I1276" s="1" t="s">
        <v>5140</v>
      </c>
      <c r="J1276" s="1">
        <v>2018</v>
      </c>
      <c r="P1276" s="1" t="s">
        <v>4474</v>
      </c>
      <c r="Q1276" s="1" t="s">
        <v>50</v>
      </c>
      <c r="R1276" s="1" t="s">
        <v>68</v>
      </c>
      <c r="S1276" s="1" t="s">
        <v>430</v>
      </c>
      <c r="T1276" s="1" t="s">
        <v>431</v>
      </c>
      <c r="U1276" s="1">
        <v>1</v>
      </c>
      <c r="V1276" s="1" t="s">
        <v>71</v>
      </c>
      <c r="Y1276" s="10">
        <v>43459</v>
      </c>
      <c r="Z1276" s="1">
        <v>2018</v>
      </c>
      <c r="AA1276" s="2"/>
      <c r="AB1276" s="2"/>
      <c r="AC1276" s="2">
        <v>632577.61</v>
      </c>
      <c r="AG1276" s="1" t="s">
        <v>56</v>
      </c>
      <c r="AI1276" s="2">
        <v>632577.61</v>
      </c>
      <c r="AL1276" s="1" t="s">
        <v>4319</v>
      </c>
    </row>
    <row r="1277" spans="1:38" ht="12.6" customHeight="1" x14ac:dyDescent="0.2">
      <c r="A1277" s="1" t="s">
        <v>57</v>
      </c>
      <c r="B1277" s="9" t="s">
        <v>39</v>
      </c>
      <c r="C1277" s="1" t="s">
        <v>58</v>
      </c>
      <c r="D1277" s="1" t="s">
        <v>4315</v>
      </c>
      <c r="E1277" s="1" t="s">
        <v>42</v>
      </c>
      <c r="G1277" s="1" t="s">
        <v>4316</v>
      </c>
      <c r="H1277" s="1" t="s">
        <v>61</v>
      </c>
      <c r="I1277" s="1" t="s">
        <v>5141</v>
      </c>
      <c r="J1277" s="1">
        <v>2018</v>
      </c>
      <c r="P1277" s="1" t="s">
        <v>4474</v>
      </c>
      <c r="Q1277" s="1" t="s">
        <v>50</v>
      </c>
      <c r="R1277" s="1" t="s">
        <v>77</v>
      </c>
      <c r="S1277" s="1" t="s">
        <v>198</v>
      </c>
      <c r="T1277" s="1" t="s">
        <v>199</v>
      </c>
      <c r="U1277" s="1">
        <v>1</v>
      </c>
      <c r="V1277" s="1" t="s">
        <v>186</v>
      </c>
      <c r="Y1277" s="10">
        <v>43461</v>
      </c>
      <c r="Z1277" s="1">
        <v>2018</v>
      </c>
      <c r="AA1277" s="2"/>
      <c r="AB1277" s="2"/>
      <c r="AC1277" s="2">
        <v>571688.86999999988</v>
      </c>
      <c r="AG1277" s="1" t="s">
        <v>56</v>
      </c>
      <c r="AI1277" s="2">
        <v>571688.86999999988</v>
      </c>
      <c r="AL1277" s="1" t="s">
        <v>4319</v>
      </c>
    </row>
    <row r="1278" spans="1:38" ht="12.6" customHeight="1" x14ac:dyDescent="0.2">
      <c r="A1278" s="1" t="s">
        <v>57</v>
      </c>
      <c r="B1278" s="9" t="s">
        <v>39</v>
      </c>
      <c r="C1278" s="1" t="s">
        <v>58</v>
      </c>
      <c r="D1278" s="1" t="s">
        <v>4315</v>
      </c>
      <c r="E1278" s="1" t="s">
        <v>42</v>
      </c>
      <c r="G1278" s="1" t="s">
        <v>4316</v>
      </c>
      <c r="H1278" s="1" t="s">
        <v>61</v>
      </c>
      <c r="I1278" s="1" t="s">
        <v>5142</v>
      </c>
      <c r="J1278" s="1">
        <v>2019</v>
      </c>
      <c r="P1278" s="1" t="s">
        <v>4471</v>
      </c>
      <c r="Q1278" s="1" t="s">
        <v>50</v>
      </c>
      <c r="R1278" s="1" t="s">
        <v>68</v>
      </c>
      <c r="S1278" s="1" t="s">
        <v>425</v>
      </c>
      <c r="T1278" s="1" t="s">
        <v>426</v>
      </c>
      <c r="U1278" s="1">
        <v>1</v>
      </c>
      <c r="V1278" s="1" t="s">
        <v>195</v>
      </c>
      <c r="Y1278" s="10">
        <v>43466</v>
      </c>
      <c r="Z1278" s="1">
        <v>2019</v>
      </c>
      <c r="AA1278" s="2"/>
      <c r="AB1278" s="2"/>
      <c r="AC1278" s="2">
        <v>375555.14999999997</v>
      </c>
      <c r="AG1278" s="1" t="s">
        <v>56</v>
      </c>
      <c r="AI1278" s="2">
        <v>375555.14999999997</v>
      </c>
      <c r="AL1278" s="1" t="s">
        <v>4319</v>
      </c>
    </row>
    <row r="1279" spans="1:38" ht="12.6" customHeight="1" x14ac:dyDescent="0.2">
      <c r="A1279" s="1" t="s">
        <v>57</v>
      </c>
      <c r="B1279" s="9" t="s">
        <v>39</v>
      </c>
      <c r="C1279" s="1" t="s">
        <v>58</v>
      </c>
      <c r="D1279" s="1" t="s">
        <v>146</v>
      </c>
      <c r="E1279" s="1" t="s">
        <v>42</v>
      </c>
      <c r="G1279" s="1" t="s">
        <v>147</v>
      </c>
      <c r="H1279" s="1" t="s">
        <v>148</v>
      </c>
      <c r="I1279" s="1" t="s">
        <v>5143</v>
      </c>
      <c r="J1279" s="1">
        <v>2020</v>
      </c>
      <c r="K1279" s="1" t="s">
        <v>5144</v>
      </c>
      <c r="P1279" s="1" t="s">
        <v>3189</v>
      </c>
      <c r="Q1279" s="1" t="s">
        <v>264</v>
      </c>
      <c r="R1279" s="1" t="s">
        <v>265</v>
      </c>
      <c r="S1279" s="1" t="s">
        <v>935</v>
      </c>
      <c r="T1279" s="1" t="s">
        <v>936</v>
      </c>
      <c r="U1279" s="1">
        <v>1</v>
      </c>
      <c r="V1279" s="1" t="s">
        <v>308</v>
      </c>
      <c r="W1279" s="1" t="s">
        <v>5144</v>
      </c>
      <c r="X1279" s="1" t="s">
        <v>153</v>
      </c>
      <c r="Y1279" s="10">
        <v>44127</v>
      </c>
      <c r="Z1279" s="1">
        <v>2020</v>
      </c>
      <c r="AA1279" s="2">
        <v>258000</v>
      </c>
      <c r="AB1279" s="2"/>
      <c r="AC1279" s="2">
        <v>193500</v>
      </c>
      <c r="AD1279" s="1">
        <v>0</v>
      </c>
      <c r="AF1279" s="1">
        <v>0</v>
      </c>
      <c r="AG1279" s="1" t="s">
        <v>432</v>
      </c>
      <c r="AH1279" s="1" t="s">
        <v>492</v>
      </c>
      <c r="AI1279" s="2">
        <v>0</v>
      </c>
      <c r="AL1279" s="1" t="s">
        <v>1807</v>
      </c>
    </row>
    <row r="1280" spans="1:38" ht="12.6" customHeight="1" x14ac:dyDescent="0.2">
      <c r="A1280" s="1" t="s">
        <v>57</v>
      </c>
      <c r="B1280" s="9" t="s">
        <v>39</v>
      </c>
      <c r="C1280" s="1" t="s">
        <v>58</v>
      </c>
      <c r="D1280" s="1" t="s">
        <v>146</v>
      </c>
      <c r="E1280" s="1" t="s">
        <v>42</v>
      </c>
      <c r="G1280" s="1" t="s">
        <v>147</v>
      </c>
      <c r="H1280" s="1" t="s">
        <v>148</v>
      </c>
      <c r="I1280" s="1" t="s">
        <v>5145</v>
      </c>
      <c r="J1280" s="1">
        <v>2020</v>
      </c>
      <c r="K1280" s="1" t="s">
        <v>5146</v>
      </c>
      <c r="P1280" s="1" t="s">
        <v>3189</v>
      </c>
      <c r="Q1280" s="1" t="s">
        <v>264</v>
      </c>
      <c r="R1280" s="1" t="s">
        <v>265</v>
      </c>
      <c r="S1280" s="1" t="s">
        <v>935</v>
      </c>
      <c r="T1280" s="1" t="s">
        <v>936</v>
      </c>
      <c r="U1280" s="1">
        <v>1</v>
      </c>
      <c r="V1280" s="1" t="s">
        <v>308</v>
      </c>
      <c r="W1280" s="1" t="s">
        <v>5146</v>
      </c>
      <c r="X1280" s="1" t="s">
        <v>153</v>
      </c>
      <c r="Y1280" s="10">
        <v>44127</v>
      </c>
      <c r="Z1280" s="1">
        <v>2020</v>
      </c>
      <c r="AA1280" s="2">
        <v>92000</v>
      </c>
      <c r="AB1280" s="2"/>
      <c r="AC1280" s="2">
        <v>69000</v>
      </c>
      <c r="AD1280" s="1">
        <v>0</v>
      </c>
      <c r="AF1280" s="1">
        <v>0</v>
      </c>
      <c r="AG1280" s="1" t="s">
        <v>432</v>
      </c>
      <c r="AH1280" s="1" t="s">
        <v>492</v>
      </c>
      <c r="AI1280" s="2">
        <v>0</v>
      </c>
    </row>
    <row r="1281" spans="1:38" ht="12.6" customHeight="1" x14ac:dyDescent="0.2">
      <c r="A1281" s="1" t="s">
        <v>57</v>
      </c>
      <c r="B1281" s="9" t="s">
        <v>39</v>
      </c>
      <c r="C1281" s="1" t="s">
        <v>58</v>
      </c>
      <c r="D1281" s="1" t="s">
        <v>146</v>
      </c>
      <c r="E1281" s="1" t="s">
        <v>42</v>
      </c>
      <c r="G1281" s="1" t="s">
        <v>147</v>
      </c>
      <c r="H1281" s="1" t="s">
        <v>148</v>
      </c>
      <c r="I1281" s="1" t="s">
        <v>5147</v>
      </c>
      <c r="J1281" s="1">
        <v>2020</v>
      </c>
      <c r="K1281" s="1" t="s">
        <v>5148</v>
      </c>
      <c r="P1281" s="1" t="s">
        <v>1345</v>
      </c>
      <c r="Q1281" s="1" t="s">
        <v>264</v>
      </c>
      <c r="R1281" s="1" t="s">
        <v>265</v>
      </c>
      <c r="S1281" s="1" t="s">
        <v>290</v>
      </c>
      <c r="T1281" s="1" t="s">
        <v>291</v>
      </c>
      <c r="U1281" s="1">
        <v>1</v>
      </c>
      <c r="V1281" s="1" t="s">
        <v>268</v>
      </c>
      <c r="W1281" s="1" t="s">
        <v>5149</v>
      </c>
      <c r="X1281" s="1" t="s">
        <v>321</v>
      </c>
      <c r="Y1281" s="10">
        <v>44127</v>
      </c>
      <c r="Z1281" s="1">
        <v>2020</v>
      </c>
      <c r="AA1281" s="2">
        <v>600000</v>
      </c>
      <c r="AB1281" s="2"/>
      <c r="AC1281" s="2">
        <v>450000</v>
      </c>
      <c r="AD1281" s="1">
        <v>0</v>
      </c>
      <c r="AF1281" s="1">
        <v>0</v>
      </c>
      <c r="AG1281" s="1" t="s">
        <v>432</v>
      </c>
      <c r="AH1281" s="1" t="s">
        <v>5150</v>
      </c>
      <c r="AI1281" s="2">
        <v>0</v>
      </c>
    </row>
    <row r="1282" spans="1:38" ht="12.6" customHeight="1" x14ac:dyDescent="0.2">
      <c r="A1282" s="1" t="s">
        <v>57</v>
      </c>
      <c r="B1282" s="9" t="s">
        <v>39</v>
      </c>
      <c r="C1282" s="1" t="s">
        <v>58</v>
      </c>
      <c r="D1282" s="1" t="s">
        <v>146</v>
      </c>
      <c r="E1282" s="1" t="s">
        <v>42</v>
      </c>
      <c r="G1282" s="1" t="s">
        <v>147</v>
      </c>
      <c r="H1282" s="1" t="s">
        <v>148</v>
      </c>
      <c r="I1282" s="1" t="s">
        <v>5151</v>
      </c>
      <c r="J1282" s="1">
        <v>2020</v>
      </c>
      <c r="K1282" s="1" t="s">
        <v>5152</v>
      </c>
      <c r="L1282" s="1" t="s">
        <v>5153</v>
      </c>
      <c r="P1282" s="1" t="s">
        <v>1456</v>
      </c>
      <c r="Q1282" s="1" t="s">
        <v>110</v>
      </c>
      <c r="R1282" s="1" t="s">
        <v>605</v>
      </c>
      <c r="S1282" s="1" t="s">
        <v>606</v>
      </c>
      <c r="T1282" s="1" t="s">
        <v>607</v>
      </c>
      <c r="U1282" s="1">
        <v>1</v>
      </c>
      <c r="V1282" s="1" t="s">
        <v>80</v>
      </c>
      <c r="W1282" s="1" t="s">
        <v>5153</v>
      </c>
      <c r="X1282" s="1" t="s">
        <v>153</v>
      </c>
      <c r="Y1282" s="10">
        <v>44127</v>
      </c>
      <c r="Z1282" s="1">
        <v>2020</v>
      </c>
      <c r="AA1282" s="2">
        <v>3825000</v>
      </c>
      <c r="AB1282" s="2"/>
      <c r="AC1282" s="2">
        <v>2868750</v>
      </c>
      <c r="AD1282" s="1">
        <v>0</v>
      </c>
      <c r="AG1282" s="1" t="s">
        <v>432</v>
      </c>
      <c r="AH1282" s="1" t="s">
        <v>5150</v>
      </c>
      <c r="AI1282" s="2">
        <v>0</v>
      </c>
      <c r="AL1282" s="1" t="s">
        <v>1744</v>
      </c>
    </row>
    <row r="1283" spans="1:38" ht="12.6" customHeight="1" x14ac:dyDescent="0.2">
      <c r="A1283" s="1" t="s">
        <v>57</v>
      </c>
      <c r="B1283" s="9" t="s">
        <v>39</v>
      </c>
      <c r="C1283" s="1" t="s">
        <v>58</v>
      </c>
      <c r="D1283" s="1" t="s">
        <v>4315</v>
      </c>
      <c r="E1283" s="1" t="s">
        <v>42</v>
      </c>
      <c r="G1283" s="1" t="s">
        <v>4316</v>
      </c>
      <c r="H1283" s="1" t="s">
        <v>61</v>
      </c>
      <c r="I1283" s="1" t="s">
        <v>5154</v>
      </c>
      <c r="J1283" s="1">
        <v>2019</v>
      </c>
      <c r="P1283" s="1" t="s">
        <v>4471</v>
      </c>
      <c r="Q1283" s="1" t="s">
        <v>50</v>
      </c>
      <c r="R1283" s="1" t="s">
        <v>68</v>
      </c>
      <c r="S1283" s="1" t="s">
        <v>425</v>
      </c>
      <c r="T1283" s="1" t="s">
        <v>426</v>
      </c>
      <c r="U1283" s="1">
        <v>1</v>
      </c>
      <c r="V1283" s="1" t="s">
        <v>195</v>
      </c>
      <c r="Y1283" s="10">
        <v>43466</v>
      </c>
      <c r="Z1283" s="1">
        <v>2019</v>
      </c>
      <c r="AA1283" s="2"/>
      <c r="AB1283" s="2"/>
      <c r="AC1283" s="2">
        <v>592187.8600000001</v>
      </c>
      <c r="AG1283" s="1" t="s">
        <v>56</v>
      </c>
      <c r="AI1283" s="2">
        <v>592187.8600000001</v>
      </c>
      <c r="AL1283" s="1" t="s">
        <v>4319</v>
      </c>
    </row>
    <row r="1284" spans="1:38" ht="12.6" customHeight="1" x14ac:dyDescent="0.2">
      <c r="A1284" s="1" t="s">
        <v>57</v>
      </c>
      <c r="B1284" s="9" t="s">
        <v>39</v>
      </c>
      <c r="C1284" s="1" t="s">
        <v>58</v>
      </c>
      <c r="D1284" s="1" t="s">
        <v>146</v>
      </c>
      <c r="E1284" s="1" t="s">
        <v>42</v>
      </c>
      <c r="G1284" s="1" t="s">
        <v>147</v>
      </c>
      <c r="H1284" s="1" t="s">
        <v>148</v>
      </c>
      <c r="I1284" s="1" t="s">
        <v>5155</v>
      </c>
      <c r="J1284" s="1">
        <v>2020</v>
      </c>
      <c r="K1284" s="1" t="s">
        <v>5156</v>
      </c>
      <c r="P1284" s="1" t="s">
        <v>5157</v>
      </c>
      <c r="Q1284" s="1" t="s">
        <v>101</v>
      </c>
      <c r="R1284" s="1" t="s">
        <v>102</v>
      </c>
      <c r="S1284" s="1" t="s">
        <v>1486</v>
      </c>
      <c r="T1284" s="1" t="s">
        <v>1487</v>
      </c>
      <c r="U1284" s="1">
        <v>1</v>
      </c>
      <c r="V1284" s="1" t="s">
        <v>101</v>
      </c>
      <c r="W1284" s="1" t="s">
        <v>5158</v>
      </c>
      <c r="X1284" s="1" t="s">
        <v>321</v>
      </c>
      <c r="Y1284" s="10">
        <v>44127</v>
      </c>
      <c r="Z1284" s="1">
        <v>2020</v>
      </c>
      <c r="AA1284" s="2">
        <v>1465227.2</v>
      </c>
      <c r="AB1284" s="2"/>
      <c r="AC1284" s="2">
        <v>1098920.3999999999</v>
      </c>
      <c r="AD1284" s="1">
        <v>8</v>
      </c>
      <c r="AF1284" s="1">
        <v>0</v>
      </c>
      <c r="AG1284" s="1" t="s">
        <v>432</v>
      </c>
      <c r="AH1284" s="1" t="s">
        <v>492</v>
      </c>
      <c r="AI1284" s="2">
        <v>0</v>
      </c>
      <c r="AK1284" s="1" t="s">
        <v>301</v>
      </c>
      <c r="AL1284" s="1" t="s">
        <v>5159</v>
      </c>
    </row>
    <row r="1285" spans="1:38" ht="12.6" customHeight="1" x14ac:dyDescent="0.2">
      <c r="A1285" s="1" t="s">
        <v>57</v>
      </c>
      <c r="B1285" s="9" t="s">
        <v>39</v>
      </c>
      <c r="C1285" s="1" t="s">
        <v>58</v>
      </c>
      <c r="D1285" s="1" t="s">
        <v>59</v>
      </c>
      <c r="E1285" s="1" t="s">
        <v>42</v>
      </c>
      <c r="G1285" s="1" t="s">
        <v>105</v>
      </c>
      <c r="H1285" s="1" t="s">
        <v>1893</v>
      </c>
      <c r="I1285" s="1" t="s">
        <v>5160</v>
      </c>
      <c r="J1285" s="1">
        <v>2023</v>
      </c>
      <c r="K1285" s="1" t="s">
        <v>5161</v>
      </c>
      <c r="P1285" s="1" t="s">
        <v>5162</v>
      </c>
      <c r="Q1285" s="1" t="s">
        <v>101</v>
      </c>
      <c r="R1285" s="1" t="s">
        <v>102</v>
      </c>
      <c r="S1285" s="1" t="s">
        <v>523</v>
      </c>
      <c r="T1285" s="1" t="s">
        <v>524</v>
      </c>
      <c r="U1285" s="1">
        <v>1</v>
      </c>
      <c r="V1285" s="1" t="s">
        <v>101</v>
      </c>
      <c r="W1285" s="1" t="s">
        <v>5161</v>
      </c>
      <c r="Y1285" s="10">
        <v>45462</v>
      </c>
      <c r="Z1285" s="1">
        <v>2024</v>
      </c>
      <c r="AA1285" s="2">
        <v>9024275.0800000001</v>
      </c>
      <c r="AB1285" s="2"/>
      <c r="AC1285" s="2">
        <v>2322355.02</v>
      </c>
      <c r="AD1285" s="1">
        <v>44</v>
      </c>
      <c r="AE1285" s="1">
        <v>10</v>
      </c>
      <c r="AG1285" s="1" t="s">
        <v>56</v>
      </c>
      <c r="AI1285" s="2">
        <v>2322355.02</v>
      </c>
    </row>
    <row r="1286" spans="1:38" ht="12.6" customHeight="1" x14ac:dyDescent="0.2">
      <c r="A1286" s="1" t="s">
        <v>57</v>
      </c>
      <c r="B1286" s="9" t="s">
        <v>39</v>
      </c>
      <c r="C1286" s="1" t="s">
        <v>58</v>
      </c>
      <c r="D1286" s="1" t="s">
        <v>59</v>
      </c>
      <c r="E1286" s="1" t="s">
        <v>42</v>
      </c>
      <c r="G1286" s="1" t="s">
        <v>105</v>
      </c>
      <c r="H1286" s="1" t="s">
        <v>1893</v>
      </c>
      <c r="I1286" s="1" t="s">
        <v>5163</v>
      </c>
      <c r="J1286" s="1">
        <v>2023</v>
      </c>
      <c r="K1286" s="1" t="s">
        <v>5164</v>
      </c>
      <c r="L1286" s="1" t="s">
        <v>5165</v>
      </c>
      <c r="P1286" s="1" t="s">
        <v>5166</v>
      </c>
      <c r="Q1286" s="1" t="s">
        <v>1149</v>
      </c>
      <c r="R1286" s="1" t="s">
        <v>1150</v>
      </c>
      <c r="S1286" s="1" t="s">
        <v>1535</v>
      </c>
      <c r="T1286" s="1" t="s">
        <v>1536</v>
      </c>
      <c r="V1286" s="1" t="s">
        <v>1537</v>
      </c>
      <c r="W1286" s="1" t="s">
        <v>5167</v>
      </c>
      <c r="Y1286" s="10">
        <v>45462</v>
      </c>
      <c r="Z1286" s="1">
        <v>2024</v>
      </c>
      <c r="AA1286" s="2">
        <v>11645062.539999999</v>
      </c>
      <c r="AB1286" s="2"/>
      <c r="AC1286" s="2">
        <v>2637885.94</v>
      </c>
      <c r="AD1286" s="1">
        <v>40</v>
      </c>
      <c r="AE1286" s="1">
        <v>12</v>
      </c>
      <c r="AG1286" s="1" t="s">
        <v>56</v>
      </c>
      <c r="AI1286" s="2">
        <v>2637885.94</v>
      </c>
    </row>
    <row r="1287" spans="1:38" ht="12.6" customHeight="1" x14ac:dyDescent="0.2">
      <c r="A1287" s="1" t="s">
        <v>57</v>
      </c>
      <c r="B1287" s="9" t="s">
        <v>39</v>
      </c>
      <c r="C1287" s="1" t="s">
        <v>58</v>
      </c>
      <c r="D1287" s="1" t="s">
        <v>59</v>
      </c>
      <c r="E1287" s="1" t="s">
        <v>42</v>
      </c>
      <c r="G1287" s="1" t="s">
        <v>105</v>
      </c>
      <c r="H1287" s="1" t="s">
        <v>1893</v>
      </c>
      <c r="I1287" s="1" t="s">
        <v>5168</v>
      </c>
      <c r="J1287" s="1">
        <v>2023</v>
      </c>
      <c r="K1287" s="1" t="s">
        <v>5169</v>
      </c>
      <c r="L1287" s="1" t="s">
        <v>5170</v>
      </c>
      <c r="M1287" s="1" t="s">
        <v>5171</v>
      </c>
      <c r="P1287" s="1" t="s">
        <v>5172</v>
      </c>
      <c r="Q1287" s="1" t="s">
        <v>1149</v>
      </c>
      <c r="R1287" s="1" t="s">
        <v>1150</v>
      </c>
      <c r="S1287" s="1" t="s">
        <v>1218</v>
      </c>
      <c r="T1287" s="1" t="s">
        <v>1219</v>
      </c>
      <c r="V1287" s="1" t="s">
        <v>1153</v>
      </c>
      <c r="W1287" s="1" t="s">
        <v>5169</v>
      </c>
      <c r="Y1287" s="10">
        <v>45462</v>
      </c>
      <c r="Z1287" s="1">
        <v>2024</v>
      </c>
      <c r="AA1287" s="2">
        <v>1033350.16</v>
      </c>
      <c r="AB1287" s="2"/>
      <c r="AC1287" s="2">
        <v>258337.54</v>
      </c>
      <c r="AD1287" s="1">
        <v>11</v>
      </c>
      <c r="AE1287" s="1">
        <v>11</v>
      </c>
      <c r="AG1287" s="1" t="s">
        <v>56</v>
      </c>
      <c r="AI1287" s="2">
        <v>258337.54</v>
      </c>
    </row>
    <row r="1288" spans="1:38" ht="12.6" customHeight="1" x14ac:dyDescent="0.2">
      <c r="A1288" s="1" t="s">
        <v>57</v>
      </c>
      <c r="B1288" s="9" t="s">
        <v>39</v>
      </c>
      <c r="C1288" s="1" t="s">
        <v>58</v>
      </c>
      <c r="D1288" s="1" t="s">
        <v>59</v>
      </c>
      <c r="E1288" s="1" t="s">
        <v>42</v>
      </c>
      <c r="G1288" s="1" t="s">
        <v>105</v>
      </c>
      <c r="H1288" s="1" t="s">
        <v>1893</v>
      </c>
      <c r="I1288" s="1" t="s">
        <v>5173</v>
      </c>
      <c r="J1288" s="1">
        <v>2023</v>
      </c>
      <c r="K1288" s="1" t="s">
        <v>5174</v>
      </c>
      <c r="P1288" s="1" t="s">
        <v>5175</v>
      </c>
      <c r="Q1288" s="1" t="s">
        <v>264</v>
      </c>
      <c r="R1288" s="1" t="s">
        <v>265</v>
      </c>
      <c r="S1288" s="1" t="s">
        <v>299</v>
      </c>
      <c r="T1288" s="1" t="s">
        <v>300</v>
      </c>
      <c r="U1288" s="1">
        <v>2</v>
      </c>
      <c r="V1288" s="1" t="s">
        <v>268</v>
      </c>
      <c r="W1288" s="1" t="s">
        <v>5176</v>
      </c>
      <c r="Y1288" s="10">
        <v>45594</v>
      </c>
      <c r="Z1288" s="1">
        <v>2024</v>
      </c>
      <c r="AA1288" s="2">
        <v>4187960</v>
      </c>
      <c r="AB1288" s="2"/>
      <c r="AC1288" s="2">
        <v>845393</v>
      </c>
      <c r="AD1288" s="1">
        <v>10</v>
      </c>
      <c r="AE1288" s="1">
        <v>1</v>
      </c>
      <c r="AG1288" s="1" t="s">
        <v>56</v>
      </c>
    </row>
    <row r="1289" spans="1:38" ht="12.6" customHeight="1" x14ac:dyDescent="0.2">
      <c r="A1289" s="1" t="s">
        <v>57</v>
      </c>
      <c r="B1289" s="9" t="s">
        <v>39</v>
      </c>
      <c r="C1289" s="1" t="s">
        <v>58</v>
      </c>
      <c r="D1289" s="1" t="s">
        <v>59</v>
      </c>
      <c r="E1289" s="1" t="s">
        <v>42</v>
      </c>
      <c r="G1289" s="1" t="s">
        <v>122</v>
      </c>
      <c r="H1289" s="1" t="s">
        <v>1893</v>
      </c>
      <c r="I1289" s="1" t="s">
        <v>5177</v>
      </c>
      <c r="J1289" s="1">
        <v>2023</v>
      </c>
      <c r="K1289" s="1" t="s">
        <v>5178</v>
      </c>
      <c r="P1289" s="1" t="s">
        <v>5179</v>
      </c>
      <c r="Q1289" s="1" t="s">
        <v>842</v>
      </c>
      <c r="R1289" s="1" t="s">
        <v>1177</v>
      </c>
      <c r="S1289" s="1" t="s">
        <v>1178</v>
      </c>
      <c r="T1289" s="1" t="s">
        <v>1179</v>
      </c>
      <c r="V1289" s="1" t="s">
        <v>1178</v>
      </c>
      <c r="W1289" s="1" t="s">
        <v>5178</v>
      </c>
      <c r="Y1289" s="10">
        <v>45478</v>
      </c>
      <c r="Z1289" s="1">
        <v>2024</v>
      </c>
      <c r="AA1289" s="2">
        <v>182091.71</v>
      </c>
      <c r="AB1289" s="2"/>
      <c r="AC1289" s="2">
        <v>91045.85</v>
      </c>
      <c r="AD1289" s="1">
        <v>2</v>
      </c>
      <c r="AG1289" s="1" t="s">
        <v>432</v>
      </c>
      <c r="AH1289" s="1" t="s">
        <v>492</v>
      </c>
      <c r="AI1289" s="2">
        <v>0</v>
      </c>
    </row>
    <row r="1290" spans="1:38" ht="12.6" customHeight="1" x14ac:dyDescent="0.2">
      <c r="A1290" s="1" t="s">
        <v>57</v>
      </c>
      <c r="B1290" s="9" t="s">
        <v>38</v>
      </c>
      <c r="C1290" s="1" t="s">
        <v>40</v>
      </c>
      <c r="D1290" s="1" t="s">
        <v>41</v>
      </c>
      <c r="E1290" s="1" t="s">
        <v>200</v>
      </c>
      <c r="F1290" s="1" t="s">
        <v>43</v>
      </c>
      <c r="G1290" s="1" t="s">
        <v>44</v>
      </c>
      <c r="H1290" s="1" t="s">
        <v>45</v>
      </c>
      <c r="I1290" s="1" t="s">
        <v>5180</v>
      </c>
      <c r="J1290" s="1">
        <v>2022</v>
      </c>
      <c r="K1290" s="1" t="s">
        <v>5181</v>
      </c>
      <c r="L1290" s="1" t="s">
        <v>5182</v>
      </c>
      <c r="N1290" s="1" t="s">
        <v>5183</v>
      </c>
      <c r="P1290" s="1" t="s">
        <v>1172</v>
      </c>
      <c r="Q1290" s="1" t="s">
        <v>50</v>
      </c>
      <c r="R1290" s="1" t="s">
        <v>68</v>
      </c>
      <c r="S1290" s="1" t="s">
        <v>814</v>
      </c>
      <c r="T1290" s="1" t="s">
        <v>815</v>
      </c>
      <c r="U1290" s="1">
        <v>2</v>
      </c>
      <c r="V1290" s="1" t="s">
        <v>71</v>
      </c>
      <c r="W1290" s="1" t="s">
        <v>5184</v>
      </c>
      <c r="X1290" s="1" t="s">
        <v>55</v>
      </c>
      <c r="Y1290" s="10">
        <v>45222</v>
      </c>
      <c r="Z1290" s="1">
        <v>2023</v>
      </c>
      <c r="AA1290" s="2">
        <v>219388</v>
      </c>
      <c r="AB1290" s="2"/>
      <c r="AC1290" s="2">
        <v>175510.39999999999</v>
      </c>
      <c r="AG1290" s="1" t="s">
        <v>56</v>
      </c>
      <c r="AI1290" s="2">
        <v>175510.39999999999</v>
      </c>
    </row>
    <row r="1291" spans="1:38" ht="12.6" customHeight="1" x14ac:dyDescent="0.25">
      <c r="A1291" s="1" t="s">
        <v>57</v>
      </c>
      <c r="B1291" s="9" t="s">
        <v>38</v>
      </c>
      <c r="C1291" s="1" t="s">
        <v>58</v>
      </c>
      <c r="D1291" s="1" t="s">
        <v>146</v>
      </c>
      <c r="E1291" s="1" t="s">
        <v>42</v>
      </c>
      <c r="G1291" s="1" t="s">
        <v>155</v>
      </c>
      <c r="H1291" s="1" t="s">
        <v>156</v>
      </c>
      <c r="I1291" s="1" t="s">
        <v>5185</v>
      </c>
      <c r="J1291" s="1">
        <v>2022</v>
      </c>
      <c r="K1291" s="1" t="s">
        <v>5186</v>
      </c>
      <c r="L1291" s="1" t="s">
        <v>5187</v>
      </c>
      <c r="M1291" s="1" t="s">
        <v>5188</v>
      </c>
      <c r="P1291" s="1" t="s">
        <v>1176</v>
      </c>
      <c r="Q1291" s="1" t="s">
        <v>842</v>
      </c>
      <c r="R1291" s="1" t="s">
        <v>1177</v>
      </c>
      <c r="S1291" s="16" t="s">
        <v>1178</v>
      </c>
      <c r="T1291" s="1" t="s">
        <v>1179</v>
      </c>
      <c r="V1291" s="1" t="s">
        <v>1178</v>
      </c>
      <c r="W1291" s="1" t="s">
        <v>5189</v>
      </c>
      <c r="Y1291" s="10">
        <v>45112</v>
      </c>
      <c r="Z1291" s="1">
        <v>2023</v>
      </c>
      <c r="AA1291" s="2">
        <v>359975</v>
      </c>
      <c r="AB1291" s="2"/>
      <c r="AC1291" s="2">
        <v>359975</v>
      </c>
      <c r="AG1291" s="1" t="s">
        <v>56</v>
      </c>
      <c r="AI1291" s="2">
        <v>359975</v>
      </c>
    </row>
    <row r="1292" spans="1:38" ht="12.6" customHeight="1" x14ac:dyDescent="0.2">
      <c r="A1292" s="1" t="s">
        <v>57</v>
      </c>
      <c r="B1292" s="9" t="s">
        <v>39</v>
      </c>
      <c r="C1292" s="1" t="s">
        <v>58</v>
      </c>
      <c r="D1292" s="1" t="s">
        <v>146</v>
      </c>
      <c r="E1292" s="1" t="s">
        <v>42</v>
      </c>
      <c r="G1292" s="1" t="s">
        <v>147</v>
      </c>
      <c r="H1292" s="1" t="s">
        <v>148</v>
      </c>
      <c r="I1292" s="1" t="s">
        <v>5190</v>
      </c>
      <c r="J1292" s="1">
        <v>2021</v>
      </c>
      <c r="K1292" s="1" t="s">
        <v>5191</v>
      </c>
      <c r="L1292" s="1" t="s">
        <v>5192</v>
      </c>
      <c r="M1292" s="1" t="s">
        <v>5193</v>
      </c>
      <c r="P1292" s="1" t="s">
        <v>1774</v>
      </c>
      <c r="Q1292" s="1" t="s">
        <v>50</v>
      </c>
      <c r="R1292" s="1" t="s">
        <v>77</v>
      </c>
      <c r="S1292" s="1" t="s">
        <v>1775</v>
      </c>
      <c r="T1292" s="1" t="s">
        <v>1776</v>
      </c>
      <c r="U1292" s="1">
        <v>1</v>
      </c>
      <c r="V1292" s="1" t="s">
        <v>186</v>
      </c>
      <c r="W1292" s="1" t="s">
        <v>5191</v>
      </c>
      <c r="X1292" s="1" t="s">
        <v>599</v>
      </c>
      <c r="Y1292" s="10">
        <v>44559</v>
      </c>
      <c r="Z1292" s="1">
        <v>2021</v>
      </c>
      <c r="AA1292" s="2">
        <v>94868.86</v>
      </c>
      <c r="AB1292" s="2"/>
      <c r="AC1292" s="2">
        <v>71151.649999999994</v>
      </c>
      <c r="AD1292" s="1">
        <v>0.5</v>
      </c>
      <c r="AG1292" s="1" t="s">
        <v>432</v>
      </c>
      <c r="AH1292" s="1" t="s">
        <v>5150</v>
      </c>
      <c r="AI1292" s="2">
        <v>0</v>
      </c>
      <c r="AL1292" s="1" t="s">
        <v>1744</v>
      </c>
    </row>
    <row r="1293" spans="1:38" ht="12.6" customHeight="1" x14ac:dyDescent="0.2">
      <c r="A1293" s="1" t="s">
        <v>57</v>
      </c>
      <c r="B1293" s="9" t="s">
        <v>39</v>
      </c>
      <c r="C1293" s="1" t="s">
        <v>58</v>
      </c>
      <c r="D1293" s="1" t="s">
        <v>146</v>
      </c>
      <c r="E1293" s="1" t="s">
        <v>42</v>
      </c>
      <c r="G1293" s="1" t="s">
        <v>1172</v>
      </c>
      <c r="H1293" s="1" t="s">
        <v>61</v>
      </c>
      <c r="I1293" s="1" t="s">
        <v>5194</v>
      </c>
      <c r="J1293" s="1">
        <v>2020</v>
      </c>
      <c r="K1293" s="1" t="s">
        <v>5195</v>
      </c>
      <c r="P1293" s="1" t="s">
        <v>5196</v>
      </c>
      <c r="Q1293" s="1" t="s">
        <v>50</v>
      </c>
      <c r="R1293" s="1" t="s">
        <v>77</v>
      </c>
      <c r="S1293" s="1" t="s">
        <v>5197</v>
      </c>
      <c r="T1293" s="1" t="s">
        <v>5198</v>
      </c>
      <c r="U1293" s="1">
        <v>2</v>
      </c>
      <c r="V1293" s="1" t="s">
        <v>186</v>
      </c>
      <c r="W1293" s="1" t="s">
        <v>5195</v>
      </c>
      <c r="X1293" s="1" t="s">
        <v>138</v>
      </c>
      <c r="Y1293" s="10">
        <v>44337</v>
      </c>
      <c r="Z1293" s="1">
        <v>2021</v>
      </c>
      <c r="AA1293" s="2">
        <v>1000000</v>
      </c>
      <c r="AB1293" s="2"/>
      <c r="AC1293" s="2">
        <v>500000</v>
      </c>
      <c r="AD1293" s="1">
        <v>20</v>
      </c>
      <c r="AE1293" s="1">
        <v>18</v>
      </c>
      <c r="AG1293" s="1" t="s">
        <v>432</v>
      </c>
      <c r="AH1293" s="1" t="s">
        <v>4485</v>
      </c>
      <c r="AI1293" s="2">
        <v>0</v>
      </c>
      <c r="AK1293" s="1">
        <v>20</v>
      </c>
      <c r="AL1293" s="1" t="s">
        <v>5199</v>
      </c>
    </row>
    <row r="1294" spans="1:38" ht="12.6" customHeight="1" x14ac:dyDescent="0.2">
      <c r="A1294" s="1" t="s">
        <v>57</v>
      </c>
      <c r="B1294" s="9" t="s">
        <v>38</v>
      </c>
      <c r="C1294" s="1" t="s">
        <v>40</v>
      </c>
      <c r="D1294" s="1" t="s">
        <v>41</v>
      </c>
      <c r="E1294" s="1" t="s">
        <v>42</v>
      </c>
      <c r="F1294" s="1" t="s">
        <v>4146</v>
      </c>
      <c r="G1294" s="1" t="s">
        <v>4147</v>
      </c>
      <c r="H1294" s="1" t="s">
        <v>45</v>
      </c>
      <c r="I1294" s="1" t="s">
        <v>5200</v>
      </c>
      <c r="J1294" s="1">
        <v>2024</v>
      </c>
      <c r="K1294" s="1" t="s">
        <v>5201</v>
      </c>
      <c r="L1294" s="1" t="s">
        <v>5202</v>
      </c>
      <c r="M1294" s="1" t="s">
        <v>5203</v>
      </c>
      <c r="N1294" s="1" t="s">
        <v>5204</v>
      </c>
      <c r="P1294" s="1" t="s">
        <v>5205</v>
      </c>
      <c r="Q1294" s="1" t="s">
        <v>50</v>
      </c>
      <c r="R1294" s="1" t="s">
        <v>68</v>
      </c>
      <c r="S1294" s="1" t="s">
        <v>69</v>
      </c>
      <c r="T1294" s="1" t="s">
        <v>70</v>
      </c>
      <c r="U1294" s="1">
        <v>1</v>
      </c>
      <c r="V1294" s="1" t="s">
        <v>71</v>
      </c>
      <c r="W1294" s="1" t="s">
        <v>5206</v>
      </c>
      <c r="X1294" s="1" t="s">
        <v>5207</v>
      </c>
      <c r="Y1294" s="10">
        <v>45834</v>
      </c>
      <c r="Z1294" s="1">
        <v>2025</v>
      </c>
      <c r="AA1294" s="2">
        <v>3448712</v>
      </c>
      <c r="AB1294" s="2"/>
      <c r="AC1294" s="2">
        <v>1207049</v>
      </c>
      <c r="AG1294" s="1" t="s">
        <v>56</v>
      </c>
      <c r="AI1294" s="2">
        <v>1207049</v>
      </c>
    </row>
    <row r="1295" spans="1:38" ht="12.6" customHeight="1" x14ac:dyDescent="0.2">
      <c r="A1295" s="1" t="s">
        <v>57</v>
      </c>
      <c r="B1295" s="9" t="s">
        <v>38</v>
      </c>
      <c r="C1295" s="1" t="s">
        <v>40</v>
      </c>
      <c r="D1295" s="1" t="s">
        <v>41</v>
      </c>
      <c r="E1295" s="1" t="s">
        <v>200</v>
      </c>
      <c r="F1295" s="1" t="s">
        <v>230</v>
      </c>
      <c r="G1295" s="1" t="s">
        <v>231</v>
      </c>
      <c r="H1295" s="1" t="s">
        <v>45</v>
      </c>
      <c r="I1295" s="1" t="s">
        <v>5208</v>
      </c>
      <c r="J1295" s="1">
        <v>2022</v>
      </c>
      <c r="K1295" s="1" t="s">
        <v>5209</v>
      </c>
      <c r="L1295" s="1" t="s">
        <v>5210</v>
      </c>
      <c r="M1295" s="1" t="s">
        <v>5211</v>
      </c>
      <c r="N1295" s="1" t="s">
        <v>5212</v>
      </c>
      <c r="P1295" s="1" t="s">
        <v>5213</v>
      </c>
      <c r="Q1295" s="1" t="s">
        <v>50</v>
      </c>
      <c r="R1295" s="1" t="s">
        <v>68</v>
      </c>
      <c r="S1295" s="1" t="s">
        <v>189</v>
      </c>
      <c r="T1295" s="1" t="s">
        <v>190</v>
      </c>
      <c r="U1295" s="1">
        <v>1</v>
      </c>
      <c r="V1295" s="1" t="s">
        <v>71</v>
      </c>
      <c r="W1295" s="1" t="s">
        <v>5214</v>
      </c>
      <c r="X1295" s="1" t="s">
        <v>240</v>
      </c>
      <c r="Y1295" s="10">
        <v>45254</v>
      </c>
      <c r="Z1295" s="1">
        <v>2023</v>
      </c>
      <c r="AA1295" s="2">
        <v>1439968</v>
      </c>
      <c r="AB1295" s="2"/>
      <c r="AC1295" s="2">
        <v>499995</v>
      </c>
      <c r="AG1295" s="1" t="s">
        <v>56</v>
      </c>
      <c r="AI1295" s="2">
        <v>499995</v>
      </c>
    </row>
    <row r="1296" spans="1:38" ht="12.6" customHeight="1" x14ac:dyDescent="0.2">
      <c r="A1296" s="1" t="s">
        <v>57</v>
      </c>
      <c r="B1296" s="9" t="s">
        <v>38</v>
      </c>
      <c r="C1296" s="1" t="s">
        <v>58</v>
      </c>
      <c r="D1296" s="1" t="s">
        <v>146</v>
      </c>
      <c r="E1296" s="1" t="s">
        <v>42</v>
      </c>
      <c r="G1296" s="1" t="s">
        <v>155</v>
      </c>
      <c r="H1296" s="1" t="s">
        <v>156</v>
      </c>
      <c r="I1296" s="1" t="s">
        <v>5215</v>
      </c>
      <c r="J1296" s="1">
        <v>2022</v>
      </c>
      <c r="K1296" s="1" t="s">
        <v>5216</v>
      </c>
      <c r="L1296" s="1" t="s">
        <v>5217</v>
      </c>
      <c r="P1296" s="1" t="s">
        <v>3646</v>
      </c>
      <c r="Q1296" s="1" t="s">
        <v>1149</v>
      </c>
      <c r="R1296" s="1" t="s">
        <v>1150</v>
      </c>
      <c r="S1296" s="1" t="s">
        <v>2749</v>
      </c>
      <c r="T1296" s="1" t="s">
        <v>2750</v>
      </c>
      <c r="V1296" s="1" t="s">
        <v>1537</v>
      </c>
      <c r="W1296" s="1" t="s">
        <v>5218</v>
      </c>
      <c r="Y1296" s="10">
        <v>45112</v>
      </c>
      <c r="Z1296" s="1">
        <v>2023</v>
      </c>
      <c r="AA1296" s="2">
        <v>184211.1</v>
      </c>
      <c r="AB1296" s="2"/>
      <c r="AC1296" s="2">
        <v>184211.1</v>
      </c>
      <c r="AG1296" s="1" t="s">
        <v>56</v>
      </c>
      <c r="AI1296" s="2">
        <v>184211.1</v>
      </c>
    </row>
    <row r="1297" spans="1:38" ht="12.6" customHeight="1" x14ac:dyDescent="0.25">
      <c r="A1297" s="1" t="s">
        <v>57</v>
      </c>
      <c r="B1297" s="9" t="s">
        <v>39</v>
      </c>
      <c r="C1297" s="1" t="s">
        <v>40</v>
      </c>
      <c r="D1297" s="1" t="s">
        <v>41</v>
      </c>
      <c r="E1297" s="1" t="s">
        <v>200</v>
      </c>
      <c r="F1297" s="1" t="s">
        <v>215</v>
      </c>
      <c r="G1297" s="1" t="s">
        <v>3993</v>
      </c>
      <c r="H1297" s="1" t="s">
        <v>45</v>
      </c>
      <c r="I1297" s="1" t="s">
        <v>5219</v>
      </c>
      <c r="J1297" s="1">
        <v>2022</v>
      </c>
      <c r="K1297" s="1" t="s">
        <v>5220</v>
      </c>
      <c r="L1297" s="1" t="s">
        <v>5221</v>
      </c>
      <c r="M1297" s="1" t="s">
        <v>5222</v>
      </c>
      <c r="P1297" s="1" t="s">
        <v>5223</v>
      </c>
      <c r="Q1297" s="1" t="s">
        <v>842</v>
      </c>
      <c r="R1297" s="1" t="s">
        <v>1177</v>
      </c>
      <c r="S1297" s="16" t="s">
        <v>1178</v>
      </c>
      <c r="T1297" s="1" t="s">
        <v>1179</v>
      </c>
      <c r="V1297" s="1" t="s">
        <v>1178</v>
      </c>
      <c r="W1297" s="1" t="s">
        <v>5221</v>
      </c>
      <c r="X1297" s="1" t="s">
        <v>55</v>
      </c>
      <c r="Y1297" s="10">
        <v>45082</v>
      </c>
      <c r="Z1297" s="1">
        <v>2023</v>
      </c>
      <c r="AA1297" s="2">
        <v>70163479</v>
      </c>
      <c r="AB1297" s="2"/>
      <c r="AC1297" s="2">
        <v>15000000</v>
      </c>
      <c r="AD1297" s="1">
        <v>60</v>
      </c>
      <c r="AG1297" s="1" t="s">
        <v>432</v>
      </c>
      <c r="AH1297" s="1" t="s">
        <v>492</v>
      </c>
      <c r="AI1297" s="2">
        <v>0</v>
      </c>
    </row>
    <row r="1298" spans="1:38" ht="12.6" customHeight="1" thickBot="1" x14ac:dyDescent="0.25">
      <c r="A1298" s="1" t="s">
        <v>57</v>
      </c>
      <c r="B1298" s="9" t="s">
        <v>39</v>
      </c>
      <c r="C1298" s="1" t="s">
        <v>40</v>
      </c>
      <c r="D1298" s="1" t="s">
        <v>41</v>
      </c>
      <c r="E1298" s="1" t="s">
        <v>200</v>
      </c>
      <c r="F1298" s="1" t="s">
        <v>215</v>
      </c>
      <c r="G1298" s="1" t="s">
        <v>3993</v>
      </c>
      <c r="H1298" s="1" t="s">
        <v>45</v>
      </c>
      <c r="I1298" s="1" t="s">
        <v>5224</v>
      </c>
      <c r="J1298" s="1">
        <v>2022</v>
      </c>
      <c r="K1298" s="1" t="s">
        <v>5225</v>
      </c>
      <c r="L1298" s="1" t="s">
        <v>5226</v>
      </c>
      <c r="P1298" s="1" t="s">
        <v>4105</v>
      </c>
      <c r="Q1298" s="1" t="s">
        <v>1149</v>
      </c>
      <c r="R1298" s="1" t="s">
        <v>1150</v>
      </c>
      <c r="S1298" s="1" t="s">
        <v>1535</v>
      </c>
      <c r="T1298" s="1" t="s">
        <v>1536</v>
      </c>
      <c r="V1298" s="1" t="s">
        <v>1537</v>
      </c>
      <c r="W1298" s="1" t="s">
        <v>5225</v>
      </c>
      <c r="X1298" s="1" t="s">
        <v>55</v>
      </c>
      <c r="Y1298" s="10">
        <v>45082</v>
      </c>
      <c r="Z1298" s="1">
        <v>2023</v>
      </c>
      <c r="AA1298" s="2">
        <v>38861921.039999999</v>
      </c>
      <c r="AB1298" s="2"/>
      <c r="AC1298" s="2">
        <v>15000000</v>
      </c>
      <c r="AD1298" s="1">
        <v>238</v>
      </c>
      <c r="AG1298" s="1" t="s">
        <v>56</v>
      </c>
      <c r="AI1298" s="2">
        <v>15000000</v>
      </c>
      <c r="AL1298" s="48"/>
    </row>
    <row r="1299" spans="1:38" ht="12.6" customHeight="1" x14ac:dyDescent="0.25">
      <c r="A1299" s="1" t="s">
        <v>38</v>
      </c>
      <c r="B1299" s="9" t="s">
        <v>38</v>
      </c>
      <c r="C1299" s="1" t="s">
        <v>40</v>
      </c>
      <c r="D1299" s="1" t="s">
        <v>41</v>
      </c>
      <c r="E1299" s="1" t="s">
        <v>5227</v>
      </c>
      <c r="F1299" s="1" t="s">
        <v>230</v>
      </c>
      <c r="G1299" s="1" t="s">
        <v>231</v>
      </c>
      <c r="H1299" s="1" t="s">
        <v>45</v>
      </c>
      <c r="I1299" s="1" t="s">
        <v>5228</v>
      </c>
      <c r="J1299" s="1">
        <v>2022</v>
      </c>
      <c r="K1299" s="1" t="s">
        <v>5229</v>
      </c>
      <c r="L1299" s="8" t="s">
        <v>5230</v>
      </c>
      <c r="P1299" s="1" t="s">
        <v>5231</v>
      </c>
      <c r="Q1299" s="1" t="s">
        <v>1149</v>
      </c>
      <c r="R1299" s="1" t="s">
        <v>1150</v>
      </c>
      <c r="S1299" s="1" t="s">
        <v>3328</v>
      </c>
      <c r="T1299" s="1" t="s">
        <v>3329</v>
      </c>
      <c r="V1299" s="1" t="s">
        <v>1153</v>
      </c>
      <c r="W1299" s="1" t="s">
        <v>5232</v>
      </c>
      <c r="X1299" s="1" t="s">
        <v>240</v>
      </c>
      <c r="Y1299" s="10">
        <v>45254</v>
      </c>
      <c r="Z1299" s="1">
        <v>2023</v>
      </c>
      <c r="AA1299" s="49">
        <v>1905856.26</v>
      </c>
      <c r="AB1299" s="2"/>
      <c r="AC1299" s="4">
        <v>498890.94234710198</v>
      </c>
      <c r="AG1299" s="1" t="s">
        <v>56</v>
      </c>
      <c r="AI1299" s="4">
        <v>498890.94234710239</v>
      </c>
      <c r="AL1299" s="1" t="s">
        <v>5233</v>
      </c>
    </row>
    <row r="1300" spans="1:38" x14ac:dyDescent="0.2">
      <c r="A1300" s="51"/>
      <c r="B1300" s="52"/>
      <c r="C1300" s="51"/>
      <c r="D1300" s="51"/>
      <c r="E1300" s="51"/>
      <c r="F1300" s="51"/>
      <c r="G1300" s="51"/>
      <c r="H1300" s="51"/>
      <c r="I1300" s="52">
        <f>SUBTOTAL(103,Tabla354[Ref. Proyecto])</f>
        <v>1298</v>
      </c>
      <c r="J1300" s="51"/>
      <c r="K1300" s="51"/>
      <c r="L1300" s="51"/>
      <c r="M1300" s="51"/>
      <c r="N1300" s="51"/>
      <c r="O1300" s="51"/>
      <c r="P1300" s="51"/>
      <c r="Q1300" s="51"/>
      <c r="R1300" s="51"/>
      <c r="S1300" s="51"/>
      <c r="T1300" s="51"/>
      <c r="U1300" s="51"/>
      <c r="V1300" s="51"/>
      <c r="W1300" s="51"/>
      <c r="X1300" s="51"/>
      <c r="Y1300" s="51"/>
      <c r="Z1300" s="51"/>
      <c r="AA1300" s="54">
        <f>SUBTOTAL(109,Tabla354[Inversión subvencionable])</f>
        <v>5585881111.2613039</v>
      </c>
      <c r="AB1300" s="52"/>
      <c r="AC1300" s="52"/>
      <c r="AD1300" s="53">
        <f>SUBTOTAL(109,Tabla354[Empleo a crear (operación)])</f>
        <v>7314.06</v>
      </c>
      <c r="AE1300" s="52"/>
      <c r="AF1300" s="51"/>
      <c r="AG1300" s="51"/>
      <c r="AH1300" s="51"/>
      <c r="AI1300" s="54">
        <f>SUBTOTAL(109,Tabla354[Ayuda actual])</f>
        <v>2002147828.8066065</v>
      </c>
      <c r="AJ1300" s="52"/>
      <c r="AK1300" s="52"/>
      <c r="AL1300" s="52"/>
    </row>
    <row r="1301" spans="1:38" x14ac:dyDescent="0.2">
      <c r="AA1301" s="10"/>
      <c r="AB1301" s="10"/>
      <c r="AC1301" s="10"/>
    </row>
    <row r="1302" spans="1:38" x14ac:dyDescent="0.2">
      <c r="Z1302" s="10"/>
      <c r="AA1302" s="10"/>
      <c r="AB1302" s="10"/>
      <c r="AC1302" s="10"/>
    </row>
    <row r="1303" spans="1:38" x14ac:dyDescent="0.2">
      <c r="Z1303" s="10"/>
      <c r="AA1303" s="10"/>
      <c r="AB1303" s="10"/>
    </row>
    <row r="1304" spans="1:38" x14ac:dyDescent="0.2">
      <c r="Z1304" s="10"/>
      <c r="AA1304" s="10"/>
      <c r="AB1304" s="10"/>
    </row>
    <row r="1305" spans="1:38" x14ac:dyDescent="0.2">
      <c r="Z1305" s="10"/>
      <c r="AA1305" s="10"/>
      <c r="AB1305" s="10"/>
    </row>
    <row r="1306" spans="1:38" x14ac:dyDescent="0.2">
      <c r="Z1306" s="10"/>
      <c r="AA1306" s="10"/>
      <c r="AB1306" s="10"/>
    </row>
    <row r="1307" spans="1:38" x14ac:dyDescent="0.2">
      <c r="Z1307" s="10"/>
      <c r="AA1307" s="10"/>
      <c r="AB1307" s="10"/>
    </row>
    <row r="1308" spans="1:38" x14ac:dyDescent="0.2">
      <c r="Z1308" s="10"/>
      <c r="AA1308" s="10"/>
      <c r="AB1308" s="10"/>
    </row>
  </sheetData>
  <conditionalFormatting sqref="I1298">
    <cfRule type="duplicateValues" dxfId="41" priority="1"/>
  </conditionalFormatting>
  <conditionalFormatting sqref="I1317:I1048576 I1299 I1301:I1308 I1309:L1316 I1:I1297">
    <cfRule type="duplicateValues" dxfId="40" priority="2"/>
  </conditionalFormatting>
  <hyperlinks>
    <hyperlink ref="M689" r:id="rId1" display="https://www.xermade.org/comunidade-de-enerxias-renovables-xerando/" xr:uid="{CE5C36A6-DF7F-4D95-A692-D7A0DA4B796A}"/>
    <hyperlink ref="M186" r:id="rId2" xr:uid="{F6536DF3-AD16-45A3-A4F2-61FE2E95DA1F}"/>
    <hyperlink ref="M314" r:id="rId3" xr:uid="{57285082-61E9-4081-9339-96200309C893}"/>
  </hyperlinks>
  <pageMargins left="0.7" right="0.7" top="0.75" bottom="0.75" header="0.3" footer="0.3"/>
  <pageSetup paperSize="9" orientation="portrait" r:id="rId4"/>
  <tableParts count="1">
    <tablePart r:id="rId5"/>
  </tableParts>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Tabla VISOR</vt:lpstr>
      <vt:lpstr>Tabla VISOR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Sandro Jesus MINA VALDIVIA</cp:lastModifiedBy>
  <dcterms:created xsi:type="dcterms:W3CDTF">2025-11-27T13:40:53Z</dcterms:created>
  <dcterms:modified xsi:type="dcterms:W3CDTF">2025-11-28T10:24:37Z</dcterms:modified>
</cp:coreProperties>
</file>